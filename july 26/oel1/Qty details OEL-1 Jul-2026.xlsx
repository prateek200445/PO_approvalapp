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l 2026\OEL-1\"/>
    </mc:Choice>
  </mc:AlternateContent>
  <bookViews>
    <workbookView xWindow="0" yWindow="0" windowWidth="20490" windowHeight="7760" activeTab="8"/>
  </bookViews>
  <sheets>
    <sheet name="Sep-25" sheetId="1" r:id="rId1"/>
    <sheet name="Nov-25" sheetId="2" r:id="rId2"/>
    <sheet name="Dec-25" sheetId="3" r:id="rId3"/>
    <sheet name="Jan-26" sheetId="4" r:id="rId4"/>
    <sheet name="Feb-26" sheetId="5" r:id="rId5"/>
    <sheet name="Mar-26" sheetId="6" r:id="rId6"/>
    <sheet name="May-26" sheetId="7" r:id="rId7"/>
    <sheet name="Jun-26" sheetId="8" r:id="rId8"/>
    <sheet name="Jul-26" sheetId="9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9" l="1"/>
  <c r="D10" i="9"/>
  <c r="B14" i="9"/>
  <c r="C6" i="8" l="1"/>
  <c r="C5" i="8"/>
  <c r="D5" i="8"/>
  <c r="D5" i="7" l="1"/>
  <c r="C5" i="7"/>
  <c r="D10" i="7"/>
  <c r="C5" i="6" l="1"/>
  <c r="D5" i="5" l="1"/>
  <c r="C5" i="5"/>
  <c r="B14" i="3" l="1"/>
  <c r="C5" i="3"/>
  <c r="D10" i="3"/>
  <c r="B14" i="2" l="1"/>
  <c r="B15" i="2"/>
  <c r="C10" i="2"/>
  <c r="C5" i="2"/>
  <c r="C5" i="1" l="1"/>
  <c r="D10" i="1"/>
</calcChain>
</file>

<file path=xl/sharedStrings.xml><?xml version="1.0" encoding="utf-8"?>
<sst xmlns="http://schemas.openxmlformats.org/spreadsheetml/2006/main" count="171" uniqueCount="14">
  <si>
    <t>PARTICULARS</t>
  </si>
  <si>
    <t>BUDGETED / PLANNED</t>
  </si>
  <si>
    <t>FIBC</t>
  </si>
  <si>
    <t>Fabric (Liner Mtr)</t>
  </si>
  <si>
    <t>DISPATCH</t>
  </si>
  <si>
    <t>Fabric</t>
  </si>
  <si>
    <t>PURCHASE</t>
  </si>
  <si>
    <t>PP Granules</t>
  </si>
  <si>
    <t>Sale</t>
  </si>
  <si>
    <t>Avg Sales price</t>
  </si>
  <si>
    <t>Production</t>
  </si>
  <si>
    <t>in Mt</t>
  </si>
  <si>
    <t>In Rs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</si>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</sst>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_-* #,##0.00_-;\-* #,##0.00_-;_-* &quot;-&quot;??_-;_-@_-"/>
    <numFmt numFmtId="166" formatCode="mmmm\-yyyy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Border="1"/>
    <xf numFmtId="0" fontId="0" fillId="0" borderId="0" xfId="0" applyBorder="1"/>
    <xf numFmtId="0" fontId="3" fillId="2" borderId="2" xfId="0" applyFont="1" applyFill="1" applyBorder="1"/>
    <xf numFmtId="2" fontId="3" fillId="2" borderId="2" xfId="1" applyNumberFormat="1" applyFont="1" applyFill="1" applyBorder="1" applyAlignment="1">
      <alignment horizontal="center" wrapText="1"/>
    </xf>
    <xf numFmtId="10" fontId="3" fillId="2" borderId="2" xfId="0" applyNumberFormat="1" applyFont="1" applyFill="1" applyBorder="1"/>
    <xf numFmtId="0" fontId="0" fillId="0" borderId="2" xfId="0" applyBorder="1"/>
    <xf numFmtId="167" fontId="3" fillId="2" borderId="2" xfId="1" applyNumberFormat="1" applyFont="1" applyFill="1" applyBorder="1"/>
    <xf numFmtId="0" fontId="4" fillId="2" borderId="2" xfId="0" applyFont="1" applyFill="1" applyBorder="1"/>
    <xf numFmtId="10" fontId="3" fillId="2" borderId="2" xfId="2" applyNumberFormat="1" applyFont="1" applyFill="1" applyBorder="1" applyAlignment="1">
      <alignment horizontal="center" wrapText="1"/>
    </xf>
    <xf numFmtId="0" fontId="4" fillId="0" borderId="2" xfId="0" applyFont="1" applyBorder="1"/>
    <xf numFmtId="2" fontId="3" fillId="0" borderId="2" xfId="2" applyNumberFormat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 applyAlignment="1">
      <alignment wrapText="1"/>
    </xf>
    <xf numFmtId="10" fontId="3" fillId="3" borderId="2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2" xfId="0" applyFont="1" applyBorder="1"/>
    <xf numFmtId="164" fontId="0" fillId="0" borderId="2" xfId="0" applyNumberFormat="1" applyBorder="1"/>
    <xf numFmtId="164" fontId="2" fillId="0" borderId="2" xfId="0" applyNumberFormat="1" applyFont="1" applyBorder="1"/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3" fillId="2" borderId="2" xfId="2" applyNumberFormat="1" applyFont="1" applyFill="1" applyBorder="1" applyAlignment="1">
      <alignment horizontal="center" wrapText="1"/>
    </xf>
    <xf numFmtId="164" fontId="0" fillId="0" borderId="2" xfId="0" applyNumberFormat="1" applyFont="1" applyBorder="1"/>
    <xf numFmtId="166" fontId="3" fillId="4" borderId="1" xfId="0" applyNumberFormat="1" applyFont="1" applyFill="1" applyBorder="1" applyAlignment="1">
      <alignment horizontal="center" wrapText="1"/>
    </xf>
    <xf numFmtId="2" fontId="3" fillId="0" borderId="2" xfId="0" applyNumberFormat="1" applyFont="1" applyBorder="1" applyAlignment="1">
      <alignment horizontal="center"/>
    </xf>
  </cellXfs>
  <cellStyles count="3">
    <cellStyle name="Comma" xfId="1" builtinId="3"/>
    <cellStyle name="Comma 8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>
      <selection sqref="A1:E15"/>
    </sheetView>
  </sheetViews>
  <sheetFormatPr defaultColWidth="8.7265625" defaultRowHeight="14.5" x14ac:dyDescent="0.35"/>
  <cols>
    <col min="1" max="1" width="23.81640625" style="2" bestFit="1" customWidth="1"/>
    <col min="2" max="2" width="9.54296875" style="2" bestFit="1" customWidth="1"/>
    <col min="3" max="3" width="14.1796875" style="2" bestFit="1" customWidth="1"/>
    <col min="4" max="4" width="13.7265625" style="2" bestFit="1" customWidth="1"/>
    <col min="5" max="5" width="9.26953125" style="2" bestFit="1" customWidth="1"/>
    <col min="6" max="16384" width="8.7265625" style="2"/>
  </cols>
  <sheetData>
    <row r="1" spans="1:5" x14ac:dyDescent="0.35">
      <c r="A1" s="1" t="s">
        <v>0</v>
      </c>
      <c r="B1" s="1"/>
      <c r="C1" s="27">
        <v>45901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s="16" customFormat="1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376122/1000</f>
        <v>376.12200000000001</v>
      </c>
      <c r="D5" s="11">
        <v>376.12200000000001</v>
      </c>
      <c r="E5" s="19">
        <v>86.18976451789581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/>
      <c r="D10" s="11">
        <f>49831/1000</f>
        <v>49.831000000000003</v>
      </c>
      <c r="E10" s="19">
        <v>109.55246733960787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>
        <v>112</v>
      </c>
      <c r="C13" s="11"/>
      <c r="D13" s="11"/>
      <c r="E13" s="19">
        <v>82</v>
      </c>
    </row>
    <row r="14" spans="1:5" x14ac:dyDescent="0.35">
      <c r="A14" s="10" t="s">
        <v>5</v>
      </c>
      <c r="B14" s="11">
        <v>1.6</v>
      </c>
      <c r="C14" s="11"/>
      <c r="D14" s="11">
        <v>1.6</v>
      </c>
      <c r="E14" s="19">
        <v>174</v>
      </c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9.90625" customWidth="1"/>
    <col min="3" max="3" width="11.7265625" customWidth="1"/>
    <col min="4" max="4" width="8.6328125" customWidth="1"/>
    <col min="5" max="5" width="8.453125" bestFit="1" customWidth="1"/>
  </cols>
  <sheetData>
    <row r="1" spans="1:5" x14ac:dyDescent="0.35">
      <c r="A1" s="1" t="s">
        <v>0</v>
      </c>
      <c r="B1" s="1"/>
      <c r="C1" s="27">
        <v>45962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349067.1/1000</f>
        <v>349.06709999999998</v>
      </c>
      <c r="D5" s="11">
        <v>349.06709999999998</v>
      </c>
      <c r="E5" s="19">
        <v>72.176818146998087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>
        <f>39134/1000</f>
        <v>39.134</v>
      </c>
      <c r="D10" s="11">
        <v>39.134</v>
      </c>
      <c r="E10" s="19">
        <v>104.4114836197938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11">
        <f>3890.6/1000</f>
        <v>3.8906000000000001</v>
      </c>
      <c r="C14" s="11"/>
      <c r="D14" s="11"/>
      <c r="E14" s="19">
        <v>114.68925101526757</v>
      </c>
    </row>
    <row r="15" spans="1:5" x14ac:dyDescent="0.35">
      <c r="A15" s="10" t="s">
        <v>7</v>
      </c>
      <c r="B15" s="23">
        <f>100000/1000</f>
        <v>100</v>
      </c>
      <c r="C15" s="11"/>
      <c r="D15" s="11"/>
      <c r="E15" s="19">
        <v>78.14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9.9062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7">
        <v>45992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386317/1000</f>
        <v>386.31700000000001</v>
      </c>
      <c r="D5" s="11">
        <v>386.31700000000001</v>
      </c>
      <c r="E5" s="19">
        <v>88.075031489683326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>
        <v>1.8779999999999999</v>
      </c>
      <c r="E9" s="19">
        <v>229.10915867944621</v>
      </c>
    </row>
    <row r="10" spans="1:5" x14ac:dyDescent="0.35">
      <c r="A10" s="10" t="s">
        <v>5</v>
      </c>
      <c r="B10" s="24"/>
      <c r="C10" s="11"/>
      <c r="D10" s="11">
        <f>52560/1000</f>
        <v>52.56</v>
      </c>
      <c r="E10" s="19">
        <v>104.77924277016743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11">
        <f>12235.9/1000</f>
        <v>12.235899999999999</v>
      </c>
      <c r="C14" s="11"/>
      <c r="D14" s="11"/>
      <c r="E14" s="19">
        <v>98.2</v>
      </c>
    </row>
    <row r="15" spans="1:5" x14ac:dyDescent="0.35">
      <c r="A15" s="10" t="s">
        <v>7</v>
      </c>
      <c r="B15" s="23">
        <v>224</v>
      </c>
      <c r="C15" s="11"/>
      <c r="D15" s="11"/>
      <c r="E15" s="19">
        <v>74.290000000000006</v>
      </c>
    </row>
  </sheetData>
  <mergeCells count="1">
    <mergeCell ref="C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7">
        <v>46023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v>378</v>
      </c>
      <c r="D5" s="11">
        <v>378</v>
      </c>
      <c r="E5" s="19">
        <v>89.25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/>
      <c r="D10" s="11">
        <v>28.74</v>
      </c>
      <c r="E10" s="19">
        <v>104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11"/>
      <c r="C14" s="11"/>
      <c r="D14" s="11"/>
      <c r="E14" s="19"/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</cols>
  <sheetData>
    <row r="1" spans="1:5" x14ac:dyDescent="0.35">
      <c r="A1" s="1" t="s">
        <v>0</v>
      </c>
      <c r="B1" s="1"/>
      <c r="C1" s="27">
        <v>46054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301532.88/1000</f>
        <v>301.53287999999998</v>
      </c>
      <c r="D5" s="11">
        <f>301532.88/1000</f>
        <v>301.53287999999998</v>
      </c>
      <c r="E5" s="19">
        <v>91.935725152096197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>
        <v>4.67</v>
      </c>
      <c r="D9" s="11">
        <v>4.67</v>
      </c>
      <c r="E9" s="19">
        <v>214.42844015130467</v>
      </c>
    </row>
    <row r="10" spans="1:5" x14ac:dyDescent="0.35">
      <c r="A10" s="10" t="s">
        <v>5</v>
      </c>
      <c r="B10" s="24"/>
      <c r="C10" s="11">
        <v>45.54</v>
      </c>
      <c r="D10" s="11">
        <v>45.54</v>
      </c>
      <c r="E10" s="19">
        <v>105.39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>
        <v>1.3</v>
      </c>
      <c r="C14" s="11"/>
      <c r="D14" s="11"/>
      <c r="E14" s="19">
        <v>140.65</v>
      </c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0.36328125" customWidth="1"/>
    <col min="3" max="3" width="9.6328125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7">
        <v>46082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263903/1000</f>
        <v>263.90300000000002</v>
      </c>
      <c r="D5" s="11">
        <v>263.90300000000002</v>
      </c>
      <c r="E5" s="19">
        <v>120.18019060850452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>
        <v>27.14</v>
      </c>
      <c r="D10" s="11">
        <v>27.14</v>
      </c>
      <c r="E10" s="19">
        <v>139.57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>
        <v>0.7</v>
      </c>
      <c r="C14" s="11"/>
      <c r="D14" s="11"/>
      <c r="E14" s="19">
        <v>154.07</v>
      </c>
    </row>
    <row r="15" spans="1:5" x14ac:dyDescent="0.35">
      <c r="A15" s="10" t="s">
        <v>7</v>
      </c>
      <c r="B15" s="23">
        <v>112</v>
      </c>
      <c r="C15" s="11"/>
      <c r="D15" s="11"/>
      <c r="E15" s="19">
        <v>108</v>
      </c>
    </row>
  </sheetData>
  <mergeCells count="1">
    <mergeCell ref="C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2.81640625" customWidth="1"/>
    <col min="3" max="3" width="15.36328125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7">
        <v>46143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251582/1000</f>
        <v>251.58199999999999</v>
      </c>
      <c r="D5" s="11">
        <f>251582/1000</f>
        <v>251.58199999999999</v>
      </c>
      <c r="E5" s="19">
        <v>119.96480376179537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>
        <v>3.6890000000000001</v>
      </c>
      <c r="D9" s="11">
        <v>3.6890000000000001</v>
      </c>
      <c r="E9" s="19">
        <v>273.30984006505827</v>
      </c>
    </row>
    <row r="10" spans="1:5" x14ac:dyDescent="0.35">
      <c r="A10" s="10" t="s">
        <v>5</v>
      </c>
      <c r="B10" s="24"/>
      <c r="C10" s="11">
        <v>34.348999999999997</v>
      </c>
      <c r="D10" s="11">
        <f>34349/1000</f>
        <v>34.348999999999997</v>
      </c>
      <c r="E10" s="19">
        <v>174.86069463448717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/>
      <c r="C14" s="11"/>
      <c r="D14" s="11"/>
      <c r="E14" s="19"/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1.26953125" customWidth="1"/>
    <col min="3" max="3" width="14.7265625" customWidth="1"/>
    <col min="4" max="4" width="8.726562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7">
        <v>46174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292572.32/1000</f>
        <v>292.57231999999999</v>
      </c>
      <c r="D5" s="11">
        <f>283931.32/1000</f>
        <v>283.93132000000003</v>
      </c>
      <c r="E5" s="19">
        <v>120.70812585945079</v>
      </c>
    </row>
    <row r="6" spans="1:5" x14ac:dyDescent="0.35">
      <c r="A6" s="8" t="s">
        <v>3</v>
      </c>
      <c r="B6" s="11"/>
      <c r="C6" s="11">
        <f>58853/1000</f>
        <v>58.853000000000002</v>
      </c>
      <c r="D6" s="11"/>
      <c r="E6" s="19">
        <v>105</v>
      </c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>
        <v>8.641</v>
      </c>
      <c r="E9" s="18">
        <v>226.86031709292905</v>
      </c>
    </row>
    <row r="10" spans="1:5" x14ac:dyDescent="0.35">
      <c r="A10" s="10" t="s">
        <v>5</v>
      </c>
      <c r="B10" s="24"/>
      <c r="C10" s="11"/>
      <c r="D10" s="11">
        <v>58.853000000000002</v>
      </c>
      <c r="E10" s="26">
        <v>112.27551696600004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/>
      <c r="C14" s="11"/>
      <c r="D14" s="11"/>
      <c r="E14" s="19"/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C9" sqref="C9"/>
    </sheetView>
  </sheetViews>
  <sheetFormatPr defaultRowHeight="14.5" x14ac:dyDescent="0.35"/>
  <cols>
    <col min="1" max="1" width="23.81640625" bestFit="1" customWidth="1"/>
    <col min="2" max="2" width="13.6328125" customWidth="1"/>
    <col min="3" max="3" width="13.26953125" customWidth="1"/>
    <col min="4" max="4" width="7.54296875" bestFit="1" customWidth="1"/>
    <col min="5" max="5" width="11.1796875" customWidth="1"/>
  </cols>
  <sheetData>
    <row r="1" spans="1:5" x14ac:dyDescent="0.35">
      <c r="A1" s="1" t="s">
        <v>0</v>
      </c>
      <c r="B1" s="1"/>
      <c r="C1" s="27">
        <v>46204</v>
      </c>
      <c r="D1" s="27"/>
      <c r="E1" s="27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417716.34/1000</f>
        <v>417.71634</v>
      </c>
      <c r="D5" s="11">
        <v>417.71634</v>
      </c>
      <c r="E5" s="19">
        <v>105.21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>
        <v>4.7519999999999998</v>
      </c>
      <c r="D9" s="11">
        <v>4.7519999999999998</v>
      </c>
      <c r="E9" s="18">
        <v>261.18</v>
      </c>
    </row>
    <row r="10" spans="1:5" x14ac:dyDescent="0.35">
      <c r="A10" s="10" t="s">
        <v>5</v>
      </c>
      <c r="B10" s="24"/>
      <c r="C10" s="11">
        <v>76.072399999999988</v>
      </c>
      <c r="D10" s="11">
        <f>76072.4/1000</f>
        <v>76.072399999999988</v>
      </c>
      <c r="E10" s="26">
        <v>140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8">
        <f>3006.7/1000</f>
        <v>3.0066999999999999</v>
      </c>
      <c r="C14" s="11"/>
      <c r="D14" s="11"/>
      <c r="E14" s="19">
        <v>161.36000000000001</v>
      </c>
    </row>
    <row r="15" spans="1:5" x14ac:dyDescent="0.35">
      <c r="A15" s="10" t="s">
        <v>7</v>
      </c>
      <c r="B15" s="23">
        <v>182.9</v>
      </c>
      <c r="C15" s="11"/>
      <c r="D15" s="11"/>
      <c r="E15" s="19">
        <v>116.06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Sep-25</vt:lpstr>
      <vt:lpstr>Nov-25</vt:lpstr>
      <vt:lpstr>Dec-25</vt:lpstr>
      <vt:lpstr>Jan-26</vt:lpstr>
      <vt:lpstr>Feb-26</vt:lpstr>
      <vt:lpstr>Mar-26</vt:lpstr>
      <vt:lpstr>May-26</vt:lpstr>
      <vt:lpstr>Jun-26</vt:lpstr>
      <vt:lpstr>Jul-26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2015-06-05T18:17:20Z</dcterms:created>
  <dcterms:modified xsi:type="dcterms:W3CDTF">2026-08-14T07:15:21Z</dcterms:modified>
</cp:coreProperties>
</file>