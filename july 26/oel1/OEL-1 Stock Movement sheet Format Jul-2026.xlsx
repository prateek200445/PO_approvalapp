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l 2026\OEL-1\"/>
    </mc:Choice>
  </mc:AlternateContent>
  <bookViews>
    <workbookView xWindow="0" yWindow="0" windowWidth="10800" windowHeight="7310" tabRatio="912" firstSheet="1" activeTab="1"/>
  </bookViews>
  <sheets>
    <sheet name="Master" sheetId="5" state="hidden" r:id="rId1"/>
    <sheet name="Summary" sheetId="3" r:id="rId2"/>
    <sheet name="Sheet1" sheetId="11" state="hidden" r:id="rId3"/>
    <sheet name="Sales " sheetId="9" r:id="rId4"/>
    <sheet name="Purchase" sheetId="10" r:id="rId5"/>
    <sheet name="JOB issued" sheetId="7" r:id="rId6"/>
    <sheet name="Job Received" sheetId="22" r:id="rId7"/>
    <sheet name="Rece Chalan" sheetId="19" r:id="rId8"/>
    <sheet name="Job Work Summary " sheetId="17" r:id="rId9"/>
    <sheet name="Challan" sheetId="16" r:id="rId10"/>
    <sheet name="Received from KPW3" sheetId="14" r:id="rId11"/>
    <sheet name="Received from PIL 1060" sheetId="13" state="hidden" r:id="rId12"/>
    <sheet name="Received from PIL 836" sheetId="21" r:id="rId13"/>
    <sheet name="PRIOD" sheetId="20" r:id="rId14"/>
  </sheets>
  <externalReferences>
    <externalReference r:id="rId15"/>
  </externalReferences>
  <definedNames>
    <definedName name="_xlnm._FilterDatabase" localSheetId="9" hidden="1">Challan!$B$36:$U$107</definedName>
    <definedName name="_xlnm._FilterDatabase" localSheetId="5" hidden="1">'JOB issued'!$A$21:$AE$273</definedName>
    <definedName name="_xlnm._FilterDatabase" localSheetId="0" hidden="1">Master!$A$2:$G$928</definedName>
    <definedName name="_xlnm._FilterDatabase" localSheetId="4" hidden="1">Purchase!$B$27:$BP$47</definedName>
    <definedName name="_xlnm._FilterDatabase" localSheetId="7" hidden="1">'Rece Chalan'!$B$1:$BP$40</definedName>
    <definedName name="_xlnm._FilterDatabase" localSheetId="10" hidden="1">'Received from KPW3'!$D$2:$R$4299</definedName>
    <definedName name="_xlnm._FilterDatabase" localSheetId="11" hidden="1">'Received from PIL 1060'!$A$2:$N$366</definedName>
    <definedName name="_xlnm._FilterDatabase" localSheetId="12" hidden="1">'Received from PIL 836'!$A$2:$N$315</definedName>
    <definedName name="_xlnm._FilterDatabase" localSheetId="3" hidden="1">'Sales '!$A$24:$AE$53</definedName>
    <definedName name="_xlnm._FilterDatabase" localSheetId="1" hidden="1">Summary!$A$3:$AF$646</definedName>
  </definedNames>
  <calcPr calcId="152511"/>
  <pivotCaches>
    <pivotCache cacheId="0" r:id="rId16"/>
    <pivotCache cacheId="1" r:id="rId17"/>
    <pivotCache cacheId="2" r:id="rId18"/>
    <pivotCache cacheId="3" r:id="rId19"/>
    <pivotCache cacheId="4" r:id="rId2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79" i="3" l="1"/>
  <c r="AH165" i="3"/>
  <c r="AG165" i="3" l="1"/>
  <c r="AG151" i="3"/>
  <c r="AG152" i="3"/>
  <c r="AE187" i="3"/>
  <c r="AD187" i="3"/>
  <c r="AE186" i="3"/>
  <c r="AD186" i="3"/>
  <c r="AE185" i="3"/>
  <c r="AD185" i="3"/>
  <c r="AE184" i="3"/>
  <c r="AD184" i="3"/>
  <c r="AE183" i="3"/>
  <c r="AD183" i="3"/>
  <c r="AE182" i="3"/>
  <c r="AD182" i="3"/>
  <c r="AE181" i="3"/>
  <c r="AD181" i="3"/>
  <c r="AE180" i="3"/>
  <c r="AD180" i="3"/>
  <c r="AE179" i="3"/>
  <c r="AD179" i="3"/>
  <c r="AE178" i="3"/>
  <c r="AD178" i="3"/>
  <c r="AE177" i="3"/>
  <c r="AD177" i="3"/>
  <c r="AE176" i="3"/>
  <c r="AD176" i="3"/>
  <c r="AE175" i="3"/>
  <c r="AD175" i="3"/>
  <c r="AE174" i="3"/>
  <c r="AD174" i="3"/>
  <c r="AE173" i="3"/>
  <c r="AD173" i="3"/>
  <c r="AE172" i="3"/>
  <c r="AD172" i="3"/>
  <c r="AE171" i="3"/>
  <c r="AD171" i="3"/>
  <c r="AE170" i="3"/>
  <c r="AD170" i="3"/>
  <c r="AE169" i="3"/>
  <c r="AD169" i="3"/>
  <c r="AE168" i="3"/>
  <c r="AD168" i="3"/>
  <c r="AE167" i="3"/>
  <c r="AD167" i="3"/>
  <c r="AE166" i="3"/>
  <c r="AD166" i="3"/>
  <c r="AE165" i="3"/>
  <c r="AD165" i="3"/>
  <c r="AE164" i="3"/>
  <c r="AD164" i="3"/>
  <c r="AE163" i="3"/>
  <c r="AD163" i="3"/>
  <c r="AE162" i="3"/>
  <c r="AD162" i="3"/>
  <c r="AE161" i="3"/>
  <c r="AD161" i="3"/>
  <c r="AE160" i="3"/>
  <c r="AD160" i="3"/>
  <c r="AE159" i="3"/>
  <c r="AD159" i="3"/>
  <c r="AE158" i="3"/>
  <c r="AD158" i="3"/>
  <c r="AE157" i="3"/>
  <c r="AD157" i="3"/>
  <c r="AE156" i="3"/>
  <c r="AD156" i="3"/>
  <c r="AE155" i="3"/>
  <c r="AD155" i="3"/>
  <c r="AE154" i="3"/>
  <c r="AD154" i="3"/>
  <c r="AE153" i="3"/>
  <c r="AD153" i="3"/>
  <c r="N4278" i="14"/>
  <c r="N4272" i="14"/>
  <c r="O4272" i="14"/>
  <c r="P4272" i="14" s="1"/>
  <c r="O4278" i="14" l="1"/>
  <c r="P4278" i="14" s="1"/>
  <c r="D8" i="10"/>
  <c r="H174" i="3"/>
  <c r="N4243" i="14" l="1"/>
  <c r="N4240" i="14"/>
  <c r="N4236" i="14"/>
  <c r="N4231" i="14"/>
  <c r="N4227" i="14"/>
  <c r="N4222" i="14"/>
  <c r="N4219" i="14"/>
  <c r="N228" i="21" l="1"/>
  <c r="N224" i="21"/>
  <c r="N4270" i="14" l="1"/>
  <c r="P4270" i="14" s="1"/>
  <c r="N208" i="21" l="1"/>
  <c r="N204" i="21"/>
  <c r="N201" i="21"/>
  <c r="N4268" i="14" l="1"/>
  <c r="N4263" i="14"/>
  <c r="N306" i="21"/>
  <c r="P306" i="21" s="1"/>
  <c r="N63" i="19"/>
  <c r="N62" i="19"/>
  <c r="N61" i="19"/>
  <c r="N55" i="19"/>
  <c r="J154" i="3"/>
  <c r="J7" i="17"/>
  <c r="O4268" i="14" l="1"/>
  <c r="P4268" i="14" s="1"/>
  <c r="O4263" i="14"/>
  <c r="P4263" i="14" s="1"/>
  <c r="O298" i="21"/>
  <c r="O303" i="21"/>
  <c r="N303" i="21"/>
  <c r="P303" i="21" s="1"/>
  <c r="N4257" i="14"/>
  <c r="N4252" i="14"/>
  <c r="O4257" i="14" l="1"/>
  <c r="P4257" i="14" s="1"/>
  <c r="O4252" i="14"/>
  <c r="P4252" i="14" s="1"/>
  <c r="D7" i="10"/>
  <c r="H178" i="3"/>
  <c r="N178" i="3"/>
  <c r="X7" i="17"/>
  <c r="D3" i="7" l="1"/>
  <c r="K3" i="20"/>
  <c r="K12" i="20"/>
  <c r="K9" i="20"/>
  <c r="N4052" i="14"/>
  <c r="N4058" i="14"/>
  <c r="N4062" i="14"/>
  <c r="N4065" i="14"/>
  <c r="N4072" i="14"/>
  <c r="N4076" i="14"/>
  <c r="N4084" i="14"/>
  <c r="N4087" i="14"/>
  <c r="N4096" i="14"/>
  <c r="N4099" i="14"/>
  <c r="N4102" i="14"/>
  <c r="N4105" i="14"/>
  <c r="N4108" i="14"/>
  <c r="N4114" i="14"/>
  <c r="N4118" i="14"/>
  <c r="N4123" i="14"/>
  <c r="N4126" i="14"/>
  <c r="N4134" i="14"/>
  <c r="N4137" i="14"/>
  <c r="N4140" i="14"/>
  <c r="N4143" i="14"/>
  <c r="N4149" i="14"/>
  <c r="N4152" i="14"/>
  <c r="N4157" i="14"/>
  <c r="N4160" i="14"/>
  <c r="N4164" i="14"/>
  <c r="N4169" i="14"/>
  <c r="N4178" i="14"/>
  <c r="N4183" i="14"/>
  <c r="N4186" i="14"/>
  <c r="N4191" i="14"/>
  <c r="N4196" i="14"/>
  <c r="N4200" i="14"/>
  <c r="N4203" i="14"/>
  <c r="N4208" i="14"/>
  <c r="N4212" i="14"/>
  <c r="N4216" i="14"/>
  <c r="N4194" i="14"/>
  <c r="S178" i="3" l="1"/>
  <c r="N4246" i="14" l="1"/>
  <c r="O4246" i="14" s="1"/>
  <c r="P4246" i="14" s="1"/>
  <c r="P4243" i="14" l="1"/>
  <c r="P4240" i="14" l="1"/>
  <c r="P4236" i="14" l="1"/>
  <c r="N26" i="19"/>
  <c r="N27" i="19"/>
  <c r="N33" i="19"/>
  <c r="N301" i="21"/>
  <c r="P301" i="21" s="1"/>
  <c r="D6" i="10"/>
  <c r="D6" i="9"/>
  <c r="J156" i="3"/>
  <c r="G7" i="17"/>
  <c r="H154" i="3"/>
  <c r="K173" i="3"/>
  <c r="P4231" i="14" l="1"/>
  <c r="P4227" i="14"/>
  <c r="P4222" i="14" l="1"/>
  <c r="L24" i="20"/>
  <c r="N4131" i="14"/>
  <c r="P4219" i="14" l="1"/>
  <c r="N29" i="19"/>
  <c r="N30" i="19"/>
  <c r="N4081" i="14" l="1"/>
  <c r="D5" i="10" l="1"/>
  <c r="D4" i="10"/>
  <c r="H152" i="3"/>
  <c r="H151" i="3"/>
  <c r="D5" i="9" l="1"/>
  <c r="K181" i="3"/>
  <c r="D4" i="9" l="1"/>
  <c r="D3" i="9"/>
  <c r="K171" i="3"/>
  <c r="N298" i="21" l="1"/>
  <c r="P298" i="21"/>
  <c r="D3" i="10"/>
  <c r="N4069" i="14"/>
  <c r="N4049" i="14"/>
  <c r="N4046" i="14"/>
  <c r="J151" i="3"/>
  <c r="H166" i="3"/>
  <c r="W7" i="17"/>
  <c r="N181" i="3"/>
  <c r="N189" i="3"/>
  <c r="S181" i="3" l="1"/>
  <c r="AA189" i="3"/>
  <c r="J168" i="3"/>
  <c r="J165" i="3"/>
  <c r="J174" i="3"/>
  <c r="F7" i="17"/>
  <c r="D7" i="17"/>
  <c r="I7" i="17"/>
  <c r="Q7" i="17"/>
  <c r="J176" i="3"/>
  <c r="J173" i="3"/>
  <c r="L7" i="17"/>
  <c r="E7" i="17"/>
  <c r="C7" i="17"/>
  <c r="K7" i="17"/>
  <c r="J189" i="3"/>
  <c r="J152" i="3"/>
  <c r="J166" i="3"/>
  <c r="H165" i="3"/>
  <c r="H189" i="3"/>
  <c r="K189" i="3"/>
  <c r="K166" i="3"/>
  <c r="N3989" i="14" l="1"/>
  <c r="N4000" i="14"/>
  <c r="N4006" i="14"/>
  <c r="N4010" i="14"/>
  <c r="N3980" i="14"/>
  <c r="N3974" i="14"/>
  <c r="N3970" i="14"/>
  <c r="N3961" i="14"/>
  <c r="N3930" i="14"/>
  <c r="N4016" i="14"/>
  <c r="N4031" i="14"/>
  <c r="N4038" i="14"/>
  <c r="N4043" i="14"/>
  <c r="N294" i="21" l="1"/>
  <c r="P294" i="21" s="1"/>
  <c r="N292" i="21" l="1"/>
  <c r="P292" i="21" s="1"/>
  <c r="N290" i="21" l="1"/>
  <c r="P290" i="21" s="1"/>
  <c r="M3995" i="14" l="1"/>
  <c r="N3995" i="14" s="1"/>
  <c r="N3984" i="14"/>
  <c r="N199" i="21" l="1"/>
  <c r="N186" i="21"/>
  <c r="N3978" i="14" l="1"/>
  <c r="P288" i="21" l="1"/>
  <c r="N288" i="21"/>
  <c r="N3967" i="14" l="1"/>
  <c r="N3965" i="14"/>
  <c r="N3923" i="14"/>
  <c r="N3881" i="14" l="1"/>
  <c r="N3878" i="14"/>
  <c r="N3884" i="14"/>
  <c r="N3890" i="14"/>
  <c r="N3894" i="14"/>
  <c r="N3899" i="14"/>
  <c r="N3906" i="14"/>
  <c r="N3912" i="14"/>
  <c r="N3917" i="14"/>
  <c r="N3937" i="14"/>
  <c r="N3940" i="14"/>
  <c r="N3943" i="14"/>
  <c r="N3948" i="14"/>
  <c r="N3952" i="14"/>
  <c r="N3955" i="14"/>
  <c r="N3935" i="14" l="1"/>
  <c r="T90" i="3" l="1"/>
  <c r="N3904" i="14"/>
  <c r="F4034" i="14" l="1"/>
  <c r="N4034" i="14" s="1"/>
  <c r="F4026" i="14"/>
  <c r="N4026" i="14" s="1"/>
  <c r="F4022" i="14"/>
  <c r="N4022" i="14" s="1"/>
  <c r="N3855" i="14" l="1"/>
  <c r="AE18" i="3" l="1"/>
  <c r="N3871" i="14" l="1"/>
  <c r="N181" i="21" l="1"/>
  <c r="N176" i="21"/>
  <c r="N172" i="21"/>
  <c r="N167" i="21"/>
  <c r="N164" i="21"/>
  <c r="N157" i="21"/>
  <c r="N153" i="21"/>
  <c r="N150" i="21"/>
  <c r="N3766" i="14" l="1"/>
  <c r="N3770" i="14"/>
  <c r="N3775" i="14"/>
  <c r="N3779" i="14"/>
  <c r="N3785" i="14" l="1"/>
  <c r="N3790" i="14"/>
  <c r="N3794" i="14"/>
  <c r="N3799" i="14"/>
  <c r="N3805" i="14"/>
  <c r="N3808" i="14"/>
  <c r="N3812" i="14"/>
  <c r="N3818" i="14"/>
  <c r="N3821" i="14"/>
  <c r="N3827" i="14"/>
  <c r="N3832" i="14"/>
  <c r="N3841" i="14"/>
  <c r="N3845" i="14"/>
  <c r="N3851" i="14"/>
  <c r="N3862" i="14"/>
  <c r="N3867" i="14"/>
  <c r="N284" i="21" l="1"/>
  <c r="P284" i="21" s="1"/>
  <c r="AA4" i="17" l="1"/>
  <c r="S7" i="17"/>
  <c r="M3836" i="14" l="1"/>
  <c r="N3835" i="14" s="1"/>
  <c r="N280" i="21" l="1"/>
  <c r="P280" i="21" s="1"/>
  <c r="N278" i="21"/>
  <c r="P278" i="21" s="1"/>
  <c r="AA11" i="17" l="1"/>
  <c r="N276" i="21"/>
  <c r="P276" i="21" s="1"/>
  <c r="N274" i="21"/>
  <c r="P274" i="21" s="1"/>
  <c r="K8" i="20" l="1"/>
  <c r="N3592" i="14"/>
  <c r="N3594" i="14"/>
  <c r="N3598" i="14"/>
  <c r="N3601" i="14"/>
  <c r="N3606" i="14"/>
  <c r="N3609" i="14"/>
  <c r="N3614" i="14"/>
  <c r="N3617" i="14"/>
  <c r="N3625" i="14"/>
  <c r="N3628" i="14"/>
  <c r="N3632" i="14"/>
  <c r="N3635" i="14"/>
  <c r="N3644" i="14"/>
  <c r="N3654" i="14"/>
  <c r="N3660" i="14"/>
  <c r="N3667" i="14"/>
  <c r="N3673" i="14"/>
  <c r="N3678" i="14"/>
  <c r="N3684" i="14"/>
  <c r="N3688" i="14"/>
  <c r="N3692" i="14"/>
  <c r="N3696" i="14"/>
  <c r="N3700" i="14"/>
  <c r="N3703" i="14"/>
  <c r="N3706" i="14"/>
  <c r="N3709" i="14"/>
  <c r="N3712" i="14"/>
  <c r="N3719" i="14"/>
  <c r="N3723" i="14"/>
  <c r="N3726" i="14"/>
  <c r="N3729" i="14"/>
  <c r="N3733" i="14"/>
  <c r="N3738" i="14"/>
  <c r="N3744" i="14"/>
  <c r="N3750" i="14"/>
  <c r="N3758" i="14"/>
  <c r="N3763" i="14"/>
  <c r="N3572" i="14"/>
  <c r="N3568" i="14"/>
  <c r="AA15" i="17" l="1"/>
  <c r="N197" i="21"/>
  <c r="N161" i="21"/>
  <c r="O272" i="21" l="1"/>
  <c r="N272" i="21"/>
  <c r="O270" i="21"/>
  <c r="N270" i="21"/>
  <c r="O268" i="21"/>
  <c r="N268" i="21"/>
  <c r="O266" i="21"/>
  <c r="N266" i="21"/>
  <c r="P272" i="21" l="1"/>
  <c r="P268" i="21"/>
  <c r="P270" i="21"/>
  <c r="P266" i="21"/>
  <c r="N261" i="21" l="1"/>
  <c r="P261" i="21" s="1"/>
  <c r="U495" i="3" l="1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3" i="3"/>
  <c r="U514" i="3"/>
  <c r="U515" i="3"/>
  <c r="U516" i="3"/>
  <c r="U518" i="3"/>
  <c r="U519" i="3"/>
  <c r="U520" i="3"/>
  <c r="U521" i="3"/>
  <c r="U523" i="3"/>
  <c r="U524" i="3"/>
  <c r="U526" i="3"/>
  <c r="U527" i="3"/>
  <c r="U528" i="3"/>
  <c r="U529" i="3"/>
  <c r="U530" i="3"/>
  <c r="U531" i="3"/>
  <c r="N3716" i="14"/>
  <c r="N258" i="21" l="1"/>
  <c r="N255" i="21"/>
  <c r="N252" i="21"/>
  <c r="P255" i="21" l="1"/>
  <c r="P252" i="21"/>
  <c r="P258" i="21"/>
  <c r="N249" i="21" l="1"/>
  <c r="P249" i="21" l="1"/>
  <c r="N3681" i="14"/>
  <c r="N246" i="21" l="1"/>
  <c r="P246" i="21" s="1"/>
  <c r="N243" i="21"/>
  <c r="P243" i="21" s="1"/>
  <c r="D32" i="20" l="1"/>
  <c r="D31" i="20"/>
  <c r="D30" i="20"/>
  <c r="D29" i="20"/>
  <c r="D28" i="20"/>
  <c r="D27" i="20"/>
  <c r="D26" i="20"/>
  <c r="D25" i="20"/>
  <c r="D24" i="20"/>
  <c r="D23" i="20"/>
  <c r="D22" i="20"/>
  <c r="N240" i="21"/>
  <c r="N237" i="21"/>
  <c r="P237" i="21" s="1"/>
  <c r="P240" i="21" l="1"/>
  <c r="U522" i="3"/>
  <c r="N146" i="21"/>
  <c r="D21" i="20" l="1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F3" i="20" s="1"/>
  <c r="E4" i="20"/>
  <c r="N234" i="21"/>
  <c r="P234" i="21" s="1"/>
  <c r="N231" i="21"/>
  <c r="N142" i="21"/>
  <c r="N109" i="21"/>
  <c r="N100" i="21"/>
  <c r="N138" i="21"/>
  <c r="N135" i="21"/>
  <c r="P231" i="21" l="1"/>
  <c r="F4" i="20"/>
  <c r="E5" i="20"/>
  <c r="E6" i="20" s="1"/>
  <c r="E7" i="20" s="1"/>
  <c r="E8" i="20" s="1"/>
  <c r="E9" i="20" s="1"/>
  <c r="E10" i="20" s="1"/>
  <c r="E11" i="20" s="1"/>
  <c r="E12" i="20" s="1"/>
  <c r="F5" i="20" l="1"/>
  <c r="N3651" i="14" l="1"/>
  <c r="N3641" i="14"/>
  <c r="AA14" i="17" l="1"/>
  <c r="U525" i="3" l="1"/>
  <c r="U517" i="3" l="1"/>
  <c r="P228" i="21"/>
  <c r="P224" i="21" l="1"/>
  <c r="M3621" i="14"/>
  <c r="N3621" i="14" s="1"/>
  <c r="N3561" i="14"/>
  <c r="N3556" i="14"/>
  <c r="N3551" i="14"/>
  <c r="N3546" i="14"/>
  <c r="U512" i="3" l="1"/>
  <c r="M3584" i="14"/>
  <c r="N3584" i="14" s="1"/>
  <c r="M3580" i="14"/>
  <c r="N3580" i="14" s="1"/>
  <c r="M3575" i="14"/>
  <c r="N3575" i="14" s="1"/>
  <c r="N132" i="21"/>
  <c r="N130" i="21"/>
  <c r="N128" i="21"/>
  <c r="N123" i="21"/>
  <c r="N121" i="21"/>
  <c r="N119" i="21"/>
  <c r="P204" i="21" l="1"/>
  <c r="N3539" i="14" l="1"/>
  <c r="N3535" i="14"/>
  <c r="N3530" i="14"/>
  <c r="N3526" i="14"/>
  <c r="N3518" i="14"/>
  <c r="N3514" i="14"/>
  <c r="N3510" i="14"/>
  <c r="N3480" i="14"/>
  <c r="N3470" i="14"/>
  <c r="N3465" i="14"/>
  <c r="N3459" i="14"/>
  <c r="N3447" i="14"/>
  <c r="N3442" i="14"/>
  <c r="N3410" i="14"/>
  <c r="N3400" i="14"/>
  <c r="N3394" i="14"/>
  <c r="N3377" i="14"/>
  <c r="N3590" i="14"/>
  <c r="M3421" i="14" l="1"/>
  <c r="M3542" i="14"/>
  <c r="N3542" i="14" s="1"/>
  <c r="M3523" i="14"/>
  <c r="N3522" i="14" s="1"/>
  <c r="M3506" i="14"/>
  <c r="N3506" i="14" s="1"/>
  <c r="N3463" i="14"/>
  <c r="M3415" i="14"/>
  <c r="M3502" i="14" l="1"/>
  <c r="N3502" i="14" s="1"/>
  <c r="M3497" i="14"/>
  <c r="N3496" i="14" s="1"/>
  <c r="M3492" i="14"/>
  <c r="N3492" i="14" s="1"/>
  <c r="M3485" i="14"/>
  <c r="N3485" i="14" s="1"/>
  <c r="M3476" i="14"/>
  <c r="N3476" i="14" s="1"/>
  <c r="M3385" i="14"/>
  <c r="N3327" i="14"/>
  <c r="AA13" i="17" l="1"/>
  <c r="S13" i="17" l="1"/>
  <c r="N3488" i="14" l="1"/>
  <c r="N3367" i="14" l="1"/>
  <c r="N3364" i="14"/>
  <c r="N3354" i="14"/>
  <c r="N3333" i="14"/>
  <c r="M3454" i="14"/>
  <c r="N3453" i="14" s="1"/>
  <c r="M3347" i="14"/>
  <c r="N3344" i="14" s="1"/>
  <c r="N106" i="21" l="1"/>
  <c r="N104" i="21"/>
  <c r="N115" i="21"/>
  <c r="N77" i="21"/>
  <c r="M3438" i="14" l="1"/>
  <c r="N3438" i="14" s="1"/>
  <c r="N3436" i="14"/>
  <c r="N3434" i="14"/>
  <c r="M3430" i="14"/>
  <c r="N3430" i="14" s="1"/>
  <c r="M3426" i="14"/>
  <c r="N72" i="21" l="1"/>
  <c r="N68" i="21"/>
  <c r="M3425" i="14" l="1"/>
  <c r="M3420" i="14"/>
  <c r="N3420" i="14" s="1"/>
  <c r="N3418" i="14"/>
  <c r="M3413" i="14"/>
  <c r="N3413" i="14" s="1"/>
  <c r="M3405" i="14"/>
  <c r="N3405" i="14" s="1"/>
  <c r="N3403" i="14"/>
  <c r="M3391" i="14"/>
  <c r="N3391" i="14" s="1"/>
  <c r="M3382" i="14"/>
  <c r="N3382" i="14" s="1"/>
  <c r="N98" i="21" l="1"/>
  <c r="N96" i="21"/>
  <c r="N94" i="21"/>
  <c r="N92" i="21"/>
  <c r="N88" i="21"/>
  <c r="M3388" i="14" l="1"/>
  <c r="N3388" i="14" s="1"/>
  <c r="M3372" i="14"/>
  <c r="N3372" i="14" s="1"/>
  <c r="M3350" i="14"/>
  <c r="N3350" i="14" s="1"/>
  <c r="AA12" i="17" l="1"/>
  <c r="N3204" i="14" l="1"/>
  <c r="N3210" i="14"/>
  <c r="N3218" i="14"/>
  <c r="N3227" i="14"/>
  <c r="N3230" i="14"/>
  <c r="N3234" i="14"/>
  <c r="N3241" i="14"/>
  <c r="N3245" i="14"/>
  <c r="N3250" i="14"/>
  <c r="N3254" i="14"/>
  <c r="N3259" i="14"/>
  <c r="N3265" i="14"/>
  <c r="N3275" i="14"/>
  <c r="N3278" i="14"/>
  <c r="N3282" i="14"/>
  <c r="M3288" i="14"/>
  <c r="N3292" i="14"/>
  <c r="N3303" i="14"/>
  <c r="N3310" i="14"/>
  <c r="N3319" i="14"/>
  <c r="N3337" i="14"/>
  <c r="N3199" i="14"/>
  <c r="M3340" i="14"/>
  <c r="N3340" i="14" s="1"/>
  <c r="M3316" i="14"/>
  <c r="N3315" i="14" s="1"/>
  <c r="M3307" i="14"/>
  <c r="N3306" i="14" s="1"/>
  <c r="N84" i="21"/>
  <c r="N82" i="21"/>
  <c r="N55" i="21" l="1"/>
  <c r="N52" i="21"/>
  <c r="N48" i="21"/>
  <c r="N44" i="21"/>
  <c r="N41" i="21"/>
  <c r="N13" i="21"/>
  <c r="M64" i="21"/>
  <c r="N64" i="21" s="1"/>
  <c r="F3426" i="14" l="1"/>
  <c r="N3425" i="14" s="1"/>
  <c r="M3287" i="14" l="1"/>
  <c r="M3272" i="14"/>
  <c r="N3271" i="14" s="1"/>
  <c r="M3298" i="14" l="1"/>
  <c r="N3298" i="14" s="1"/>
  <c r="N3132" i="14"/>
  <c r="N3073" i="14"/>
  <c r="M3322" i="14"/>
  <c r="N3322" i="14" s="1"/>
  <c r="N61" i="21" l="1"/>
  <c r="N59" i="21"/>
  <c r="M37" i="21" l="1"/>
  <c r="N36" i="21" s="1"/>
  <c r="N34" i="21"/>
  <c r="M3286" i="14" l="1"/>
  <c r="N3286" i="14" s="1"/>
  <c r="N3263" i="14"/>
  <c r="N30" i="21" l="1"/>
  <c r="N28" i="21"/>
  <c r="N26" i="21"/>
  <c r="N24" i="21"/>
  <c r="N20" i="21"/>
  <c r="N3238" i="14" l="1"/>
  <c r="M3221" i="14"/>
  <c r="N3221" i="14" s="1"/>
  <c r="D36" i="20" l="1"/>
  <c r="D35" i="20"/>
  <c r="D34" i="20"/>
  <c r="D33" i="20"/>
  <c r="N3149" i="14"/>
  <c r="N3158" i="14"/>
  <c r="N3107" i="14"/>
  <c r="N3113" i="14"/>
  <c r="N3122" i="14"/>
  <c r="N3138" i="14"/>
  <c r="N3143" i="14"/>
  <c r="N3162" i="14"/>
  <c r="N3166" i="14"/>
  <c r="N3176" i="14"/>
  <c r="N3181" i="14"/>
  <c r="N3184" i="14"/>
  <c r="N3191" i="14"/>
  <c r="N3195" i="14"/>
  <c r="M3213" i="14"/>
  <c r="N3213" i="14" s="1"/>
  <c r="N3189" i="14"/>
  <c r="M3154" i="14" l="1"/>
  <c r="N3153" i="14" s="1"/>
  <c r="M3128" i="14"/>
  <c r="N3110" i="14"/>
  <c r="N16" i="21" l="1"/>
  <c r="N4" i="21"/>
  <c r="E624" i="3" l="1"/>
  <c r="K51" i="20" l="1"/>
  <c r="K16" i="20" l="1"/>
  <c r="V335" i="3"/>
  <c r="U335" i="3"/>
  <c r="V334" i="3"/>
  <c r="U334" i="3"/>
  <c r="V333" i="3"/>
  <c r="U333" i="3"/>
  <c r="V332" i="3"/>
  <c r="U332" i="3"/>
  <c r="N2833" i="14"/>
  <c r="N2871" i="14"/>
  <c r="N2907" i="14"/>
  <c r="N3037" i="14"/>
  <c r="N3052" i="14"/>
  <c r="AA10" i="17" l="1"/>
  <c r="M3127" i="14" l="1"/>
  <c r="N3127" i="14" s="1"/>
  <c r="M3116" i="14"/>
  <c r="N3116" i="14" s="1"/>
  <c r="N3170" i="14"/>
  <c r="M7" i="21" l="1"/>
  <c r="N7" i="21" s="1"/>
  <c r="M3061" i="14" l="1"/>
  <c r="M3071" i="14"/>
  <c r="N3070" i="14" s="1"/>
  <c r="M3079" i="14"/>
  <c r="N3077" i="14" s="1"/>
  <c r="M3088" i="14"/>
  <c r="N3087" i="14" s="1"/>
  <c r="M3095" i="14"/>
  <c r="N3095" i="14" s="1"/>
  <c r="M3100" i="14"/>
  <c r="N3100" i="14" s="1"/>
  <c r="M3104" i="14"/>
  <c r="N3104" i="14" s="1"/>
  <c r="D46" i="20" l="1"/>
  <c r="N349" i="13"/>
  <c r="N346" i="13"/>
  <c r="N340" i="13"/>
  <c r="N335" i="13"/>
  <c r="N331" i="13"/>
  <c r="N327" i="13"/>
  <c r="N323" i="13"/>
  <c r="N319" i="13"/>
  <c r="D45" i="20" l="1"/>
  <c r="N356" i="13" l="1"/>
  <c r="N3049" i="14" l="1"/>
  <c r="N3030" i="14"/>
  <c r="N3006" i="14"/>
  <c r="N2997" i="14"/>
  <c r="N2987" i="14"/>
  <c r="M3090" i="14" l="1"/>
  <c r="N3090" i="14" s="1"/>
  <c r="M3081" i="14"/>
  <c r="N3081" i="14" s="1"/>
  <c r="M3066" i="14"/>
  <c r="N3066" i="14" s="1"/>
  <c r="M3059" i="14"/>
  <c r="N3059" i="14" s="1"/>
  <c r="D44" i="20" l="1"/>
  <c r="M3055" i="14" l="1"/>
  <c r="N3055" i="14" s="1"/>
  <c r="M3044" i="14"/>
  <c r="N3044" i="14" s="1"/>
  <c r="N3034" i="14"/>
  <c r="M2992" i="14"/>
  <c r="T287" i="3" l="1"/>
  <c r="D43" i="20"/>
  <c r="D42" i="20"/>
  <c r="D41" i="20"/>
  <c r="D40" i="20"/>
  <c r="D39" i="20" l="1"/>
  <c r="D38" i="20"/>
  <c r="N352" i="13" l="1"/>
  <c r="N354" i="13"/>
  <c r="AA9" i="17" l="1"/>
  <c r="M3023" i="14" l="1"/>
  <c r="N3023" i="14" s="1"/>
  <c r="N3021" i="14"/>
  <c r="M3016" i="14"/>
  <c r="N3016" i="14" s="1"/>
  <c r="M3011" i="14"/>
  <c r="N3010" i="14" s="1"/>
  <c r="M2982" i="14"/>
  <c r="N2982" i="14" s="1"/>
  <c r="M2978" i="14"/>
  <c r="N2977" i="14" s="1"/>
  <c r="M2918" i="14"/>
  <c r="N2916" i="14" s="1"/>
  <c r="N2826" i="14" l="1"/>
  <c r="D37" i="20" l="1"/>
  <c r="M2967" i="14" l="1"/>
  <c r="N2966" i="14" s="1"/>
  <c r="M2961" i="14"/>
  <c r="N2959" i="14" s="1"/>
  <c r="M2930" i="14"/>
  <c r="N2929" i="14" s="1"/>
  <c r="M2937" i="14"/>
  <c r="M2944" i="14"/>
  <c r="N2943" i="14" s="1"/>
  <c r="M2950" i="14"/>
  <c r="N2948" i="14" s="1"/>
  <c r="M2956" i="14"/>
  <c r="N2956" i="14" s="1"/>
  <c r="M2972" i="14"/>
  <c r="N2972" i="14" s="1"/>
  <c r="M3001" i="14"/>
  <c r="N3001" i="14" s="1"/>
  <c r="M2991" i="14"/>
  <c r="N2991" i="14" s="1"/>
  <c r="N2941" i="14"/>
  <c r="N2936" i="14" l="1"/>
  <c r="N2881" i="14" l="1"/>
  <c r="N2875" i="14"/>
  <c r="N2859" i="14"/>
  <c r="N2841" i="14"/>
  <c r="N2838" i="14"/>
  <c r="N2829" i="14"/>
  <c r="N2820" i="14"/>
  <c r="N2812" i="14"/>
  <c r="M2922" i="14"/>
  <c r="N2921" i="14" s="1"/>
  <c r="M2912" i="14"/>
  <c r="N2912" i="14" s="1"/>
  <c r="M2900" i="14"/>
  <c r="N2899" i="14" s="1"/>
  <c r="M2893" i="14" l="1"/>
  <c r="N2893" i="14" s="1"/>
  <c r="M2889" i="14"/>
  <c r="N2889" i="14" s="1"/>
  <c r="M2884" i="14"/>
  <c r="N2884" i="14" s="1"/>
  <c r="M2862" i="14" l="1"/>
  <c r="N2862" i="14" s="1"/>
  <c r="M2816" i="14"/>
  <c r="N2816" i="14" s="1"/>
  <c r="M2866" i="14"/>
  <c r="N2866" i="14" s="1"/>
  <c r="M2856" i="14"/>
  <c r="N2855" i="14" s="1"/>
  <c r="N2853" i="14"/>
  <c r="M2847" i="14"/>
  <c r="N2847" i="14" s="1"/>
  <c r="AA8" i="17"/>
  <c r="AA7" i="17" l="1"/>
  <c r="AA6" i="17"/>
  <c r="AA5" i="17"/>
  <c r="AA21" i="17" l="1"/>
  <c r="M2806" i="14"/>
  <c r="M2795" i="14"/>
  <c r="N2684" i="14"/>
  <c r="N2687" i="14"/>
  <c r="N2692" i="14"/>
  <c r="N2696" i="14"/>
  <c r="N2699" i="14"/>
  <c r="N2705" i="14"/>
  <c r="N2709" i="14"/>
  <c r="N2712" i="14"/>
  <c r="N2719" i="14"/>
  <c r="N2722" i="14"/>
  <c r="N2726" i="14"/>
  <c r="N2729" i="14"/>
  <c r="N2736" i="14"/>
  <c r="N2739" i="14"/>
  <c r="N2743" i="14"/>
  <c r="N2748" i="14"/>
  <c r="N2751" i="14"/>
  <c r="N2755" i="14"/>
  <c r="N2758" i="14"/>
  <c r="N2763" i="14"/>
  <c r="N2767" i="14"/>
  <c r="N2774" i="14"/>
  <c r="N2777" i="14"/>
  <c r="N2781" i="14"/>
  <c r="N2784" i="14"/>
  <c r="N2788" i="14"/>
  <c r="N2792" i="14"/>
  <c r="N2800" i="14"/>
  <c r="N2679" i="14"/>
  <c r="N2676" i="14"/>
  <c r="N2671" i="14"/>
  <c r="N2660" i="14"/>
  <c r="N2654" i="14"/>
  <c r="N2646" i="14"/>
  <c r="N2634" i="14"/>
  <c r="N2630" i="14" l="1"/>
  <c r="N2954" i="14" l="1"/>
  <c r="N2806" i="14"/>
  <c r="N2795" i="14"/>
  <c r="V151" i="3" l="1"/>
  <c r="N2904" i="14" l="1"/>
  <c r="K91" i="20" l="1"/>
  <c r="K90" i="20"/>
  <c r="K89" i="20"/>
  <c r="K88" i="20" l="1"/>
  <c r="K87" i="20" l="1"/>
  <c r="K86" i="20"/>
  <c r="K85" i="20" l="1"/>
  <c r="K84" i="20" l="1"/>
  <c r="K83" i="20"/>
  <c r="K82" i="20"/>
  <c r="K81" i="20" l="1"/>
  <c r="K80" i="20"/>
  <c r="K79" i="20"/>
  <c r="N2803" i="14" l="1"/>
  <c r="N2615" i="14" l="1"/>
  <c r="K68" i="20" l="1"/>
  <c r="K67" i="20"/>
  <c r="K66" i="20"/>
  <c r="K65" i="20"/>
  <c r="K64" i="20"/>
  <c r="K63" i="20"/>
  <c r="K62" i="20"/>
  <c r="K61" i="20"/>
  <c r="K60" i="20"/>
  <c r="K59" i="20"/>
  <c r="K58" i="20"/>
  <c r="K57" i="20"/>
  <c r="K56" i="20"/>
  <c r="K55" i="20"/>
  <c r="K54" i="20"/>
  <c r="K53" i="20"/>
  <c r="K52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3" i="20"/>
  <c r="K22" i="20"/>
  <c r="K21" i="20"/>
  <c r="K20" i="20"/>
  <c r="K19" i="20"/>
  <c r="K18" i="20"/>
  <c r="K17" i="20"/>
  <c r="K15" i="20"/>
  <c r="K14" i="20"/>
  <c r="K13" i="20"/>
  <c r="K11" i="20"/>
  <c r="K10" i="20"/>
  <c r="K7" i="20"/>
  <c r="K6" i="20"/>
  <c r="K5" i="20"/>
  <c r="K4" i="20"/>
  <c r="L3" i="20"/>
  <c r="M3" i="20" l="1"/>
  <c r="L4" i="20"/>
  <c r="M4" i="20" s="1"/>
  <c r="L5" i="20" l="1"/>
  <c r="M5" i="20" s="1"/>
  <c r="L6" i="20" l="1"/>
  <c r="M6" i="20" s="1"/>
  <c r="L7" i="20" l="1"/>
  <c r="M7" i="20" s="1"/>
  <c r="L8" i="20" l="1"/>
  <c r="M8" i="20" s="1"/>
  <c r="L9" i="20" l="1"/>
  <c r="M9" i="20" s="1"/>
  <c r="L10" i="20" l="1"/>
  <c r="M10" i="20" s="1"/>
  <c r="L11" i="20" l="1"/>
  <c r="M11" i="20" s="1"/>
  <c r="L12" i="20" l="1"/>
  <c r="M12" i="20" s="1"/>
  <c r="L13" i="20" l="1"/>
  <c r="M13" i="20" s="1"/>
  <c r="L14" i="20" l="1"/>
  <c r="M14" i="20" s="1"/>
  <c r="L15" i="20" l="1"/>
  <c r="M15" i="20" s="1"/>
  <c r="L16" i="20" l="1"/>
  <c r="M16" i="20" s="1"/>
  <c r="L17" i="20" l="1"/>
  <c r="M17" i="20" s="1"/>
  <c r="L18" i="20" l="1"/>
  <c r="M18" i="20" s="1"/>
  <c r="L19" i="20" l="1"/>
  <c r="M19" i="20" s="1"/>
  <c r="L20" i="20" l="1"/>
  <c r="M20" i="20" s="1"/>
  <c r="L21" i="20" l="1"/>
  <c r="M21" i="20" s="1"/>
  <c r="L22" i="20" l="1"/>
  <c r="M22" i="20" s="1"/>
  <c r="L23" i="20" l="1"/>
  <c r="M23" i="20" s="1"/>
  <c r="M24" i="20" l="1"/>
  <c r="L25" i="20" l="1"/>
  <c r="M25" i="20" s="1"/>
  <c r="L26" i="20" l="1"/>
  <c r="M26" i="20" s="1"/>
  <c r="L27" i="20" l="1"/>
  <c r="M27" i="20" s="1"/>
  <c r="L28" i="20" l="1"/>
  <c r="M28" i="20" s="1"/>
  <c r="L29" i="20" l="1"/>
  <c r="M29" i="20" s="1"/>
  <c r="L30" i="20" l="1"/>
  <c r="M30" i="20" s="1"/>
  <c r="L31" i="20" l="1"/>
  <c r="M31" i="20" s="1"/>
  <c r="L32" i="20" l="1"/>
  <c r="M32" i="20" s="1"/>
  <c r="L33" i="20" l="1"/>
  <c r="M33" i="20" s="1"/>
  <c r="L34" i="20" l="1"/>
  <c r="M34" i="20" s="1"/>
  <c r="L35" i="20" l="1"/>
  <c r="M35" i="20" s="1"/>
  <c r="L36" i="20" l="1"/>
  <c r="M36" i="20" s="1"/>
  <c r="L37" i="20" l="1"/>
  <c r="M37" i="20" s="1"/>
  <c r="L38" i="20" l="1"/>
  <c r="M38" i="20" s="1"/>
  <c r="L39" i="20" l="1"/>
  <c r="M39" i="20" s="1"/>
  <c r="L40" i="20" l="1"/>
  <c r="M40" i="20" s="1"/>
  <c r="L41" i="20" l="1"/>
  <c r="M41" i="20" s="1"/>
  <c r="L42" i="20" l="1"/>
  <c r="M42" i="20" s="1"/>
  <c r="L43" i="20" l="1"/>
  <c r="M43" i="20" s="1"/>
  <c r="L44" i="20" l="1"/>
  <c r="M44" i="20" s="1"/>
  <c r="L45" i="20" l="1"/>
  <c r="M45" i="20" s="1"/>
  <c r="L46" i="20" l="1"/>
  <c r="M46" i="20" s="1"/>
  <c r="L47" i="20" l="1"/>
  <c r="M47" i="20" s="1"/>
  <c r="L48" i="20" l="1"/>
  <c r="M48" i="20" s="1"/>
  <c r="L49" i="20" l="1"/>
  <c r="M49" i="20" s="1"/>
  <c r="L50" i="20" l="1"/>
  <c r="M50" i="20" s="1"/>
  <c r="L51" i="20" l="1"/>
  <c r="M51" i="20" s="1"/>
  <c r="L52" i="20" l="1"/>
  <c r="M52" i="20" s="1"/>
  <c r="L53" i="20" l="1"/>
  <c r="M53" i="20" s="1"/>
  <c r="L54" i="20" l="1"/>
  <c r="M54" i="20" s="1"/>
  <c r="L55" i="20" l="1"/>
  <c r="M55" i="20" s="1"/>
  <c r="L56" i="20" l="1"/>
  <c r="M56" i="20" s="1"/>
  <c r="L57" i="20" l="1"/>
  <c r="M57" i="20" s="1"/>
  <c r="L58" i="20" l="1"/>
  <c r="M58" i="20" s="1"/>
  <c r="L59" i="20" l="1"/>
  <c r="M59" i="20" s="1"/>
  <c r="L60" i="20" l="1"/>
  <c r="M60" i="20" s="1"/>
  <c r="L61" i="20" l="1"/>
  <c r="M61" i="20" s="1"/>
  <c r="L62" i="20" l="1"/>
  <c r="M62" i="20" s="1"/>
  <c r="L63" i="20" l="1"/>
  <c r="M63" i="20" s="1"/>
  <c r="L64" i="20" l="1"/>
  <c r="M64" i="20" s="1"/>
  <c r="L65" i="20" l="1"/>
  <c r="M65" i="20" s="1"/>
  <c r="L66" i="20" l="1"/>
  <c r="M66" i="20" s="1"/>
  <c r="L67" i="20" l="1"/>
  <c r="M67" i="20" s="1"/>
  <c r="N2663" i="14" l="1"/>
  <c r="N2599" i="14"/>
  <c r="N2587" i="14"/>
  <c r="N2583" i="14"/>
  <c r="N2564" i="14"/>
  <c r="N2559" i="14"/>
  <c r="K78" i="20" l="1"/>
  <c r="K77" i="20"/>
  <c r="K76" i="20"/>
  <c r="K75" i="20"/>
  <c r="K74" i="20"/>
  <c r="K73" i="20"/>
  <c r="K72" i="20"/>
  <c r="K71" i="20"/>
  <c r="K70" i="20"/>
  <c r="K69" i="20"/>
  <c r="N2618" i="14" l="1"/>
  <c r="N2607" i="14"/>
  <c r="N2554" i="14"/>
  <c r="N2539" i="14"/>
  <c r="M2623" i="14"/>
  <c r="M311" i="21" l="1"/>
  <c r="F311" i="21"/>
  <c r="N313" i="21" l="1"/>
  <c r="Y21" i="17" s="1"/>
  <c r="N311" i="21"/>
  <c r="N315" i="21" l="1"/>
  <c r="M2611" i="14" l="1"/>
  <c r="N2611" i="14" s="1"/>
  <c r="N283" i="13" l="1"/>
  <c r="N297" i="13"/>
  <c r="M2649" i="14" l="1"/>
  <c r="N2649" i="14" s="1"/>
  <c r="M2641" i="14"/>
  <c r="N2641" i="14" s="1"/>
  <c r="N2637" i="14"/>
  <c r="N2507" i="14"/>
  <c r="N2504" i="14"/>
  <c r="N2488" i="14"/>
  <c r="M2573" i="14" l="1"/>
  <c r="N2573" i="14" s="1"/>
  <c r="N2472" i="14"/>
  <c r="N2452" i="14"/>
  <c r="N2457" i="14"/>
  <c r="B69" i="3" l="1"/>
  <c r="B79" i="3"/>
  <c r="A69" i="3"/>
  <c r="B66" i="3"/>
  <c r="A66" i="3"/>
  <c r="V89" i="3" l="1"/>
  <c r="U89" i="3"/>
  <c r="V88" i="3"/>
  <c r="U88" i="3"/>
  <c r="V87" i="3"/>
  <c r="U87" i="3"/>
  <c r="V86" i="3"/>
  <c r="U86" i="3"/>
  <c r="V85" i="3"/>
  <c r="U85" i="3"/>
  <c r="V84" i="3"/>
  <c r="U84" i="3"/>
  <c r="V83" i="3"/>
  <c r="V82" i="3"/>
  <c r="U82" i="3"/>
  <c r="V81" i="3"/>
  <c r="U81" i="3"/>
  <c r="V80" i="3"/>
  <c r="V79" i="3"/>
  <c r="U79" i="3"/>
  <c r="V78" i="3"/>
  <c r="U78" i="3"/>
  <c r="V77" i="3"/>
  <c r="U77" i="3"/>
  <c r="V76" i="3"/>
  <c r="U76" i="3"/>
  <c r="V75" i="3"/>
  <c r="V74" i="3"/>
  <c r="U74" i="3"/>
  <c r="V73" i="3"/>
  <c r="U73" i="3"/>
  <c r="V72" i="3"/>
  <c r="U72" i="3"/>
  <c r="V71" i="3"/>
  <c r="U71" i="3"/>
  <c r="V70" i="3"/>
  <c r="U70" i="3"/>
  <c r="V69" i="3"/>
  <c r="U69" i="3"/>
  <c r="V68" i="3"/>
  <c r="V67" i="3"/>
  <c r="U67" i="3"/>
  <c r="V66" i="3"/>
  <c r="U66" i="3"/>
  <c r="V65" i="3"/>
  <c r="U65" i="3"/>
  <c r="V64" i="3"/>
  <c r="U64" i="3"/>
  <c r="V63" i="3"/>
  <c r="U63" i="3"/>
  <c r="V62" i="3"/>
  <c r="U62" i="3"/>
  <c r="V61" i="3"/>
  <c r="U61" i="3"/>
  <c r="V60" i="3"/>
  <c r="U60" i="3"/>
  <c r="V59" i="3"/>
  <c r="U59" i="3"/>
  <c r="V58" i="3"/>
  <c r="U58" i="3"/>
  <c r="V57" i="3"/>
  <c r="U57" i="3"/>
  <c r="V56" i="3"/>
  <c r="U56" i="3"/>
  <c r="V55" i="3"/>
  <c r="U55" i="3"/>
  <c r="V54" i="3"/>
  <c r="U54" i="3"/>
  <c r="V53" i="3"/>
  <c r="U53" i="3"/>
  <c r="U68" i="3"/>
  <c r="U75" i="3"/>
  <c r="U80" i="3"/>
  <c r="U83" i="3" l="1"/>
  <c r="N316" i="13"/>
  <c r="N312" i="13"/>
  <c r="N290" i="13"/>
  <c r="M2622" i="14" l="1"/>
  <c r="N2622" i="14" s="1"/>
  <c r="N2450" i="14"/>
  <c r="N2438" i="14"/>
  <c r="N2433" i="14"/>
  <c r="N2431" i="14"/>
  <c r="N2497" i="14" l="1"/>
  <c r="N2398" i="14" l="1"/>
  <c r="M2545" i="14"/>
  <c r="N2544" i="14" s="1"/>
  <c r="M2549" i="14"/>
  <c r="N2549" i="14" s="1"/>
  <c r="M2568" i="14"/>
  <c r="N2568" i="14" s="1"/>
  <c r="N306" i="13" l="1"/>
  <c r="N301" i="13"/>
  <c r="N278" i="13"/>
  <c r="N275" i="13"/>
  <c r="N310" i="13"/>
  <c r="N304" i="13"/>
  <c r="D2" i="10" l="1"/>
  <c r="V32" i="3" l="1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E13" i="20"/>
  <c r="E14" i="20" s="1"/>
  <c r="E15" i="20" s="1"/>
  <c r="E16" i="20" s="1"/>
  <c r="E17" i="20" s="1"/>
  <c r="E18" i="20" s="1"/>
  <c r="H4" i="20"/>
  <c r="H5" i="20" s="1"/>
  <c r="H6" i="20" s="1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93" i="20" s="1"/>
  <c r="U4" i="17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S5" i="17"/>
  <c r="V5" i="17" s="1"/>
  <c r="S6" i="17"/>
  <c r="V6" i="17" s="1"/>
  <c r="V7" i="17"/>
  <c r="S8" i="17"/>
  <c r="V8" i="17" s="1"/>
  <c r="S9" i="17"/>
  <c r="V9" i="17" s="1"/>
  <c r="S10" i="17"/>
  <c r="V10" i="17" s="1"/>
  <c r="S11" i="17"/>
  <c r="V11" i="17" s="1"/>
  <c r="S12" i="17"/>
  <c r="V12" i="17" s="1"/>
  <c r="V13" i="17"/>
  <c r="S14" i="17"/>
  <c r="V14" i="17" s="1"/>
  <c r="S15" i="17"/>
  <c r="V15" i="17" s="1"/>
  <c r="Y17" i="17"/>
  <c r="Y25" i="17"/>
  <c r="N3" i="14"/>
  <c r="N6" i="14"/>
  <c r="N11" i="14"/>
  <c r="N15" i="14"/>
  <c r="N23" i="14"/>
  <c r="M28" i="14"/>
  <c r="N28" i="14" s="1"/>
  <c r="N33" i="14"/>
  <c r="M38" i="14"/>
  <c r="N38" i="14" s="1"/>
  <c r="N44" i="14"/>
  <c r="N48" i="14"/>
  <c r="M51" i="14"/>
  <c r="N51" i="14" s="1"/>
  <c r="N57" i="14"/>
  <c r="M62" i="14"/>
  <c r="N62" i="14" s="1"/>
  <c r="N67" i="14"/>
  <c r="M71" i="14"/>
  <c r="N70" i="14" s="1"/>
  <c r="N77" i="14"/>
  <c r="N81" i="14"/>
  <c r="N84" i="14"/>
  <c r="N89" i="14"/>
  <c r="M94" i="14"/>
  <c r="N94" i="14" s="1"/>
  <c r="M101" i="14"/>
  <c r="N101" i="14" s="1"/>
  <c r="N106" i="14"/>
  <c r="N110" i="14"/>
  <c r="N113" i="14"/>
  <c r="N117" i="14"/>
  <c r="N120" i="14"/>
  <c r="N124" i="14"/>
  <c r="N127" i="14"/>
  <c r="M133" i="14"/>
  <c r="N133" i="14" s="1"/>
  <c r="M141" i="14"/>
  <c r="N140" i="14" s="1"/>
  <c r="N146" i="14"/>
  <c r="N150" i="14"/>
  <c r="N154" i="14"/>
  <c r="N157" i="14"/>
  <c r="N161" i="14"/>
  <c r="N166" i="14"/>
  <c r="M169" i="14"/>
  <c r="N169" i="14" s="1"/>
  <c r="M175" i="14"/>
  <c r="N174" i="14" s="1"/>
  <c r="N179" i="14"/>
  <c r="N187" i="14"/>
  <c r="N191" i="14"/>
  <c r="N194" i="14"/>
  <c r="N196" i="14"/>
  <c r="N200" i="14"/>
  <c r="N205" i="14"/>
  <c r="M209" i="14"/>
  <c r="N209" i="14" s="1"/>
  <c r="M214" i="14"/>
  <c r="N214" i="14" s="1"/>
  <c r="N219" i="14"/>
  <c r="N225" i="14"/>
  <c r="N228" i="14"/>
  <c r="N232" i="14"/>
  <c r="N236" i="14"/>
  <c r="N239" i="14"/>
  <c r="N242" i="14"/>
  <c r="N247" i="14"/>
  <c r="N251" i="14"/>
  <c r="M256" i="14"/>
  <c r="N255" i="14" s="1"/>
  <c r="M260" i="14"/>
  <c r="N260" i="14" s="1"/>
  <c r="M265" i="14"/>
  <c r="N265" i="14" s="1"/>
  <c r="N271" i="14"/>
  <c r="N274" i="14"/>
  <c r="N280" i="14"/>
  <c r="N283" i="14"/>
  <c r="N287" i="14"/>
  <c r="N294" i="14"/>
  <c r="N297" i="14"/>
  <c r="N302" i="14"/>
  <c r="N305" i="14"/>
  <c r="M310" i="14"/>
  <c r="N310" i="14" s="1"/>
  <c r="N315" i="14"/>
  <c r="M321" i="14"/>
  <c r="N321" i="14" s="1"/>
  <c r="N324" i="14"/>
  <c r="N327" i="14"/>
  <c r="N331" i="14"/>
  <c r="N335" i="14"/>
  <c r="N339" i="14"/>
  <c r="N342" i="14"/>
  <c r="N348" i="14"/>
  <c r="N357" i="14"/>
  <c r="N362" i="14"/>
  <c r="N365" i="14"/>
  <c r="N369" i="14"/>
  <c r="N372" i="14"/>
  <c r="N380" i="14"/>
  <c r="N385" i="14"/>
  <c r="N391" i="14"/>
  <c r="M397" i="14"/>
  <c r="N397" i="14" s="1"/>
  <c r="N401" i="14"/>
  <c r="N406" i="14"/>
  <c r="N412" i="14"/>
  <c r="M415" i="14"/>
  <c r="N415" i="14" s="1"/>
  <c r="N419" i="14"/>
  <c r="N424" i="14"/>
  <c r="N431" i="14"/>
  <c r="N437" i="14"/>
  <c r="N441" i="14"/>
  <c r="N446" i="14"/>
  <c r="N449" i="14"/>
  <c r="N455" i="14"/>
  <c r="N462" i="14"/>
  <c r="N467" i="14"/>
  <c r="M473" i="14"/>
  <c r="N473" i="14" s="1"/>
  <c r="N480" i="14"/>
  <c r="N485" i="14"/>
  <c r="M490" i="14"/>
  <c r="N490" i="14" s="1"/>
  <c r="N495" i="14"/>
  <c r="N499" i="14"/>
  <c r="N504" i="14"/>
  <c r="N507" i="14"/>
  <c r="M512" i="14"/>
  <c r="N512" i="14" s="1"/>
  <c r="N517" i="14"/>
  <c r="N524" i="14"/>
  <c r="N527" i="14"/>
  <c r="N534" i="14"/>
  <c r="N539" i="14"/>
  <c r="N544" i="14"/>
  <c r="N551" i="14"/>
  <c r="N554" i="14"/>
  <c r="N558" i="14"/>
  <c r="N562" i="14"/>
  <c r="N566" i="14"/>
  <c r="N570" i="14"/>
  <c r="N578" i="14"/>
  <c r="N581" i="14"/>
  <c r="M584" i="14"/>
  <c r="N584" i="14" s="1"/>
  <c r="M589" i="14"/>
  <c r="M590" i="14"/>
  <c r="N595" i="14"/>
  <c r="M599" i="14"/>
  <c r="M600" i="14"/>
  <c r="N604" i="14"/>
  <c r="N607" i="14"/>
  <c r="N613" i="14"/>
  <c r="N623" i="14"/>
  <c r="N626" i="14"/>
  <c r="N633" i="14"/>
  <c r="N640" i="14"/>
  <c r="M645" i="14"/>
  <c r="N645" i="14" s="1"/>
  <c r="N650" i="14"/>
  <c r="N655" i="14"/>
  <c r="N658" i="14"/>
  <c r="N664" i="14"/>
  <c r="N669" i="14"/>
  <c r="N673" i="14"/>
  <c r="N679" i="14"/>
  <c r="N683" i="14"/>
  <c r="N687" i="14"/>
  <c r="N695" i="14"/>
  <c r="N699" i="14"/>
  <c r="N705" i="14"/>
  <c r="N708" i="14"/>
  <c r="N712" i="14"/>
  <c r="N720" i="14"/>
  <c r="N723" i="14"/>
  <c r="N729" i="14"/>
  <c r="N734" i="14"/>
  <c r="M737" i="14"/>
  <c r="M738" i="14"/>
  <c r="N742" i="14"/>
  <c r="N747" i="14"/>
  <c r="N750" i="14"/>
  <c r="N754" i="14"/>
  <c r="N757" i="14"/>
  <c r="N760" i="14"/>
  <c r="N763" i="14"/>
  <c r="N768" i="14"/>
  <c r="N772" i="14"/>
  <c r="N777" i="14"/>
  <c r="M788" i="14"/>
  <c r="N787" i="14" s="1"/>
  <c r="N792" i="14"/>
  <c r="N796" i="14"/>
  <c r="N799" i="14"/>
  <c r="N805" i="14"/>
  <c r="M811" i="14"/>
  <c r="N810" i="14" s="1"/>
  <c r="N815" i="14"/>
  <c r="N820" i="14"/>
  <c r="N827" i="14"/>
  <c r="N831" i="14"/>
  <c r="N835" i="14"/>
  <c r="N837" i="14"/>
  <c r="N840" i="14"/>
  <c r="M843" i="14"/>
  <c r="N843" i="14" s="1"/>
  <c r="N847" i="14"/>
  <c r="N853" i="14"/>
  <c r="N857" i="14"/>
  <c r="N860" i="14"/>
  <c r="N865" i="14"/>
  <c r="N869" i="14"/>
  <c r="N874" i="14"/>
  <c r="N880" i="14"/>
  <c r="N885" i="14"/>
  <c r="N890" i="14"/>
  <c r="N892" i="14"/>
  <c r="N900" i="14"/>
  <c r="N902" i="14"/>
  <c r="N906" i="14"/>
  <c r="N910" i="14"/>
  <c r="N914" i="14"/>
  <c r="N917" i="14"/>
  <c r="N922" i="14"/>
  <c r="N925" i="14"/>
  <c r="N928" i="14"/>
  <c r="M934" i="14"/>
  <c r="N933" i="14" s="1"/>
  <c r="N939" i="14"/>
  <c r="N942" i="14"/>
  <c r="N945" i="14"/>
  <c r="N956" i="14"/>
  <c r="N959" i="14"/>
  <c r="N964" i="14"/>
  <c r="M969" i="14"/>
  <c r="M970" i="14"/>
  <c r="M974" i="14"/>
  <c r="N974" i="14" s="1"/>
  <c r="N980" i="14"/>
  <c r="N984" i="14"/>
  <c r="N988" i="14"/>
  <c r="N991" i="14"/>
  <c r="M994" i="14"/>
  <c r="N994" i="14" s="1"/>
  <c r="N998" i="14"/>
  <c r="N1001" i="14"/>
  <c r="N1006" i="14"/>
  <c r="M1009" i="14"/>
  <c r="N1009" i="14" s="1"/>
  <c r="N1013" i="14"/>
  <c r="N1016" i="14"/>
  <c r="N1020" i="14"/>
  <c r="N1026" i="14"/>
  <c r="N1030" i="14"/>
  <c r="N1037" i="14"/>
  <c r="N1040" i="14"/>
  <c r="N1044" i="14"/>
  <c r="N1050" i="14"/>
  <c r="N1055" i="14"/>
  <c r="N1059" i="14"/>
  <c r="N1064" i="14"/>
  <c r="N1067" i="14"/>
  <c r="M1072" i="14"/>
  <c r="N1072" i="14" s="1"/>
  <c r="N1078" i="14"/>
  <c r="N1085" i="14"/>
  <c r="N1090" i="14"/>
  <c r="N1095" i="14"/>
  <c r="N1098" i="14"/>
  <c r="N1104" i="14"/>
  <c r="N1108" i="14"/>
  <c r="N1112" i="14"/>
  <c r="N1115" i="14"/>
  <c r="N1120" i="14"/>
  <c r="N1123" i="14"/>
  <c r="N1126" i="14"/>
  <c r="N1131" i="14"/>
  <c r="N1135" i="14"/>
  <c r="N1143" i="14"/>
  <c r="M1146" i="14"/>
  <c r="N1146" i="14" s="1"/>
  <c r="M1152" i="14"/>
  <c r="N1152" i="14" s="1"/>
  <c r="N1158" i="14"/>
  <c r="N1161" i="14"/>
  <c r="N1163" i="14"/>
  <c r="N1167" i="14"/>
  <c r="M1170" i="14"/>
  <c r="N1170" i="14" s="1"/>
  <c r="N1175" i="14"/>
  <c r="N1179" i="14"/>
  <c r="N1181" i="14"/>
  <c r="N1184" i="14"/>
  <c r="N1189" i="14"/>
  <c r="N1194" i="14"/>
  <c r="M1197" i="14"/>
  <c r="M1198" i="14"/>
  <c r="N1203" i="14"/>
  <c r="M1207" i="14"/>
  <c r="N1207" i="14" s="1"/>
  <c r="M1214" i="14"/>
  <c r="N1213" i="14" s="1"/>
  <c r="N1218" i="14"/>
  <c r="N1222" i="14"/>
  <c r="N1226" i="14"/>
  <c r="N1230" i="14"/>
  <c r="N1233" i="14"/>
  <c r="N1240" i="14"/>
  <c r="N1242" i="14"/>
  <c r="N1244" i="14"/>
  <c r="N1250" i="14"/>
  <c r="N1255" i="14"/>
  <c r="N1259" i="14"/>
  <c r="M1264" i="14"/>
  <c r="N1264" i="14" s="1"/>
  <c r="N1269" i="14"/>
  <c r="M1272" i="14"/>
  <c r="M1273" i="14"/>
  <c r="N1279" i="14"/>
  <c r="N1286" i="14"/>
  <c r="M1290" i="14"/>
  <c r="N1289" i="14" s="1"/>
  <c r="N1295" i="14"/>
  <c r="N1298" i="14"/>
  <c r="N1303" i="14"/>
  <c r="N1306" i="14"/>
  <c r="M1310" i="14"/>
  <c r="N1310" i="14" s="1"/>
  <c r="N1314" i="14"/>
  <c r="N1318" i="14"/>
  <c r="N1324" i="14"/>
  <c r="N1327" i="14"/>
  <c r="N1332" i="14"/>
  <c r="N1335" i="14"/>
  <c r="N1338" i="14"/>
  <c r="N1345" i="14"/>
  <c r="N1349" i="14"/>
  <c r="N1352" i="14"/>
  <c r="N1355" i="14"/>
  <c r="N1359" i="14"/>
  <c r="N1363" i="14"/>
  <c r="N1366" i="14"/>
  <c r="N1371" i="14"/>
  <c r="N1376" i="14"/>
  <c r="N1380" i="14"/>
  <c r="N1385" i="14"/>
  <c r="N1390" i="14"/>
  <c r="N1393" i="14"/>
  <c r="N1398" i="14"/>
  <c r="N1403" i="14"/>
  <c r="N1409" i="14"/>
  <c r="N1412" i="14"/>
  <c r="N1418" i="14"/>
  <c r="N1421" i="14"/>
  <c r="N1427" i="14"/>
  <c r="M1434" i="14"/>
  <c r="N1433" i="14" s="1"/>
  <c r="N1438" i="14"/>
  <c r="N1442" i="14"/>
  <c r="N1447" i="14"/>
  <c r="N1451" i="14"/>
  <c r="N1454" i="14"/>
  <c r="N1457" i="14"/>
  <c r="N1463" i="14"/>
  <c r="N1466" i="14"/>
  <c r="N1471" i="14"/>
  <c r="N1476" i="14"/>
  <c r="N1479" i="14"/>
  <c r="N1485" i="14"/>
  <c r="N1488" i="14"/>
  <c r="N1492" i="14"/>
  <c r="N1495" i="14"/>
  <c r="N1499" i="14"/>
  <c r="N1503" i="14"/>
  <c r="N1508" i="14"/>
  <c r="N1511" i="14"/>
  <c r="N1516" i="14"/>
  <c r="N1520" i="14"/>
  <c r="N1522" i="14"/>
  <c r="N1527" i="14"/>
  <c r="N1533" i="14"/>
  <c r="N1537" i="14"/>
  <c r="N1543" i="14"/>
  <c r="N1547" i="14"/>
  <c r="N1552" i="14"/>
  <c r="N1556" i="14"/>
  <c r="N1561" i="14"/>
  <c r="N1566" i="14"/>
  <c r="N1574" i="14"/>
  <c r="N1578" i="14"/>
  <c r="N1583" i="14"/>
  <c r="N1586" i="14"/>
  <c r="N1590" i="14"/>
  <c r="N1594" i="14"/>
  <c r="N1600" i="14"/>
  <c r="N1604" i="14"/>
  <c r="N1607" i="14"/>
  <c r="N1612" i="14"/>
  <c r="M1615" i="14"/>
  <c r="N1615" i="14" s="1"/>
  <c r="N1621" i="14"/>
  <c r="M1623" i="14"/>
  <c r="N1623" i="14" s="1"/>
  <c r="N1627" i="14"/>
  <c r="N1629" i="14"/>
  <c r="N1635" i="14"/>
  <c r="N1638" i="14"/>
  <c r="N1641" i="14"/>
  <c r="N1644" i="14"/>
  <c r="N1648" i="14"/>
  <c r="N1652" i="14"/>
  <c r="N1659" i="14"/>
  <c r="N1665" i="14"/>
  <c r="N1668" i="14"/>
  <c r="N1674" i="14"/>
  <c r="N1679" i="14"/>
  <c r="N1682" i="14"/>
  <c r="N1689" i="14"/>
  <c r="N1693" i="14"/>
  <c r="N1696" i="14"/>
  <c r="N1701" i="14"/>
  <c r="N1705" i="14"/>
  <c r="N1709" i="14"/>
  <c r="M1712" i="14"/>
  <c r="N1712" i="14" s="1"/>
  <c r="N1717" i="14"/>
  <c r="N1720" i="14"/>
  <c r="N1724" i="14"/>
  <c r="N1728" i="14"/>
  <c r="N1732" i="14"/>
  <c r="N1737" i="14"/>
  <c r="N1741" i="14"/>
  <c r="N1745" i="14"/>
  <c r="N1750" i="14"/>
  <c r="N1754" i="14"/>
  <c r="N1762" i="14"/>
  <c r="N1766" i="14"/>
  <c r="N1770" i="14"/>
  <c r="N1773" i="14"/>
  <c r="N1776" i="14"/>
  <c r="N1779" i="14"/>
  <c r="N1784" i="14"/>
  <c r="M1792" i="14"/>
  <c r="N1792" i="14" s="1"/>
  <c r="N1796" i="14"/>
  <c r="M1804" i="14"/>
  <c r="N1802" i="14" s="1"/>
  <c r="N1808" i="14"/>
  <c r="N1814" i="14"/>
  <c r="M1818" i="14"/>
  <c r="N1817" i="14" s="1"/>
  <c r="N1823" i="14"/>
  <c r="N1827" i="14"/>
  <c r="N1831" i="14"/>
  <c r="N1834" i="14"/>
  <c r="N1839" i="14"/>
  <c r="N1845" i="14"/>
  <c r="N1851" i="14"/>
  <c r="M1855" i="14"/>
  <c r="N1855" i="14" s="1"/>
  <c r="N1860" i="14"/>
  <c r="M1863" i="14"/>
  <c r="N1863" i="14" s="1"/>
  <c r="N1868" i="14"/>
  <c r="N1871" i="14"/>
  <c r="N1875" i="14"/>
  <c r="N1878" i="14"/>
  <c r="N1881" i="14"/>
  <c r="M1885" i="14"/>
  <c r="N1885" i="14" s="1"/>
  <c r="N1890" i="14"/>
  <c r="N1893" i="14"/>
  <c r="M1897" i="14"/>
  <c r="N1897" i="14" s="1"/>
  <c r="N1902" i="14"/>
  <c r="M1905" i="14"/>
  <c r="N1905" i="14" s="1"/>
  <c r="N1910" i="14"/>
  <c r="M1913" i="14"/>
  <c r="N1913" i="14" s="1"/>
  <c r="M1917" i="14"/>
  <c r="N1917" i="14" s="1"/>
  <c r="N1924" i="14"/>
  <c r="M1927" i="14"/>
  <c r="N1927" i="14" s="1"/>
  <c r="N1931" i="14"/>
  <c r="M1934" i="14"/>
  <c r="N1934" i="14" s="1"/>
  <c r="N1938" i="14"/>
  <c r="M1941" i="14"/>
  <c r="N1941" i="14" s="1"/>
  <c r="N1946" i="14"/>
  <c r="N1949" i="14"/>
  <c r="N1951" i="14"/>
  <c r="N1955" i="14"/>
  <c r="N1959" i="14"/>
  <c r="N1965" i="14"/>
  <c r="N1969" i="14"/>
  <c r="N1975" i="14"/>
  <c r="M1979" i="14"/>
  <c r="M1980" i="14"/>
  <c r="N1984" i="14"/>
  <c r="N1989" i="14"/>
  <c r="N1992" i="14"/>
  <c r="N1998" i="14"/>
  <c r="M2003" i="14"/>
  <c r="M2005" i="14"/>
  <c r="N2008" i="14"/>
  <c r="M2015" i="14"/>
  <c r="N2013" i="14" s="1"/>
  <c r="M2020" i="14"/>
  <c r="N2019" i="14" s="1"/>
  <c r="N2025" i="14"/>
  <c r="N2028" i="14"/>
  <c r="N2032" i="14"/>
  <c r="N2039" i="14"/>
  <c r="N2044" i="14"/>
  <c r="N2047" i="14"/>
  <c r="M2050" i="14"/>
  <c r="N2050" i="14" s="1"/>
  <c r="N2054" i="14"/>
  <c r="N2056" i="14"/>
  <c r="N2061" i="14"/>
  <c r="N2066" i="14"/>
  <c r="N2069" i="14"/>
  <c r="N2073" i="14"/>
  <c r="M2078" i="14"/>
  <c r="N2077" i="14" s="1"/>
  <c r="N2083" i="14"/>
  <c r="N2087" i="14"/>
  <c r="M2092" i="14"/>
  <c r="N2089" i="14" s="1"/>
  <c r="M2097" i="14"/>
  <c r="N2095" i="14" s="1"/>
  <c r="N2100" i="14"/>
  <c r="N2105" i="14"/>
  <c r="N2109" i="14"/>
  <c r="N2113" i="14"/>
  <c r="M2121" i="14"/>
  <c r="N2118" i="14" s="1"/>
  <c r="N2125" i="14"/>
  <c r="N2129" i="14"/>
  <c r="N2133" i="14"/>
  <c r="N2138" i="14"/>
  <c r="N2143" i="14"/>
  <c r="N2150" i="14"/>
  <c r="N2155" i="14"/>
  <c r="N2158" i="14"/>
  <c r="M2162" i="14"/>
  <c r="N2162" i="14" s="1"/>
  <c r="M2169" i="14"/>
  <c r="M2170" i="14"/>
  <c r="M2175" i="14"/>
  <c r="N2174" i="14" s="1"/>
  <c r="N2179" i="14"/>
  <c r="M2182" i="14"/>
  <c r="N2181" i="14" s="1"/>
  <c r="M2187" i="14"/>
  <c r="N2187" i="14" s="1"/>
  <c r="M2190" i="14"/>
  <c r="N2190" i="14" s="1"/>
  <c r="M2193" i="14"/>
  <c r="N2193" i="14" s="1"/>
  <c r="M2197" i="14"/>
  <c r="N2197" i="14" s="1"/>
  <c r="M2202" i="14"/>
  <c r="N2202" i="14" s="1"/>
  <c r="M2207" i="14"/>
  <c r="N2207" i="14" s="1"/>
  <c r="M2212" i="14"/>
  <c r="N2212" i="14" s="1"/>
  <c r="M2216" i="14"/>
  <c r="N2216" i="14" s="1"/>
  <c r="N2219" i="14"/>
  <c r="M2224" i="14"/>
  <c r="N2223" i="14" s="1"/>
  <c r="M2228" i="14"/>
  <c r="N2228" i="14" s="1"/>
  <c r="M2233" i="14"/>
  <c r="N2233" i="14" s="1"/>
  <c r="M2238" i="14"/>
  <c r="N2238" i="14" s="1"/>
  <c r="N2243" i="14"/>
  <c r="M2246" i="14"/>
  <c r="N2246" i="14" s="1"/>
  <c r="N2251" i="14"/>
  <c r="N2254" i="14"/>
  <c r="M2260" i="14"/>
  <c r="N2260" i="14" s="1"/>
  <c r="M2264" i="14"/>
  <c r="N2264" i="14" s="1"/>
  <c r="N2269" i="14"/>
  <c r="N2272" i="14"/>
  <c r="M2278" i="14"/>
  <c r="M2279" i="14"/>
  <c r="N2286" i="14"/>
  <c r="M2289" i="14"/>
  <c r="M2290" i="14"/>
  <c r="N2295" i="14"/>
  <c r="M2301" i="14"/>
  <c r="N2299" i="14" s="1"/>
  <c r="M2304" i="14"/>
  <c r="N2303" i="14" s="1"/>
  <c r="M2308" i="14"/>
  <c r="N2308" i="14" s="1"/>
  <c r="N2314" i="14"/>
  <c r="N2317" i="14"/>
  <c r="N2321" i="14"/>
  <c r="N2326" i="14"/>
  <c r="M2329" i="14"/>
  <c r="N2329" i="14" s="1"/>
  <c r="M2335" i="14"/>
  <c r="M2336" i="14"/>
  <c r="M2340" i="14"/>
  <c r="M2342" i="14"/>
  <c r="N2346" i="14"/>
  <c r="M2350" i="14"/>
  <c r="N2350" i="14" s="1"/>
  <c r="N2353" i="14"/>
  <c r="N2357" i="14"/>
  <c r="M2360" i="14"/>
  <c r="N2360" i="14" s="1"/>
  <c r="N2364" i="14"/>
  <c r="N2368" i="14"/>
  <c r="M2375" i="14"/>
  <c r="N2374" i="14" s="1"/>
  <c r="M2381" i="14"/>
  <c r="N2379" i="14" s="1"/>
  <c r="M2386" i="14"/>
  <c r="N2385" i="14" s="1"/>
  <c r="M2389" i="14"/>
  <c r="M2390" i="14"/>
  <c r="M2394" i="14"/>
  <c r="N2394" i="14" s="1"/>
  <c r="M2403" i="14"/>
  <c r="N2403" i="14" s="1"/>
  <c r="M2409" i="14"/>
  <c r="N2409" i="14" s="1"/>
  <c r="N2416" i="14"/>
  <c r="M2423" i="14"/>
  <c r="N2421" i="14" s="1"/>
  <c r="N2427" i="14"/>
  <c r="M2442" i="14"/>
  <c r="N2442" i="14" s="1"/>
  <c r="M2447" i="14"/>
  <c r="N2447" i="14" s="1"/>
  <c r="M2463" i="14"/>
  <c r="N2462" i="14" s="1"/>
  <c r="M2467" i="14"/>
  <c r="N2467" i="14" s="1"/>
  <c r="M2476" i="14"/>
  <c r="N2476" i="14" s="1"/>
  <c r="M2480" i="14"/>
  <c r="M2481" i="14"/>
  <c r="M2492" i="14"/>
  <c r="N2492" i="14" s="1"/>
  <c r="M2500" i="14"/>
  <c r="N2500" i="14" s="1"/>
  <c r="M2514" i="14"/>
  <c r="N2512" i="14" s="1"/>
  <c r="M2518" i="14"/>
  <c r="N2517" i="14" s="1"/>
  <c r="M2524" i="14"/>
  <c r="N2524" i="14" s="1"/>
  <c r="M2531" i="14"/>
  <c r="N2530" i="14" s="1"/>
  <c r="M2535" i="14"/>
  <c r="N2534" i="14" s="1"/>
  <c r="M2578" i="14"/>
  <c r="N2578" i="14" s="1"/>
  <c r="M2592" i="14"/>
  <c r="N2592" i="14" s="1"/>
  <c r="F4299" i="14"/>
  <c r="N3" i="13"/>
  <c r="N7" i="13"/>
  <c r="N14" i="13"/>
  <c r="N17" i="13"/>
  <c r="N19" i="13"/>
  <c r="M23" i="13"/>
  <c r="N23" i="13" s="1"/>
  <c r="N27" i="13"/>
  <c r="N29" i="13"/>
  <c r="N35" i="13"/>
  <c r="N38" i="13"/>
  <c r="N42" i="13"/>
  <c r="N45" i="13"/>
  <c r="N50" i="13"/>
  <c r="N55" i="13"/>
  <c r="N59" i="13"/>
  <c r="N61" i="13"/>
  <c r="N64" i="13"/>
  <c r="N67" i="13"/>
  <c r="N70" i="13"/>
  <c r="N72" i="13"/>
  <c r="N74" i="13"/>
  <c r="N76" i="13"/>
  <c r="N78" i="13"/>
  <c r="N81" i="13"/>
  <c r="N83" i="13"/>
  <c r="N85" i="13"/>
  <c r="N88" i="13"/>
  <c r="N92" i="13"/>
  <c r="N96" i="13"/>
  <c r="N98" i="13"/>
  <c r="N101" i="13"/>
  <c r="N103" i="13"/>
  <c r="N106" i="13"/>
  <c r="N108" i="13"/>
  <c r="N110" i="13"/>
  <c r="N112" i="13"/>
  <c r="N116" i="13"/>
  <c r="N118" i="13"/>
  <c r="N120" i="13"/>
  <c r="N124" i="13"/>
  <c r="N127" i="13"/>
  <c r="N130" i="13"/>
  <c r="N132" i="13"/>
  <c r="N135" i="13"/>
  <c r="N137" i="13"/>
  <c r="N139" i="13"/>
  <c r="N142" i="13"/>
  <c r="N144" i="13"/>
  <c r="M146" i="13"/>
  <c r="N146" i="13"/>
  <c r="N149" i="13"/>
  <c r="N153" i="13"/>
  <c r="N155" i="13"/>
  <c r="N157" i="13"/>
  <c r="N159" i="13"/>
  <c r="N161" i="13"/>
  <c r="N164" i="13"/>
  <c r="N167" i="13"/>
  <c r="N170" i="13"/>
  <c r="N172" i="13"/>
  <c r="N174" i="13"/>
  <c r="N176" i="13"/>
  <c r="N178" i="13"/>
  <c r="N181" i="13"/>
  <c r="N183" i="13"/>
  <c r="N185" i="13"/>
  <c r="N188" i="13"/>
  <c r="N190" i="13"/>
  <c r="N193" i="13"/>
  <c r="N197" i="13"/>
  <c r="N200" i="13"/>
  <c r="N203" i="13"/>
  <c r="N205" i="13"/>
  <c r="N211" i="13"/>
  <c r="N213" i="13"/>
  <c r="N220" i="13"/>
  <c r="N223" i="13"/>
  <c r="N225" i="13"/>
  <c r="N231" i="13"/>
  <c r="N235" i="13"/>
  <c r="N238" i="13"/>
  <c r="N240" i="13"/>
  <c r="N242" i="13"/>
  <c r="N244" i="13"/>
  <c r="N248" i="13"/>
  <c r="N250" i="13"/>
  <c r="N252" i="13"/>
  <c r="N255" i="13"/>
  <c r="N257" i="13"/>
  <c r="N259" i="13"/>
  <c r="N261" i="13"/>
  <c r="N263" i="13"/>
  <c r="N267" i="13"/>
  <c r="N269" i="13"/>
  <c r="N271" i="13"/>
  <c r="N281" i="13"/>
  <c r="N288" i="13"/>
  <c r="N293" i="13"/>
  <c r="F360" i="13"/>
  <c r="M360" i="13"/>
  <c r="E19" i="20" l="1"/>
  <c r="F18" i="20"/>
  <c r="F11" i="20"/>
  <c r="F9" i="20"/>
  <c r="N2340" i="14"/>
  <c r="N2289" i="14"/>
  <c r="N1977" i="14"/>
  <c r="N2278" i="14"/>
  <c r="N2001" i="14"/>
  <c r="N736" i="14"/>
  <c r="F15" i="20"/>
  <c r="F13" i="20"/>
  <c r="N2335" i="14"/>
  <c r="N2166" i="14"/>
  <c r="N2480" i="14"/>
  <c r="N598" i="14"/>
  <c r="N589" i="14"/>
  <c r="N2389" i="14"/>
  <c r="N1272" i="14"/>
  <c r="N1197" i="14"/>
  <c r="N967" i="14"/>
  <c r="F17" i="20"/>
  <c r="F7" i="20"/>
  <c r="N360" i="13"/>
  <c r="O311" i="21" s="1"/>
  <c r="N362" i="13"/>
  <c r="Y19" i="17" s="1"/>
  <c r="F16" i="20"/>
  <c r="F14" i="20"/>
  <c r="F12" i="20"/>
  <c r="F10" i="20"/>
  <c r="F8" i="20"/>
  <c r="F6" i="20"/>
  <c r="S4" i="17"/>
  <c r="V4" i="17" s="1"/>
  <c r="Y4" i="17" s="1"/>
  <c r="U5" i="17" s="1"/>
  <c r="Y5" i="17" s="1"/>
  <c r="U6" i="17" s="1"/>
  <c r="Y6" i="17" s="1"/>
  <c r="M4299" i="14"/>
  <c r="N4301" i="14" s="1"/>
  <c r="N4299" i="14" l="1"/>
  <c r="E20" i="20"/>
  <c r="F19" i="20"/>
  <c r="U7" i="17"/>
  <c r="Y7" i="17" s="1"/>
  <c r="U8" i="17" s="1"/>
  <c r="Y8" i="17" s="1"/>
  <c r="U9" i="17" s="1"/>
  <c r="Y9" i="17" s="1"/>
  <c r="U10" i="17" s="1"/>
  <c r="Y10" i="17" s="1"/>
  <c r="U11" i="17" s="1"/>
  <c r="Y11" i="17" s="1"/>
  <c r="U12" i="17" s="1"/>
  <c r="Y12" i="17" s="1"/>
  <c r="U13" i="17" s="1"/>
  <c r="Y13" i="17" s="1"/>
  <c r="U14" i="17" s="1"/>
  <c r="Y14" i="17" s="1"/>
  <c r="U15" i="17" s="1"/>
  <c r="Y15" i="17" s="1"/>
  <c r="N364" i="13"/>
  <c r="Y23" i="17"/>
  <c r="N4303" i="14" l="1"/>
  <c r="D20" i="16"/>
  <c r="D22" i="16" s="1"/>
  <c r="F20" i="20"/>
  <c r="E21" i="20"/>
  <c r="Y27" i="17"/>
  <c r="Y29" i="17" s="1"/>
  <c r="E22" i="20" l="1"/>
  <c r="F21" i="20"/>
  <c r="F22" i="20" l="1"/>
  <c r="E23" i="20"/>
  <c r="E24" i="20" l="1"/>
  <c r="F23" i="20"/>
  <c r="E25" i="20" l="1"/>
  <c r="F24" i="20"/>
  <c r="E26" i="20" l="1"/>
  <c r="F25" i="20"/>
  <c r="E27" i="20" l="1"/>
  <c r="F26" i="20"/>
  <c r="V420" i="3"/>
  <c r="E28" i="20" l="1"/>
  <c r="F27" i="20"/>
  <c r="F28" i="20" l="1"/>
  <c r="E29" i="20"/>
  <c r="F29" i="20" l="1"/>
  <c r="E30" i="20"/>
  <c r="E31" i="20" l="1"/>
  <c r="F30" i="20"/>
  <c r="E32" i="20" l="1"/>
  <c r="F31" i="20"/>
  <c r="E33" i="20" l="1"/>
  <c r="F32" i="20"/>
  <c r="E34" i="20" l="1"/>
  <c r="F33" i="20"/>
  <c r="F34" i="20" l="1"/>
  <c r="E35" i="20"/>
  <c r="E36" i="20" l="1"/>
  <c r="F35" i="20"/>
  <c r="E37" i="20" l="1"/>
  <c r="F36" i="20"/>
  <c r="L68" i="20"/>
  <c r="M68" i="20" s="1"/>
  <c r="F37" i="20" l="1"/>
  <c r="E38" i="20"/>
  <c r="L69" i="20"/>
  <c r="M69" i="20" s="1"/>
  <c r="F38" i="20" l="1"/>
  <c r="E39" i="20"/>
  <c r="L70" i="20"/>
  <c r="M70" i="20" s="1"/>
  <c r="E40" i="20" l="1"/>
  <c r="F39" i="20"/>
  <c r="L71" i="20"/>
  <c r="M71" i="20" s="1"/>
  <c r="F40" i="20" l="1"/>
  <c r="E41" i="20"/>
  <c r="L72" i="20"/>
  <c r="M72" i="20" s="1"/>
  <c r="F41" i="20" l="1"/>
  <c r="E42" i="20"/>
  <c r="L73" i="20"/>
  <c r="M73" i="20" s="1"/>
  <c r="F42" i="20" l="1"/>
  <c r="E43" i="20"/>
  <c r="L74" i="20"/>
  <c r="M74" i="20" s="1"/>
  <c r="E44" i="20" l="1"/>
  <c r="F43" i="20"/>
  <c r="L75" i="20"/>
  <c r="M75" i="20" s="1"/>
  <c r="E45" i="20" l="1"/>
  <c r="F44" i="20"/>
  <c r="L76" i="20"/>
  <c r="M76" i="20" s="1"/>
  <c r="E46" i="20" l="1"/>
  <c r="F45" i="20"/>
  <c r="L77" i="20"/>
  <c r="M77" i="20" s="1"/>
  <c r="E47" i="20" l="1"/>
  <c r="F46" i="20"/>
  <c r="L78" i="20"/>
  <c r="M78" i="20" s="1"/>
  <c r="E48" i="20" l="1"/>
  <c r="F48" i="20" s="1"/>
  <c r="F47" i="20"/>
  <c r="L79" i="20"/>
  <c r="M79" i="20" s="1"/>
  <c r="L80" i="20" l="1"/>
  <c r="M80" i="20" s="1"/>
  <c r="L81" i="20" l="1"/>
  <c r="M81" i="20" s="1"/>
  <c r="P188" i="3"/>
  <c r="L82" i="20" l="1"/>
  <c r="M82" i="20" s="1"/>
  <c r="V40" i="3"/>
  <c r="U40" i="3"/>
  <c r="V39" i="3"/>
  <c r="U39" i="3"/>
  <c r="V38" i="3"/>
  <c r="U38" i="3"/>
  <c r="V37" i="3"/>
  <c r="U37" i="3"/>
  <c r="V36" i="3"/>
  <c r="U36" i="3"/>
  <c r="V35" i="3"/>
  <c r="U35" i="3"/>
  <c r="V34" i="3"/>
  <c r="U34" i="3"/>
  <c r="Y40" i="3"/>
  <c r="AE40" i="3" s="1"/>
  <c r="X40" i="3"/>
  <c r="AD40" i="3" s="1"/>
  <c r="X39" i="3"/>
  <c r="AD39" i="3" s="1"/>
  <c r="X38" i="3"/>
  <c r="AD38" i="3" s="1"/>
  <c r="X37" i="3"/>
  <c r="AD37" i="3" s="1"/>
  <c r="X36" i="3"/>
  <c r="AD36" i="3" s="1"/>
  <c r="X35" i="3"/>
  <c r="AD35" i="3" s="1"/>
  <c r="X34" i="3"/>
  <c r="AD34" i="3" s="1"/>
  <c r="X33" i="3"/>
  <c r="AD33" i="3" s="1"/>
  <c r="X32" i="3"/>
  <c r="AD32" i="3" s="1"/>
  <c r="X31" i="3"/>
  <c r="AD31" i="3" s="1"/>
  <c r="X30" i="3"/>
  <c r="AD30" i="3" s="1"/>
  <c r="X29" i="3"/>
  <c r="AD29" i="3" s="1"/>
  <c r="X28" i="3"/>
  <c r="AD28" i="3" s="1"/>
  <c r="X27" i="3"/>
  <c r="AD27" i="3" s="1"/>
  <c r="X26" i="3"/>
  <c r="AD26" i="3" s="1"/>
  <c r="X25" i="3"/>
  <c r="AD25" i="3" s="1"/>
  <c r="X24" i="3"/>
  <c r="AD24" i="3" s="1"/>
  <c r="X23" i="3"/>
  <c r="AD23" i="3" s="1"/>
  <c r="X22" i="3"/>
  <c r="AD22" i="3" s="1"/>
  <c r="X21" i="3"/>
  <c r="AD21" i="3" s="1"/>
  <c r="X20" i="3"/>
  <c r="AD20" i="3" s="1"/>
  <c r="X19" i="3"/>
  <c r="AD19" i="3" s="1"/>
  <c r="X18" i="3"/>
  <c r="AD18" i="3" s="1"/>
  <c r="X17" i="3"/>
  <c r="AD17" i="3" s="1"/>
  <c r="X16" i="3"/>
  <c r="AD16" i="3" s="1"/>
  <c r="X15" i="3"/>
  <c r="AD15" i="3" s="1"/>
  <c r="X14" i="3"/>
  <c r="AD14" i="3" s="1"/>
  <c r="X13" i="3"/>
  <c r="AD13" i="3" s="1"/>
  <c r="X12" i="3"/>
  <c r="AD12" i="3" s="1"/>
  <c r="X11" i="3"/>
  <c r="AD11" i="3" s="1"/>
  <c r="X10" i="3"/>
  <c r="AD10" i="3" s="1"/>
  <c r="X9" i="3"/>
  <c r="AD9" i="3" s="1"/>
  <c r="X8" i="3"/>
  <c r="AD8" i="3" s="1"/>
  <c r="X7" i="3"/>
  <c r="AD7" i="3" s="1"/>
  <c r="X6" i="3"/>
  <c r="AD6" i="3" s="1"/>
  <c r="W40" i="3" l="1"/>
  <c r="AC40" i="3" s="1"/>
  <c r="L83" i="20"/>
  <c r="M83" i="20" s="1"/>
  <c r="W36" i="3"/>
  <c r="AC36" i="3" s="1"/>
  <c r="W34" i="3"/>
  <c r="AC34" i="3" s="1"/>
  <c r="W38" i="3"/>
  <c r="AC38" i="3" s="1"/>
  <c r="W35" i="3"/>
  <c r="AC35" i="3" s="1"/>
  <c r="W37" i="3"/>
  <c r="AC37" i="3" s="1"/>
  <c r="W39" i="3"/>
  <c r="AC39" i="3" s="1"/>
  <c r="L84" i="20" l="1"/>
  <c r="M84" i="20" s="1"/>
  <c r="V577" i="3"/>
  <c r="L85" i="20" l="1"/>
  <c r="M85" i="20" s="1"/>
  <c r="L86" i="20" l="1"/>
  <c r="M86" i="20" s="1"/>
  <c r="L87" i="20" l="1"/>
  <c r="M87" i="20" s="1"/>
  <c r="T434" i="3"/>
  <c r="L88" i="20" l="1"/>
  <c r="M88" i="20" s="1"/>
  <c r="V329" i="3"/>
  <c r="L89" i="20" l="1"/>
  <c r="M89" i="20" s="1"/>
  <c r="V223" i="3"/>
  <c r="V230" i="3"/>
  <c r="L90" i="20" l="1"/>
  <c r="M90" i="20" s="1"/>
  <c r="L91" i="20" l="1"/>
  <c r="M91" i="20" s="1"/>
  <c r="V583" i="3"/>
  <c r="U583" i="3"/>
  <c r="V582" i="3"/>
  <c r="U582" i="3"/>
  <c r="V581" i="3"/>
  <c r="U581" i="3"/>
  <c r="V580" i="3"/>
  <c r="U580" i="3"/>
  <c r="V531" i="3"/>
  <c r="V530" i="3"/>
  <c r="V529" i="3"/>
  <c r="V528" i="3"/>
  <c r="U482" i="3"/>
  <c r="U481" i="3"/>
  <c r="U480" i="3"/>
  <c r="U479" i="3"/>
  <c r="V482" i="3"/>
  <c r="V481" i="3"/>
  <c r="V480" i="3"/>
  <c r="V479" i="3"/>
  <c r="Y39" i="3"/>
  <c r="AE39" i="3" s="1"/>
  <c r="Y38" i="3"/>
  <c r="AE38" i="3" s="1"/>
  <c r="Y37" i="3"/>
  <c r="AE37" i="3" s="1"/>
  <c r="D2" i="9" l="1"/>
  <c r="T643" i="3" l="1"/>
  <c r="S643" i="3"/>
  <c r="R643" i="3"/>
  <c r="P643" i="3"/>
  <c r="O643" i="3"/>
  <c r="N643" i="3"/>
  <c r="M643" i="3"/>
  <c r="L643" i="3"/>
  <c r="K643" i="3"/>
  <c r="J643" i="3"/>
  <c r="I643" i="3"/>
  <c r="H643" i="3"/>
  <c r="G643" i="3"/>
  <c r="T642" i="3"/>
  <c r="S642" i="3"/>
  <c r="R642" i="3"/>
  <c r="P642" i="3"/>
  <c r="O642" i="3"/>
  <c r="N642" i="3"/>
  <c r="M642" i="3"/>
  <c r="L642" i="3"/>
  <c r="K642" i="3"/>
  <c r="J642" i="3"/>
  <c r="I642" i="3"/>
  <c r="H642" i="3"/>
  <c r="G642" i="3"/>
  <c r="T641" i="3"/>
  <c r="S641" i="3"/>
  <c r="R641" i="3"/>
  <c r="P641" i="3"/>
  <c r="O641" i="3"/>
  <c r="N641" i="3"/>
  <c r="M641" i="3"/>
  <c r="L641" i="3"/>
  <c r="K641" i="3"/>
  <c r="J641" i="3"/>
  <c r="I641" i="3"/>
  <c r="H641" i="3"/>
  <c r="G641" i="3"/>
  <c r="T640" i="3"/>
  <c r="S640" i="3"/>
  <c r="R640" i="3"/>
  <c r="P640" i="3"/>
  <c r="O640" i="3"/>
  <c r="N640" i="3"/>
  <c r="M640" i="3"/>
  <c r="L640" i="3"/>
  <c r="K640" i="3"/>
  <c r="J640" i="3"/>
  <c r="I640" i="3"/>
  <c r="H640" i="3"/>
  <c r="G640" i="3"/>
  <c r="T639" i="3"/>
  <c r="S639" i="3"/>
  <c r="R639" i="3"/>
  <c r="P639" i="3"/>
  <c r="O639" i="3"/>
  <c r="N639" i="3"/>
  <c r="M639" i="3"/>
  <c r="L639" i="3"/>
  <c r="K639" i="3"/>
  <c r="J639" i="3"/>
  <c r="I639" i="3"/>
  <c r="H639" i="3"/>
  <c r="G639" i="3"/>
  <c r="T638" i="3"/>
  <c r="S638" i="3"/>
  <c r="R638" i="3"/>
  <c r="P638" i="3"/>
  <c r="O638" i="3"/>
  <c r="N638" i="3"/>
  <c r="M638" i="3"/>
  <c r="L638" i="3"/>
  <c r="K638" i="3"/>
  <c r="J638" i="3"/>
  <c r="I638" i="3"/>
  <c r="H638" i="3"/>
  <c r="G638" i="3"/>
  <c r="T637" i="3"/>
  <c r="R637" i="3"/>
  <c r="P637" i="3"/>
  <c r="O637" i="3"/>
  <c r="N637" i="3"/>
  <c r="M637" i="3"/>
  <c r="L637" i="3"/>
  <c r="K637" i="3"/>
  <c r="J637" i="3"/>
  <c r="I637" i="3"/>
  <c r="H637" i="3"/>
  <c r="G637" i="3"/>
  <c r="T636" i="3"/>
  <c r="S636" i="3"/>
  <c r="R636" i="3"/>
  <c r="P636" i="3"/>
  <c r="O636" i="3"/>
  <c r="N636" i="3"/>
  <c r="M636" i="3"/>
  <c r="L636" i="3"/>
  <c r="K636" i="3"/>
  <c r="J636" i="3"/>
  <c r="I636" i="3"/>
  <c r="H636" i="3"/>
  <c r="G636" i="3"/>
  <c r="T635" i="3"/>
  <c r="S635" i="3"/>
  <c r="R635" i="3"/>
  <c r="P635" i="3"/>
  <c r="O635" i="3"/>
  <c r="N635" i="3"/>
  <c r="M635" i="3"/>
  <c r="L635" i="3"/>
  <c r="K635" i="3"/>
  <c r="J635" i="3"/>
  <c r="I635" i="3"/>
  <c r="H635" i="3"/>
  <c r="G635" i="3"/>
  <c r="T634" i="3"/>
  <c r="R634" i="3"/>
  <c r="P634" i="3"/>
  <c r="O634" i="3"/>
  <c r="N634" i="3"/>
  <c r="M634" i="3"/>
  <c r="L634" i="3"/>
  <c r="K634" i="3"/>
  <c r="J634" i="3"/>
  <c r="I634" i="3"/>
  <c r="H634" i="3"/>
  <c r="G634" i="3"/>
  <c r="T633" i="3"/>
  <c r="S633" i="3"/>
  <c r="R633" i="3"/>
  <c r="P633" i="3"/>
  <c r="O633" i="3"/>
  <c r="N633" i="3"/>
  <c r="M633" i="3"/>
  <c r="L633" i="3"/>
  <c r="K633" i="3"/>
  <c r="J633" i="3"/>
  <c r="I633" i="3"/>
  <c r="H633" i="3"/>
  <c r="G633" i="3"/>
  <c r="T632" i="3"/>
  <c r="S632" i="3"/>
  <c r="R632" i="3"/>
  <c r="P632" i="3"/>
  <c r="O632" i="3"/>
  <c r="N632" i="3"/>
  <c r="M632" i="3"/>
  <c r="L632" i="3"/>
  <c r="K632" i="3"/>
  <c r="J632" i="3"/>
  <c r="I632" i="3"/>
  <c r="H632" i="3"/>
  <c r="G632" i="3"/>
  <c r="T631" i="3"/>
  <c r="S631" i="3"/>
  <c r="R631" i="3"/>
  <c r="P631" i="3"/>
  <c r="O631" i="3"/>
  <c r="N631" i="3"/>
  <c r="M631" i="3"/>
  <c r="L631" i="3"/>
  <c r="K631" i="3"/>
  <c r="J631" i="3"/>
  <c r="I631" i="3"/>
  <c r="H631" i="3"/>
  <c r="G631" i="3"/>
  <c r="T630" i="3"/>
  <c r="S630" i="3"/>
  <c r="R630" i="3"/>
  <c r="P630" i="3"/>
  <c r="O630" i="3"/>
  <c r="N630" i="3"/>
  <c r="M630" i="3"/>
  <c r="L630" i="3"/>
  <c r="K630" i="3"/>
  <c r="J630" i="3"/>
  <c r="I630" i="3"/>
  <c r="H630" i="3"/>
  <c r="G630" i="3"/>
  <c r="T629" i="3"/>
  <c r="S629" i="3"/>
  <c r="R629" i="3"/>
  <c r="P629" i="3"/>
  <c r="O629" i="3"/>
  <c r="N629" i="3"/>
  <c r="M629" i="3"/>
  <c r="L629" i="3"/>
  <c r="K629" i="3"/>
  <c r="J629" i="3"/>
  <c r="I629" i="3"/>
  <c r="H629" i="3"/>
  <c r="G629" i="3"/>
  <c r="T628" i="3"/>
  <c r="S628" i="3"/>
  <c r="R628" i="3"/>
  <c r="P628" i="3"/>
  <c r="O628" i="3"/>
  <c r="N628" i="3"/>
  <c r="M628" i="3"/>
  <c r="L628" i="3"/>
  <c r="K628" i="3"/>
  <c r="J628" i="3"/>
  <c r="I628" i="3"/>
  <c r="H628" i="3"/>
  <c r="G628" i="3"/>
  <c r="T627" i="3"/>
  <c r="S627" i="3"/>
  <c r="R627" i="3"/>
  <c r="P627" i="3"/>
  <c r="O627" i="3"/>
  <c r="N627" i="3"/>
  <c r="M627" i="3"/>
  <c r="L627" i="3"/>
  <c r="K627" i="3"/>
  <c r="J627" i="3"/>
  <c r="I627" i="3"/>
  <c r="H627" i="3"/>
  <c r="G627" i="3"/>
  <c r="T626" i="3"/>
  <c r="S626" i="3"/>
  <c r="R626" i="3"/>
  <c r="P626" i="3"/>
  <c r="O626" i="3"/>
  <c r="N626" i="3"/>
  <c r="M626" i="3"/>
  <c r="L626" i="3"/>
  <c r="K626" i="3"/>
  <c r="J626" i="3"/>
  <c r="I626" i="3"/>
  <c r="H626" i="3"/>
  <c r="G626" i="3"/>
  <c r="T625" i="3"/>
  <c r="S625" i="3"/>
  <c r="R625" i="3"/>
  <c r="P625" i="3"/>
  <c r="O625" i="3"/>
  <c r="N625" i="3"/>
  <c r="M625" i="3"/>
  <c r="L625" i="3"/>
  <c r="K625" i="3"/>
  <c r="J625" i="3"/>
  <c r="I625" i="3"/>
  <c r="H625" i="3"/>
  <c r="G625" i="3"/>
  <c r="T624" i="3"/>
  <c r="S624" i="3"/>
  <c r="R624" i="3"/>
  <c r="P624" i="3"/>
  <c r="O624" i="3"/>
  <c r="N624" i="3"/>
  <c r="M624" i="3"/>
  <c r="L624" i="3"/>
  <c r="K624" i="3"/>
  <c r="J624" i="3"/>
  <c r="I624" i="3"/>
  <c r="H624" i="3"/>
  <c r="G624" i="3"/>
  <c r="T623" i="3"/>
  <c r="S623" i="3"/>
  <c r="R623" i="3"/>
  <c r="P623" i="3"/>
  <c r="O623" i="3"/>
  <c r="N623" i="3"/>
  <c r="M623" i="3"/>
  <c r="L623" i="3"/>
  <c r="K623" i="3"/>
  <c r="J623" i="3"/>
  <c r="I623" i="3"/>
  <c r="H623" i="3"/>
  <c r="G623" i="3"/>
  <c r="T622" i="3"/>
  <c r="S622" i="3"/>
  <c r="R622" i="3"/>
  <c r="P622" i="3"/>
  <c r="O622" i="3"/>
  <c r="N622" i="3"/>
  <c r="M622" i="3"/>
  <c r="L622" i="3"/>
  <c r="K622" i="3"/>
  <c r="J622" i="3"/>
  <c r="I622" i="3"/>
  <c r="H622" i="3"/>
  <c r="G622" i="3"/>
  <c r="T621" i="3"/>
  <c r="S621" i="3"/>
  <c r="R621" i="3"/>
  <c r="P621" i="3"/>
  <c r="O621" i="3"/>
  <c r="N621" i="3"/>
  <c r="M621" i="3"/>
  <c r="L621" i="3"/>
  <c r="K621" i="3"/>
  <c r="J621" i="3"/>
  <c r="I621" i="3"/>
  <c r="H621" i="3"/>
  <c r="G621" i="3"/>
  <c r="T620" i="3"/>
  <c r="S620" i="3"/>
  <c r="R620" i="3"/>
  <c r="P620" i="3"/>
  <c r="O620" i="3"/>
  <c r="N620" i="3"/>
  <c r="M620" i="3"/>
  <c r="L620" i="3"/>
  <c r="K620" i="3"/>
  <c r="J620" i="3"/>
  <c r="I620" i="3"/>
  <c r="H620" i="3"/>
  <c r="G620" i="3"/>
  <c r="T619" i="3"/>
  <c r="S619" i="3"/>
  <c r="R619" i="3"/>
  <c r="P619" i="3"/>
  <c r="O619" i="3"/>
  <c r="N619" i="3"/>
  <c r="M619" i="3"/>
  <c r="L619" i="3"/>
  <c r="K619" i="3"/>
  <c r="J619" i="3"/>
  <c r="I619" i="3"/>
  <c r="H619" i="3"/>
  <c r="G619" i="3"/>
  <c r="T618" i="3"/>
  <c r="S618" i="3"/>
  <c r="R618" i="3"/>
  <c r="P618" i="3"/>
  <c r="O618" i="3"/>
  <c r="N618" i="3"/>
  <c r="M618" i="3"/>
  <c r="L618" i="3"/>
  <c r="K618" i="3"/>
  <c r="J618" i="3"/>
  <c r="I618" i="3"/>
  <c r="H618" i="3"/>
  <c r="G618" i="3"/>
  <c r="T617" i="3"/>
  <c r="S617" i="3"/>
  <c r="R617" i="3"/>
  <c r="P617" i="3"/>
  <c r="O617" i="3"/>
  <c r="N617" i="3"/>
  <c r="M617" i="3"/>
  <c r="L617" i="3"/>
  <c r="K617" i="3"/>
  <c r="J617" i="3"/>
  <c r="I617" i="3"/>
  <c r="H617" i="3"/>
  <c r="G617" i="3"/>
  <c r="T616" i="3"/>
  <c r="S616" i="3"/>
  <c r="R616" i="3"/>
  <c r="P616" i="3"/>
  <c r="O616" i="3"/>
  <c r="N616" i="3"/>
  <c r="M616" i="3"/>
  <c r="L616" i="3"/>
  <c r="K616" i="3"/>
  <c r="J616" i="3"/>
  <c r="I616" i="3"/>
  <c r="H616" i="3"/>
  <c r="G616" i="3"/>
  <c r="T615" i="3"/>
  <c r="S615" i="3"/>
  <c r="R615" i="3"/>
  <c r="P615" i="3"/>
  <c r="O615" i="3"/>
  <c r="N615" i="3"/>
  <c r="M615" i="3"/>
  <c r="L615" i="3"/>
  <c r="K615" i="3"/>
  <c r="J615" i="3"/>
  <c r="I615" i="3"/>
  <c r="H615" i="3"/>
  <c r="G615" i="3"/>
  <c r="T614" i="3"/>
  <c r="S614" i="3"/>
  <c r="R614" i="3"/>
  <c r="P614" i="3"/>
  <c r="O614" i="3"/>
  <c r="N614" i="3"/>
  <c r="M614" i="3"/>
  <c r="L614" i="3"/>
  <c r="K614" i="3"/>
  <c r="J614" i="3"/>
  <c r="I614" i="3"/>
  <c r="H614" i="3"/>
  <c r="G614" i="3"/>
  <c r="T613" i="3"/>
  <c r="S613" i="3"/>
  <c r="R613" i="3"/>
  <c r="P613" i="3"/>
  <c r="O613" i="3"/>
  <c r="N613" i="3"/>
  <c r="M613" i="3"/>
  <c r="L613" i="3"/>
  <c r="K613" i="3"/>
  <c r="J613" i="3"/>
  <c r="I613" i="3"/>
  <c r="H613" i="3"/>
  <c r="G613" i="3"/>
  <c r="T612" i="3"/>
  <c r="S612" i="3"/>
  <c r="R612" i="3"/>
  <c r="P612" i="3"/>
  <c r="O612" i="3"/>
  <c r="N612" i="3"/>
  <c r="M612" i="3"/>
  <c r="L612" i="3"/>
  <c r="K612" i="3"/>
  <c r="J612" i="3"/>
  <c r="I612" i="3"/>
  <c r="H612" i="3"/>
  <c r="G612" i="3"/>
  <c r="T611" i="3"/>
  <c r="S611" i="3"/>
  <c r="R611" i="3"/>
  <c r="P611" i="3"/>
  <c r="O611" i="3"/>
  <c r="N611" i="3"/>
  <c r="M611" i="3"/>
  <c r="L611" i="3"/>
  <c r="K611" i="3"/>
  <c r="J611" i="3"/>
  <c r="I611" i="3"/>
  <c r="H611" i="3"/>
  <c r="G611" i="3"/>
  <c r="T610" i="3"/>
  <c r="S610" i="3"/>
  <c r="R610" i="3"/>
  <c r="P610" i="3"/>
  <c r="O610" i="3"/>
  <c r="N610" i="3"/>
  <c r="M610" i="3"/>
  <c r="L610" i="3"/>
  <c r="K610" i="3"/>
  <c r="J610" i="3"/>
  <c r="I610" i="3"/>
  <c r="H610" i="3"/>
  <c r="G610" i="3"/>
  <c r="T609" i="3"/>
  <c r="S609" i="3"/>
  <c r="R609" i="3"/>
  <c r="P609" i="3"/>
  <c r="O609" i="3"/>
  <c r="N609" i="3"/>
  <c r="M609" i="3"/>
  <c r="L609" i="3"/>
  <c r="K609" i="3"/>
  <c r="J609" i="3"/>
  <c r="I609" i="3"/>
  <c r="H609" i="3"/>
  <c r="G609" i="3"/>
  <c r="T608" i="3"/>
  <c r="S608" i="3"/>
  <c r="R608" i="3"/>
  <c r="P608" i="3"/>
  <c r="O608" i="3"/>
  <c r="N608" i="3"/>
  <c r="M608" i="3"/>
  <c r="L608" i="3"/>
  <c r="K608" i="3"/>
  <c r="J608" i="3"/>
  <c r="I608" i="3"/>
  <c r="H608" i="3"/>
  <c r="G608" i="3"/>
  <c r="G607" i="3"/>
  <c r="T607" i="3"/>
  <c r="S607" i="3"/>
  <c r="R607" i="3"/>
  <c r="P607" i="3"/>
  <c r="O607" i="3"/>
  <c r="N607" i="3"/>
  <c r="M607" i="3"/>
  <c r="L607" i="3"/>
  <c r="K607" i="3"/>
  <c r="J607" i="3"/>
  <c r="I607" i="3"/>
  <c r="H607" i="3"/>
  <c r="H644" i="3" l="1"/>
  <c r="K644" i="3"/>
  <c r="S634" i="3" l="1"/>
  <c r="S637" i="3"/>
  <c r="U427" i="3" l="1"/>
  <c r="U273" i="3" l="1"/>
  <c r="V322" i="3"/>
  <c r="L644" i="3" l="1"/>
  <c r="V273" i="3"/>
  <c r="V264" i="3"/>
  <c r="U264" i="3"/>
  <c r="V278" i="3"/>
  <c r="V286" i="3"/>
  <c r="U286" i="3"/>
  <c r="V285" i="3"/>
  <c r="U285" i="3"/>
  <c r="V284" i="3"/>
  <c r="U284" i="3"/>
  <c r="V283" i="3"/>
  <c r="U283" i="3"/>
  <c r="V236" i="3"/>
  <c r="V235" i="3"/>
  <c r="V234" i="3"/>
  <c r="V233" i="3"/>
  <c r="U236" i="3"/>
  <c r="U235" i="3"/>
  <c r="U234" i="3"/>
  <c r="U233" i="3"/>
  <c r="V187" i="3"/>
  <c r="U187" i="3"/>
  <c r="V186" i="3"/>
  <c r="U186" i="3"/>
  <c r="V185" i="3"/>
  <c r="U185" i="3"/>
  <c r="V184" i="3"/>
  <c r="U184" i="3"/>
  <c r="G19" i="11"/>
  <c r="H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F19" i="11"/>
  <c r="F5" i="11"/>
  <c r="D19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C19" i="11"/>
  <c r="B16" i="11"/>
  <c r="B19" i="11"/>
  <c r="F643" i="3"/>
  <c r="E643" i="3"/>
  <c r="X643" i="3" s="1"/>
  <c r="D643" i="3"/>
  <c r="F642" i="3"/>
  <c r="E642" i="3"/>
  <c r="X642" i="3" s="1"/>
  <c r="D642" i="3"/>
  <c r="F641" i="3"/>
  <c r="E641" i="3"/>
  <c r="X641" i="3" s="1"/>
  <c r="D641" i="3"/>
  <c r="E640" i="3"/>
  <c r="X640" i="3" s="1"/>
  <c r="D640" i="3"/>
  <c r="F639" i="3"/>
  <c r="E639" i="3"/>
  <c r="X639" i="3" s="1"/>
  <c r="D639" i="3"/>
  <c r="F638" i="3"/>
  <c r="E638" i="3"/>
  <c r="X638" i="3" s="1"/>
  <c r="D638" i="3"/>
  <c r="F637" i="3"/>
  <c r="E637" i="3"/>
  <c r="X637" i="3" s="1"/>
  <c r="D637" i="3"/>
  <c r="F636" i="3"/>
  <c r="E636" i="3"/>
  <c r="X636" i="3" s="1"/>
  <c r="D636" i="3"/>
  <c r="F635" i="3"/>
  <c r="E635" i="3"/>
  <c r="X635" i="3" s="1"/>
  <c r="D635" i="3"/>
  <c r="F634" i="3"/>
  <c r="E634" i="3"/>
  <c r="X634" i="3" s="1"/>
  <c r="D634" i="3"/>
  <c r="F633" i="3"/>
  <c r="E633" i="3"/>
  <c r="X633" i="3" s="1"/>
  <c r="D633" i="3"/>
  <c r="F632" i="3"/>
  <c r="E632" i="3"/>
  <c r="X632" i="3" s="1"/>
  <c r="D632" i="3"/>
  <c r="F631" i="3"/>
  <c r="E631" i="3"/>
  <c r="X631" i="3" s="1"/>
  <c r="D631" i="3"/>
  <c r="F630" i="3"/>
  <c r="E630" i="3"/>
  <c r="X630" i="3" s="1"/>
  <c r="D630" i="3"/>
  <c r="F629" i="3"/>
  <c r="E629" i="3"/>
  <c r="X629" i="3" s="1"/>
  <c r="D629" i="3"/>
  <c r="F628" i="3"/>
  <c r="E628" i="3"/>
  <c r="X628" i="3" s="1"/>
  <c r="D628" i="3"/>
  <c r="F627" i="3"/>
  <c r="E627" i="3"/>
  <c r="X627" i="3" s="1"/>
  <c r="D627" i="3"/>
  <c r="F626" i="3"/>
  <c r="E626" i="3"/>
  <c r="X626" i="3" s="1"/>
  <c r="D626" i="3"/>
  <c r="F625" i="3"/>
  <c r="E625" i="3"/>
  <c r="X625" i="3" s="1"/>
  <c r="D625" i="3"/>
  <c r="F624" i="3"/>
  <c r="X624" i="3"/>
  <c r="D624" i="3"/>
  <c r="F623" i="3"/>
  <c r="E623" i="3"/>
  <c r="X623" i="3" s="1"/>
  <c r="D623" i="3"/>
  <c r="F622" i="3"/>
  <c r="E622" i="3"/>
  <c r="X622" i="3" s="1"/>
  <c r="D622" i="3"/>
  <c r="F621" i="3"/>
  <c r="E621" i="3"/>
  <c r="X621" i="3" s="1"/>
  <c r="D621" i="3"/>
  <c r="F620" i="3"/>
  <c r="E620" i="3"/>
  <c r="X620" i="3" s="1"/>
  <c r="D620" i="3"/>
  <c r="F619" i="3"/>
  <c r="E619" i="3"/>
  <c r="X619" i="3" s="1"/>
  <c r="D619" i="3"/>
  <c r="F618" i="3"/>
  <c r="E618" i="3"/>
  <c r="X618" i="3" s="1"/>
  <c r="D618" i="3"/>
  <c r="F617" i="3"/>
  <c r="E617" i="3"/>
  <c r="X617" i="3" s="1"/>
  <c r="D617" i="3"/>
  <c r="F616" i="3"/>
  <c r="E616" i="3"/>
  <c r="X616" i="3" s="1"/>
  <c r="D616" i="3"/>
  <c r="F615" i="3"/>
  <c r="E615" i="3"/>
  <c r="X615" i="3" s="1"/>
  <c r="D615" i="3"/>
  <c r="F614" i="3"/>
  <c r="E614" i="3"/>
  <c r="X614" i="3" s="1"/>
  <c r="D614" i="3"/>
  <c r="F613" i="3"/>
  <c r="E613" i="3"/>
  <c r="X613" i="3" s="1"/>
  <c r="D613" i="3"/>
  <c r="F612" i="3"/>
  <c r="E612" i="3"/>
  <c r="X612" i="3" s="1"/>
  <c r="D612" i="3"/>
  <c r="F611" i="3"/>
  <c r="E611" i="3"/>
  <c r="X611" i="3" s="1"/>
  <c r="D611" i="3"/>
  <c r="F610" i="3"/>
  <c r="E610" i="3"/>
  <c r="X610" i="3" s="1"/>
  <c r="D610" i="3"/>
  <c r="F609" i="3"/>
  <c r="E609" i="3"/>
  <c r="X609" i="3" s="1"/>
  <c r="D609" i="3"/>
  <c r="F608" i="3"/>
  <c r="E608" i="3"/>
  <c r="D608" i="3"/>
  <c r="F607" i="3"/>
  <c r="E607" i="3"/>
  <c r="D607" i="3"/>
  <c r="F89" i="3"/>
  <c r="Y89" i="3" s="1"/>
  <c r="F88" i="3"/>
  <c r="Y88" i="3" s="1"/>
  <c r="F87" i="3"/>
  <c r="Y87" i="3" s="1"/>
  <c r="F86" i="3"/>
  <c r="Y86" i="3" s="1"/>
  <c r="E86" i="3"/>
  <c r="X86" i="3" s="1"/>
  <c r="AF584" i="3"/>
  <c r="R584" i="3"/>
  <c r="N584" i="3"/>
  <c r="M584" i="3"/>
  <c r="M586" i="3" s="1"/>
  <c r="L584" i="3"/>
  <c r="L586" i="3" s="1"/>
  <c r="I584" i="3"/>
  <c r="I586" i="3" s="1"/>
  <c r="G584" i="3"/>
  <c r="G586" i="3" s="1"/>
  <c r="B583" i="3"/>
  <c r="A583" i="3"/>
  <c r="B582" i="3"/>
  <c r="A582" i="3"/>
  <c r="B581" i="3"/>
  <c r="A581" i="3"/>
  <c r="B580" i="3"/>
  <c r="A580" i="3"/>
  <c r="V579" i="3"/>
  <c r="U579" i="3"/>
  <c r="B579" i="3"/>
  <c r="A579" i="3"/>
  <c r="V578" i="3"/>
  <c r="U578" i="3"/>
  <c r="B578" i="3"/>
  <c r="A578" i="3"/>
  <c r="U577" i="3"/>
  <c r="S584" i="3"/>
  <c r="B577" i="3"/>
  <c r="A577" i="3"/>
  <c r="V576" i="3"/>
  <c r="U576" i="3"/>
  <c r="B576" i="3"/>
  <c r="A576" i="3"/>
  <c r="U575" i="3"/>
  <c r="V575" i="3"/>
  <c r="B575" i="3"/>
  <c r="A575" i="3"/>
  <c r="V574" i="3"/>
  <c r="O584" i="3"/>
  <c r="B574" i="3"/>
  <c r="A574" i="3"/>
  <c r="V573" i="3"/>
  <c r="U573" i="3"/>
  <c r="B573" i="3"/>
  <c r="A573" i="3"/>
  <c r="U572" i="3"/>
  <c r="V572" i="3"/>
  <c r="B572" i="3"/>
  <c r="A572" i="3"/>
  <c r="V571" i="3"/>
  <c r="U571" i="3"/>
  <c r="B571" i="3"/>
  <c r="A571" i="3"/>
  <c r="U570" i="3"/>
  <c r="V570" i="3"/>
  <c r="B570" i="3"/>
  <c r="A570" i="3"/>
  <c r="V569" i="3"/>
  <c r="U569" i="3"/>
  <c r="B569" i="3"/>
  <c r="A569" i="3"/>
  <c r="V568" i="3"/>
  <c r="U568" i="3"/>
  <c r="B568" i="3"/>
  <c r="A568" i="3"/>
  <c r="V567" i="3"/>
  <c r="U567" i="3"/>
  <c r="B567" i="3"/>
  <c r="A567" i="3"/>
  <c r="V566" i="3"/>
  <c r="U566" i="3"/>
  <c r="B566" i="3"/>
  <c r="A566" i="3"/>
  <c r="V565" i="3"/>
  <c r="U565" i="3"/>
  <c r="B565" i="3"/>
  <c r="A565" i="3"/>
  <c r="U564" i="3"/>
  <c r="V564" i="3"/>
  <c r="B564" i="3"/>
  <c r="A564" i="3"/>
  <c r="V563" i="3"/>
  <c r="U563" i="3"/>
  <c r="B563" i="3"/>
  <c r="A563" i="3"/>
  <c r="U562" i="3"/>
  <c r="V562" i="3"/>
  <c r="B562" i="3"/>
  <c r="A562" i="3"/>
  <c r="U561" i="3"/>
  <c r="V561" i="3"/>
  <c r="B561" i="3"/>
  <c r="A561" i="3"/>
  <c r="V560" i="3"/>
  <c r="U560" i="3"/>
  <c r="B560" i="3"/>
  <c r="A560" i="3"/>
  <c r="V559" i="3"/>
  <c r="U559" i="3"/>
  <c r="B559" i="3"/>
  <c r="A559" i="3"/>
  <c r="V558" i="3"/>
  <c r="U558" i="3"/>
  <c r="B558" i="3"/>
  <c r="A558" i="3"/>
  <c r="V557" i="3"/>
  <c r="U557" i="3"/>
  <c r="B557" i="3"/>
  <c r="A557" i="3"/>
  <c r="V556" i="3"/>
  <c r="U556" i="3"/>
  <c r="B556" i="3"/>
  <c r="A556" i="3"/>
  <c r="U555" i="3"/>
  <c r="B555" i="3"/>
  <c r="A555" i="3"/>
  <c r="V554" i="3"/>
  <c r="U554" i="3"/>
  <c r="B554" i="3"/>
  <c r="A554" i="3"/>
  <c r="V553" i="3"/>
  <c r="U553" i="3"/>
  <c r="B553" i="3"/>
  <c r="A553" i="3"/>
  <c r="V552" i="3"/>
  <c r="U552" i="3"/>
  <c r="B552" i="3"/>
  <c r="A552" i="3"/>
  <c r="V551" i="3"/>
  <c r="U551" i="3"/>
  <c r="B551" i="3"/>
  <c r="A551" i="3"/>
  <c r="V550" i="3"/>
  <c r="U550" i="3"/>
  <c r="B550" i="3"/>
  <c r="A550" i="3"/>
  <c r="V549" i="3"/>
  <c r="U549" i="3"/>
  <c r="B549" i="3"/>
  <c r="A549" i="3"/>
  <c r="U548" i="3"/>
  <c r="B548" i="3"/>
  <c r="A548" i="3"/>
  <c r="V547" i="3"/>
  <c r="U547" i="3"/>
  <c r="B547" i="3"/>
  <c r="A547" i="3"/>
  <c r="AF532" i="3"/>
  <c r="AB532" i="3"/>
  <c r="AA532" i="3"/>
  <c r="AA534" i="3" s="1"/>
  <c r="R532" i="3"/>
  <c r="N532" i="3"/>
  <c r="M532" i="3"/>
  <c r="L532" i="3"/>
  <c r="I532" i="3"/>
  <c r="G532" i="3"/>
  <c r="G534" i="3" s="1"/>
  <c r="B531" i="3"/>
  <c r="A531" i="3"/>
  <c r="B530" i="3"/>
  <c r="A530" i="3"/>
  <c r="B529" i="3"/>
  <c r="A529" i="3"/>
  <c r="B528" i="3"/>
  <c r="A528" i="3"/>
  <c r="V527" i="3"/>
  <c r="B527" i="3"/>
  <c r="A527" i="3"/>
  <c r="V526" i="3"/>
  <c r="B526" i="3"/>
  <c r="A526" i="3"/>
  <c r="V525" i="3"/>
  <c r="S532" i="3"/>
  <c r="B525" i="3"/>
  <c r="A525" i="3"/>
  <c r="V524" i="3"/>
  <c r="B524" i="3"/>
  <c r="A524" i="3"/>
  <c r="V523" i="3"/>
  <c r="B523" i="3"/>
  <c r="A523" i="3"/>
  <c r="V522" i="3"/>
  <c r="O532" i="3"/>
  <c r="B522" i="3"/>
  <c r="A522" i="3"/>
  <c r="V521" i="3"/>
  <c r="B521" i="3"/>
  <c r="A521" i="3"/>
  <c r="V520" i="3"/>
  <c r="B520" i="3"/>
  <c r="A520" i="3"/>
  <c r="V519" i="3"/>
  <c r="B519" i="3"/>
  <c r="A519" i="3"/>
  <c r="V518" i="3"/>
  <c r="B518" i="3"/>
  <c r="A518" i="3"/>
  <c r="V517" i="3"/>
  <c r="B517" i="3"/>
  <c r="A517" i="3"/>
  <c r="V516" i="3"/>
  <c r="B516" i="3"/>
  <c r="A516" i="3"/>
  <c r="V515" i="3"/>
  <c r="B515" i="3"/>
  <c r="A515" i="3"/>
  <c r="V514" i="3"/>
  <c r="B514" i="3"/>
  <c r="A514" i="3"/>
  <c r="V513" i="3"/>
  <c r="B513" i="3"/>
  <c r="A513" i="3"/>
  <c r="V512" i="3"/>
  <c r="B512" i="3"/>
  <c r="A512" i="3"/>
  <c r="V511" i="3"/>
  <c r="B511" i="3"/>
  <c r="A511" i="3"/>
  <c r="V510" i="3"/>
  <c r="B510" i="3"/>
  <c r="A510" i="3"/>
  <c r="V509" i="3"/>
  <c r="B509" i="3"/>
  <c r="A509" i="3"/>
  <c r="V508" i="3"/>
  <c r="B508" i="3"/>
  <c r="A508" i="3"/>
  <c r="V507" i="3"/>
  <c r="B507" i="3"/>
  <c r="A507" i="3"/>
  <c r="V506" i="3"/>
  <c r="B506" i="3"/>
  <c r="A506" i="3"/>
  <c r="V505" i="3"/>
  <c r="B505" i="3"/>
  <c r="A505" i="3"/>
  <c r="V504" i="3"/>
  <c r="B504" i="3"/>
  <c r="A504" i="3"/>
  <c r="B503" i="3"/>
  <c r="A503" i="3"/>
  <c r="V502" i="3"/>
  <c r="B502" i="3"/>
  <c r="A502" i="3"/>
  <c r="V501" i="3"/>
  <c r="B501" i="3"/>
  <c r="A501" i="3"/>
  <c r="V500" i="3"/>
  <c r="B500" i="3"/>
  <c r="A500" i="3"/>
  <c r="V499" i="3"/>
  <c r="B499" i="3"/>
  <c r="A499" i="3"/>
  <c r="V498" i="3"/>
  <c r="B498" i="3"/>
  <c r="A498" i="3"/>
  <c r="V497" i="3"/>
  <c r="B497" i="3"/>
  <c r="A497" i="3"/>
  <c r="B496" i="3"/>
  <c r="A496" i="3"/>
  <c r="V495" i="3"/>
  <c r="B495" i="3"/>
  <c r="A495" i="3"/>
  <c r="AF483" i="3"/>
  <c r="AB483" i="3"/>
  <c r="AA483" i="3"/>
  <c r="AA485" i="3" s="1"/>
  <c r="R483" i="3"/>
  <c r="N483" i="3"/>
  <c r="M483" i="3"/>
  <c r="L483" i="3"/>
  <c r="I483" i="3"/>
  <c r="G483" i="3"/>
  <c r="G485" i="3" s="1"/>
  <c r="B482" i="3"/>
  <c r="A482" i="3"/>
  <c r="B481" i="3"/>
  <c r="A481" i="3"/>
  <c r="B480" i="3"/>
  <c r="A480" i="3"/>
  <c r="B479" i="3"/>
  <c r="A479" i="3"/>
  <c r="V478" i="3"/>
  <c r="U478" i="3"/>
  <c r="B478" i="3"/>
  <c r="A478" i="3"/>
  <c r="V477" i="3"/>
  <c r="U477" i="3"/>
  <c r="B477" i="3"/>
  <c r="A477" i="3"/>
  <c r="V476" i="3"/>
  <c r="S483" i="3"/>
  <c r="U476" i="3"/>
  <c r="B476" i="3"/>
  <c r="A476" i="3"/>
  <c r="V475" i="3"/>
  <c r="U475" i="3"/>
  <c r="B475" i="3"/>
  <c r="A475" i="3"/>
  <c r="U474" i="3"/>
  <c r="V474" i="3"/>
  <c r="B474" i="3"/>
  <c r="A474" i="3"/>
  <c r="V473" i="3"/>
  <c r="O483" i="3"/>
  <c r="B473" i="3"/>
  <c r="A473" i="3"/>
  <c r="V472" i="3"/>
  <c r="U472" i="3"/>
  <c r="B472" i="3"/>
  <c r="A472" i="3"/>
  <c r="U471" i="3"/>
  <c r="V471" i="3"/>
  <c r="B471" i="3"/>
  <c r="A471" i="3"/>
  <c r="V470" i="3"/>
  <c r="U470" i="3"/>
  <c r="B470" i="3"/>
  <c r="A470" i="3"/>
  <c r="U469" i="3"/>
  <c r="V469" i="3"/>
  <c r="B469" i="3"/>
  <c r="A469" i="3"/>
  <c r="U468" i="3"/>
  <c r="V468" i="3"/>
  <c r="B468" i="3"/>
  <c r="A468" i="3"/>
  <c r="V467" i="3"/>
  <c r="U467" i="3"/>
  <c r="B467" i="3"/>
  <c r="A467" i="3"/>
  <c r="V466" i="3"/>
  <c r="U466" i="3"/>
  <c r="B466" i="3"/>
  <c r="A466" i="3"/>
  <c r="V465" i="3"/>
  <c r="U465" i="3"/>
  <c r="B465" i="3"/>
  <c r="A465" i="3"/>
  <c r="V464" i="3"/>
  <c r="U464" i="3"/>
  <c r="B464" i="3"/>
  <c r="A464" i="3"/>
  <c r="U463" i="3"/>
  <c r="V463" i="3"/>
  <c r="B463" i="3"/>
  <c r="A463" i="3"/>
  <c r="V462" i="3"/>
  <c r="U462" i="3"/>
  <c r="B462" i="3"/>
  <c r="A462" i="3"/>
  <c r="U461" i="3"/>
  <c r="V461" i="3"/>
  <c r="B461" i="3"/>
  <c r="A461" i="3"/>
  <c r="U460" i="3"/>
  <c r="V460" i="3"/>
  <c r="B460" i="3"/>
  <c r="A460" i="3"/>
  <c r="V459" i="3"/>
  <c r="U459" i="3"/>
  <c r="B459" i="3"/>
  <c r="A459" i="3"/>
  <c r="V458" i="3"/>
  <c r="U458" i="3"/>
  <c r="B458" i="3"/>
  <c r="A458" i="3"/>
  <c r="V457" i="3"/>
  <c r="U457" i="3"/>
  <c r="B457" i="3"/>
  <c r="A457" i="3"/>
  <c r="V456" i="3"/>
  <c r="U456" i="3"/>
  <c r="B456" i="3"/>
  <c r="A456" i="3"/>
  <c r="V455" i="3"/>
  <c r="U455" i="3"/>
  <c r="B455" i="3"/>
  <c r="A455" i="3"/>
  <c r="U454" i="3"/>
  <c r="T483" i="3"/>
  <c r="B454" i="3"/>
  <c r="A454" i="3"/>
  <c r="V453" i="3"/>
  <c r="U453" i="3"/>
  <c r="B453" i="3"/>
  <c r="A453" i="3"/>
  <c r="V452" i="3"/>
  <c r="U452" i="3"/>
  <c r="B452" i="3"/>
  <c r="A452" i="3"/>
  <c r="V451" i="3"/>
  <c r="U451" i="3"/>
  <c r="B451" i="3"/>
  <c r="A451" i="3"/>
  <c r="V450" i="3"/>
  <c r="U450" i="3"/>
  <c r="B450" i="3"/>
  <c r="A450" i="3"/>
  <c r="V449" i="3"/>
  <c r="U449" i="3"/>
  <c r="B449" i="3"/>
  <c r="A449" i="3"/>
  <c r="V448" i="3"/>
  <c r="U448" i="3"/>
  <c r="B448" i="3"/>
  <c r="A448" i="3"/>
  <c r="U447" i="3"/>
  <c r="B447" i="3"/>
  <c r="A447" i="3"/>
  <c r="V446" i="3"/>
  <c r="U446" i="3"/>
  <c r="B446" i="3"/>
  <c r="A446" i="3"/>
  <c r="AF434" i="3"/>
  <c r="AB434" i="3"/>
  <c r="AA434" i="3"/>
  <c r="AA436" i="3" s="1"/>
  <c r="R434" i="3"/>
  <c r="N434" i="3"/>
  <c r="M434" i="3"/>
  <c r="L434" i="3"/>
  <c r="I434" i="3"/>
  <c r="G434" i="3"/>
  <c r="G436" i="3" s="1"/>
  <c r="B433" i="3"/>
  <c r="A433" i="3"/>
  <c r="B432" i="3"/>
  <c r="A432" i="3"/>
  <c r="B431" i="3"/>
  <c r="A431" i="3"/>
  <c r="B430" i="3"/>
  <c r="A430" i="3"/>
  <c r="V429" i="3"/>
  <c r="U429" i="3"/>
  <c r="B429" i="3"/>
  <c r="A429" i="3"/>
  <c r="V428" i="3"/>
  <c r="U428" i="3"/>
  <c r="B428" i="3"/>
  <c r="A428" i="3"/>
  <c r="V427" i="3"/>
  <c r="S434" i="3"/>
  <c r="B427" i="3"/>
  <c r="A427" i="3"/>
  <c r="V426" i="3"/>
  <c r="U426" i="3"/>
  <c r="B426" i="3"/>
  <c r="A426" i="3"/>
  <c r="U425" i="3"/>
  <c r="V425" i="3"/>
  <c r="B425" i="3"/>
  <c r="A425" i="3"/>
  <c r="V424" i="3"/>
  <c r="U424" i="3"/>
  <c r="B424" i="3"/>
  <c r="A424" i="3"/>
  <c r="V423" i="3"/>
  <c r="U423" i="3"/>
  <c r="B423" i="3"/>
  <c r="A423" i="3"/>
  <c r="U422" i="3"/>
  <c r="V422" i="3"/>
  <c r="B422" i="3"/>
  <c r="A422" i="3"/>
  <c r="V421" i="3"/>
  <c r="U421" i="3"/>
  <c r="B421" i="3"/>
  <c r="A421" i="3"/>
  <c r="U420" i="3"/>
  <c r="B420" i="3"/>
  <c r="A420" i="3"/>
  <c r="U419" i="3"/>
  <c r="V419" i="3"/>
  <c r="B419" i="3"/>
  <c r="A419" i="3"/>
  <c r="V418" i="3"/>
  <c r="U418" i="3"/>
  <c r="B418" i="3"/>
  <c r="A418" i="3"/>
  <c r="V417" i="3"/>
  <c r="U417" i="3"/>
  <c r="B417" i="3"/>
  <c r="A417" i="3"/>
  <c r="V416" i="3"/>
  <c r="U416" i="3"/>
  <c r="B416" i="3"/>
  <c r="A416" i="3"/>
  <c r="V415" i="3"/>
  <c r="U415" i="3"/>
  <c r="B415" i="3"/>
  <c r="A415" i="3"/>
  <c r="U414" i="3"/>
  <c r="V414" i="3"/>
  <c r="B414" i="3"/>
  <c r="A414" i="3"/>
  <c r="V413" i="3"/>
  <c r="U413" i="3"/>
  <c r="B413" i="3"/>
  <c r="A413" i="3"/>
  <c r="U412" i="3"/>
  <c r="V412" i="3"/>
  <c r="B412" i="3"/>
  <c r="A412" i="3"/>
  <c r="U411" i="3"/>
  <c r="V411" i="3"/>
  <c r="B411" i="3"/>
  <c r="A411" i="3"/>
  <c r="V410" i="3"/>
  <c r="U410" i="3"/>
  <c r="B410" i="3"/>
  <c r="A410" i="3"/>
  <c r="V409" i="3"/>
  <c r="U409" i="3"/>
  <c r="B409" i="3"/>
  <c r="A409" i="3"/>
  <c r="V408" i="3"/>
  <c r="U408" i="3"/>
  <c r="B408" i="3"/>
  <c r="A408" i="3"/>
  <c r="V407" i="3"/>
  <c r="U407" i="3"/>
  <c r="B407" i="3"/>
  <c r="A407" i="3"/>
  <c r="V406" i="3"/>
  <c r="U406" i="3"/>
  <c r="B406" i="3"/>
  <c r="A406" i="3"/>
  <c r="U405" i="3"/>
  <c r="B405" i="3"/>
  <c r="A405" i="3"/>
  <c r="V404" i="3"/>
  <c r="U404" i="3"/>
  <c r="B404" i="3"/>
  <c r="A404" i="3"/>
  <c r="V403" i="3"/>
  <c r="U403" i="3"/>
  <c r="B403" i="3"/>
  <c r="A403" i="3"/>
  <c r="V402" i="3"/>
  <c r="U402" i="3"/>
  <c r="B402" i="3"/>
  <c r="A402" i="3"/>
  <c r="V401" i="3"/>
  <c r="U401" i="3"/>
  <c r="B401" i="3"/>
  <c r="A401" i="3"/>
  <c r="V400" i="3"/>
  <c r="U400" i="3"/>
  <c r="B400" i="3"/>
  <c r="A400" i="3"/>
  <c r="V399" i="3"/>
  <c r="U399" i="3"/>
  <c r="B399" i="3"/>
  <c r="A399" i="3"/>
  <c r="V398" i="3"/>
  <c r="U398" i="3"/>
  <c r="B398" i="3"/>
  <c r="A398" i="3"/>
  <c r="V397" i="3"/>
  <c r="U397" i="3"/>
  <c r="B397" i="3"/>
  <c r="A397" i="3"/>
  <c r="AF385" i="3"/>
  <c r="AB385" i="3"/>
  <c r="AA385" i="3"/>
  <c r="R385" i="3"/>
  <c r="N385" i="3"/>
  <c r="M385" i="3"/>
  <c r="M387" i="3" s="1"/>
  <c r="L385" i="3"/>
  <c r="L387" i="3" s="1"/>
  <c r="I385" i="3"/>
  <c r="I387" i="3" s="1"/>
  <c r="G385" i="3"/>
  <c r="G387" i="3" s="1"/>
  <c r="B384" i="3"/>
  <c r="A384" i="3"/>
  <c r="B383" i="3"/>
  <c r="A383" i="3"/>
  <c r="B382" i="3"/>
  <c r="A382" i="3"/>
  <c r="B381" i="3"/>
  <c r="A381" i="3"/>
  <c r="V380" i="3"/>
  <c r="U380" i="3"/>
  <c r="B380" i="3"/>
  <c r="A380" i="3"/>
  <c r="V379" i="3"/>
  <c r="U379" i="3"/>
  <c r="B379" i="3"/>
  <c r="A379" i="3"/>
  <c r="V378" i="3"/>
  <c r="S385" i="3"/>
  <c r="U378" i="3"/>
  <c r="B378" i="3"/>
  <c r="A378" i="3"/>
  <c r="V377" i="3"/>
  <c r="U377" i="3"/>
  <c r="B377" i="3"/>
  <c r="A377" i="3"/>
  <c r="U376" i="3"/>
  <c r="V376" i="3"/>
  <c r="B376" i="3"/>
  <c r="A376" i="3"/>
  <c r="V375" i="3"/>
  <c r="O385" i="3"/>
  <c r="B375" i="3"/>
  <c r="A375" i="3"/>
  <c r="V374" i="3"/>
  <c r="U374" i="3"/>
  <c r="B374" i="3"/>
  <c r="A374" i="3"/>
  <c r="U373" i="3"/>
  <c r="V373" i="3"/>
  <c r="B373" i="3"/>
  <c r="A373" i="3"/>
  <c r="V372" i="3"/>
  <c r="U372" i="3"/>
  <c r="B372" i="3"/>
  <c r="A372" i="3"/>
  <c r="U371" i="3"/>
  <c r="V371" i="3"/>
  <c r="B371" i="3"/>
  <c r="A371" i="3"/>
  <c r="U370" i="3"/>
  <c r="V370" i="3"/>
  <c r="B370" i="3"/>
  <c r="A370" i="3"/>
  <c r="V369" i="3"/>
  <c r="U369" i="3"/>
  <c r="B369" i="3"/>
  <c r="A369" i="3"/>
  <c r="V368" i="3"/>
  <c r="U368" i="3"/>
  <c r="B368" i="3"/>
  <c r="A368" i="3"/>
  <c r="V367" i="3"/>
  <c r="U367" i="3"/>
  <c r="B367" i="3"/>
  <c r="A367" i="3"/>
  <c r="V366" i="3"/>
  <c r="U366" i="3"/>
  <c r="B366" i="3"/>
  <c r="A366" i="3"/>
  <c r="U365" i="3"/>
  <c r="V365" i="3"/>
  <c r="B365" i="3"/>
  <c r="A365" i="3"/>
  <c r="V364" i="3"/>
  <c r="U364" i="3"/>
  <c r="B364" i="3"/>
  <c r="A364" i="3"/>
  <c r="U363" i="3"/>
  <c r="V363" i="3"/>
  <c r="B363" i="3"/>
  <c r="A363" i="3"/>
  <c r="U362" i="3"/>
  <c r="B362" i="3"/>
  <c r="A362" i="3"/>
  <c r="V361" i="3"/>
  <c r="U361" i="3"/>
  <c r="B361" i="3"/>
  <c r="A361" i="3"/>
  <c r="V360" i="3"/>
  <c r="U360" i="3"/>
  <c r="B360" i="3"/>
  <c r="A360" i="3"/>
  <c r="V359" i="3"/>
  <c r="U359" i="3"/>
  <c r="B359" i="3"/>
  <c r="A359" i="3"/>
  <c r="V358" i="3"/>
  <c r="U358" i="3"/>
  <c r="B358" i="3"/>
  <c r="A358" i="3"/>
  <c r="V357" i="3"/>
  <c r="U357" i="3"/>
  <c r="B357" i="3"/>
  <c r="A357" i="3"/>
  <c r="U356" i="3"/>
  <c r="V356" i="3"/>
  <c r="B356" i="3"/>
  <c r="A356" i="3"/>
  <c r="V355" i="3"/>
  <c r="U355" i="3"/>
  <c r="B355" i="3"/>
  <c r="A355" i="3"/>
  <c r="V354" i="3"/>
  <c r="U354" i="3"/>
  <c r="B354" i="3"/>
  <c r="A354" i="3"/>
  <c r="V353" i="3"/>
  <c r="U353" i="3"/>
  <c r="B353" i="3"/>
  <c r="A353" i="3"/>
  <c r="V352" i="3"/>
  <c r="U352" i="3"/>
  <c r="B352" i="3"/>
  <c r="A352" i="3"/>
  <c r="V351" i="3"/>
  <c r="U351" i="3"/>
  <c r="B351" i="3"/>
  <c r="A351" i="3"/>
  <c r="V350" i="3"/>
  <c r="U350" i="3"/>
  <c r="B350" i="3"/>
  <c r="A350" i="3"/>
  <c r="V349" i="3"/>
  <c r="U349" i="3"/>
  <c r="B349" i="3"/>
  <c r="A349" i="3"/>
  <c r="V348" i="3"/>
  <c r="U348" i="3"/>
  <c r="B348" i="3"/>
  <c r="A348" i="3"/>
  <c r="AF336" i="3"/>
  <c r="AB336" i="3"/>
  <c r="AA336" i="3"/>
  <c r="AA338" i="3" s="1"/>
  <c r="R336" i="3"/>
  <c r="N336" i="3"/>
  <c r="N338" i="3" s="1"/>
  <c r="M336" i="3"/>
  <c r="M338" i="3" s="1"/>
  <c r="L336" i="3"/>
  <c r="L338" i="3" s="1"/>
  <c r="I336" i="3"/>
  <c r="I338" i="3" s="1"/>
  <c r="G336" i="3"/>
  <c r="G338" i="3" s="1"/>
  <c r="B335" i="3"/>
  <c r="A335" i="3"/>
  <c r="B334" i="3"/>
  <c r="A334" i="3"/>
  <c r="B333" i="3"/>
  <c r="A333" i="3"/>
  <c r="B332" i="3"/>
  <c r="A332" i="3"/>
  <c r="V331" i="3"/>
  <c r="U331" i="3"/>
  <c r="B331" i="3"/>
  <c r="A331" i="3"/>
  <c r="V330" i="3"/>
  <c r="U330" i="3"/>
  <c r="B330" i="3"/>
  <c r="A330" i="3"/>
  <c r="S336" i="3"/>
  <c r="U329" i="3"/>
  <c r="B329" i="3"/>
  <c r="A329" i="3"/>
  <c r="V328" i="3"/>
  <c r="U328" i="3"/>
  <c r="B328" i="3"/>
  <c r="A328" i="3"/>
  <c r="U327" i="3"/>
  <c r="V327" i="3"/>
  <c r="B327" i="3"/>
  <c r="A327" i="3"/>
  <c r="V326" i="3"/>
  <c r="O336" i="3"/>
  <c r="B326" i="3"/>
  <c r="A326" i="3"/>
  <c r="V325" i="3"/>
  <c r="U325" i="3"/>
  <c r="B325" i="3"/>
  <c r="A325" i="3"/>
  <c r="U324" i="3"/>
  <c r="V324" i="3"/>
  <c r="B324" i="3"/>
  <c r="A324" i="3"/>
  <c r="V323" i="3"/>
  <c r="U323" i="3"/>
  <c r="B323" i="3"/>
  <c r="A323" i="3"/>
  <c r="U322" i="3"/>
  <c r="B322" i="3"/>
  <c r="A322" i="3"/>
  <c r="U321" i="3"/>
  <c r="V321" i="3"/>
  <c r="B321" i="3"/>
  <c r="A321" i="3"/>
  <c r="V320" i="3"/>
  <c r="U320" i="3"/>
  <c r="B320" i="3"/>
  <c r="A320" i="3"/>
  <c r="V319" i="3"/>
  <c r="U319" i="3"/>
  <c r="B319" i="3"/>
  <c r="A319" i="3"/>
  <c r="V318" i="3"/>
  <c r="U318" i="3"/>
  <c r="B318" i="3"/>
  <c r="A318" i="3"/>
  <c r="V317" i="3"/>
  <c r="U317" i="3"/>
  <c r="B317" i="3"/>
  <c r="A317" i="3"/>
  <c r="U316" i="3"/>
  <c r="V316" i="3"/>
  <c r="B316" i="3"/>
  <c r="A316" i="3"/>
  <c r="V315" i="3"/>
  <c r="U315" i="3"/>
  <c r="B315" i="3"/>
  <c r="A315" i="3"/>
  <c r="U314" i="3"/>
  <c r="V314" i="3"/>
  <c r="B314" i="3"/>
  <c r="A314" i="3"/>
  <c r="U313" i="3"/>
  <c r="B313" i="3"/>
  <c r="A313" i="3"/>
  <c r="V312" i="3"/>
  <c r="U312" i="3"/>
  <c r="B312" i="3"/>
  <c r="A312" i="3"/>
  <c r="V311" i="3"/>
  <c r="U311" i="3"/>
  <c r="B311" i="3"/>
  <c r="A311" i="3"/>
  <c r="V310" i="3"/>
  <c r="U310" i="3"/>
  <c r="B310" i="3"/>
  <c r="A310" i="3"/>
  <c r="V309" i="3"/>
  <c r="U309" i="3"/>
  <c r="B309" i="3"/>
  <c r="A309" i="3"/>
  <c r="V308" i="3"/>
  <c r="U308" i="3"/>
  <c r="B308" i="3"/>
  <c r="A308" i="3"/>
  <c r="U307" i="3"/>
  <c r="V307" i="3"/>
  <c r="B307" i="3"/>
  <c r="A307" i="3"/>
  <c r="V306" i="3"/>
  <c r="U306" i="3"/>
  <c r="B306" i="3"/>
  <c r="A306" i="3"/>
  <c r="V305" i="3"/>
  <c r="U305" i="3"/>
  <c r="B305" i="3"/>
  <c r="A305" i="3"/>
  <c r="V304" i="3"/>
  <c r="U304" i="3"/>
  <c r="B304" i="3"/>
  <c r="A304" i="3"/>
  <c r="V303" i="3"/>
  <c r="U303" i="3"/>
  <c r="B303" i="3"/>
  <c r="A303" i="3"/>
  <c r="V302" i="3"/>
  <c r="U302" i="3"/>
  <c r="B302" i="3"/>
  <c r="A302" i="3"/>
  <c r="V301" i="3"/>
  <c r="U301" i="3"/>
  <c r="B301" i="3"/>
  <c r="A301" i="3"/>
  <c r="V300" i="3"/>
  <c r="U300" i="3"/>
  <c r="B300" i="3"/>
  <c r="A300" i="3"/>
  <c r="V299" i="3"/>
  <c r="U299" i="3"/>
  <c r="B299" i="3"/>
  <c r="A299" i="3"/>
  <c r="AF287" i="3"/>
  <c r="AB287" i="3"/>
  <c r="AA287" i="3"/>
  <c r="R287" i="3"/>
  <c r="N287" i="3"/>
  <c r="M287" i="3"/>
  <c r="M289" i="3" s="1"/>
  <c r="L287" i="3"/>
  <c r="L289" i="3" s="1"/>
  <c r="I287" i="3"/>
  <c r="I289" i="3" s="1"/>
  <c r="G287" i="3"/>
  <c r="G289" i="3" s="1"/>
  <c r="B286" i="3"/>
  <c r="A286" i="3"/>
  <c r="B285" i="3"/>
  <c r="A285" i="3"/>
  <c r="B284" i="3"/>
  <c r="A284" i="3"/>
  <c r="B283" i="3"/>
  <c r="A283" i="3"/>
  <c r="V282" i="3"/>
  <c r="U282" i="3"/>
  <c r="B282" i="3"/>
  <c r="A282" i="3"/>
  <c r="V281" i="3"/>
  <c r="U281" i="3"/>
  <c r="B281" i="3"/>
  <c r="A281" i="3"/>
  <c r="V280" i="3"/>
  <c r="S287" i="3"/>
  <c r="U280" i="3"/>
  <c r="B280" i="3"/>
  <c r="A280" i="3"/>
  <c r="V279" i="3"/>
  <c r="U279" i="3"/>
  <c r="B279" i="3"/>
  <c r="A279" i="3"/>
  <c r="U278" i="3"/>
  <c r="B278" i="3"/>
  <c r="A278" i="3"/>
  <c r="V277" i="3"/>
  <c r="U277" i="3"/>
  <c r="B277" i="3"/>
  <c r="A277" i="3"/>
  <c r="V276" i="3"/>
  <c r="U276" i="3"/>
  <c r="B276" i="3"/>
  <c r="A276" i="3"/>
  <c r="U275" i="3"/>
  <c r="V275" i="3"/>
  <c r="B275" i="3"/>
  <c r="A275" i="3"/>
  <c r="V274" i="3"/>
  <c r="U274" i="3"/>
  <c r="B274" i="3"/>
  <c r="A274" i="3"/>
  <c r="B273" i="3"/>
  <c r="A273" i="3"/>
  <c r="U272" i="3"/>
  <c r="V272" i="3"/>
  <c r="B272" i="3"/>
  <c r="A272" i="3"/>
  <c r="V271" i="3"/>
  <c r="U271" i="3"/>
  <c r="B271" i="3"/>
  <c r="A271" i="3"/>
  <c r="V270" i="3"/>
  <c r="U270" i="3"/>
  <c r="B270" i="3"/>
  <c r="A270" i="3"/>
  <c r="V269" i="3"/>
  <c r="U269" i="3"/>
  <c r="B269" i="3"/>
  <c r="A269" i="3"/>
  <c r="V268" i="3"/>
  <c r="U268" i="3"/>
  <c r="B268" i="3"/>
  <c r="A268" i="3"/>
  <c r="U267" i="3"/>
  <c r="V267" i="3"/>
  <c r="B267" i="3"/>
  <c r="A267" i="3"/>
  <c r="V266" i="3"/>
  <c r="U266" i="3"/>
  <c r="B266" i="3"/>
  <c r="A266" i="3"/>
  <c r="U265" i="3"/>
  <c r="V265" i="3"/>
  <c r="B265" i="3"/>
  <c r="A265" i="3"/>
  <c r="B264" i="3"/>
  <c r="A264" i="3"/>
  <c r="V263" i="3"/>
  <c r="U263" i="3"/>
  <c r="B263" i="3"/>
  <c r="A263" i="3"/>
  <c r="V262" i="3"/>
  <c r="U262" i="3"/>
  <c r="B262" i="3"/>
  <c r="A262" i="3"/>
  <c r="V261" i="3"/>
  <c r="U261" i="3"/>
  <c r="B261" i="3"/>
  <c r="A261" i="3"/>
  <c r="V260" i="3"/>
  <c r="U260" i="3"/>
  <c r="B260" i="3"/>
  <c r="A260" i="3"/>
  <c r="V259" i="3"/>
  <c r="U259" i="3"/>
  <c r="B259" i="3"/>
  <c r="A259" i="3"/>
  <c r="U258" i="3"/>
  <c r="B258" i="3"/>
  <c r="A258" i="3"/>
  <c r="V257" i="3"/>
  <c r="U257" i="3"/>
  <c r="B257" i="3"/>
  <c r="A257" i="3"/>
  <c r="V256" i="3"/>
  <c r="U256" i="3"/>
  <c r="B256" i="3"/>
  <c r="A256" i="3"/>
  <c r="V255" i="3"/>
  <c r="U255" i="3"/>
  <c r="B255" i="3"/>
  <c r="A255" i="3"/>
  <c r="V254" i="3"/>
  <c r="U254" i="3"/>
  <c r="B254" i="3"/>
  <c r="A254" i="3"/>
  <c r="V253" i="3"/>
  <c r="U253" i="3"/>
  <c r="B253" i="3"/>
  <c r="A253" i="3"/>
  <c r="V252" i="3"/>
  <c r="U252" i="3"/>
  <c r="B252" i="3"/>
  <c r="A252" i="3"/>
  <c r="U251" i="3"/>
  <c r="P287" i="3"/>
  <c r="B251" i="3"/>
  <c r="A251" i="3"/>
  <c r="V250" i="3"/>
  <c r="U250" i="3"/>
  <c r="B250" i="3"/>
  <c r="A250" i="3"/>
  <c r="AF237" i="3"/>
  <c r="AB237" i="3"/>
  <c r="AA237" i="3"/>
  <c r="AA239" i="3" s="1"/>
  <c r="R237" i="3"/>
  <c r="N237" i="3"/>
  <c r="N239" i="3" s="1"/>
  <c r="M237" i="3"/>
  <c r="M239" i="3" s="1"/>
  <c r="L237" i="3"/>
  <c r="L239" i="3" s="1"/>
  <c r="I237" i="3"/>
  <c r="I239" i="3" s="1"/>
  <c r="G237" i="3"/>
  <c r="G239" i="3" s="1"/>
  <c r="B236" i="3"/>
  <c r="A236" i="3"/>
  <c r="B235" i="3"/>
  <c r="A235" i="3"/>
  <c r="B234" i="3"/>
  <c r="A234" i="3"/>
  <c r="B233" i="3"/>
  <c r="A233" i="3"/>
  <c r="V232" i="3"/>
  <c r="U232" i="3"/>
  <c r="B232" i="3"/>
  <c r="A232" i="3"/>
  <c r="V231" i="3"/>
  <c r="U231" i="3"/>
  <c r="B231" i="3"/>
  <c r="A231" i="3"/>
  <c r="S237" i="3"/>
  <c r="U230" i="3"/>
  <c r="B230" i="3"/>
  <c r="A230" i="3"/>
  <c r="V229" i="3"/>
  <c r="U229" i="3"/>
  <c r="B229" i="3"/>
  <c r="A229" i="3"/>
  <c r="U228" i="3"/>
  <c r="V228" i="3"/>
  <c r="B228" i="3"/>
  <c r="A228" i="3"/>
  <c r="V227" i="3"/>
  <c r="O237" i="3"/>
  <c r="B227" i="3"/>
  <c r="A227" i="3"/>
  <c r="V226" i="3"/>
  <c r="U226" i="3"/>
  <c r="B226" i="3"/>
  <c r="A226" i="3"/>
  <c r="U225" i="3"/>
  <c r="V225" i="3"/>
  <c r="B225" i="3"/>
  <c r="A225" i="3"/>
  <c r="V224" i="3"/>
  <c r="U224" i="3"/>
  <c r="B224" i="3"/>
  <c r="A224" i="3"/>
  <c r="U223" i="3"/>
  <c r="B223" i="3"/>
  <c r="A223" i="3"/>
  <c r="U222" i="3"/>
  <c r="V222" i="3"/>
  <c r="B222" i="3"/>
  <c r="A222" i="3"/>
  <c r="V221" i="3"/>
  <c r="U221" i="3"/>
  <c r="B221" i="3"/>
  <c r="A221" i="3"/>
  <c r="V220" i="3"/>
  <c r="U220" i="3"/>
  <c r="B220" i="3"/>
  <c r="A220" i="3"/>
  <c r="V219" i="3"/>
  <c r="U219" i="3"/>
  <c r="B219" i="3"/>
  <c r="A219" i="3"/>
  <c r="V218" i="3"/>
  <c r="U218" i="3"/>
  <c r="B218" i="3"/>
  <c r="A218" i="3"/>
  <c r="U217" i="3"/>
  <c r="V217" i="3"/>
  <c r="B217" i="3"/>
  <c r="A217" i="3"/>
  <c r="V216" i="3"/>
  <c r="U216" i="3"/>
  <c r="B216" i="3"/>
  <c r="A216" i="3"/>
  <c r="U215" i="3"/>
  <c r="V215" i="3"/>
  <c r="B215" i="3"/>
  <c r="A215" i="3"/>
  <c r="U214" i="3"/>
  <c r="V214" i="3"/>
  <c r="B214" i="3"/>
  <c r="A214" i="3"/>
  <c r="V213" i="3"/>
  <c r="U213" i="3"/>
  <c r="B213" i="3"/>
  <c r="A213" i="3"/>
  <c r="V212" i="3"/>
  <c r="U212" i="3"/>
  <c r="B212" i="3"/>
  <c r="A212" i="3"/>
  <c r="V211" i="3"/>
  <c r="U211" i="3"/>
  <c r="B211" i="3"/>
  <c r="A211" i="3"/>
  <c r="V210" i="3"/>
  <c r="U210" i="3"/>
  <c r="B210" i="3"/>
  <c r="A210" i="3"/>
  <c r="V209" i="3"/>
  <c r="U209" i="3"/>
  <c r="B209" i="3"/>
  <c r="A209" i="3"/>
  <c r="U208" i="3"/>
  <c r="T237" i="3"/>
  <c r="B208" i="3"/>
  <c r="A208" i="3"/>
  <c r="V207" i="3"/>
  <c r="U207" i="3"/>
  <c r="B207" i="3"/>
  <c r="A207" i="3"/>
  <c r="V206" i="3"/>
  <c r="U206" i="3"/>
  <c r="B206" i="3"/>
  <c r="A206" i="3"/>
  <c r="V205" i="3"/>
  <c r="U205" i="3"/>
  <c r="B205" i="3"/>
  <c r="A205" i="3"/>
  <c r="V204" i="3"/>
  <c r="U204" i="3"/>
  <c r="B204" i="3"/>
  <c r="A204" i="3"/>
  <c r="V203" i="3"/>
  <c r="U203" i="3"/>
  <c r="B203" i="3"/>
  <c r="A203" i="3"/>
  <c r="V202" i="3"/>
  <c r="U202" i="3"/>
  <c r="B202" i="3"/>
  <c r="A202" i="3"/>
  <c r="U201" i="3"/>
  <c r="B201" i="3"/>
  <c r="A201" i="3"/>
  <c r="V200" i="3"/>
  <c r="U200" i="3"/>
  <c r="B200" i="3"/>
  <c r="A200" i="3"/>
  <c r="AF188" i="3"/>
  <c r="AB188" i="3"/>
  <c r="AA188" i="3"/>
  <c r="AA190" i="3" s="1"/>
  <c r="R188" i="3"/>
  <c r="N188" i="3"/>
  <c r="N190" i="3" s="1"/>
  <c r="M188" i="3"/>
  <c r="M190" i="3" s="1"/>
  <c r="L188" i="3"/>
  <c r="L190" i="3" s="1"/>
  <c r="I188" i="3"/>
  <c r="I190" i="3" s="1"/>
  <c r="G188" i="3"/>
  <c r="G190" i="3" s="1"/>
  <c r="B187" i="3"/>
  <c r="A187" i="3"/>
  <c r="B186" i="3"/>
  <c r="A186" i="3"/>
  <c r="B185" i="3"/>
  <c r="A185" i="3"/>
  <c r="B184" i="3"/>
  <c r="A184" i="3"/>
  <c r="V183" i="3"/>
  <c r="U183" i="3"/>
  <c r="B183" i="3"/>
  <c r="A183" i="3"/>
  <c r="V182" i="3"/>
  <c r="U182" i="3"/>
  <c r="B182" i="3"/>
  <c r="A182" i="3"/>
  <c r="V181" i="3"/>
  <c r="S188" i="3"/>
  <c r="U181" i="3"/>
  <c r="B181" i="3"/>
  <c r="A181" i="3"/>
  <c r="V180" i="3"/>
  <c r="U180" i="3"/>
  <c r="B180" i="3"/>
  <c r="A180" i="3"/>
  <c r="U179" i="3"/>
  <c r="V179" i="3"/>
  <c r="B179" i="3"/>
  <c r="A179" i="3"/>
  <c r="V178" i="3"/>
  <c r="U178" i="3"/>
  <c r="B178" i="3"/>
  <c r="A178" i="3"/>
  <c r="V177" i="3"/>
  <c r="U177" i="3"/>
  <c r="B177" i="3"/>
  <c r="A177" i="3"/>
  <c r="U176" i="3"/>
  <c r="V176" i="3"/>
  <c r="B176" i="3"/>
  <c r="A176" i="3"/>
  <c r="V175" i="3"/>
  <c r="U175" i="3"/>
  <c r="B175" i="3"/>
  <c r="A175" i="3"/>
  <c r="U174" i="3"/>
  <c r="V174" i="3"/>
  <c r="B174" i="3"/>
  <c r="A174" i="3"/>
  <c r="U173" i="3"/>
  <c r="V173" i="3"/>
  <c r="B173" i="3"/>
  <c r="A173" i="3"/>
  <c r="V172" i="3"/>
  <c r="U172" i="3"/>
  <c r="B172" i="3"/>
  <c r="A172" i="3"/>
  <c r="V171" i="3"/>
  <c r="U171" i="3"/>
  <c r="B171" i="3"/>
  <c r="A171" i="3"/>
  <c r="V170" i="3"/>
  <c r="U170" i="3"/>
  <c r="B170" i="3"/>
  <c r="A170" i="3"/>
  <c r="V169" i="3"/>
  <c r="U169" i="3"/>
  <c r="B169" i="3"/>
  <c r="A169" i="3"/>
  <c r="U168" i="3"/>
  <c r="V168" i="3"/>
  <c r="B168" i="3"/>
  <c r="A168" i="3"/>
  <c r="V167" i="3"/>
  <c r="U167" i="3"/>
  <c r="B167" i="3"/>
  <c r="A167" i="3"/>
  <c r="U166" i="3"/>
  <c r="V166" i="3"/>
  <c r="B166" i="3"/>
  <c r="A166" i="3"/>
  <c r="U165" i="3"/>
  <c r="V165" i="3"/>
  <c r="B165" i="3"/>
  <c r="A165" i="3"/>
  <c r="V164" i="3"/>
  <c r="U164" i="3"/>
  <c r="B164" i="3"/>
  <c r="A164" i="3"/>
  <c r="V163" i="3"/>
  <c r="U163" i="3"/>
  <c r="B163" i="3"/>
  <c r="A163" i="3"/>
  <c r="V162" i="3"/>
  <c r="U162" i="3"/>
  <c r="B162" i="3"/>
  <c r="A162" i="3"/>
  <c r="V161" i="3"/>
  <c r="U161" i="3"/>
  <c r="B161" i="3"/>
  <c r="A161" i="3"/>
  <c r="V160" i="3"/>
  <c r="U160" i="3"/>
  <c r="B160" i="3"/>
  <c r="A160" i="3"/>
  <c r="U159" i="3"/>
  <c r="B159" i="3"/>
  <c r="A159" i="3"/>
  <c r="V158" i="3"/>
  <c r="U158" i="3"/>
  <c r="B158" i="3"/>
  <c r="A158" i="3"/>
  <c r="V157" i="3"/>
  <c r="U157" i="3"/>
  <c r="B157" i="3"/>
  <c r="A157" i="3"/>
  <c r="V156" i="3"/>
  <c r="U156" i="3"/>
  <c r="B156" i="3"/>
  <c r="A156" i="3"/>
  <c r="V155" i="3"/>
  <c r="U155" i="3"/>
  <c r="B155" i="3"/>
  <c r="A155" i="3"/>
  <c r="V154" i="3"/>
  <c r="U154" i="3"/>
  <c r="B154" i="3"/>
  <c r="A154" i="3"/>
  <c r="V153" i="3"/>
  <c r="U153" i="3"/>
  <c r="B153" i="3"/>
  <c r="A153" i="3"/>
  <c r="U152" i="3"/>
  <c r="B152" i="3"/>
  <c r="A152" i="3"/>
  <c r="U151" i="3"/>
  <c r="B151" i="3"/>
  <c r="A151" i="3"/>
  <c r="AF139" i="3"/>
  <c r="AB139" i="3"/>
  <c r="AA139" i="3"/>
  <c r="AA141" i="3" s="1"/>
  <c r="R139" i="3"/>
  <c r="N139" i="3"/>
  <c r="M139" i="3"/>
  <c r="M141" i="3" s="1"/>
  <c r="L139" i="3"/>
  <c r="L141" i="3" s="1"/>
  <c r="I139" i="3"/>
  <c r="I141" i="3" s="1"/>
  <c r="G139" i="3"/>
  <c r="G141" i="3" s="1"/>
  <c r="B138" i="3"/>
  <c r="A138" i="3"/>
  <c r="B137" i="3"/>
  <c r="A137" i="3"/>
  <c r="B136" i="3"/>
  <c r="A136" i="3"/>
  <c r="B135" i="3"/>
  <c r="A135" i="3"/>
  <c r="V134" i="3"/>
  <c r="U134" i="3"/>
  <c r="B134" i="3"/>
  <c r="A134" i="3"/>
  <c r="V133" i="3"/>
  <c r="U133" i="3"/>
  <c r="B133" i="3"/>
  <c r="A133" i="3"/>
  <c r="V132" i="3"/>
  <c r="S139" i="3"/>
  <c r="U132" i="3"/>
  <c r="B132" i="3"/>
  <c r="A132" i="3"/>
  <c r="V131" i="3"/>
  <c r="U131" i="3"/>
  <c r="B131" i="3"/>
  <c r="A131" i="3"/>
  <c r="U130" i="3"/>
  <c r="V130" i="3"/>
  <c r="B130" i="3"/>
  <c r="A130" i="3"/>
  <c r="V129" i="3"/>
  <c r="O139" i="3"/>
  <c r="B129" i="3"/>
  <c r="A129" i="3"/>
  <c r="V128" i="3"/>
  <c r="U128" i="3"/>
  <c r="B128" i="3"/>
  <c r="A128" i="3"/>
  <c r="U127" i="3"/>
  <c r="V127" i="3"/>
  <c r="B127" i="3"/>
  <c r="A127" i="3"/>
  <c r="V126" i="3"/>
  <c r="U126" i="3"/>
  <c r="B126" i="3"/>
  <c r="A126" i="3"/>
  <c r="U125" i="3"/>
  <c r="V125" i="3"/>
  <c r="B125" i="3"/>
  <c r="A125" i="3"/>
  <c r="U124" i="3"/>
  <c r="V124" i="3"/>
  <c r="B124" i="3"/>
  <c r="A124" i="3"/>
  <c r="V123" i="3"/>
  <c r="U123" i="3"/>
  <c r="B123" i="3"/>
  <c r="A123" i="3"/>
  <c r="V122" i="3"/>
  <c r="U122" i="3"/>
  <c r="B122" i="3"/>
  <c r="A122" i="3"/>
  <c r="V121" i="3"/>
  <c r="U121" i="3"/>
  <c r="B121" i="3"/>
  <c r="A121" i="3"/>
  <c r="V120" i="3"/>
  <c r="U120" i="3"/>
  <c r="B120" i="3"/>
  <c r="A120" i="3"/>
  <c r="U119" i="3"/>
  <c r="V119" i="3"/>
  <c r="B119" i="3"/>
  <c r="A119" i="3"/>
  <c r="V118" i="3"/>
  <c r="U118" i="3"/>
  <c r="B118" i="3"/>
  <c r="A118" i="3"/>
  <c r="U117" i="3"/>
  <c r="V117" i="3"/>
  <c r="B117" i="3"/>
  <c r="A117" i="3"/>
  <c r="U116" i="3"/>
  <c r="B116" i="3"/>
  <c r="A116" i="3"/>
  <c r="V115" i="3"/>
  <c r="U115" i="3"/>
  <c r="B115" i="3"/>
  <c r="A115" i="3"/>
  <c r="V114" i="3"/>
  <c r="U114" i="3"/>
  <c r="B114" i="3"/>
  <c r="A114" i="3"/>
  <c r="V113" i="3"/>
  <c r="U113" i="3"/>
  <c r="B113" i="3"/>
  <c r="A113" i="3"/>
  <c r="V112" i="3"/>
  <c r="U112" i="3"/>
  <c r="B112" i="3"/>
  <c r="A112" i="3"/>
  <c r="V111" i="3"/>
  <c r="U111" i="3"/>
  <c r="B111" i="3"/>
  <c r="A111" i="3"/>
  <c r="U110" i="3"/>
  <c r="V110" i="3"/>
  <c r="B110" i="3"/>
  <c r="A110" i="3"/>
  <c r="V109" i="3"/>
  <c r="U109" i="3"/>
  <c r="B109" i="3"/>
  <c r="A109" i="3"/>
  <c r="V108" i="3"/>
  <c r="U108" i="3"/>
  <c r="B108" i="3"/>
  <c r="A108" i="3"/>
  <c r="V107" i="3"/>
  <c r="U107" i="3"/>
  <c r="B107" i="3"/>
  <c r="A107" i="3"/>
  <c r="V106" i="3"/>
  <c r="U106" i="3"/>
  <c r="B106" i="3"/>
  <c r="A106" i="3"/>
  <c r="V105" i="3"/>
  <c r="U105" i="3"/>
  <c r="B105" i="3"/>
  <c r="A105" i="3"/>
  <c r="V104" i="3"/>
  <c r="U104" i="3"/>
  <c r="B104" i="3"/>
  <c r="A104" i="3"/>
  <c r="V103" i="3"/>
  <c r="U103" i="3"/>
  <c r="B103" i="3"/>
  <c r="A103" i="3"/>
  <c r="V102" i="3"/>
  <c r="U102" i="3"/>
  <c r="B102" i="3"/>
  <c r="A102" i="3"/>
  <c r="AF90" i="3"/>
  <c r="AB90" i="3"/>
  <c r="AA90" i="3"/>
  <c r="R90" i="3"/>
  <c r="M90" i="3"/>
  <c r="M92" i="3" s="1"/>
  <c r="L90" i="3"/>
  <c r="L92" i="3" s="1"/>
  <c r="I90" i="3"/>
  <c r="I92" i="3" s="1"/>
  <c r="G90" i="3"/>
  <c r="G92" i="3" s="1"/>
  <c r="B89" i="3"/>
  <c r="A89" i="3"/>
  <c r="B88" i="3"/>
  <c r="A88" i="3"/>
  <c r="B87" i="3"/>
  <c r="A87" i="3"/>
  <c r="B86" i="3"/>
  <c r="A86" i="3"/>
  <c r="B85" i="3"/>
  <c r="A85" i="3"/>
  <c r="B84" i="3"/>
  <c r="A84" i="3"/>
  <c r="S90" i="3"/>
  <c r="B83" i="3"/>
  <c r="A83" i="3"/>
  <c r="B82" i="3"/>
  <c r="A82" i="3"/>
  <c r="B81" i="3"/>
  <c r="A81" i="3"/>
  <c r="O90" i="3"/>
  <c r="B80" i="3"/>
  <c r="A80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8" i="3"/>
  <c r="A68" i="3"/>
  <c r="B67" i="3"/>
  <c r="A67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N90" i="3"/>
  <c r="P139" i="3"/>
  <c r="P336" i="3"/>
  <c r="P385" i="3"/>
  <c r="T139" i="3"/>
  <c r="T188" i="3"/>
  <c r="T532" i="3"/>
  <c r="T584" i="3"/>
  <c r="T336" i="3"/>
  <c r="T385" i="3"/>
  <c r="P434" i="3"/>
  <c r="J584" i="3"/>
  <c r="H584" i="3"/>
  <c r="K584" i="3"/>
  <c r="P584" i="3"/>
  <c r="V548" i="3"/>
  <c r="V555" i="3"/>
  <c r="U574" i="3"/>
  <c r="J532" i="3"/>
  <c r="H532" i="3"/>
  <c r="K532" i="3"/>
  <c r="P532" i="3"/>
  <c r="V496" i="3"/>
  <c r="V503" i="3"/>
  <c r="J483" i="3"/>
  <c r="H483" i="3"/>
  <c r="K483" i="3"/>
  <c r="P483" i="3"/>
  <c r="V447" i="3"/>
  <c r="V454" i="3"/>
  <c r="U473" i="3"/>
  <c r="J434" i="3"/>
  <c r="H434" i="3"/>
  <c r="K434" i="3"/>
  <c r="V405" i="3"/>
  <c r="O434" i="3"/>
  <c r="J385" i="3"/>
  <c r="H385" i="3"/>
  <c r="K385" i="3"/>
  <c r="V362" i="3"/>
  <c r="U375" i="3"/>
  <c r="J336" i="3"/>
  <c r="H336" i="3"/>
  <c r="K336" i="3"/>
  <c r="K338" i="3" s="1"/>
  <c r="V313" i="3"/>
  <c r="U326" i="3"/>
  <c r="J287" i="3"/>
  <c r="J289" i="3" s="1"/>
  <c r="H287" i="3"/>
  <c r="K287" i="3"/>
  <c r="V258" i="3"/>
  <c r="O287" i="3"/>
  <c r="V251" i="3"/>
  <c r="J237" i="3"/>
  <c r="J239" i="3" s="1"/>
  <c r="H237" i="3"/>
  <c r="K237" i="3"/>
  <c r="K239" i="3" s="1"/>
  <c r="P237" i="3"/>
  <c r="V201" i="3"/>
  <c r="V208" i="3"/>
  <c r="U227" i="3"/>
  <c r="J188" i="3"/>
  <c r="K188" i="3"/>
  <c r="H188" i="3"/>
  <c r="V159" i="3"/>
  <c r="V152" i="3"/>
  <c r="O188" i="3"/>
  <c r="P191" i="3" s="1"/>
  <c r="J139" i="3"/>
  <c r="H139" i="3"/>
  <c r="H141" i="3" s="1"/>
  <c r="K139" i="3"/>
  <c r="K141" i="3" s="1"/>
  <c r="V116" i="3"/>
  <c r="U129" i="3"/>
  <c r="J90" i="3"/>
  <c r="J92" i="3" s="1"/>
  <c r="H90" i="3"/>
  <c r="K90" i="3"/>
  <c r="P90" i="3"/>
  <c r="U27" i="3"/>
  <c r="AA41" i="3"/>
  <c r="D2" i="7"/>
  <c r="B643" i="3"/>
  <c r="A643" i="3"/>
  <c r="B642" i="3"/>
  <c r="A642" i="3"/>
  <c r="B641" i="3"/>
  <c r="A641" i="3"/>
  <c r="R644" i="3"/>
  <c r="G644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N644" i="3"/>
  <c r="M644" i="3"/>
  <c r="F640" i="3"/>
  <c r="F644" i="3" s="1"/>
  <c r="E87" i="3"/>
  <c r="X87" i="3" s="1"/>
  <c r="AD87" i="3" s="1"/>
  <c r="X5" i="3"/>
  <c r="O41" i="3"/>
  <c r="P41" i="3"/>
  <c r="R41" i="3"/>
  <c r="S41" i="3"/>
  <c r="T41" i="3"/>
  <c r="AB41" i="3"/>
  <c r="D86" i="3"/>
  <c r="W86" i="3" s="1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N41" i="3"/>
  <c r="M41" i="3"/>
  <c r="L41" i="3"/>
  <c r="K41" i="3"/>
  <c r="J41" i="3"/>
  <c r="I41" i="3"/>
  <c r="H41" i="3"/>
  <c r="G41" i="3"/>
  <c r="E82" i="3"/>
  <c r="X82" i="3" s="1"/>
  <c r="AD82" i="3" s="1"/>
  <c r="E81" i="3"/>
  <c r="E74" i="3"/>
  <c r="E73" i="3"/>
  <c r="E72" i="3"/>
  <c r="E70" i="3"/>
  <c r="X70" i="3" s="1"/>
  <c r="AD70" i="3" s="1"/>
  <c r="E69" i="3"/>
  <c r="X69" i="3" s="1"/>
  <c r="AD69" i="3" s="1"/>
  <c r="E68" i="3"/>
  <c r="X68" i="3" s="1"/>
  <c r="AD68" i="3" s="1"/>
  <c r="E67" i="3"/>
  <c r="X67" i="3" s="1"/>
  <c r="AD67" i="3" s="1"/>
  <c r="E66" i="3"/>
  <c r="X66" i="3" s="1"/>
  <c r="AD66" i="3" s="1"/>
  <c r="E64" i="3"/>
  <c r="X64" i="3" s="1"/>
  <c r="AD64" i="3" s="1"/>
  <c r="E63" i="3"/>
  <c r="X63" i="3" s="1"/>
  <c r="AD63" i="3" s="1"/>
  <c r="E62" i="3"/>
  <c r="E60" i="3"/>
  <c r="X60" i="3" s="1"/>
  <c r="AD60" i="3" s="1"/>
  <c r="E59" i="3"/>
  <c r="X59" i="3" s="1"/>
  <c r="AD59" i="3" s="1"/>
  <c r="E57" i="3"/>
  <c r="X57" i="3" s="1"/>
  <c r="AD57" i="3" s="1"/>
  <c r="E55" i="3"/>
  <c r="Y36" i="3"/>
  <c r="AE36" i="3" s="1"/>
  <c r="Y35" i="3"/>
  <c r="AE35" i="3" s="1"/>
  <c r="Y34" i="3"/>
  <c r="AE34" i="3" s="1"/>
  <c r="V33" i="3"/>
  <c r="U33" i="3"/>
  <c r="Y33" i="3"/>
  <c r="AE33" i="3" s="1"/>
  <c r="U32" i="3"/>
  <c r="Y32" i="3"/>
  <c r="AE32" i="3" s="1"/>
  <c r="V31" i="3"/>
  <c r="U31" i="3"/>
  <c r="Y31" i="3"/>
  <c r="AE31" i="3" s="1"/>
  <c r="V30" i="3"/>
  <c r="U30" i="3"/>
  <c r="Y30" i="3"/>
  <c r="AE30" i="3" s="1"/>
  <c r="V29" i="3"/>
  <c r="U29" i="3"/>
  <c r="Y29" i="3"/>
  <c r="AE29" i="3" s="1"/>
  <c r="V28" i="3"/>
  <c r="U28" i="3"/>
  <c r="Y28" i="3"/>
  <c r="AE28" i="3" s="1"/>
  <c r="V27" i="3"/>
  <c r="Y27" i="3"/>
  <c r="AE27" i="3" s="1"/>
  <c r="V26" i="3"/>
  <c r="U26" i="3"/>
  <c r="Y26" i="3"/>
  <c r="AE26" i="3" s="1"/>
  <c r="V25" i="3"/>
  <c r="U25" i="3"/>
  <c r="Y25" i="3"/>
  <c r="AE25" i="3" s="1"/>
  <c r="V24" i="3"/>
  <c r="U24" i="3"/>
  <c r="Y24" i="3"/>
  <c r="AE24" i="3" s="1"/>
  <c r="V23" i="3"/>
  <c r="U23" i="3"/>
  <c r="Y23" i="3"/>
  <c r="AE23" i="3" s="1"/>
  <c r="V22" i="3"/>
  <c r="U22" i="3"/>
  <c r="Y22" i="3"/>
  <c r="AE22" i="3" s="1"/>
  <c r="V21" i="3"/>
  <c r="U21" i="3"/>
  <c r="Y21" i="3"/>
  <c r="AE21" i="3" s="1"/>
  <c r="V20" i="3"/>
  <c r="U20" i="3"/>
  <c r="Y20" i="3"/>
  <c r="AE20" i="3" s="1"/>
  <c r="V19" i="3"/>
  <c r="U19" i="3"/>
  <c r="Y19" i="3"/>
  <c r="AE19" i="3" s="1"/>
  <c r="V18" i="3"/>
  <c r="U18" i="3"/>
  <c r="V17" i="3"/>
  <c r="U17" i="3"/>
  <c r="Y17" i="3"/>
  <c r="AE17" i="3" s="1"/>
  <c r="V16" i="3"/>
  <c r="U16" i="3"/>
  <c r="Y16" i="3"/>
  <c r="AE16" i="3" s="1"/>
  <c r="V15" i="3"/>
  <c r="U15" i="3"/>
  <c r="Y15" i="3"/>
  <c r="AE15" i="3" s="1"/>
  <c r="V14" i="3"/>
  <c r="U14" i="3"/>
  <c r="Y14" i="3"/>
  <c r="AE14" i="3" s="1"/>
  <c r="V13" i="3"/>
  <c r="U13" i="3"/>
  <c r="Y13" i="3"/>
  <c r="AE13" i="3" s="1"/>
  <c r="V12" i="3"/>
  <c r="U12" i="3"/>
  <c r="Y12" i="3"/>
  <c r="AE12" i="3" s="1"/>
  <c r="V11" i="3"/>
  <c r="U11" i="3"/>
  <c r="Y11" i="3"/>
  <c r="AE11" i="3" s="1"/>
  <c r="V10" i="3"/>
  <c r="U10" i="3"/>
  <c r="Y10" i="3"/>
  <c r="AE10" i="3" s="1"/>
  <c r="V9" i="3"/>
  <c r="U9" i="3"/>
  <c r="Y9" i="3"/>
  <c r="AE9" i="3" s="1"/>
  <c r="V8" i="3"/>
  <c r="U8" i="3"/>
  <c r="Y8" i="3"/>
  <c r="AE8" i="3" s="1"/>
  <c r="V7" i="3"/>
  <c r="U7" i="3"/>
  <c r="Y7" i="3"/>
  <c r="AE7" i="3" s="1"/>
  <c r="V6" i="3"/>
  <c r="U6" i="3"/>
  <c r="Y6" i="3"/>
  <c r="AE6" i="3" s="1"/>
  <c r="V5" i="3"/>
  <c r="U5" i="3"/>
  <c r="X4" i="3"/>
  <c r="V4" i="3"/>
  <c r="U4" i="3"/>
  <c r="D89" i="3"/>
  <c r="W89" i="3" s="1"/>
  <c r="E41" i="3"/>
  <c r="D41" i="3"/>
  <c r="AF41" i="3"/>
  <c r="F41" i="3"/>
  <c r="F80" i="3"/>
  <c r="E76" i="3"/>
  <c r="X76" i="3" s="1"/>
  <c r="AD76" i="3" s="1"/>
  <c r="E80" i="3"/>
  <c r="AH40" i="3"/>
  <c r="X94" i="3" l="1"/>
  <c r="Z89" i="3"/>
  <c r="AC89" i="3" s="1"/>
  <c r="Z86" i="3"/>
  <c r="AC86" i="3" s="1"/>
  <c r="N92" i="3"/>
  <c r="E53" i="3"/>
  <c r="X53" i="3" s="1"/>
  <c r="E102" i="3" s="1"/>
  <c r="X102" i="3" s="1"/>
  <c r="AD102" i="3" s="1"/>
  <c r="AD5" i="3"/>
  <c r="X45" i="3"/>
  <c r="P535" i="3"/>
  <c r="K289" i="3"/>
  <c r="N289" i="3"/>
  <c r="H239" i="3"/>
  <c r="F135" i="3"/>
  <c r="Y135" i="3" s="1"/>
  <c r="AE86" i="3"/>
  <c r="F136" i="3"/>
  <c r="AE87" i="3"/>
  <c r="F137" i="3"/>
  <c r="AE88" i="3"/>
  <c r="E135" i="3"/>
  <c r="X135" i="3" s="1"/>
  <c r="AD135" i="3" s="1"/>
  <c r="AD86" i="3"/>
  <c r="F138" i="3"/>
  <c r="Y138" i="3" s="1"/>
  <c r="AE89" i="3"/>
  <c r="K190" i="3"/>
  <c r="J190" i="3"/>
  <c r="N141" i="3"/>
  <c r="J141" i="3"/>
  <c r="H92" i="3"/>
  <c r="K92" i="3"/>
  <c r="W8" i="3"/>
  <c r="AC8" i="3" s="1"/>
  <c r="W12" i="3"/>
  <c r="AC12" i="3" s="1"/>
  <c r="W16" i="3"/>
  <c r="AC16" i="3" s="1"/>
  <c r="W45" i="3"/>
  <c r="W9" i="3"/>
  <c r="AC9" i="3" s="1"/>
  <c r="P437" i="3"/>
  <c r="P486" i="3"/>
  <c r="W15" i="3"/>
  <c r="AC15" i="3" s="1"/>
  <c r="W23" i="3"/>
  <c r="AC23" i="3" s="1"/>
  <c r="W30" i="3"/>
  <c r="AC30" i="3" s="1"/>
  <c r="W7" i="3"/>
  <c r="AC7" i="3" s="1"/>
  <c r="W11" i="3"/>
  <c r="AC11" i="3" s="1"/>
  <c r="AA289" i="3"/>
  <c r="W6" i="3"/>
  <c r="AC6" i="3" s="1"/>
  <c r="W10" i="3"/>
  <c r="AC10" i="3" s="1"/>
  <c r="W14" i="3"/>
  <c r="AC14" i="3" s="1"/>
  <c r="W18" i="3"/>
  <c r="AC18" i="3" s="1"/>
  <c r="W22" i="3"/>
  <c r="AC22" i="3" s="1"/>
  <c r="W26" i="3"/>
  <c r="AC26" i="3" s="1"/>
  <c r="W29" i="3"/>
  <c r="AC29" i="3" s="1"/>
  <c r="W13" i="3"/>
  <c r="AC13" i="3" s="1"/>
  <c r="W17" i="3"/>
  <c r="AC17" i="3" s="1"/>
  <c r="W25" i="3"/>
  <c r="AC25" i="3" s="1"/>
  <c r="W28" i="3"/>
  <c r="AC28" i="3" s="1"/>
  <c r="W20" i="3"/>
  <c r="AC20" i="3" s="1"/>
  <c r="W24" i="3"/>
  <c r="AC24" i="3" s="1"/>
  <c r="W27" i="3"/>
  <c r="AC27" i="3" s="1"/>
  <c r="W33" i="3"/>
  <c r="AC33" i="3" s="1"/>
  <c r="AA43" i="3"/>
  <c r="W32" i="3"/>
  <c r="AC32" i="3" s="1"/>
  <c r="W19" i="3"/>
  <c r="AC19" i="3" s="1"/>
  <c r="W21" i="3"/>
  <c r="AC21" i="3" s="1"/>
  <c r="T587" i="3"/>
  <c r="Y136" i="3"/>
  <c r="W31" i="3"/>
  <c r="AC31" i="3" s="1"/>
  <c r="X41" i="3"/>
  <c r="E184" i="3"/>
  <c r="X184" i="3" s="1"/>
  <c r="X55" i="3"/>
  <c r="AD55" i="3" s="1"/>
  <c r="X62" i="3"/>
  <c r="X72" i="3"/>
  <c r="AD72" i="3" s="1"/>
  <c r="X73" i="3"/>
  <c r="AD73" i="3" s="1"/>
  <c r="X74" i="3"/>
  <c r="AD74" i="3" s="1"/>
  <c r="X80" i="3"/>
  <c r="X81" i="3"/>
  <c r="AD81" i="3" s="1"/>
  <c r="Y80" i="3"/>
  <c r="AE80" i="3" s="1"/>
  <c r="D138" i="3"/>
  <c r="W138" i="3" s="1"/>
  <c r="AC138" i="3" s="1"/>
  <c r="Y137" i="3"/>
  <c r="AA92" i="3"/>
  <c r="E644" i="3"/>
  <c r="J338" i="3"/>
  <c r="P290" i="3"/>
  <c r="H289" i="3"/>
  <c r="H190" i="3"/>
  <c r="P142" i="3"/>
  <c r="F72" i="3"/>
  <c r="Y72" i="3" s="1"/>
  <c r="AE72" i="3" s="1"/>
  <c r="U640" i="3"/>
  <c r="U642" i="3"/>
  <c r="T191" i="3"/>
  <c r="Q640" i="3"/>
  <c r="Y640" i="3" s="1"/>
  <c r="Q642" i="3"/>
  <c r="Y642" i="3" s="1"/>
  <c r="AD4" i="3"/>
  <c r="D644" i="3"/>
  <c r="AH37" i="3"/>
  <c r="P388" i="3"/>
  <c r="Q641" i="3"/>
  <c r="Y641" i="3" s="1"/>
  <c r="Q643" i="3"/>
  <c r="Y643" i="3" s="1"/>
  <c r="V641" i="3"/>
  <c r="V643" i="3"/>
  <c r="V640" i="3"/>
  <c r="V642" i="3"/>
  <c r="U641" i="3"/>
  <c r="U643" i="3"/>
  <c r="P93" i="3"/>
  <c r="Q610" i="3"/>
  <c r="Y610" i="3" s="1"/>
  <c r="Q612" i="3"/>
  <c r="Y612" i="3" s="1"/>
  <c r="Q614" i="3"/>
  <c r="Y614" i="3" s="1"/>
  <c r="Q616" i="3"/>
  <c r="Y616" i="3" s="1"/>
  <c r="Q618" i="3"/>
  <c r="Y618" i="3" s="1"/>
  <c r="Q620" i="3"/>
  <c r="Y620" i="3" s="1"/>
  <c r="Q624" i="3"/>
  <c r="Y624" i="3" s="1"/>
  <c r="Q626" i="3"/>
  <c r="Y626" i="3" s="1"/>
  <c r="Q628" i="3"/>
  <c r="Y628" i="3" s="1"/>
  <c r="Q629" i="3"/>
  <c r="Y629" i="3" s="1"/>
  <c r="Q630" i="3"/>
  <c r="Y630" i="3" s="1"/>
  <c r="Q632" i="3"/>
  <c r="Y632" i="3" s="1"/>
  <c r="Q635" i="3"/>
  <c r="Y635" i="3" s="1"/>
  <c r="Q636" i="3"/>
  <c r="Y636" i="3" s="1"/>
  <c r="Q637" i="3"/>
  <c r="Y637" i="3" s="1"/>
  <c r="Q639" i="3"/>
  <c r="Y639" i="3" s="1"/>
  <c r="Q607" i="3"/>
  <c r="Y607" i="3" s="1"/>
  <c r="Q608" i="3"/>
  <c r="Y608" i="3" s="1"/>
  <c r="Q609" i="3"/>
  <c r="Y609" i="3" s="1"/>
  <c r="Q611" i="3"/>
  <c r="Y611" i="3" s="1"/>
  <c r="Q613" i="3"/>
  <c r="Y613" i="3" s="1"/>
  <c r="Q615" i="3"/>
  <c r="Y615" i="3" s="1"/>
  <c r="Q617" i="3"/>
  <c r="Y617" i="3" s="1"/>
  <c r="Q619" i="3"/>
  <c r="Y619" i="3" s="1"/>
  <c r="Q621" i="3"/>
  <c r="Y621" i="3" s="1"/>
  <c r="Q622" i="3"/>
  <c r="Y622" i="3" s="1"/>
  <c r="Q623" i="3"/>
  <c r="Y623" i="3" s="1"/>
  <c r="Q625" i="3"/>
  <c r="Y625" i="3" s="1"/>
  <c r="Q627" i="3"/>
  <c r="Y627" i="3" s="1"/>
  <c r="Q631" i="3"/>
  <c r="Y631" i="3" s="1"/>
  <c r="Q633" i="3"/>
  <c r="Y633" i="3" s="1"/>
  <c r="Q634" i="3"/>
  <c r="Y634" i="3" s="1"/>
  <c r="Q638" i="3"/>
  <c r="Y638" i="3" s="1"/>
  <c r="T486" i="3"/>
  <c r="I485" i="3"/>
  <c r="M485" i="3"/>
  <c r="U607" i="3"/>
  <c r="U608" i="3"/>
  <c r="U609" i="3"/>
  <c r="U611" i="3"/>
  <c r="U613" i="3"/>
  <c r="U615" i="3"/>
  <c r="U616" i="3"/>
  <c r="U618" i="3"/>
  <c r="U620" i="3"/>
  <c r="U621" i="3"/>
  <c r="U626" i="3"/>
  <c r="U628" i="3"/>
  <c r="U639" i="3"/>
  <c r="L485" i="3"/>
  <c r="U635" i="3"/>
  <c r="U636" i="3"/>
  <c r="U637" i="3"/>
  <c r="V607" i="3"/>
  <c r="V609" i="3"/>
  <c r="U610" i="3"/>
  <c r="U612" i="3"/>
  <c r="U614" i="3"/>
  <c r="U617" i="3"/>
  <c r="U619" i="3"/>
  <c r="U622" i="3"/>
  <c r="U623" i="3"/>
  <c r="U624" i="3"/>
  <c r="U625" i="3"/>
  <c r="U627" i="3"/>
  <c r="U629" i="3"/>
  <c r="U630" i="3"/>
  <c r="U631" i="3"/>
  <c r="U632" i="3"/>
  <c r="U633" i="3"/>
  <c r="U638" i="3"/>
  <c r="V608" i="3"/>
  <c r="V610" i="3"/>
  <c r="V612" i="3"/>
  <c r="V614" i="3"/>
  <c r="V617" i="3"/>
  <c r="V619" i="3"/>
  <c r="V623" i="3"/>
  <c r="W623" i="3" s="1"/>
  <c r="V624" i="3"/>
  <c r="V625" i="3"/>
  <c r="W625" i="3" s="1"/>
  <c r="V627" i="3"/>
  <c r="V629" i="3"/>
  <c r="V631" i="3"/>
  <c r="V632" i="3"/>
  <c r="V633" i="3"/>
  <c r="V638" i="3"/>
  <c r="V615" i="3"/>
  <c r="V611" i="3"/>
  <c r="V613" i="3"/>
  <c r="W613" i="3" s="1"/>
  <c r="V616" i="3"/>
  <c r="V618" i="3"/>
  <c r="V620" i="3"/>
  <c r="V621" i="3"/>
  <c r="V622" i="3"/>
  <c r="V626" i="3"/>
  <c r="V628" i="3"/>
  <c r="W628" i="3" s="1"/>
  <c r="V636" i="3"/>
  <c r="V637" i="3"/>
  <c r="V639" i="3"/>
  <c r="V634" i="3"/>
  <c r="V635" i="3"/>
  <c r="V630" i="3"/>
  <c r="U634" i="3"/>
  <c r="N586" i="3"/>
  <c r="J586" i="3"/>
  <c r="H586" i="3"/>
  <c r="K586" i="3"/>
  <c r="I534" i="3"/>
  <c r="M534" i="3"/>
  <c r="L534" i="3"/>
  <c r="L436" i="3"/>
  <c r="I436" i="3"/>
  <c r="M436" i="3"/>
  <c r="Q532" i="3"/>
  <c r="T535" i="3"/>
  <c r="AH38" i="3"/>
  <c r="U41" i="3"/>
  <c r="T142" i="3"/>
  <c r="Q188" i="3"/>
  <c r="U188" i="3"/>
  <c r="P339" i="3"/>
  <c r="U434" i="3"/>
  <c r="I644" i="3"/>
  <c r="T339" i="3"/>
  <c r="F61" i="3"/>
  <c r="F71" i="3"/>
  <c r="F82" i="3"/>
  <c r="Y82" i="3" s="1"/>
  <c r="AE82" i="3" s="1"/>
  <c r="F75" i="3"/>
  <c r="U90" i="3"/>
  <c r="U139" i="3"/>
  <c r="E78" i="3"/>
  <c r="AA387" i="3"/>
  <c r="U532" i="3"/>
  <c r="H338" i="3"/>
  <c r="Q584" i="3"/>
  <c r="P587" i="3"/>
  <c r="F55" i="3"/>
  <c r="F69" i="3"/>
  <c r="Y69" i="3" s="1"/>
  <c r="AE69" i="3" s="1"/>
  <c r="F78" i="3"/>
  <c r="Y78" i="3" s="1"/>
  <c r="AE78" i="3" s="1"/>
  <c r="E119" i="3"/>
  <c r="X119" i="3" s="1"/>
  <c r="AD119" i="3" s="1"/>
  <c r="E83" i="3"/>
  <c r="X83" i="3" s="1"/>
  <c r="AD83" i="3" s="1"/>
  <c r="F73" i="3"/>
  <c r="Y73" i="3" s="1"/>
  <c r="AE73" i="3" s="1"/>
  <c r="F65" i="3"/>
  <c r="F63" i="3"/>
  <c r="Y63" i="3" s="1"/>
  <c r="AE63" i="3" s="1"/>
  <c r="W5" i="3"/>
  <c r="P240" i="3"/>
  <c r="V287" i="3"/>
  <c r="V188" i="3"/>
  <c r="E61" i="3"/>
  <c r="V41" i="3"/>
  <c r="W4" i="3"/>
  <c r="E131" i="3"/>
  <c r="X131" i="3" s="1"/>
  <c r="AD131" i="3" s="1"/>
  <c r="E84" i="3"/>
  <c r="X84" i="3" s="1"/>
  <c r="AD84" i="3" s="1"/>
  <c r="P44" i="3"/>
  <c r="E88" i="3"/>
  <c r="E89" i="3"/>
  <c r="X89" i="3" s="1"/>
  <c r="F59" i="3"/>
  <c r="Y59" i="3" s="1"/>
  <c r="AE59" i="3" s="1"/>
  <c r="K43" i="3"/>
  <c r="Q237" i="3"/>
  <c r="T240" i="3"/>
  <c r="U287" i="3"/>
  <c r="Q287" i="3"/>
  <c r="T290" i="3"/>
  <c r="Q336" i="3"/>
  <c r="T388" i="3"/>
  <c r="V385" i="3"/>
  <c r="U584" i="3"/>
  <c r="F57" i="3"/>
  <c r="Y57" i="3" s="1"/>
  <c r="AE57" i="3" s="1"/>
  <c r="T93" i="3"/>
  <c r="Q385" i="3"/>
  <c r="Q434" i="3"/>
  <c r="AD53" i="3"/>
  <c r="E56" i="3"/>
  <c r="E77" i="3"/>
  <c r="X77" i="3" s="1"/>
  <c r="AD77" i="3" s="1"/>
  <c r="D87" i="3"/>
  <c r="T44" i="3"/>
  <c r="E54" i="3"/>
  <c r="X54" i="3" s="1"/>
  <c r="AD54" i="3" s="1"/>
  <c r="V434" i="3"/>
  <c r="V90" i="3"/>
  <c r="V139" i="3"/>
  <c r="U237" i="3"/>
  <c r="T437" i="3"/>
  <c r="Q483" i="3"/>
  <c r="E106" i="3"/>
  <c r="D88" i="3"/>
  <c r="W88" i="3" s="1"/>
  <c r="AH39" i="3"/>
  <c r="Q41" i="3"/>
  <c r="Y5" i="3"/>
  <c r="E58" i="3"/>
  <c r="X58" i="3" s="1"/>
  <c r="AD58" i="3" s="1"/>
  <c r="E65" i="3"/>
  <c r="E116" i="3"/>
  <c r="X116" i="3" s="1"/>
  <c r="AD116" i="3" s="1"/>
  <c r="E71" i="3"/>
  <c r="E79" i="3"/>
  <c r="X79" i="3" s="1"/>
  <c r="AD79" i="3" s="1"/>
  <c r="Y4" i="3"/>
  <c r="F68" i="3"/>
  <c r="Y68" i="3" s="1"/>
  <c r="AE68" i="3" s="1"/>
  <c r="F84" i="3"/>
  <c r="Y84" i="3" s="1"/>
  <c r="AE84" i="3" s="1"/>
  <c r="E85" i="3"/>
  <c r="U483" i="3"/>
  <c r="V584" i="3"/>
  <c r="V483" i="3"/>
  <c r="Q139" i="3"/>
  <c r="E115" i="3"/>
  <c r="E108" i="3"/>
  <c r="X108" i="3" s="1"/>
  <c r="AD108" i="3" s="1"/>
  <c r="E113" i="3"/>
  <c r="X113" i="3" s="1"/>
  <c r="AD113" i="3" s="1"/>
  <c r="E117" i="3"/>
  <c r="X117" i="3" s="1"/>
  <c r="AD117" i="3" s="1"/>
  <c r="E136" i="3"/>
  <c r="X136" i="3" s="1"/>
  <c r="V237" i="3"/>
  <c r="V532" i="3"/>
  <c r="Q90" i="3"/>
  <c r="E125" i="3"/>
  <c r="X125" i="3" s="1"/>
  <c r="AD125" i="3" s="1"/>
  <c r="F74" i="3"/>
  <c r="Y74" i="3" s="1"/>
  <c r="AE74" i="3" s="1"/>
  <c r="F70" i="3"/>
  <c r="Y70" i="3" s="1"/>
  <c r="AE70" i="3" s="1"/>
  <c r="E109" i="3"/>
  <c r="X109" i="3" s="1"/>
  <c r="AD109" i="3" s="1"/>
  <c r="E118" i="3"/>
  <c r="X118" i="3" s="1"/>
  <c r="AD118" i="3" s="1"/>
  <c r="J43" i="3"/>
  <c r="E75" i="3"/>
  <c r="X75" i="3" s="1"/>
  <c r="AD75" i="3" s="1"/>
  <c r="E112" i="3"/>
  <c r="X112" i="3" s="1"/>
  <c r="AD112" i="3" s="1"/>
  <c r="N43" i="3"/>
  <c r="H43" i="3"/>
  <c r="U385" i="3"/>
  <c r="S644" i="3"/>
  <c r="X608" i="3"/>
  <c r="P644" i="3"/>
  <c r="V336" i="3"/>
  <c r="O644" i="3"/>
  <c r="U336" i="3"/>
  <c r="T644" i="3"/>
  <c r="X607" i="3"/>
  <c r="J644" i="3"/>
  <c r="N534" i="3"/>
  <c r="N485" i="3"/>
  <c r="N387" i="3"/>
  <c r="N436" i="3"/>
  <c r="J436" i="3"/>
  <c r="J387" i="3"/>
  <c r="J485" i="3"/>
  <c r="J534" i="3"/>
  <c r="K534" i="3"/>
  <c r="K485" i="3"/>
  <c r="K387" i="3"/>
  <c r="K436" i="3"/>
  <c r="H485" i="3"/>
  <c r="H387" i="3"/>
  <c r="H534" i="3"/>
  <c r="H436" i="3"/>
  <c r="W611" i="3" l="1"/>
  <c r="Z88" i="3"/>
  <c r="AC88" i="3" s="1"/>
  <c r="E151" i="3"/>
  <c r="X151" i="3" s="1"/>
  <c r="X46" i="3"/>
  <c r="AC4" i="3"/>
  <c r="D58" i="3"/>
  <c r="W58" i="3" s="1"/>
  <c r="W626" i="3"/>
  <c r="AD89" i="3"/>
  <c r="E129" i="3"/>
  <c r="X129" i="3" s="1"/>
  <c r="AD129" i="3" s="1"/>
  <c r="AD80" i="3"/>
  <c r="E111" i="3"/>
  <c r="X111" i="3" s="1"/>
  <c r="AD111" i="3" s="1"/>
  <c r="AD62" i="3"/>
  <c r="F186" i="3"/>
  <c r="Y186" i="3" s="1"/>
  <c r="AE137" i="3"/>
  <c r="F185" i="3"/>
  <c r="Y185" i="3" s="1"/>
  <c r="AE136" i="3"/>
  <c r="F184" i="3"/>
  <c r="Y184" i="3" s="1"/>
  <c r="AE135" i="3"/>
  <c r="F187" i="3"/>
  <c r="Y187" i="3" s="1"/>
  <c r="AE138" i="3"/>
  <c r="W609" i="3"/>
  <c r="AD136" i="3"/>
  <c r="AC5" i="3"/>
  <c r="AH33" i="3"/>
  <c r="D73" i="3"/>
  <c r="W73" i="3" s="1"/>
  <c r="AH22" i="3"/>
  <c r="AH15" i="3"/>
  <c r="AH13" i="3"/>
  <c r="D56" i="3"/>
  <c r="W56" i="3" s="1"/>
  <c r="D70" i="3"/>
  <c r="W70" i="3" s="1"/>
  <c r="D82" i="3"/>
  <c r="W82" i="3" s="1"/>
  <c r="AH28" i="3"/>
  <c r="AH19" i="3"/>
  <c r="D76" i="3"/>
  <c r="W76" i="3" s="1"/>
  <c r="AH25" i="3"/>
  <c r="D64" i="3"/>
  <c r="W64" i="3" s="1"/>
  <c r="AH6" i="3"/>
  <c r="AH24" i="3"/>
  <c r="D78" i="3"/>
  <c r="W78" i="3" s="1"/>
  <c r="D71" i="3"/>
  <c r="W71" i="3" s="1"/>
  <c r="W87" i="3"/>
  <c r="AH14" i="3"/>
  <c r="W624" i="3"/>
  <c r="W627" i="3"/>
  <c r="W642" i="3"/>
  <c r="E104" i="3"/>
  <c r="X104" i="3" s="1"/>
  <c r="AD104" i="3" s="1"/>
  <c r="E121" i="3"/>
  <c r="X121" i="3" s="1"/>
  <c r="W640" i="3"/>
  <c r="W615" i="3"/>
  <c r="E123" i="3"/>
  <c r="X123" i="3" s="1"/>
  <c r="W617" i="3"/>
  <c r="AH32" i="3"/>
  <c r="AH46" i="3" s="1"/>
  <c r="D53" i="3"/>
  <c r="W53" i="3" s="1"/>
  <c r="Z53" i="3" s="1"/>
  <c r="W629" i="3"/>
  <c r="W621" i="3"/>
  <c r="D80" i="3"/>
  <c r="W80" i="3" s="1"/>
  <c r="W636" i="3"/>
  <c r="W633" i="3"/>
  <c r="W619" i="3"/>
  <c r="W610" i="3"/>
  <c r="D135" i="3"/>
  <c r="W135" i="3" s="1"/>
  <c r="AH86" i="3"/>
  <c r="W631" i="3"/>
  <c r="W618" i="3"/>
  <c r="W630" i="3"/>
  <c r="W616" i="3"/>
  <c r="W638" i="3"/>
  <c r="AH89" i="3"/>
  <c r="E122" i="3"/>
  <c r="X122" i="3" s="1"/>
  <c r="E233" i="3"/>
  <c r="X233" i="3" s="1"/>
  <c r="E283" i="3" s="1"/>
  <c r="X283" i="3" s="1"/>
  <c r="AD283" i="3" s="1"/>
  <c r="Y65" i="3"/>
  <c r="Y55" i="3"/>
  <c r="AE55" i="3" s="1"/>
  <c r="F106" i="3"/>
  <c r="Y106" i="3" s="1"/>
  <c r="Y71" i="3"/>
  <c r="AE71" i="3" s="1"/>
  <c r="X56" i="3"/>
  <c r="AD56" i="3" s="1"/>
  <c r="X61" i="3"/>
  <c r="AD61" i="3" s="1"/>
  <c r="X85" i="3"/>
  <c r="AD85" i="3" s="1"/>
  <c r="X65" i="3"/>
  <c r="X71" i="3"/>
  <c r="AD71" i="3" s="1"/>
  <c r="X88" i="3"/>
  <c r="AD88" i="3" s="1"/>
  <c r="X78" i="3"/>
  <c r="AD78" i="3" s="1"/>
  <c r="F129" i="3"/>
  <c r="Y129" i="3" s="1"/>
  <c r="AE129" i="3" s="1"/>
  <c r="Y75" i="3"/>
  <c r="AE75" i="3" s="1"/>
  <c r="Y61" i="3"/>
  <c r="D54" i="3"/>
  <c r="W54" i="3" s="1"/>
  <c r="W635" i="3"/>
  <c r="E130" i="3"/>
  <c r="X130" i="3" s="1"/>
  <c r="AD130" i="3" s="1"/>
  <c r="W634" i="3"/>
  <c r="X115" i="3"/>
  <c r="AD115" i="3" s="1"/>
  <c r="W620" i="3"/>
  <c r="W632" i="3"/>
  <c r="F236" i="3"/>
  <c r="Y236" i="3" s="1"/>
  <c r="F286" i="3" s="1"/>
  <c r="Y286" i="3" s="1"/>
  <c r="AE286" i="3" s="1"/>
  <c r="X106" i="3"/>
  <c r="AD106" i="3" s="1"/>
  <c r="W639" i="3"/>
  <c r="W614" i="3"/>
  <c r="W643" i="3"/>
  <c r="W637" i="3"/>
  <c r="W622" i="3"/>
  <c r="W612" i="3"/>
  <c r="W641" i="3"/>
  <c r="D74" i="3"/>
  <c r="W74" i="3" s="1"/>
  <c r="AH21" i="3"/>
  <c r="D137" i="3"/>
  <c r="AH27" i="3"/>
  <c r="AH31" i="3"/>
  <c r="E138" i="3"/>
  <c r="D68" i="3"/>
  <c r="W68" i="3" s="1"/>
  <c r="D81" i="3"/>
  <c r="W81" i="3" s="1"/>
  <c r="Z81" i="3" s="1"/>
  <c r="AH88" i="3"/>
  <c r="D66" i="3"/>
  <c r="W66" i="3" s="1"/>
  <c r="D85" i="3"/>
  <c r="W85" i="3" s="1"/>
  <c r="F62" i="3"/>
  <c r="AH29" i="3"/>
  <c r="AH17" i="3"/>
  <c r="E103" i="3"/>
  <c r="X103" i="3" s="1"/>
  <c r="F122" i="3"/>
  <c r="W607" i="3"/>
  <c r="D187" i="3"/>
  <c r="AH23" i="3"/>
  <c r="AH26" i="3"/>
  <c r="F67" i="3"/>
  <c r="Y67" i="3" s="1"/>
  <c r="AE67" i="3" s="1"/>
  <c r="E132" i="3"/>
  <c r="X132" i="3" s="1"/>
  <c r="AD132" i="3" s="1"/>
  <c r="D75" i="3"/>
  <c r="W75" i="3" s="1"/>
  <c r="D62" i="3"/>
  <c r="W62" i="3" s="1"/>
  <c r="D72" i="3"/>
  <c r="W72" i="3" s="1"/>
  <c r="AH5" i="3"/>
  <c r="AH18" i="3"/>
  <c r="D67" i="3"/>
  <c r="W67" i="3" s="1"/>
  <c r="E168" i="3"/>
  <c r="F118" i="3"/>
  <c r="X644" i="3"/>
  <c r="F112" i="3"/>
  <c r="Y112" i="3" s="1"/>
  <c r="AE112" i="3" s="1"/>
  <c r="AH4" i="3"/>
  <c r="AH45" i="3" s="1"/>
  <c r="AH138" i="3"/>
  <c r="F108" i="3"/>
  <c r="Y108" i="3" s="1"/>
  <c r="AE108" i="3" s="1"/>
  <c r="E133" i="3"/>
  <c r="X133" i="3" s="1"/>
  <c r="AD133" i="3" s="1"/>
  <c r="E180" i="3"/>
  <c r="F127" i="3"/>
  <c r="Y127" i="3" s="1"/>
  <c r="AE127" i="3" s="1"/>
  <c r="E126" i="3"/>
  <c r="X126" i="3" s="1"/>
  <c r="AD126" i="3" s="1"/>
  <c r="AH7" i="3"/>
  <c r="F121" i="3"/>
  <c r="Y121" i="3" s="1"/>
  <c r="AE121" i="3" s="1"/>
  <c r="W608" i="3"/>
  <c r="AH9" i="3"/>
  <c r="AH36" i="3"/>
  <c r="D84" i="3"/>
  <c r="W84" i="3" s="1"/>
  <c r="AH35" i="3"/>
  <c r="F131" i="3"/>
  <c r="Y131" i="3" s="1"/>
  <c r="AE131" i="3" s="1"/>
  <c r="D77" i="3"/>
  <c r="W77" i="3" s="1"/>
  <c r="D60" i="3"/>
  <c r="AH11" i="3"/>
  <c r="F53" i="3"/>
  <c r="Y53" i="3" s="1"/>
  <c r="AE4" i="3"/>
  <c r="E107" i="3"/>
  <c r="X107" i="3" s="1"/>
  <c r="AD107" i="3" s="1"/>
  <c r="F133" i="3"/>
  <c r="Y133" i="3" s="1"/>
  <c r="AE133" i="3" s="1"/>
  <c r="AH34" i="3"/>
  <c r="D83" i="3"/>
  <c r="W83" i="3" s="1"/>
  <c r="D63" i="3"/>
  <c r="W63" i="3" s="1"/>
  <c r="E128" i="3"/>
  <c r="X128" i="3" s="1"/>
  <c r="AD128" i="3" s="1"/>
  <c r="E165" i="3"/>
  <c r="F77" i="3"/>
  <c r="Y77" i="3" s="1"/>
  <c r="AE77" i="3" s="1"/>
  <c r="D69" i="3"/>
  <c r="W69" i="3" s="1"/>
  <c r="AH20" i="3"/>
  <c r="D65" i="3"/>
  <c r="W65" i="3" s="1"/>
  <c r="AH16" i="3"/>
  <c r="D59" i="3"/>
  <c r="AH10" i="3"/>
  <c r="AH8" i="3"/>
  <c r="D57" i="3"/>
  <c r="D55" i="3"/>
  <c r="AE5" i="3"/>
  <c r="F54" i="3"/>
  <c r="Y54" i="3" s="1"/>
  <c r="E185" i="3"/>
  <c r="E166" i="3"/>
  <c r="E157" i="3"/>
  <c r="E90" i="3"/>
  <c r="E162" i="3"/>
  <c r="Y644" i="3"/>
  <c r="Q644" i="3"/>
  <c r="E161" i="3"/>
  <c r="AD41" i="3"/>
  <c r="F119" i="3"/>
  <c r="Y119" i="3" s="1"/>
  <c r="AE119" i="3" s="1"/>
  <c r="E174" i="3"/>
  <c r="V644" i="3"/>
  <c r="F85" i="3"/>
  <c r="Y85" i="3" s="1"/>
  <c r="AE85" i="3" s="1"/>
  <c r="F83" i="3"/>
  <c r="Y83" i="3" s="1"/>
  <c r="AE83" i="3" s="1"/>
  <c r="F81" i="3"/>
  <c r="Y81" i="3" s="1"/>
  <c r="AE81" i="3" s="1"/>
  <c r="AH30" i="3"/>
  <c r="D79" i="3"/>
  <c r="W79" i="3" s="1"/>
  <c r="F79" i="3"/>
  <c r="Y79" i="3" s="1"/>
  <c r="AE79" i="3" s="1"/>
  <c r="F76" i="3"/>
  <c r="Y76" i="3" s="1"/>
  <c r="AE76" i="3" s="1"/>
  <c r="F66" i="3"/>
  <c r="Y66" i="3" s="1"/>
  <c r="AE66" i="3" s="1"/>
  <c r="F64" i="3"/>
  <c r="Y64" i="3" s="1"/>
  <c r="AE64" i="3" s="1"/>
  <c r="D61" i="3"/>
  <c r="W61" i="3" s="1"/>
  <c r="AH12" i="3"/>
  <c r="F60" i="3"/>
  <c r="Y60" i="3" s="1"/>
  <c r="AE60" i="3" s="1"/>
  <c r="F58" i="3"/>
  <c r="Y58" i="3" s="1"/>
  <c r="AE58" i="3" s="1"/>
  <c r="F56" i="3"/>
  <c r="Y56" i="3" s="1"/>
  <c r="AE56" i="3" s="1"/>
  <c r="Y41" i="3"/>
  <c r="E124" i="3"/>
  <c r="X124" i="3" s="1"/>
  <c r="AD124" i="3" s="1"/>
  <c r="E167" i="3"/>
  <c r="E158" i="3"/>
  <c r="F117" i="3"/>
  <c r="Y117" i="3" s="1"/>
  <c r="AE117" i="3" s="1"/>
  <c r="W41" i="3"/>
  <c r="F123" i="3"/>
  <c r="Y123" i="3" s="1"/>
  <c r="AE123" i="3" s="1"/>
  <c r="U644" i="3"/>
  <c r="E200" i="3" l="1"/>
  <c r="X200" i="3" s="1"/>
  <c r="AD200" i="3" s="1"/>
  <c r="AD151" i="3"/>
  <c r="Z75" i="3"/>
  <c r="AC75" i="3" s="1"/>
  <c r="Z85" i="3"/>
  <c r="AC85" i="3" s="1"/>
  <c r="Z68" i="3"/>
  <c r="AC68" i="3" s="1"/>
  <c r="Z80" i="3"/>
  <c r="AC80" i="3" s="1"/>
  <c r="Z71" i="3"/>
  <c r="AC71" i="3" s="1"/>
  <c r="Z73" i="3"/>
  <c r="AC73" i="3" s="1"/>
  <c r="Z69" i="3"/>
  <c r="AC69" i="3" s="1"/>
  <c r="Z84" i="3"/>
  <c r="AC84" i="3" s="1"/>
  <c r="Z72" i="3"/>
  <c r="AC72" i="3" s="1"/>
  <c r="Z78" i="3"/>
  <c r="AC78" i="3" s="1"/>
  <c r="Z82" i="3"/>
  <c r="AC82" i="3" s="1"/>
  <c r="Z74" i="3"/>
  <c r="AC74" i="3" s="1"/>
  <c r="Z87" i="3"/>
  <c r="AC87" i="3" s="1"/>
  <c r="Z79" i="3"/>
  <c r="AC79" i="3" s="1"/>
  <c r="Z77" i="3"/>
  <c r="AC77" i="3" s="1"/>
  <c r="Z76" i="3"/>
  <c r="AC76" i="3" s="1"/>
  <c r="Z70" i="3"/>
  <c r="AC70" i="3" s="1"/>
  <c r="Z62" i="3"/>
  <c r="AC62" i="3" s="1"/>
  <c r="Z61" i="3"/>
  <c r="AC61" i="3" s="1"/>
  <c r="Z56" i="3"/>
  <c r="AC56" i="3" s="1"/>
  <c r="Z63" i="3"/>
  <c r="AC63" i="3" s="1"/>
  <c r="Z66" i="3"/>
  <c r="AC66" i="3" s="1"/>
  <c r="Z65" i="3"/>
  <c r="AC65" i="3" s="1"/>
  <c r="Z64" i="3"/>
  <c r="AC64" i="3" s="1"/>
  <c r="Z58" i="3"/>
  <c r="AC58" i="3" s="1"/>
  <c r="Z83" i="3"/>
  <c r="AC83" i="3" s="1"/>
  <c r="Z67" i="3"/>
  <c r="AC67" i="3" s="1"/>
  <c r="D103" i="3"/>
  <c r="W103" i="3" s="1"/>
  <c r="Z54" i="3"/>
  <c r="AC54" i="3" s="1"/>
  <c r="AH47" i="3"/>
  <c r="W46" i="3"/>
  <c r="E160" i="3"/>
  <c r="X160" i="3" s="1"/>
  <c r="Z41" i="3"/>
  <c r="F235" i="3"/>
  <c r="Y235" i="3" s="1"/>
  <c r="F285" i="3" s="1"/>
  <c r="Y285" i="3" s="1"/>
  <c r="AE285" i="3" s="1"/>
  <c r="F233" i="3"/>
  <c r="Y233" i="3" s="1"/>
  <c r="F283" i="3" s="1"/>
  <c r="Y283" i="3" s="1"/>
  <c r="AE283" i="3" s="1"/>
  <c r="E178" i="3"/>
  <c r="X178" i="3" s="1"/>
  <c r="E114" i="3"/>
  <c r="X114" i="3" s="1"/>
  <c r="AD114" i="3" s="1"/>
  <c r="AD65" i="3"/>
  <c r="F114" i="3"/>
  <c r="Y114" i="3" s="1"/>
  <c r="AE114" i="3" s="1"/>
  <c r="AE65" i="3"/>
  <c r="D130" i="3"/>
  <c r="W130" i="3" s="1"/>
  <c r="AC81" i="3"/>
  <c r="W137" i="3"/>
  <c r="AC137" i="3" s="1"/>
  <c r="F110" i="3"/>
  <c r="Y110" i="3" s="1"/>
  <c r="AE110" i="3" s="1"/>
  <c r="AE61" i="3"/>
  <c r="AC135" i="3"/>
  <c r="F234" i="3"/>
  <c r="Y234" i="3" s="1"/>
  <c r="F284" i="3" s="1"/>
  <c r="Y284" i="3" s="1"/>
  <c r="AE284" i="3" s="1"/>
  <c r="F155" i="3"/>
  <c r="Y155" i="3" s="1"/>
  <c r="AE106" i="3"/>
  <c r="E172" i="3"/>
  <c r="X172" i="3" s="1"/>
  <c r="AD123" i="3"/>
  <c r="E170" i="3"/>
  <c r="X170" i="3" s="1"/>
  <c r="AD121" i="3"/>
  <c r="E171" i="3"/>
  <c r="X171" i="3" s="1"/>
  <c r="AD122" i="3"/>
  <c r="D131" i="3"/>
  <c r="W131" i="3" s="1"/>
  <c r="D113" i="3"/>
  <c r="W113" i="3" s="1"/>
  <c r="AH76" i="3"/>
  <c r="AH70" i="3"/>
  <c r="D119" i="3"/>
  <c r="AC53" i="3"/>
  <c r="AH82" i="3"/>
  <c r="AH56" i="3"/>
  <c r="AH64" i="3"/>
  <c r="AH71" i="3"/>
  <c r="D127" i="3"/>
  <c r="W127" i="3" s="1"/>
  <c r="D125" i="3"/>
  <c r="W125" i="3" s="1"/>
  <c r="AH78" i="3"/>
  <c r="D105" i="3"/>
  <c r="W105" i="3" s="1"/>
  <c r="E134" i="3"/>
  <c r="X134" i="3" s="1"/>
  <c r="AD134" i="3" s="1"/>
  <c r="D120" i="3"/>
  <c r="W120" i="3" s="1"/>
  <c r="AH87" i="3"/>
  <c r="D136" i="3"/>
  <c r="E105" i="3"/>
  <c r="X105" i="3" s="1"/>
  <c r="AD105" i="3" s="1"/>
  <c r="E153" i="3"/>
  <c r="X153" i="3" s="1"/>
  <c r="F120" i="3"/>
  <c r="Y120" i="3" s="1"/>
  <c r="D107" i="3"/>
  <c r="W107" i="3" s="1"/>
  <c r="E127" i="3"/>
  <c r="X127" i="3" s="1"/>
  <c r="AD127" i="3" s="1"/>
  <c r="F104" i="3"/>
  <c r="Y104" i="3" s="1"/>
  <c r="AD233" i="3"/>
  <c r="E110" i="3"/>
  <c r="X110" i="3" s="1"/>
  <c r="AD110" i="3" s="1"/>
  <c r="E137" i="3"/>
  <c r="X137" i="3" s="1"/>
  <c r="AD137" i="3" s="1"/>
  <c r="F178" i="3"/>
  <c r="Y178" i="3" s="1"/>
  <c r="D122" i="3"/>
  <c r="W122" i="3" s="1"/>
  <c r="AH58" i="3"/>
  <c r="X90" i="3"/>
  <c r="X95" i="3" s="1"/>
  <c r="AH54" i="3"/>
  <c r="E120" i="3"/>
  <c r="E164" i="3"/>
  <c r="X164" i="3" s="1"/>
  <c r="AH69" i="3"/>
  <c r="AH135" i="3"/>
  <c r="D128" i="3"/>
  <c r="W128" i="3" s="1"/>
  <c r="W55" i="3"/>
  <c r="W59" i="3"/>
  <c r="W60" i="3"/>
  <c r="Y62" i="3"/>
  <c r="AE62" i="3" s="1"/>
  <c r="D184" i="3"/>
  <c r="W184" i="3" s="1"/>
  <c r="W57" i="3"/>
  <c r="F124" i="3"/>
  <c r="Y124" i="3" s="1"/>
  <c r="AE124" i="3" s="1"/>
  <c r="E179" i="3"/>
  <c r="X179" i="3" s="1"/>
  <c r="AH73" i="3"/>
  <c r="X167" i="3"/>
  <c r="X161" i="3"/>
  <c r="Y118" i="3"/>
  <c r="AE118" i="3" s="1"/>
  <c r="Y122" i="3"/>
  <c r="E332" i="3"/>
  <c r="X332" i="3" s="1"/>
  <c r="X157" i="3"/>
  <c r="X185" i="3"/>
  <c r="E155" i="3"/>
  <c r="X155" i="3" s="1"/>
  <c r="F335" i="3"/>
  <c r="X158" i="3"/>
  <c r="X162" i="3"/>
  <c r="X166" i="3"/>
  <c r="X138" i="3"/>
  <c r="AD138" i="3" s="1"/>
  <c r="X174" i="3"/>
  <c r="X165" i="3"/>
  <c r="X180" i="3"/>
  <c r="X168" i="3"/>
  <c r="W187" i="3"/>
  <c r="E250" i="3"/>
  <c r="X250" i="3" s="1"/>
  <c r="AD250" i="3" s="1"/>
  <c r="D115" i="3"/>
  <c r="W115" i="3" s="1"/>
  <c r="D121" i="3"/>
  <c r="W121" i="3" s="1"/>
  <c r="AH85" i="3"/>
  <c r="D117" i="3"/>
  <c r="W117" i="3" s="1"/>
  <c r="D116" i="3"/>
  <c r="W116" i="3" s="1"/>
  <c r="AH81" i="3"/>
  <c r="AH95" i="3" s="1"/>
  <c r="AH68" i="3"/>
  <c r="AH66" i="3"/>
  <c r="AH72" i="3"/>
  <c r="D134" i="3"/>
  <c r="W134" i="3" s="1"/>
  <c r="D124" i="3"/>
  <c r="AH75" i="3"/>
  <c r="W644" i="3"/>
  <c r="AH41" i="3"/>
  <c r="AH67" i="3"/>
  <c r="E181" i="3"/>
  <c r="F116" i="3"/>
  <c r="Y116" i="3" s="1"/>
  <c r="AE116" i="3" s="1"/>
  <c r="E182" i="3"/>
  <c r="D90" i="3"/>
  <c r="W94" i="3" s="1"/>
  <c r="F157" i="3"/>
  <c r="Y157" i="3" s="1"/>
  <c r="F161" i="3"/>
  <c r="Y161" i="3" s="1"/>
  <c r="AE41" i="3"/>
  <c r="AC41" i="3"/>
  <c r="F180" i="3"/>
  <c r="Y180" i="3" s="1"/>
  <c r="F170" i="3"/>
  <c r="Y170" i="3" s="1"/>
  <c r="E175" i="3"/>
  <c r="F176" i="3"/>
  <c r="Y176" i="3" s="1"/>
  <c r="AE54" i="3"/>
  <c r="F103" i="3"/>
  <c r="Y103" i="3" s="1"/>
  <c r="D114" i="3"/>
  <c r="W114" i="3" s="1"/>
  <c r="AH65" i="3"/>
  <c r="F182" i="3"/>
  <c r="Y182" i="3" s="1"/>
  <c r="F102" i="3"/>
  <c r="Y102" i="3" s="1"/>
  <c r="AE53" i="3"/>
  <c r="F126" i="3"/>
  <c r="Y126" i="3" s="1"/>
  <c r="AE126" i="3" s="1"/>
  <c r="E177" i="3"/>
  <c r="E156" i="3"/>
  <c r="F204" i="3"/>
  <c r="Y204" i="3" s="1"/>
  <c r="AD103" i="3"/>
  <c r="E152" i="3"/>
  <c r="X152" i="3" s="1"/>
  <c r="F172" i="3"/>
  <c r="Y172" i="3" s="1"/>
  <c r="D102" i="3"/>
  <c r="AH53" i="3"/>
  <c r="F107" i="3"/>
  <c r="Y107" i="3" s="1"/>
  <c r="AE107" i="3" s="1"/>
  <c r="F109" i="3"/>
  <c r="Y109" i="3" s="1"/>
  <c r="AE109" i="3" s="1"/>
  <c r="F113" i="3"/>
  <c r="Y113" i="3" s="1"/>
  <c r="AE113" i="3" s="1"/>
  <c r="F125" i="3"/>
  <c r="Y125" i="3" s="1"/>
  <c r="AE125" i="3" s="1"/>
  <c r="F128" i="3"/>
  <c r="Y128" i="3" s="1"/>
  <c r="AE128" i="3" s="1"/>
  <c r="F130" i="3"/>
  <c r="Y130" i="3" s="1"/>
  <c r="AE130" i="3" s="1"/>
  <c r="F132" i="3"/>
  <c r="Y132" i="3" s="1"/>
  <c r="AE132" i="3" s="1"/>
  <c r="F166" i="3"/>
  <c r="Y166" i="3" s="1"/>
  <c r="E173" i="3"/>
  <c r="F90" i="3"/>
  <c r="F115" i="3"/>
  <c r="Y115" i="3" s="1"/>
  <c r="AE115" i="3" s="1"/>
  <c r="AH79" i="3"/>
  <c r="F134" i="3"/>
  <c r="Y134" i="3" s="1"/>
  <c r="AE134" i="3" s="1"/>
  <c r="F168" i="3"/>
  <c r="Y168" i="3" s="1"/>
  <c r="AC184" i="3" l="1"/>
  <c r="AC187" i="3"/>
  <c r="F334" i="3"/>
  <c r="AC116" i="3"/>
  <c r="AH116" i="3"/>
  <c r="AC103" i="3"/>
  <c r="F332" i="3"/>
  <c r="Z60" i="3"/>
  <c r="AC60" i="3" s="1"/>
  <c r="Z57" i="3"/>
  <c r="AC57" i="3" s="1"/>
  <c r="Z59" i="3"/>
  <c r="AC59" i="3" s="1"/>
  <c r="Z55" i="3"/>
  <c r="AC55" i="3" s="1"/>
  <c r="E209" i="3"/>
  <c r="X209" i="3" s="1"/>
  <c r="AD209" i="3" s="1"/>
  <c r="E163" i="3"/>
  <c r="X163" i="3" s="1"/>
  <c r="E212" i="3" s="1"/>
  <c r="X212" i="3" s="1"/>
  <c r="E262" i="3" s="1"/>
  <c r="AH137" i="3"/>
  <c r="E227" i="3"/>
  <c r="X227" i="3" s="1"/>
  <c r="E277" i="3" s="1"/>
  <c r="X277" i="3" s="1"/>
  <c r="AD277" i="3" s="1"/>
  <c r="F159" i="3"/>
  <c r="Y159" i="3" s="1"/>
  <c r="F163" i="3"/>
  <c r="Y163" i="3" s="1"/>
  <c r="D186" i="3"/>
  <c r="W186" i="3" s="1"/>
  <c r="E217" i="3"/>
  <c r="X217" i="3" s="1"/>
  <c r="E267" i="3" s="1"/>
  <c r="X267" i="3" s="1"/>
  <c r="AD267" i="3" s="1"/>
  <c r="F333" i="3"/>
  <c r="F382" i="3" s="1"/>
  <c r="W136" i="3"/>
  <c r="AH136" i="3" s="1"/>
  <c r="W124" i="3"/>
  <c r="W119" i="3"/>
  <c r="F227" i="3"/>
  <c r="Y227" i="3" s="1"/>
  <c r="AE227" i="3" s="1"/>
  <c r="E221" i="3"/>
  <c r="X221" i="3" s="1"/>
  <c r="AD221" i="3" s="1"/>
  <c r="E213" i="3"/>
  <c r="X213" i="3" s="1"/>
  <c r="E263" i="3" s="1"/>
  <c r="E214" i="3"/>
  <c r="X214" i="3" s="1"/>
  <c r="E264" i="3" s="1"/>
  <c r="E215" i="3"/>
  <c r="X215" i="3" s="1"/>
  <c r="AD215" i="3" s="1"/>
  <c r="F171" i="3"/>
  <c r="Y171" i="3" s="1"/>
  <c r="AE122" i="3"/>
  <c r="F153" i="3"/>
  <c r="Y153" i="3" s="1"/>
  <c r="AE104" i="3"/>
  <c r="F169" i="3"/>
  <c r="Y169" i="3" s="1"/>
  <c r="AE120" i="3"/>
  <c r="AC125" i="3"/>
  <c r="AC117" i="3"/>
  <c r="AC122" i="3"/>
  <c r="AC107" i="3"/>
  <c r="AC134" i="3"/>
  <c r="AC113" i="3"/>
  <c r="AC130" i="3"/>
  <c r="AH105" i="3"/>
  <c r="AC105" i="3"/>
  <c r="AC131" i="3"/>
  <c r="AC127" i="3"/>
  <c r="D169" i="3"/>
  <c r="W169" i="3" s="1"/>
  <c r="AC120" i="3"/>
  <c r="D109" i="3"/>
  <c r="AH120" i="3"/>
  <c r="D176" i="3"/>
  <c r="W176" i="3" s="1"/>
  <c r="AH127" i="3"/>
  <c r="AD90" i="3"/>
  <c r="AH80" i="3"/>
  <c r="D129" i="3"/>
  <c r="W129" i="3" s="1"/>
  <c r="E202" i="3"/>
  <c r="X202" i="3" s="1"/>
  <c r="E252" i="3" s="1"/>
  <c r="AE333" i="3"/>
  <c r="F167" i="3"/>
  <c r="Y167" i="3" s="1"/>
  <c r="AH107" i="3"/>
  <c r="E204" i="3"/>
  <c r="X204" i="3" s="1"/>
  <c r="AD204" i="3" s="1"/>
  <c r="E223" i="3"/>
  <c r="X223" i="3" s="1"/>
  <c r="AD223" i="3" s="1"/>
  <c r="E139" i="3"/>
  <c r="D152" i="3"/>
  <c r="D111" i="3"/>
  <c r="AH184" i="3"/>
  <c r="D171" i="3"/>
  <c r="W171" i="3" s="1"/>
  <c r="E207" i="3"/>
  <c r="X207" i="3" s="1"/>
  <c r="AD207" i="3" s="1"/>
  <c r="E206" i="3"/>
  <c r="X206" i="3" s="1"/>
  <c r="AD206" i="3" s="1"/>
  <c r="E229" i="3"/>
  <c r="X229" i="3" s="1"/>
  <c r="E279" i="3" s="1"/>
  <c r="X279" i="3" s="1"/>
  <c r="AD279" i="3" s="1"/>
  <c r="E183" i="3"/>
  <c r="X183" i="3" s="1"/>
  <c r="F173" i="3"/>
  <c r="Y173" i="3" s="1"/>
  <c r="E187" i="3"/>
  <c r="X187" i="3" s="1"/>
  <c r="X120" i="3"/>
  <c r="X139" i="3" s="1"/>
  <c r="AH60" i="3"/>
  <c r="E211" i="3"/>
  <c r="X211" i="3" s="1"/>
  <c r="AD211" i="3" s="1"/>
  <c r="AH77" i="3"/>
  <c r="D156" i="3"/>
  <c r="W156" i="3" s="1"/>
  <c r="D104" i="3"/>
  <c r="W104" i="3" s="1"/>
  <c r="AH103" i="3"/>
  <c r="D162" i="3"/>
  <c r="W162" i="3" s="1"/>
  <c r="D233" i="3"/>
  <c r="W233" i="3" s="1"/>
  <c r="D110" i="3"/>
  <c r="W110" i="3" s="1"/>
  <c r="AH55" i="3"/>
  <c r="AH84" i="3"/>
  <c r="E159" i="3"/>
  <c r="X159" i="3" s="1"/>
  <c r="E176" i="3"/>
  <c r="X176" i="3" s="1"/>
  <c r="E219" i="3"/>
  <c r="X219" i="3" s="1"/>
  <c r="AD219" i="3" s="1"/>
  <c r="D108" i="3"/>
  <c r="E210" i="3"/>
  <c r="X210" i="3" s="1"/>
  <c r="AD210" i="3" s="1"/>
  <c r="D154" i="3"/>
  <c r="W154" i="3" s="1"/>
  <c r="E220" i="3"/>
  <c r="X220" i="3" s="1"/>
  <c r="AD220" i="3" s="1"/>
  <c r="D106" i="3"/>
  <c r="W106" i="3" s="1"/>
  <c r="AH122" i="3"/>
  <c r="E216" i="3"/>
  <c r="X216" i="3" s="1"/>
  <c r="E266" i="3" s="1"/>
  <c r="AH113" i="3"/>
  <c r="E234" i="3"/>
  <c r="X234" i="3" s="1"/>
  <c r="E284" i="3" s="1"/>
  <c r="AH57" i="3"/>
  <c r="D126" i="3"/>
  <c r="W126" i="3" s="1"/>
  <c r="D112" i="3"/>
  <c r="W112" i="3" s="1"/>
  <c r="D133" i="3"/>
  <c r="W133" i="3" s="1"/>
  <c r="AH62" i="3"/>
  <c r="AH74" i="3"/>
  <c r="D123" i="3"/>
  <c r="W123" i="3" s="1"/>
  <c r="D118" i="3"/>
  <c r="W118" i="3" s="1"/>
  <c r="AH59" i="3"/>
  <c r="F111" i="3"/>
  <c r="Y111" i="3" s="1"/>
  <c r="AE111" i="3" s="1"/>
  <c r="AH61" i="3"/>
  <c r="AH94" i="3" s="1"/>
  <c r="AH63" i="3"/>
  <c r="E186" i="3"/>
  <c r="X186" i="3" s="1"/>
  <c r="E154" i="3"/>
  <c r="X154" i="3" s="1"/>
  <c r="D180" i="3"/>
  <c r="W180" i="3" s="1"/>
  <c r="AH131" i="3"/>
  <c r="E228" i="3"/>
  <c r="X228" i="3" s="1"/>
  <c r="W90" i="3"/>
  <c r="D236" i="3"/>
  <c r="W236" i="3" s="1"/>
  <c r="D132" i="3"/>
  <c r="W132" i="3" s="1"/>
  <c r="AH83" i="3"/>
  <c r="AH187" i="3"/>
  <c r="Y382" i="3"/>
  <c r="F431" i="3" s="1"/>
  <c r="Y431" i="3" s="1"/>
  <c r="F480" i="3" s="1"/>
  <c r="Y480" i="3" s="1"/>
  <c r="X177" i="3"/>
  <c r="X181" i="3"/>
  <c r="E299" i="3"/>
  <c r="X299" i="3" s="1"/>
  <c r="E348" i="3" s="1"/>
  <c r="X348" i="3" s="1"/>
  <c r="E397" i="3" s="1"/>
  <c r="F381" i="3"/>
  <c r="AE332" i="3"/>
  <c r="F384" i="3"/>
  <c r="AE335" i="3"/>
  <c r="X175" i="3"/>
  <c r="X182" i="3"/>
  <c r="E381" i="3"/>
  <c r="AD332" i="3"/>
  <c r="X156" i="3"/>
  <c r="X173" i="3"/>
  <c r="F383" i="3"/>
  <c r="AE334" i="3"/>
  <c r="AH48" i="3"/>
  <c r="AH125" i="3"/>
  <c r="D174" i="3"/>
  <c r="W174" i="3" s="1"/>
  <c r="D179" i="3"/>
  <c r="AH117" i="3"/>
  <c r="D166" i="3"/>
  <c r="AH130" i="3"/>
  <c r="AH144" i="3" s="1"/>
  <c r="D183" i="3"/>
  <c r="AH134" i="3"/>
  <c r="F165" i="3"/>
  <c r="Y165" i="3" s="1"/>
  <c r="F206" i="3"/>
  <c r="Y206" i="3" s="1"/>
  <c r="F210" i="3"/>
  <c r="Y210" i="3" s="1"/>
  <c r="F219" i="3"/>
  <c r="Y219" i="3" s="1"/>
  <c r="F225" i="3"/>
  <c r="Y225" i="3" s="1"/>
  <c r="F229" i="3"/>
  <c r="Y229" i="3" s="1"/>
  <c r="F175" i="3"/>
  <c r="Y175" i="3" s="1"/>
  <c r="AE102" i="3"/>
  <c r="F151" i="3"/>
  <c r="Y151" i="3" s="1"/>
  <c r="F231" i="3"/>
  <c r="Y231" i="3" s="1"/>
  <c r="F152" i="3"/>
  <c r="Y152" i="3" s="1"/>
  <c r="AE103" i="3"/>
  <c r="AE204" i="3"/>
  <c r="F254" i="3"/>
  <c r="F183" i="3"/>
  <c r="Y183" i="3" s="1"/>
  <c r="F164" i="3"/>
  <c r="Y164" i="3" s="1"/>
  <c r="AE90" i="3"/>
  <c r="F105" i="3"/>
  <c r="Y105" i="3" s="1"/>
  <c r="AE105" i="3" s="1"/>
  <c r="Y90" i="3"/>
  <c r="F215" i="3"/>
  <c r="Y215" i="3" s="1"/>
  <c r="F181" i="3"/>
  <c r="Y181" i="3" s="1"/>
  <c r="F177" i="3"/>
  <c r="Y177" i="3" s="1"/>
  <c r="F158" i="3"/>
  <c r="Y158" i="3" s="1"/>
  <c r="F156" i="3"/>
  <c r="Y156" i="3" s="1"/>
  <c r="W102" i="3"/>
  <c r="F217" i="3"/>
  <c r="Y217" i="3" s="1"/>
  <c r="F179" i="3"/>
  <c r="Y179" i="3" s="1"/>
  <c r="F174" i="3"/>
  <c r="Y174" i="3" s="1"/>
  <c r="F162" i="3"/>
  <c r="Y162" i="3" s="1"/>
  <c r="F221" i="3"/>
  <c r="Y221" i="3" s="1"/>
  <c r="AD152" i="3"/>
  <c r="AC174" i="3" l="1"/>
  <c r="AC156" i="3"/>
  <c r="AC171" i="3"/>
  <c r="AC162" i="3"/>
  <c r="AC154" i="3"/>
  <c r="AC180" i="3"/>
  <c r="AC176" i="3"/>
  <c r="AC169" i="3"/>
  <c r="AC186" i="3"/>
  <c r="AC119" i="3"/>
  <c r="AC124" i="3"/>
  <c r="F220" i="3"/>
  <c r="Y220" i="3" s="1"/>
  <c r="AE220" i="3" s="1"/>
  <c r="E259" i="3"/>
  <c r="X259" i="3" s="1"/>
  <c r="AD259" i="3" s="1"/>
  <c r="Z90" i="3"/>
  <c r="AH119" i="3"/>
  <c r="F212" i="3"/>
  <c r="Y212" i="3" s="1"/>
  <c r="AE212" i="3" s="1"/>
  <c r="AH124" i="3"/>
  <c r="D173" i="3"/>
  <c r="W173" i="3" s="1"/>
  <c r="AD212" i="3"/>
  <c r="D168" i="3"/>
  <c r="W168" i="3" s="1"/>
  <c r="F218" i="3"/>
  <c r="Y218" i="3" s="1"/>
  <c r="AE218" i="3" s="1"/>
  <c r="AH186" i="3"/>
  <c r="D235" i="3"/>
  <c r="W235" i="3" s="1"/>
  <c r="F277" i="3"/>
  <c r="Y277" i="3" s="1"/>
  <c r="AE277" i="3" s="1"/>
  <c r="AC233" i="3"/>
  <c r="AD214" i="3"/>
  <c r="W109" i="3"/>
  <c r="W108" i="3"/>
  <c r="AC136" i="3"/>
  <c r="W111" i="3"/>
  <c r="D185" i="3"/>
  <c r="W185" i="3" s="1"/>
  <c r="F216" i="3"/>
  <c r="Y216" i="3" s="1"/>
  <c r="AE216" i="3" s="1"/>
  <c r="F202" i="3"/>
  <c r="Y202" i="3" s="1"/>
  <c r="F252" i="3" s="1"/>
  <c r="Y252" i="3" s="1"/>
  <c r="AE252" i="3" s="1"/>
  <c r="E271" i="3"/>
  <c r="X271" i="3" s="1"/>
  <c r="AD271" i="3" s="1"/>
  <c r="E265" i="3"/>
  <c r="X265" i="3" s="1"/>
  <c r="AD265" i="3" s="1"/>
  <c r="E208" i="3"/>
  <c r="X208" i="3" s="1"/>
  <c r="AD208" i="3" s="1"/>
  <c r="E203" i="3"/>
  <c r="X203" i="3" s="1"/>
  <c r="E253" i="3" s="1"/>
  <c r="X253" i="3" s="1"/>
  <c r="E222" i="3"/>
  <c r="X222" i="3" s="1"/>
  <c r="AD222" i="3" s="1"/>
  <c r="E225" i="3"/>
  <c r="X225" i="3" s="1"/>
  <c r="E275" i="3" s="1"/>
  <c r="X275" i="3" s="1"/>
  <c r="E169" i="3"/>
  <c r="X169" i="3" s="1"/>
  <c r="AD120" i="3"/>
  <c r="AD139" i="3" s="1"/>
  <c r="AC112" i="3"/>
  <c r="AC106" i="3"/>
  <c r="AC126" i="3"/>
  <c r="AC129" i="3"/>
  <c r="AC114" i="3"/>
  <c r="AC118" i="3"/>
  <c r="AC104" i="3"/>
  <c r="AC123" i="3"/>
  <c r="AC133" i="3"/>
  <c r="AC132" i="3"/>
  <c r="AC102" i="3"/>
  <c r="AC110" i="3"/>
  <c r="AH128" i="3"/>
  <c r="AC128" i="3"/>
  <c r="D164" i="3"/>
  <c r="W164" i="3" s="1"/>
  <c r="AC115" i="3"/>
  <c r="AC121" i="3"/>
  <c r="D218" i="3"/>
  <c r="W218" i="3" s="1"/>
  <c r="AH169" i="3"/>
  <c r="W95" i="3"/>
  <c r="AD227" i="3"/>
  <c r="AD202" i="3"/>
  <c r="AH96" i="3"/>
  <c r="W152" i="3"/>
  <c r="D178" i="3"/>
  <c r="W178" i="3" s="1"/>
  <c r="AH129" i="3"/>
  <c r="E273" i="3"/>
  <c r="X273" i="3" s="1"/>
  <c r="AD273" i="3" s="1"/>
  <c r="E269" i="3"/>
  <c r="X269" i="3" s="1"/>
  <c r="AD269" i="3" s="1"/>
  <c r="AH233" i="3"/>
  <c r="D283" i="3"/>
  <c r="W283" i="3" s="1"/>
  <c r="AC283" i="3" s="1"/>
  <c r="E261" i="3"/>
  <c r="X261" i="3" s="1"/>
  <c r="AD261" i="3" s="1"/>
  <c r="F270" i="3"/>
  <c r="Y270" i="3" s="1"/>
  <c r="E226" i="3"/>
  <c r="X226" i="3" s="1"/>
  <c r="E276" i="3" s="1"/>
  <c r="AD234" i="3"/>
  <c r="E224" i="3"/>
  <c r="X224" i="3" s="1"/>
  <c r="E274" i="3" s="1"/>
  <c r="F222" i="3"/>
  <c r="Y222" i="3" s="1"/>
  <c r="AE222" i="3" s="1"/>
  <c r="D205" i="3"/>
  <c r="W205" i="3" s="1"/>
  <c r="E257" i="3"/>
  <c r="X257" i="3" s="1"/>
  <c r="D220" i="3"/>
  <c r="W220" i="3" s="1"/>
  <c r="E256" i="3"/>
  <c r="X256" i="3" s="1"/>
  <c r="AD256" i="3" s="1"/>
  <c r="E205" i="3"/>
  <c r="X205" i="3" s="1"/>
  <c r="AD205" i="3" s="1"/>
  <c r="AH171" i="3"/>
  <c r="AH154" i="3"/>
  <c r="AH156" i="3"/>
  <c r="D155" i="3"/>
  <c r="W155" i="3" s="1"/>
  <c r="E260" i="3"/>
  <c r="X260" i="3" s="1"/>
  <c r="D159" i="3"/>
  <c r="W159" i="3" s="1"/>
  <c r="AD229" i="3"/>
  <c r="AD217" i="3"/>
  <c r="AC90" i="3"/>
  <c r="D182" i="3"/>
  <c r="W182" i="3" s="1"/>
  <c r="AH162" i="3"/>
  <c r="AD216" i="3"/>
  <c r="E270" i="3"/>
  <c r="X270" i="3" s="1"/>
  <c r="AD270" i="3" s="1"/>
  <c r="D211" i="3"/>
  <c r="W211" i="3" s="1"/>
  <c r="AH115" i="3"/>
  <c r="AH126" i="3"/>
  <c r="D175" i="3"/>
  <c r="W175" i="3" s="1"/>
  <c r="AH118" i="3"/>
  <c r="D203" i="3"/>
  <c r="W203" i="3" s="1"/>
  <c r="D163" i="3"/>
  <c r="W163" i="3" s="1"/>
  <c r="D153" i="3"/>
  <c r="W153" i="3" s="1"/>
  <c r="AH106" i="3"/>
  <c r="E231" i="3"/>
  <c r="X231" i="3" s="1"/>
  <c r="AD231" i="3" s="1"/>
  <c r="AD213" i="3"/>
  <c r="AH110" i="3"/>
  <c r="AH114" i="3"/>
  <c r="AH104" i="3"/>
  <c r="D161" i="3"/>
  <c r="W161" i="3" s="1"/>
  <c r="AH112" i="3"/>
  <c r="AH123" i="3"/>
  <c r="D172" i="3"/>
  <c r="W172" i="3" s="1"/>
  <c r="D167" i="3"/>
  <c r="W167" i="3" s="1"/>
  <c r="AH133" i="3"/>
  <c r="AH90" i="3"/>
  <c r="E326" i="3"/>
  <c r="X326" i="3" s="1"/>
  <c r="AD326" i="3" s="1"/>
  <c r="E230" i="3"/>
  <c r="X230" i="3" s="1"/>
  <c r="E280" i="3" s="1"/>
  <c r="D165" i="3"/>
  <c r="E278" i="3"/>
  <c r="X278" i="3" s="1"/>
  <c r="AD228" i="3"/>
  <c r="D181" i="3"/>
  <c r="AH132" i="3"/>
  <c r="D139" i="3"/>
  <c r="AC236" i="3"/>
  <c r="D286" i="3"/>
  <c r="W286" i="3" s="1"/>
  <c r="AC286" i="3" s="1"/>
  <c r="AH236" i="3"/>
  <c r="X263" i="3"/>
  <c r="AE480" i="3"/>
  <c r="F529" i="3"/>
  <c r="Y529" i="3" s="1"/>
  <c r="F581" i="3" s="1"/>
  <c r="Y581" i="3" s="1"/>
  <c r="Y384" i="3"/>
  <c r="F433" i="3" s="1"/>
  <c r="Y433" i="3" s="1"/>
  <c r="F482" i="3" s="1"/>
  <c r="Y482" i="3" s="1"/>
  <c r="AH180" i="3"/>
  <c r="X266" i="3"/>
  <c r="AD266" i="3" s="1"/>
  <c r="D177" i="3"/>
  <c r="W177" i="3" s="1"/>
  <c r="Y254" i="3"/>
  <c r="AE254" i="3" s="1"/>
  <c r="X262" i="3"/>
  <c r="AD262" i="3" s="1"/>
  <c r="X264" i="3"/>
  <c r="AD264" i="3" s="1"/>
  <c r="E232" i="3"/>
  <c r="E254" i="3"/>
  <c r="E236" i="3"/>
  <c r="F160" i="3"/>
  <c r="Y160" i="3" s="1"/>
  <c r="AH176" i="3"/>
  <c r="D229" i="3"/>
  <c r="W229" i="3" s="1"/>
  <c r="X284" i="3"/>
  <c r="AD284" i="3" s="1"/>
  <c r="W183" i="3"/>
  <c r="W166" i="3"/>
  <c r="AD299" i="3"/>
  <c r="D225" i="3"/>
  <c r="W225" i="3" s="1"/>
  <c r="F208" i="3"/>
  <c r="Y208" i="3" s="1"/>
  <c r="Y381" i="3"/>
  <c r="F430" i="3" s="1"/>
  <c r="Y430" i="3" s="1"/>
  <c r="F479" i="3" s="1"/>
  <c r="Y479" i="3" s="1"/>
  <c r="E235" i="3"/>
  <c r="X235" i="3" s="1"/>
  <c r="X252" i="3"/>
  <c r="AD252" i="3" s="1"/>
  <c r="AH121" i="3"/>
  <c r="Y383" i="3"/>
  <c r="F432" i="3" s="1"/>
  <c r="Y432" i="3" s="1"/>
  <c r="F481" i="3" s="1"/>
  <c r="Y481" i="3" s="1"/>
  <c r="D170" i="3"/>
  <c r="W170" i="3" s="1"/>
  <c r="X381" i="3"/>
  <c r="AD381" i="3" s="1"/>
  <c r="X397" i="3"/>
  <c r="E446" i="3" s="1"/>
  <c r="AD348" i="3"/>
  <c r="E316" i="3"/>
  <c r="X316" i="3" s="1"/>
  <c r="F214" i="3"/>
  <c r="Y214" i="3" s="1"/>
  <c r="AE210" i="3"/>
  <c r="F260" i="3"/>
  <c r="E328" i="3"/>
  <c r="AE206" i="3"/>
  <c r="F256" i="3"/>
  <c r="AE225" i="3"/>
  <c r="F275" i="3"/>
  <c r="AE219" i="3"/>
  <c r="F269" i="3"/>
  <c r="F279" i="3"/>
  <c r="AE229" i="3"/>
  <c r="AE152" i="3"/>
  <c r="F201" i="3"/>
  <c r="Y201" i="3" s="1"/>
  <c r="AE201" i="3" s="1"/>
  <c r="AE231" i="3"/>
  <c r="F281" i="3"/>
  <c r="AE151" i="3"/>
  <c r="F200" i="3"/>
  <c r="Y200" i="3" s="1"/>
  <c r="F224" i="3"/>
  <c r="Y224" i="3" s="1"/>
  <c r="E201" i="3"/>
  <c r="AE221" i="3"/>
  <c r="F271" i="3"/>
  <c r="F211" i="3"/>
  <c r="Y211" i="3" s="1"/>
  <c r="F207" i="3"/>
  <c r="Y207" i="3" s="1"/>
  <c r="F226" i="3"/>
  <c r="Y226" i="3" s="1"/>
  <c r="F265" i="3"/>
  <c r="AE215" i="3"/>
  <c r="F213" i="3"/>
  <c r="Y213" i="3" s="1"/>
  <c r="F223" i="3"/>
  <c r="Y223" i="3" s="1"/>
  <c r="F228" i="3"/>
  <c r="Y228" i="3" s="1"/>
  <c r="F267" i="3"/>
  <c r="AE217" i="3"/>
  <c r="D151" i="3"/>
  <c r="AH102" i="3"/>
  <c r="F205" i="3"/>
  <c r="Y205" i="3" s="1"/>
  <c r="F230" i="3"/>
  <c r="Y230" i="3" s="1"/>
  <c r="F139" i="3"/>
  <c r="F232" i="3"/>
  <c r="Y232" i="3" s="1"/>
  <c r="AC167" i="3" l="1"/>
  <c r="AC163" i="3"/>
  <c r="AC172" i="3"/>
  <c r="AC170" i="3"/>
  <c r="AC182" i="3"/>
  <c r="AC159" i="3"/>
  <c r="AC164" i="3"/>
  <c r="AC166" i="3"/>
  <c r="AC153" i="3"/>
  <c r="AC175" i="3"/>
  <c r="AC185" i="3"/>
  <c r="AC183" i="3"/>
  <c r="AC177" i="3"/>
  <c r="AC161" i="3"/>
  <c r="AC155" i="3"/>
  <c r="AC179" i="3"/>
  <c r="AC152" i="3"/>
  <c r="AC178" i="3"/>
  <c r="AC168" i="3"/>
  <c r="AC173" i="3"/>
  <c r="E308" i="3"/>
  <c r="X308" i="3" s="1"/>
  <c r="AD308" i="3" s="1"/>
  <c r="Z139" i="3"/>
  <c r="AC109" i="3"/>
  <c r="AB581" i="3"/>
  <c r="AE581" i="3" s="1"/>
  <c r="D157" i="3"/>
  <c r="W157" i="3" s="1"/>
  <c r="AH168" i="3"/>
  <c r="D217" i="3"/>
  <c r="W217" i="3" s="1"/>
  <c r="AH217" i="3" s="1"/>
  <c r="F262" i="3"/>
  <c r="Y262" i="3" s="1"/>
  <c r="AE262" i="3" s="1"/>
  <c r="AE202" i="3"/>
  <c r="F268" i="3"/>
  <c r="Y268" i="3" s="1"/>
  <c r="AE268" i="3" s="1"/>
  <c r="F326" i="3"/>
  <c r="F375" i="3" s="1"/>
  <c r="Y375" i="3" s="1"/>
  <c r="AH111" i="3"/>
  <c r="D158" i="3"/>
  <c r="W158" i="3" s="1"/>
  <c r="AH109" i="3"/>
  <c r="AC111" i="3"/>
  <c r="W139" i="3"/>
  <c r="D160" i="3"/>
  <c r="W160" i="3" s="1"/>
  <c r="AH108" i="3"/>
  <c r="AC108" i="3"/>
  <c r="AH143" i="3"/>
  <c r="D285" i="3"/>
  <c r="W285" i="3" s="1"/>
  <c r="AC285" i="3" s="1"/>
  <c r="AH235" i="3"/>
  <c r="AC235" i="3"/>
  <c r="E302" i="3"/>
  <c r="X302" i="3" s="1"/>
  <c r="E351" i="3" s="1"/>
  <c r="X351" i="3" s="1"/>
  <c r="AD253" i="3"/>
  <c r="E312" i="3"/>
  <c r="X312" i="3" s="1"/>
  <c r="AD312" i="3" s="1"/>
  <c r="AD263" i="3"/>
  <c r="E327" i="3"/>
  <c r="X327" i="3" s="1"/>
  <c r="E376" i="3" s="1"/>
  <c r="X376" i="3" s="1"/>
  <c r="AD278" i="3"/>
  <c r="E309" i="3"/>
  <c r="X309" i="3" s="1"/>
  <c r="AD309" i="3" s="1"/>
  <c r="AD260" i="3"/>
  <c r="F311" i="3"/>
  <c r="E306" i="3"/>
  <c r="X306" i="3" s="1"/>
  <c r="E355" i="3" s="1"/>
  <c r="X355" i="3" s="1"/>
  <c r="AD257" i="3"/>
  <c r="F319" i="3"/>
  <c r="AE270" i="3"/>
  <c r="E324" i="3"/>
  <c r="X324" i="3" s="1"/>
  <c r="AD324" i="3" s="1"/>
  <c r="AD275" i="3"/>
  <c r="F266" i="3"/>
  <c r="Y266" i="3" s="1"/>
  <c r="D261" i="3"/>
  <c r="W261" i="3" s="1"/>
  <c r="AC261" i="3" s="1"/>
  <c r="D275" i="3"/>
  <c r="W275" i="3" s="1"/>
  <c r="AC275" i="3" s="1"/>
  <c r="AC225" i="3"/>
  <c r="AH205" i="3"/>
  <c r="AC205" i="3"/>
  <c r="AH203" i="3"/>
  <c r="AC203" i="3"/>
  <c r="AH218" i="3"/>
  <c r="AC218" i="3"/>
  <c r="D270" i="3"/>
  <c r="W270" i="3" s="1"/>
  <c r="AC270" i="3" s="1"/>
  <c r="AC220" i="3"/>
  <c r="D234" i="3"/>
  <c r="W234" i="3" s="1"/>
  <c r="AH185" i="3"/>
  <c r="E272" i="3"/>
  <c r="X272" i="3" s="1"/>
  <c r="AD272" i="3" s="1"/>
  <c r="E258" i="3"/>
  <c r="X258" i="3" s="1"/>
  <c r="AD203" i="3"/>
  <c r="X188" i="3"/>
  <c r="D213" i="3"/>
  <c r="W213" i="3" s="1"/>
  <c r="AD225" i="3"/>
  <c r="E218" i="3"/>
  <c r="X218" i="3" s="1"/>
  <c r="E268" i="3" s="1"/>
  <c r="X268" i="3" s="1"/>
  <c r="AD268" i="3" s="1"/>
  <c r="E188" i="3"/>
  <c r="X192" i="3" s="1"/>
  <c r="D268" i="3"/>
  <c r="W268" i="3" s="1"/>
  <c r="AC268" i="3" s="1"/>
  <c r="D227" i="3"/>
  <c r="W227" i="3" s="1"/>
  <c r="D201" i="3"/>
  <c r="W201" i="3" s="1"/>
  <c r="AH152" i="3"/>
  <c r="AH97" i="3"/>
  <c r="W181" i="3"/>
  <c r="W165" i="3"/>
  <c r="AH178" i="3"/>
  <c r="AH145" i="3"/>
  <c r="AD226" i="3"/>
  <c r="AD224" i="3"/>
  <c r="D255" i="3"/>
  <c r="W255" i="3" s="1"/>
  <c r="AC255" i="3" s="1"/>
  <c r="F272" i="3"/>
  <c r="Y272" i="3" s="1"/>
  <c r="AE272" i="3" s="1"/>
  <c r="E318" i="3"/>
  <c r="X318" i="3" s="1"/>
  <c r="E367" i="3" s="1"/>
  <c r="X367" i="3" s="1"/>
  <c r="D231" i="3"/>
  <c r="W231" i="3" s="1"/>
  <c r="AH211" i="3"/>
  <c r="E255" i="3"/>
  <c r="X255" i="3" s="1"/>
  <c r="AD255" i="3" s="1"/>
  <c r="AH159" i="3"/>
  <c r="D212" i="3"/>
  <c r="W212" i="3" s="1"/>
  <c r="D226" i="3"/>
  <c r="W226" i="3" s="1"/>
  <c r="AH163" i="3"/>
  <c r="E301" i="3"/>
  <c r="X301" i="3" s="1"/>
  <c r="E350" i="3" s="1"/>
  <c r="X350" i="3" s="1"/>
  <c r="E310" i="3"/>
  <c r="X310" i="3" s="1"/>
  <c r="AD310" i="3" s="1"/>
  <c r="AH155" i="3"/>
  <c r="AH177" i="3"/>
  <c r="E314" i="3"/>
  <c r="X314" i="3" s="1"/>
  <c r="E363" i="3" s="1"/>
  <c r="X363" i="3" s="1"/>
  <c r="D232" i="3"/>
  <c r="W232" i="3" s="1"/>
  <c r="D204" i="3"/>
  <c r="W204" i="3" s="1"/>
  <c r="AH220" i="3"/>
  <c r="E305" i="3"/>
  <c r="X305" i="3" s="1"/>
  <c r="AD305" i="3" s="1"/>
  <c r="F303" i="3"/>
  <c r="F352" i="3" s="1"/>
  <c r="Y352" i="3" s="1"/>
  <c r="D216" i="3"/>
  <c r="W216" i="3" s="1"/>
  <c r="E320" i="3"/>
  <c r="X320" i="3" s="1"/>
  <c r="AD320" i="3" s="1"/>
  <c r="D210" i="3"/>
  <c r="W210" i="3" s="1"/>
  <c r="E281" i="3"/>
  <c r="X281" i="3" s="1"/>
  <c r="AD281" i="3" s="1"/>
  <c r="D208" i="3"/>
  <c r="W208" i="3" s="1"/>
  <c r="AH167" i="3"/>
  <c r="AH161" i="3"/>
  <c r="AH182" i="3"/>
  <c r="AE326" i="3"/>
  <c r="AH183" i="3"/>
  <c r="F301" i="3"/>
  <c r="AE301" i="3" s="1"/>
  <c r="E313" i="3"/>
  <c r="X313" i="3" s="1"/>
  <c r="E362" i="3" s="1"/>
  <c r="AH153" i="3"/>
  <c r="D202" i="3"/>
  <c r="W202" i="3" s="1"/>
  <c r="AC211" i="3"/>
  <c r="E322" i="3"/>
  <c r="X322" i="3" s="1"/>
  <c r="E371" i="3" s="1"/>
  <c r="E315" i="3"/>
  <c r="X315" i="3" s="1"/>
  <c r="E364" i="3" s="1"/>
  <c r="X364" i="3" s="1"/>
  <c r="E319" i="3"/>
  <c r="X319" i="3" s="1"/>
  <c r="AD319" i="3" s="1"/>
  <c r="AH175" i="3"/>
  <c r="E375" i="3"/>
  <c r="X375" i="3" s="1"/>
  <c r="AD375" i="3" s="1"/>
  <c r="E333" i="3"/>
  <c r="X333" i="3" s="1"/>
  <c r="E382" i="3" s="1"/>
  <c r="X382" i="3" s="1"/>
  <c r="D253" i="3"/>
  <c r="W253" i="3" s="1"/>
  <c r="AC253" i="3" s="1"/>
  <c r="D224" i="3"/>
  <c r="W224" i="3" s="1"/>
  <c r="E311" i="3"/>
  <c r="X311" i="3" s="1"/>
  <c r="E360" i="3" s="1"/>
  <c r="X360" i="3" s="1"/>
  <c r="AD230" i="3"/>
  <c r="E430" i="3"/>
  <c r="X430" i="3" s="1"/>
  <c r="E479" i="3" s="1"/>
  <c r="X479" i="3" s="1"/>
  <c r="AD479" i="3" s="1"/>
  <c r="D221" i="3"/>
  <c r="W221" i="3" s="1"/>
  <c r="AH172" i="3"/>
  <c r="AD188" i="3"/>
  <c r="AH179" i="3"/>
  <c r="AH193" i="3" s="1"/>
  <c r="AH174" i="3"/>
  <c r="D223" i="3"/>
  <c r="W223" i="3" s="1"/>
  <c r="AH166" i="3"/>
  <c r="AH283" i="3"/>
  <c r="D335" i="3"/>
  <c r="W335" i="3" s="1"/>
  <c r="AH286" i="3"/>
  <c r="D332" i="3"/>
  <c r="W332" i="3" s="1"/>
  <c r="AE481" i="3"/>
  <c r="F530" i="3"/>
  <c r="Y530" i="3" s="1"/>
  <c r="F582" i="3" s="1"/>
  <c r="Y582" i="3" s="1"/>
  <c r="AE482" i="3"/>
  <c r="F531" i="3"/>
  <c r="Y531" i="3" s="1"/>
  <c r="F583" i="3" s="1"/>
  <c r="Y583" i="3" s="1"/>
  <c r="E285" i="3"/>
  <c r="AD235" i="3"/>
  <c r="Y256" i="3"/>
  <c r="AE256" i="3" s="1"/>
  <c r="AH164" i="3"/>
  <c r="D228" i="3"/>
  <c r="W228" i="3" s="1"/>
  <c r="Y279" i="3"/>
  <c r="AE279" i="3" s="1"/>
  <c r="Y260" i="3"/>
  <c r="AE260" i="3" s="1"/>
  <c r="D279" i="3"/>
  <c r="AC229" i="3"/>
  <c r="AH229" i="3"/>
  <c r="X254" i="3"/>
  <c r="Y267" i="3"/>
  <c r="AE267" i="3" s="1"/>
  <c r="X276" i="3"/>
  <c r="AD276" i="3" s="1"/>
  <c r="X274" i="3"/>
  <c r="AD274" i="3" s="1"/>
  <c r="Y275" i="3"/>
  <c r="AE275" i="3" s="1"/>
  <c r="AE479" i="3"/>
  <c r="F528" i="3"/>
  <c r="Y528" i="3" s="1"/>
  <c r="F580" i="3" s="1"/>
  <c r="Y580" i="3" s="1"/>
  <c r="F209" i="3"/>
  <c r="Y209" i="3" s="1"/>
  <c r="Y281" i="3"/>
  <c r="AE281" i="3" s="1"/>
  <c r="Y271" i="3"/>
  <c r="AE271" i="3" s="1"/>
  <c r="Y265" i="3"/>
  <c r="AE265" i="3" s="1"/>
  <c r="Y269" i="3"/>
  <c r="AE269" i="3" s="1"/>
  <c r="X328" i="3"/>
  <c r="E377" i="3" s="1"/>
  <c r="X377" i="3" s="1"/>
  <c r="X280" i="3"/>
  <c r="AD280" i="3" s="1"/>
  <c r="D215" i="3"/>
  <c r="W215" i="3" s="1"/>
  <c r="D219" i="3"/>
  <c r="W219" i="3" s="1"/>
  <c r="AH170" i="3"/>
  <c r="F258" i="3"/>
  <c r="AE208" i="3"/>
  <c r="X236" i="3"/>
  <c r="E286" i="3" s="1"/>
  <c r="X286" i="3" s="1"/>
  <c r="AD286" i="3" s="1"/>
  <c r="X232" i="3"/>
  <c r="AD232" i="3" s="1"/>
  <c r="AH173" i="3"/>
  <c r="D222" i="3"/>
  <c r="W222" i="3" s="1"/>
  <c r="AH225" i="3"/>
  <c r="F251" i="3"/>
  <c r="Y251" i="3" s="1"/>
  <c r="X446" i="3"/>
  <c r="E495" i="3" s="1"/>
  <c r="X495" i="3" s="1"/>
  <c r="AE375" i="3"/>
  <c r="F424" i="3"/>
  <c r="AD397" i="3"/>
  <c r="AE311" i="3"/>
  <c r="F360" i="3"/>
  <c r="Y360" i="3" s="1"/>
  <c r="AE319" i="3"/>
  <c r="F368" i="3"/>
  <c r="Y368" i="3" s="1"/>
  <c r="AD316" i="3"/>
  <c r="E365" i="3"/>
  <c r="F264" i="3"/>
  <c r="AE214" i="3"/>
  <c r="F274" i="3"/>
  <c r="AE224" i="3"/>
  <c r="F250" i="3"/>
  <c r="Y250" i="3" s="1"/>
  <c r="AE200" i="3"/>
  <c r="F282" i="3"/>
  <c r="AE232" i="3"/>
  <c r="F255" i="3"/>
  <c r="AE205" i="3"/>
  <c r="F273" i="3"/>
  <c r="AE223" i="3"/>
  <c r="AE213" i="3"/>
  <c r="F263" i="3"/>
  <c r="F276" i="3"/>
  <c r="AE226" i="3"/>
  <c r="X201" i="3"/>
  <c r="AD201" i="3" s="1"/>
  <c r="F154" i="3"/>
  <c r="Y154" i="3" s="1"/>
  <c r="AE139" i="3"/>
  <c r="Y139" i="3"/>
  <c r="F280" i="3"/>
  <c r="AE230" i="3"/>
  <c r="W151" i="3"/>
  <c r="F278" i="3"/>
  <c r="AE228" i="3"/>
  <c r="AE207" i="3"/>
  <c r="F257" i="3"/>
  <c r="AE211" i="3"/>
  <c r="F261" i="3"/>
  <c r="AC181" i="3" l="1"/>
  <c r="AC160" i="3"/>
  <c r="AC158" i="3"/>
  <c r="AC165" i="3"/>
  <c r="AC151" i="3"/>
  <c r="AH160" i="3"/>
  <c r="D206" i="3"/>
  <c r="W206" i="3" s="1"/>
  <c r="AH206" i="3" s="1"/>
  <c r="AC157" i="3"/>
  <c r="E357" i="3"/>
  <c r="X357" i="3" s="1"/>
  <c r="AD357" i="3" s="1"/>
  <c r="AC139" i="3"/>
  <c r="D207" i="3"/>
  <c r="W207" i="3" s="1"/>
  <c r="AH207" i="3" s="1"/>
  <c r="D188" i="3"/>
  <c r="W192" i="3" s="1"/>
  <c r="AH158" i="3"/>
  <c r="AH157" i="3"/>
  <c r="D267" i="3"/>
  <c r="W267" i="3" s="1"/>
  <c r="AC267" i="3" s="1"/>
  <c r="AC217" i="3"/>
  <c r="AB583" i="3"/>
  <c r="AE583" i="3" s="1"/>
  <c r="AD306" i="3"/>
  <c r="AB582" i="3"/>
  <c r="AE582" i="3" s="1"/>
  <c r="E373" i="3"/>
  <c r="X373" i="3" s="1"/>
  <c r="E422" i="3" s="1"/>
  <c r="AB580" i="3"/>
  <c r="AE580" i="3" s="1"/>
  <c r="AH285" i="3"/>
  <c r="D209" i="3"/>
  <c r="W209" i="3" s="1"/>
  <c r="AC209" i="3" s="1"/>
  <c r="AH139" i="3"/>
  <c r="AH146" i="3" s="1"/>
  <c r="E358" i="3"/>
  <c r="X358" i="3" s="1"/>
  <c r="AD358" i="3" s="1"/>
  <c r="F317" i="3"/>
  <c r="AE317" i="3" s="1"/>
  <c r="D334" i="3"/>
  <c r="W334" i="3" s="1"/>
  <c r="D383" i="3" s="1"/>
  <c r="W383" i="3" s="1"/>
  <c r="AC383" i="3" s="1"/>
  <c r="AD327" i="3"/>
  <c r="AD302" i="3"/>
  <c r="E361" i="3"/>
  <c r="X361" i="3" s="1"/>
  <c r="AD361" i="3" s="1"/>
  <c r="AC332" i="3"/>
  <c r="F315" i="3"/>
  <c r="AE315" i="3" s="1"/>
  <c r="AE266" i="3"/>
  <c r="E303" i="3"/>
  <c r="X303" i="3" s="1"/>
  <c r="AD303" i="3" s="1"/>
  <c r="AD254" i="3"/>
  <c r="E307" i="3"/>
  <c r="X307" i="3" s="1"/>
  <c r="AD307" i="3" s="1"/>
  <c r="AD258" i="3"/>
  <c r="D324" i="3"/>
  <c r="W324" i="3" s="1"/>
  <c r="AH275" i="3"/>
  <c r="AC223" i="3"/>
  <c r="AC224" i="3"/>
  <c r="AC210" i="3"/>
  <c r="D282" i="3"/>
  <c r="W282" i="3" s="1"/>
  <c r="AC282" i="3" s="1"/>
  <c r="AC232" i="3"/>
  <c r="D252" i="3"/>
  <c r="W252" i="3" s="1"/>
  <c r="AC252" i="3" s="1"/>
  <c r="AC202" i="3"/>
  <c r="AC208" i="3"/>
  <c r="AH226" i="3"/>
  <c r="AC226" i="3"/>
  <c r="AC231" i="3"/>
  <c r="AC201" i="3"/>
  <c r="D254" i="3"/>
  <c r="W254" i="3" s="1"/>
  <c r="AC254" i="3" s="1"/>
  <c r="AC204" i="3"/>
  <c r="AC212" i="3"/>
  <c r="D277" i="3"/>
  <c r="W277" i="3" s="1"/>
  <c r="AC277" i="3" s="1"/>
  <c r="AC227" i="3"/>
  <c r="AC213" i="3"/>
  <c r="AC216" i="3"/>
  <c r="AH215" i="3"/>
  <c r="AC215" i="3"/>
  <c r="X193" i="3"/>
  <c r="D284" i="3"/>
  <c r="W284" i="3" s="1"/>
  <c r="AC284" i="3" s="1"/>
  <c r="AC234" i="3"/>
  <c r="AH234" i="3"/>
  <c r="D263" i="3"/>
  <c r="W263" i="3" s="1"/>
  <c r="AC263" i="3" s="1"/>
  <c r="AH213" i="3"/>
  <c r="E237" i="3"/>
  <c r="X241" i="3" s="1"/>
  <c r="E317" i="3"/>
  <c r="X317" i="3" s="1"/>
  <c r="E366" i="3" s="1"/>
  <c r="X366" i="3" s="1"/>
  <c r="AD218" i="3"/>
  <c r="AH268" i="3"/>
  <c r="D317" i="3"/>
  <c r="W317" i="3" s="1"/>
  <c r="AH227" i="3"/>
  <c r="F328" i="3"/>
  <c r="AH181" i="3"/>
  <c r="AH194" i="3" s="1"/>
  <c r="AH201" i="3"/>
  <c r="D251" i="3"/>
  <c r="W251" i="3" s="1"/>
  <c r="D262" i="3"/>
  <c r="W262" i="3" s="1"/>
  <c r="AC262" i="3" s="1"/>
  <c r="D260" i="3"/>
  <c r="W260" i="3" s="1"/>
  <c r="AC260" i="3" s="1"/>
  <c r="D214" i="3"/>
  <c r="W214" i="3" s="1"/>
  <c r="D230" i="3"/>
  <c r="AE303" i="3"/>
  <c r="AH204" i="3"/>
  <c r="AH212" i="3"/>
  <c r="AD318" i="3"/>
  <c r="AD315" i="3"/>
  <c r="F320" i="3"/>
  <c r="AE320" i="3" s="1"/>
  <c r="AH231" i="3"/>
  <c r="AH210" i="3"/>
  <c r="F366" i="3"/>
  <c r="Y366" i="3" s="1"/>
  <c r="AE366" i="3" s="1"/>
  <c r="D281" i="3"/>
  <c r="W281" i="3" s="1"/>
  <c r="AC281" i="3" s="1"/>
  <c r="E325" i="3"/>
  <c r="X325" i="3" s="1"/>
  <c r="E374" i="3" s="1"/>
  <c r="X374" i="3" s="1"/>
  <c r="E354" i="3"/>
  <c r="X354" i="3" s="1"/>
  <c r="AD354" i="3" s="1"/>
  <c r="AH261" i="3"/>
  <c r="AH232" i="3"/>
  <c r="F321" i="3"/>
  <c r="AE321" i="3" s="1"/>
  <c r="AD313" i="3"/>
  <c r="AD430" i="3"/>
  <c r="E369" i="3"/>
  <c r="X369" i="3" s="1"/>
  <c r="E418" i="3" s="1"/>
  <c r="E359" i="3"/>
  <c r="X359" i="3" s="1"/>
  <c r="E408" i="3" s="1"/>
  <c r="AH332" i="3"/>
  <c r="D276" i="3"/>
  <c r="W276" i="3" s="1"/>
  <c r="AC276" i="3" s="1"/>
  <c r="AD333" i="3"/>
  <c r="D381" i="3"/>
  <c r="W381" i="3" s="1"/>
  <c r="AC381" i="3" s="1"/>
  <c r="AD311" i="3"/>
  <c r="F350" i="3"/>
  <c r="Y350" i="3" s="1"/>
  <c r="AE350" i="3" s="1"/>
  <c r="D304" i="3"/>
  <c r="W304" i="3" s="1"/>
  <c r="AH216" i="3"/>
  <c r="D274" i="3"/>
  <c r="W274" i="3" s="1"/>
  <c r="AC274" i="3" s="1"/>
  <c r="D302" i="3"/>
  <c r="W302" i="3" s="1"/>
  <c r="E304" i="3"/>
  <c r="X304" i="3" s="1"/>
  <c r="E353" i="3" s="1"/>
  <c r="X353" i="3" s="1"/>
  <c r="AH208" i="3"/>
  <c r="D258" i="3"/>
  <c r="W258" i="3" s="1"/>
  <c r="AC258" i="3" s="1"/>
  <c r="D266" i="3"/>
  <c r="W266" i="3" s="1"/>
  <c r="AC266" i="3" s="1"/>
  <c r="F305" i="3"/>
  <c r="AE305" i="3" s="1"/>
  <c r="F314" i="3"/>
  <c r="F363" i="3" s="1"/>
  <c r="Y363" i="3" s="1"/>
  <c r="AH202" i="3"/>
  <c r="AH224" i="3"/>
  <c r="E424" i="3"/>
  <c r="X424" i="3" s="1"/>
  <c r="E473" i="3" s="1"/>
  <c r="X473" i="3" s="1"/>
  <c r="AD473" i="3" s="1"/>
  <c r="D310" i="3"/>
  <c r="W310" i="3" s="1"/>
  <c r="AD314" i="3"/>
  <c r="F364" i="3"/>
  <c r="Y364" i="3" s="1"/>
  <c r="F413" i="3" s="1"/>
  <c r="F309" i="3"/>
  <c r="F358" i="3" s="1"/>
  <c r="Y358" i="3" s="1"/>
  <c r="AD328" i="3"/>
  <c r="E368" i="3"/>
  <c r="X368" i="3" s="1"/>
  <c r="AD368" i="3" s="1"/>
  <c r="E321" i="3"/>
  <c r="X321" i="3" s="1"/>
  <c r="E370" i="3" s="1"/>
  <c r="X370" i="3" s="1"/>
  <c r="AD322" i="3"/>
  <c r="AH255" i="3"/>
  <c r="AH253" i="3"/>
  <c r="E330" i="3"/>
  <c r="X330" i="3" s="1"/>
  <c r="AD330" i="3" s="1"/>
  <c r="AH223" i="3"/>
  <c r="AD301" i="3"/>
  <c r="D271" i="3"/>
  <c r="W271" i="3" s="1"/>
  <c r="AC271" i="3" s="1"/>
  <c r="AH221" i="3"/>
  <c r="AC221" i="3"/>
  <c r="F324" i="3"/>
  <c r="F373" i="3" s="1"/>
  <c r="Y373" i="3" s="1"/>
  <c r="F316" i="3"/>
  <c r="AE316" i="3" s="1"/>
  <c r="E329" i="3"/>
  <c r="X329" i="3" s="1"/>
  <c r="E378" i="3" s="1"/>
  <c r="X378" i="3" s="1"/>
  <c r="AD376" i="3"/>
  <c r="E425" i="3"/>
  <c r="X425" i="3" s="1"/>
  <c r="E474" i="3" s="1"/>
  <c r="X474" i="3" s="1"/>
  <c r="AD474" i="3" s="1"/>
  <c r="D265" i="3"/>
  <c r="W265" i="3" s="1"/>
  <c r="AC265" i="3" s="1"/>
  <c r="AC335" i="3"/>
  <c r="D384" i="3"/>
  <c r="W384" i="3" s="1"/>
  <c r="AH335" i="3"/>
  <c r="E409" i="3"/>
  <c r="AD360" i="3"/>
  <c r="X371" i="3"/>
  <c r="AD371" i="3" s="1"/>
  <c r="AD363" i="3"/>
  <c r="E412" i="3"/>
  <c r="E335" i="3"/>
  <c r="X335" i="3" s="1"/>
  <c r="E399" i="3"/>
  <c r="AD350" i="3"/>
  <c r="Y255" i="3"/>
  <c r="AE255" i="3" s="1"/>
  <c r="Y276" i="3"/>
  <c r="AE276" i="3" s="1"/>
  <c r="F318" i="3"/>
  <c r="AE318" i="3" s="1"/>
  <c r="Y264" i="3"/>
  <c r="AE264" i="3" s="1"/>
  <c r="Y424" i="3"/>
  <c r="F473" i="3" s="1"/>
  <c r="Y473" i="3" s="1"/>
  <c r="AE473" i="3" s="1"/>
  <c r="D273" i="3"/>
  <c r="X285" i="3"/>
  <c r="AD285" i="3" s="1"/>
  <c r="Y263" i="3"/>
  <c r="AE263" i="3" s="1"/>
  <c r="X362" i="3"/>
  <c r="E411" i="3" s="1"/>
  <c r="Y261" i="3"/>
  <c r="AE261" i="3" s="1"/>
  <c r="AH270" i="3"/>
  <c r="Y278" i="3"/>
  <c r="AE278" i="3" s="1"/>
  <c r="Y257" i="3"/>
  <c r="AE257" i="3" s="1"/>
  <c r="D319" i="3"/>
  <c r="W319" i="3" s="1"/>
  <c r="Y273" i="3"/>
  <c r="AE273" i="3" s="1"/>
  <c r="Y282" i="3"/>
  <c r="F330" i="3"/>
  <c r="AE330" i="3" s="1"/>
  <c r="Y274" i="3"/>
  <c r="AE274" i="3" s="1"/>
  <c r="E323" i="3"/>
  <c r="X323" i="3" s="1"/>
  <c r="AD323" i="3" s="1"/>
  <c r="E282" i="3"/>
  <c r="AC219" i="3"/>
  <c r="D269" i="3"/>
  <c r="AH219" i="3"/>
  <c r="F259" i="3"/>
  <c r="AE209" i="3"/>
  <c r="AD236" i="3"/>
  <c r="Y258" i="3"/>
  <c r="E528" i="3"/>
  <c r="X528" i="3" s="1"/>
  <c r="AD528" i="3" s="1"/>
  <c r="X365" i="3"/>
  <c r="E414" i="3" s="1"/>
  <c r="Y280" i="3"/>
  <c r="AE280" i="3" s="1"/>
  <c r="W279" i="3"/>
  <c r="AC279" i="3" s="1"/>
  <c r="AH228" i="3"/>
  <c r="AH242" i="3" s="1"/>
  <c r="AC228" i="3"/>
  <c r="D278" i="3"/>
  <c r="W278" i="3" s="1"/>
  <c r="AC278" i="3" s="1"/>
  <c r="AH222" i="3"/>
  <c r="D272" i="3"/>
  <c r="AC222" i="3"/>
  <c r="E431" i="3"/>
  <c r="X431" i="3" s="1"/>
  <c r="E547" i="3"/>
  <c r="X547" i="3" s="1"/>
  <c r="AD547" i="3" s="1"/>
  <c r="AD495" i="3"/>
  <c r="AD446" i="3"/>
  <c r="AD377" i="3"/>
  <c r="E426" i="3"/>
  <c r="X426" i="3" s="1"/>
  <c r="AE352" i="3"/>
  <c r="F401" i="3"/>
  <c r="AE368" i="3"/>
  <c r="F417" i="3"/>
  <c r="AD351" i="3"/>
  <c r="E400" i="3"/>
  <c r="AE360" i="3"/>
  <c r="F409" i="3"/>
  <c r="AD364" i="3"/>
  <c r="E413" i="3"/>
  <c r="AD355" i="3"/>
  <c r="E404" i="3"/>
  <c r="AD367" i="3"/>
  <c r="E416" i="3"/>
  <c r="AE328" i="3"/>
  <c r="F377" i="3"/>
  <c r="Y377" i="3" s="1"/>
  <c r="AE250" i="3"/>
  <c r="F299" i="3"/>
  <c r="F188" i="3"/>
  <c r="F300" i="3"/>
  <c r="AE251" i="3"/>
  <c r="D200" i="3"/>
  <c r="AH151" i="3"/>
  <c r="W188" i="3"/>
  <c r="E251" i="3"/>
  <c r="X237" i="3"/>
  <c r="E406" i="3" l="1"/>
  <c r="X406" i="3" s="1"/>
  <c r="E455" i="3" s="1"/>
  <c r="X455" i="3" s="1"/>
  <c r="AD455" i="3" s="1"/>
  <c r="D257" i="3"/>
  <c r="W257" i="3" s="1"/>
  <c r="AC257" i="3" s="1"/>
  <c r="AC206" i="3"/>
  <c r="D256" i="3"/>
  <c r="W256" i="3" s="1"/>
  <c r="AC256" i="3" s="1"/>
  <c r="AC207" i="3"/>
  <c r="AH267" i="3"/>
  <c r="D316" i="3"/>
  <c r="W316" i="3" s="1"/>
  <c r="AC316" i="3" s="1"/>
  <c r="AH209" i="3"/>
  <c r="E407" i="3"/>
  <c r="X407" i="3" s="1"/>
  <c r="E456" i="3" s="1"/>
  <c r="X456" i="3" s="1"/>
  <c r="AD456" i="3" s="1"/>
  <c r="D259" i="3"/>
  <c r="W259" i="3" s="1"/>
  <c r="AC259" i="3" s="1"/>
  <c r="AC334" i="3"/>
  <c r="AH334" i="3"/>
  <c r="E356" i="3"/>
  <c r="X356" i="3" s="1"/>
  <c r="AD356" i="3" s="1"/>
  <c r="E410" i="3"/>
  <c r="X410" i="3" s="1"/>
  <c r="E459" i="3" s="1"/>
  <c r="X459" i="3" s="1"/>
  <c r="AD459" i="3" s="1"/>
  <c r="AH383" i="3"/>
  <c r="D432" i="3"/>
  <c r="W432" i="3" s="1"/>
  <c r="D481" i="3" s="1"/>
  <c r="W481" i="3" s="1"/>
  <c r="AH302" i="3"/>
  <c r="AC302" i="3"/>
  <c r="AH324" i="3"/>
  <c r="AC324" i="3"/>
  <c r="AC310" i="3"/>
  <c r="AC304" i="3"/>
  <c r="D368" i="3"/>
  <c r="W368" i="3" s="1"/>
  <c r="AC319" i="3"/>
  <c r="AH317" i="3"/>
  <c r="AC317" i="3"/>
  <c r="F331" i="3"/>
  <c r="AE282" i="3"/>
  <c r="F307" i="3"/>
  <c r="AE258" i="3"/>
  <c r="D301" i="3"/>
  <c r="W301" i="3" s="1"/>
  <c r="AC251" i="3"/>
  <c r="X242" i="3"/>
  <c r="AH214" i="3"/>
  <c r="AC214" i="3"/>
  <c r="D333" i="3"/>
  <c r="W333" i="3" s="1"/>
  <c r="AH284" i="3"/>
  <c r="AH192" i="3"/>
  <c r="AD237" i="3"/>
  <c r="D366" i="3"/>
  <c r="W366" i="3" s="1"/>
  <c r="Z188" i="3"/>
  <c r="W193" i="3"/>
  <c r="AC188" i="3"/>
  <c r="D300" i="3"/>
  <c r="W300" i="3" s="1"/>
  <c r="AH251" i="3"/>
  <c r="D264" i="3"/>
  <c r="W264" i="3" s="1"/>
  <c r="AC264" i="3" s="1"/>
  <c r="W230" i="3"/>
  <c r="F369" i="3"/>
  <c r="Y369" i="3" s="1"/>
  <c r="AE369" i="3" s="1"/>
  <c r="AH310" i="3"/>
  <c r="E403" i="3"/>
  <c r="X403" i="3" s="1"/>
  <c r="AD403" i="3" s="1"/>
  <c r="F415" i="3"/>
  <c r="Y415" i="3" s="1"/>
  <c r="AE415" i="3" s="1"/>
  <c r="D430" i="3"/>
  <c r="W430" i="3" s="1"/>
  <c r="D359" i="3"/>
  <c r="W359" i="3" s="1"/>
  <c r="F370" i="3"/>
  <c r="Y370" i="3" s="1"/>
  <c r="AE370" i="3" s="1"/>
  <c r="AD325" i="3"/>
  <c r="F354" i="3"/>
  <c r="Y354" i="3" s="1"/>
  <c r="F403" i="3" s="1"/>
  <c r="F399" i="3"/>
  <c r="Y399" i="3" s="1"/>
  <c r="AE399" i="3" s="1"/>
  <c r="AE364" i="3"/>
  <c r="F323" i="3"/>
  <c r="AE323" i="3" s="1"/>
  <c r="AE309" i="3"/>
  <c r="AD359" i="3"/>
  <c r="AH276" i="3"/>
  <c r="AD369" i="3"/>
  <c r="D309" i="3"/>
  <c r="W309" i="3" s="1"/>
  <c r="D351" i="3"/>
  <c r="W351" i="3" s="1"/>
  <c r="AH304" i="3"/>
  <c r="D353" i="3"/>
  <c r="W353" i="3" s="1"/>
  <c r="F304" i="3"/>
  <c r="AE304" i="3" s="1"/>
  <c r="F367" i="3"/>
  <c r="Y367" i="3" s="1"/>
  <c r="F416" i="3" s="1"/>
  <c r="D315" i="3"/>
  <c r="W315" i="3" s="1"/>
  <c r="D325" i="3"/>
  <c r="W325" i="3" s="1"/>
  <c r="F322" i="3"/>
  <c r="F371" i="3" s="1"/>
  <c r="Y371" i="3" s="1"/>
  <c r="F312" i="3"/>
  <c r="AE312" i="3" s="1"/>
  <c r="F325" i="3"/>
  <c r="F374" i="3" s="1"/>
  <c r="Y374" i="3" s="1"/>
  <c r="AD321" i="3"/>
  <c r="AH281" i="3"/>
  <c r="AE314" i="3"/>
  <c r="E379" i="3"/>
  <c r="X379" i="3" s="1"/>
  <c r="AD379" i="3" s="1"/>
  <c r="F365" i="3"/>
  <c r="Y365" i="3" s="1"/>
  <c r="AE365" i="3" s="1"/>
  <c r="AH258" i="3"/>
  <c r="AH319" i="3"/>
  <c r="AD304" i="3"/>
  <c r="AE324" i="3"/>
  <c r="E372" i="3"/>
  <c r="X372" i="3" s="1"/>
  <c r="E421" i="3" s="1"/>
  <c r="F379" i="3"/>
  <c r="Y379" i="3" s="1"/>
  <c r="F428" i="3" s="1"/>
  <c r="AD373" i="3"/>
  <c r="F310" i="3"/>
  <c r="AE310" i="3" s="1"/>
  <c r="F306" i="3"/>
  <c r="AE306" i="3" s="1"/>
  <c r="AH254" i="3"/>
  <c r="AH260" i="3"/>
  <c r="AH274" i="3"/>
  <c r="AD329" i="3"/>
  <c r="AE424" i="3"/>
  <c r="AH266" i="3"/>
  <c r="D323" i="3"/>
  <c r="W323" i="3" s="1"/>
  <c r="AD365" i="3"/>
  <c r="E417" i="3"/>
  <c r="X417" i="3" s="1"/>
  <c r="E466" i="3" s="1"/>
  <c r="X466" i="3" s="1"/>
  <c r="AD466" i="3" s="1"/>
  <c r="AD406" i="3"/>
  <c r="D303" i="3"/>
  <c r="W303" i="3" s="1"/>
  <c r="AH262" i="3"/>
  <c r="D331" i="3"/>
  <c r="W331" i="3" s="1"/>
  <c r="AD362" i="3"/>
  <c r="AD317" i="3"/>
  <c r="AH257" i="3"/>
  <c r="AH252" i="3"/>
  <c r="D320" i="3"/>
  <c r="W320" i="3" s="1"/>
  <c r="AH271" i="3"/>
  <c r="F313" i="3"/>
  <c r="AE313" i="3" s="1"/>
  <c r="D373" i="3"/>
  <c r="W373" i="3" s="1"/>
  <c r="D314" i="3"/>
  <c r="W314" i="3" s="1"/>
  <c r="D307" i="3"/>
  <c r="W307" i="3" s="1"/>
  <c r="E523" i="3"/>
  <c r="X523" i="3" s="1"/>
  <c r="AD424" i="3"/>
  <c r="AD425" i="3"/>
  <c r="F327" i="3"/>
  <c r="F376" i="3" s="1"/>
  <c r="Y376" i="3" s="1"/>
  <c r="AH265" i="3"/>
  <c r="D330" i="3"/>
  <c r="W330" i="3" s="1"/>
  <c r="AC384" i="3"/>
  <c r="D433" i="3"/>
  <c r="W433" i="3" s="1"/>
  <c r="AH384" i="3"/>
  <c r="AD366" i="3"/>
  <c r="E415" i="3"/>
  <c r="X422" i="3"/>
  <c r="AD422" i="3" s="1"/>
  <c r="AD353" i="3"/>
  <c r="E402" i="3"/>
  <c r="X414" i="3"/>
  <c r="AD414" i="3" s="1"/>
  <c r="D311" i="3"/>
  <c r="W311" i="3" s="1"/>
  <c r="X404" i="3"/>
  <c r="E453" i="3" s="1"/>
  <c r="X453" i="3" s="1"/>
  <c r="AD453" i="3" s="1"/>
  <c r="X400" i="3"/>
  <c r="E449" i="3" s="1"/>
  <c r="X449" i="3" s="1"/>
  <c r="AD449" i="3" s="1"/>
  <c r="X408" i="3"/>
  <c r="AD408" i="3" s="1"/>
  <c r="Y417" i="3"/>
  <c r="AE417" i="3" s="1"/>
  <c r="Y413" i="3"/>
  <c r="F462" i="3" s="1"/>
  <c r="Y462" i="3" s="1"/>
  <c r="AE462" i="3" s="1"/>
  <c r="AH282" i="3"/>
  <c r="F356" i="3"/>
  <c r="Y356" i="3" s="1"/>
  <c r="AE307" i="3"/>
  <c r="D312" i="3"/>
  <c r="W312" i="3" s="1"/>
  <c r="AH263" i="3"/>
  <c r="X399" i="3"/>
  <c r="AD399" i="3" s="1"/>
  <c r="X412" i="3"/>
  <c r="AD412" i="3" s="1"/>
  <c r="F329" i="3"/>
  <c r="AE329" i="3" s="1"/>
  <c r="D328" i="3"/>
  <c r="W328" i="3" s="1"/>
  <c r="AH279" i="3"/>
  <c r="E352" i="3"/>
  <c r="X352" i="3" s="1"/>
  <c r="D326" i="3"/>
  <c r="W326" i="3" s="1"/>
  <c r="AH277" i="3"/>
  <c r="W273" i="3"/>
  <c r="AC273" i="3" s="1"/>
  <c r="X416" i="3"/>
  <c r="AD416" i="3" s="1"/>
  <c r="X413" i="3"/>
  <c r="E462" i="3" s="1"/>
  <c r="X462" i="3" s="1"/>
  <c r="AD462" i="3" s="1"/>
  <c r="Y409" i="3"/>
  <c r="F458" i="3" s="1"/>
  <c r="Y458" i="3" s="1"/>
  <c r="AE458" i="3" s="1"/>
  <c r="X418" i="3"/>
  <c r="AD418" i="3" s="1"/>
  <c r="Y401" i="3"/>
  <c r="F450" i="3" s="1"/>
  <c r="Y450" i="3" s="1"/>
  <c r="AE450" i="3" s="1"/>
  <c r="W272" i="3"/>
  <c r="AC272" i="3" s="1"/>
  <c r="E580" i="3"/>
  <c r="X580" i="3" s="1"/>
  <c r="W269" i="3"/>
  <c r="AC269" i="3" s="1"/>
  <c r="X411" i="3"/>
  <c r="AD411" i="3" s="1"/>
  <c r="E334" i="3"/>
  <c r="X334" i="3" s="1"/>
  <c r="Y259" i="3"/>
  <c r="X282" i="3"/>
  <c r="AD335" i="3"/>
  <c r="E384" i="3"/>
  <c r="X384" i="3" s="1"/>
  <c r="AD384" i="3" s="1"/>
  <c r="E420" i="3"/>
  <c r="X420" i="3" s="1"/>
  <c r="X409" i="3"/>
  <c r="AD409" i="3" s="1"/>
  <c r="AH381" i="3"/>
  <c r="AD382" i="3"/>
  <c r="E480" i="3"/>
  <c r="AD431" i="3"/>
  <c r="E475" i="3"/>
  <c r="X475" i="3" s="1"/>
  <c r="AD475" i="3" s="1"/>
  <c r="E504" i="3"/>
  <c r="X504" i="3" s="1"/>
  <c r="AD504" i="3" s="1"/>
  <c r="F522" i="3"/>
  <c r="Y522" i="3" s="1"/>
  <c r="E522" i="3"/>
  <c r="X522" i="3" s="1"/>
  <c r="AD522" i="3" s="1"/>
  <c r="AD426" i="3"/>
  <c r="AD374" i="3"/>
  <c r="E423" i="3"/>
  <c r="AD370" i="3"/>
  <c r="E419" i="3"/>
  <c r="AD378" i="3"/>
  <c r="E427" i="3"/>
  <c r="AE358" i="3"/>
  <c r="F407" i="3"/>
  <c r="AE373" i="3"/>
  <c r="F422" i="3"/>
  <c r="AE377" i="3"/>
  <c r="F426" i="3"/>
  <c r="AE363" i="3"/>
  <c r="F412" i="3"/>
  <c r="AE331" i="3"/>
  <c r="F380" i="3"/>
  <c r="Y380" i="3" s="1"/>
  <c r="AE299" i="3"/>
  <c r="F348" i="3"/>
  <c r="Y348" i="3" s="1"/>
  <c r="X251" i="3"/>
  <c r="E287" i="3"/>
  <c r="X291" i="3" s="1"/>
  <c r="AH188" i="3"/>
  <c r="AE188" i="3"/>
  <c r="F203" i="3"/>
  <c r="Y203" i="3" s="1"/>
  <c r="Y188" i="3"/>
  <c r="W200" i="3"/>
  <c r="D237" i="3"/>
  <c r="W241" i="3" s="1"/>
  <c r="F349" i="3"/>
  <c r="Y349" i="3" s="1"/>
  <c r="D306" i="3" l="1"/>
  <c r="W306" i="3" s="1"/>
  <c r="D355" i="3" s="1"/>
  <c r="W355" i="3" s="1"/>
  <c r="AH256" i="3"/>
  <c r="D305" i="3"/>
  <c r="W305" i="3" s="1"/>
  <c r="D354" i="3" s="1"/>
  <c r="W354" i="3" s="1"/>
  <c r="D365" i="3"/>
  <c r="W365" i="3" s="1"/>
  <c r="AD410" i="3"/>
  <c r="AH316" i="3"/>
  <c r="AA580" i="3"/>
  <c r="AD580" i="3" s="1"/>
  <c r="E575" i="3"/>
  <c r="X575" i="3" s="1"/>
  <c r="AD523" i="3"/>
  <c r="AH432" i="3"/>
  <c r="AH430" i="3"/>
  <c r="AC351" i="3"/>
  <c r="AC373" i="3"/>
  <c r="AC359" i="3"/>
  <c r="AC366" i="3"/>
  <c r="AC368" i="3"/>
  <c r="AC353" i="3"/>
  <c r="E508" i="3"/>
  <c r="X508" i="3" s="1"/>
  <c r="AD508" i="3" s="1"/>
  <c r="AC432" i="3"/>
  <c r="AC307" i="3"/>
  <c r="AC315" i="3"/>
  <c r="D358" i="3"/>
  <c r="W358" i="3" s="1"/>
  <c r="AC309" i="3"/>
  <c r="D379" i="3"/>
  <c r="W379" i="3" s="1"/>
  <c r="AC330" i="3"/>
  <c r="D349" i="3"/>
  <c r="W349" i="3" s="1"/>
  <c r="AC300" i="3"/>
  <c r="D352" i="3"/>
  <c r="W352" i="3" s="1"/>
  <c r="AH323" i="3"/>
  <c r="AC323" i="3"/>
  <c r="AC325" i="3"/>
  <c r="D350" i="3"/>
  <c r="W350" i="3" s="1"/>
  <c r="AC301" i="3"/>
  <c r="AC331" i="3"/>
  <c r="D363" i="3"/>
  <c r="W363" i="3" s="1"/>
  <c r="F308" i="3"/>
  <c r="AE259" i="3"/>
  <c r="E331" i="3"/>
  <c r="X331" i="3" s="1"/>
  <c r="AD282" i="3"/>
  <c r="AH301" i="3"/>
  <c r="AH272" i="3"/>
  <c r="AH259" i="3"/>
  <c r="D313" i="3"/>
  <c r="W313" i="3" s="1"/>
  <c r="D415" i="3"/>
  <c r="W415" i="3" s="1"/>
  <c r="AH366" i="3"/>
  <c r="Z237" i="3"/>
  <c r="AH333" i="3"/>
  <c r="D382" i="3"/>
  <c r="W382" i="3" s="1"/>
  <c r="AC333" i="3"/>
  <c r="AH300" i="3"/>
  <c r="AH264" i="3"/>
  <c r="D280" i="3"/>
  <c r="W280" i="3" s="1"/>
  <c r="AC280" i="3" s="1"/>
  <c r="AH230" i="3"/>
  <c r="AH243" i="3" s="1"/>
  <c r="AC230" i="3"/>
  <c r="F418" i="3"/>
  <c r="Y418" i="3" s="1"/>
  <c r="F467" i="3" s="1"/>
  <c r="Y467" i="3" s="1"/>
  <c r="AE467" i="3" s="1"/>
  <c r="AE409" i="3"/>
  <c r="AE367" i="3"/>
  <c r="F419" i="3"/>
  <c r="Y419" i="3" s="1"/>
  <c r="AE419" i="3" s="1"/>
  <c r="F353" i="3"/>
  <c r="Y353" i="3" s="1"/>
  <c r="AE353" i="3" s="1"/>
  <c r="AE354" i="3"/>
  <c r="D479" i="3"/>
  <c r="W479" i="3" s="1"/>
  <c r="AC311" i="3"/>
  <c r="AC430" i="3"/>
  <c r="D374" i="3"/>
  <c r="W374" i="3" s="1"/>
  <c r="AE325" i="3"/>
  <c r="F372" i="3"/>
  <c r="Y372" i="3" s="1"/>
  <c r="AE372" i="3" s="1"/>
  <c r="F359" i="3"/>
  <c r="Y359" i="3" s="1"/>
  <c r="AE359" i="3" s="1"/>
  <c r="AH309" i="3"/>
  <c r="E428" i="3"/>
  <c r="X428" i="3" s="1"/>
  <c r="E477" i="3" s="1"/>
  <c r="X477" i="3" s="1"/>
  <c r="AD477" i="3" s="1"/>
  <c r="F414" i="3"/>
  <c r="Y414" i="3" s="1"/>
  <c r="F463" i="3" s="1"/>
  <c r="Y463" i="3" s="1"/>
  <c r="AE463" i="3" s="1"/>
  <c r="F355" i="3"/>
  <c r="Y355" i="3" s="1"/>
  <c r="AE355" i="3" s="1"/>
  <c r="AC303" i="3"/>
  <c r="AE401" i="3"/>
  <c r="D372" i="3"/>
  <c r="W372" i="3" s="1"/>
  <c r="AH325" i="3"/>
  <c r="AH306" i="3"/>
  <c r="AE322" i="3"/>
  <c r="AE327" i="3"/>
  <c r="D364" i="3"/>
  <c r="W364" i="3" s="1"/>
  <c r="F361" i="3"/>
  <c r="Y361" i="3" s="1"/>
  <c r="F410" i="3" s="1"/>
  <c r="AE379" i="3"/>
  <c r="AH330" i="3"/>
  <c r="AH315" i="3"/>
  <c r="AD372" i="3"/>
  <c r="AH359" i="3"/>
  <c r="AD417" i="3"/>
  <c r="AH351" i="3"/>
  <c r="F362" i="3"/>
  <c r="Y362" i="3" s="1"/>
  <c r="AE362" i="3" s="1"/>
  <c r="AE413" i="3"/>
  <c r="AD400" i="3"/>
  <c r="AH331" i="3"/>
  <c r="AH353" i="3"/>
  <c r="D380" i="3"/>
  <c r="W380" i="3" s="1"/>
  <c r="F466" i="3"/>
  <c r="Y466" i="3" s="1"/>
  <c r="AE466" i="3" s="1"/>
  <c r="AD413" i="3"/>
  <c r="AH307" i="3"/>
  <c r="AH311" i="3"/>
  <c r="D321" i="3"/>
  <c r="W321" i="3" s="1"/>
  <c r="AH303" i="3"/>
  <c r="D360" i="3"/>
  <c r="W360" i="3" s="1"/>
  <c r="D356" i="3"/>
  <c r="W356" i="3" s="1"/>
  <c r="E433" i="3"/>
  <c r="X433" i="3" s="1"/>
  <c r="E461" i="3"/>
  <c r="X461" i="3" s="1"/>
  <c r="D308" i="3"/>
  <c r="W308" i="3" s="1"/>
  <c r="AD407" i="3"/>
  <c r="AD404" i="3"/>
  <c r="AH314" i="3"/>
  <c r="D400" i="3"/>
  <c r="W400" i="3" s="1"/>
  <c r="AC320" i="3"/>
  <c r="D369" i="3"/>
  <c r="W369" i="3" s="1"/>
  <c r="AH320" i="3"/>
  <c r="D408" i="3"/>
  <c r="W408" i="3" s="1"/>
  <c r="E458" i="3"/>
  <c r="X458" i="3" s="1"/>
  <c r="AD458" i="3" s="1"/>
  <c r="E448" i="3"/>
  <c r="X448" i="3" s="1"/>
  <c r="AD448" i="3" s="1"/>
  <c r="AH373" i="3"/>
  <c r="D422" i="3"/>
  <c r="W422" i="3" s="1"/>
  <c r="D402" i="3"/>
  <c r="W402" i="3" s="1"/>
  <c r="D417" i="3"/>
  <c r="W417" i="3" s="1"/>
  <c r="AH368" i="3"/>
  <c r="D482" i="3"/>
  <c r="W482" i="3" s="1"/>
  <c r="AC433" i="3"/>
  <c r="AH433" i="3"/>
  <c r="X419" i="3"/>
  <c r="E468" i="3" s="1"/>
  <c r="X468" i="3" s="1"/>
  <c r="Y416" i="3"/>
  <c r="AE416" i="3" s="1"/>
  <c r="X423" i="3"/>
  <c r="E472" i="3" s="1"/>
  <c r="X472" i="3" s="1"/>
  <c r="AD472" i="3" s="1"/>
  <c r="D322" i="3"/>
  <c r="AH273" i="3"/>
  <c r="F378" i="3"/>
  <c r="Y378" i="3" s="1"/>
  <c r="F427" i="3" s="1"/>
  <c r="X427" i="3"/>
  <c r="E476" i="3" s="1"/>
  <c r="X476" i="3" s="1"/>
  <c r="AD476" i="3" s="1"/>
  <c r="E469" i="3"/>
  <c r="X469" i="3" s="1"/>
  <c r="AD420" i="3"/>
  <c r="E405" i="3"/>
  <c r="E460" i="3"/>
  <c r="X460" i="3" s="1"/>
  <c r="F464" i="3"/>
  <c r="Y464" i="3" s="1"/>
  <c r="AE464" i="3" s="1"/>
  <c r="E467" i="3"/>
  <c r="X467" i="3" s="1"/>
  <c r="AD467" i="3" s="1"/>
  <c r="F448" i="3"/>
  <c r="Y448" i="3" s="1"/>
  <c r="AE448" i="3" s="1"/>
  <c r="E452" i="3"/>
  <c r="X452" i="3" s="1"/>
  <c r="AD452" i="3" s="1"/>
  <c r="E465" i="3"/>
  <c r="X465" i="3" s="1"/>
  <c r="AD465" i="3" s="1"/>
  <c r="AH328" i="3"/>
  <c r="AC328" i="3"/>
  <c r="D377" i="3"/>
  <c r="W377" i="3" s="1"/>
  <c r="F405" i="3"/>
  <c r="AE356" i="3"/>
  <c r="E457" i="3"/>
  <c r="X457" i="3" s="1"/>
  <c r="AD457" i="3" s="1"/>
  <c r="E463" i="3"/>
  <c r="X463" i="3" s="1"/>
  <c r="E471" i="3"/>
  <c r="X471" i="3" s="1"/>
  <c r="Y412" i="3"/>
  <c r="F461" i="3" s="1"/>
  <c r="Y461" i="3" s="1"/>
  <c r="AE461" i="3" s="1"/>
  <c r="X421" i="3"/>
  <c r="E470" i="3" s="1"/>
  <c r="X470" i="3" s="1"/>
  <c r="AD470" i="3" s="1"/>
  <c r="Y403" i="3"/>
  <c r="F452" i="3" s="1"/>
  <c r="Y452" i="3" s="1"/>
  <c r="AE452" i="3" s="1"/>
  <c r="Y428" i="3"/>
  <c r="F477" i="3" s="1"/>
  <c r="Y477" i="3" s="1"/>
  <c r="AE477" i="3" s="1"/>
  <c r="AE308" i="3"/>
  <c r="F357" i="3"/>
  <c r="Y357" i="3" s="1"/>
  <c r="Y426" i="3"/>
  <c r="AE426" i="3" s="1"/>
  <c r="Y422" i="3"/>
  <c r="F471" i="3" s="1"/>
  <c r="Y471" i="3" s="1"/>
  <c r="AE471" i="3" s="1"/>
  <c r="X480" i="3"/>
  <c r="AH269" i="3"/>
  <c r="D318" i="3"/>
  <c r="W318" i="3" s="1"/>
  <c r="E401" i="3"/>
  <c r="AD352" i="3"/>
  <c r="D327" i="3"/>
  <c r="W327" i="3" s="1"/>
  <c r="AH278" i="3"/>
  <c r="AH292" i="3" s="1"/>
  <c r="X402" i="3"/>
  <c r="AD402" i="3" s="1"/>
  <c r="X415" i="3"/>
  <c r="Y407" i="3"/>
  <c r="F456" i="3" s="1"/>
  <c r="Y456" i="3" s="1"/>
  <c r="AE456" i="3" s="1"/>
  <c r="AD334" i="3"/>
  <c r="E383" i="3"/>
  <c r="X383" i="3" s="1"/>
  <c r="AC326" i="3"/>
  <c r="D375" i="3"/>
  <c r="W375" i="3" s="1"/>
  <c r="AH326" i="3"/>
  <c r="AC312" i="3"/>
  <c r="D361" i="3"/>
  <c r="AH312" i="3"/>
  <c r="D530" i="3"/>
  <c r="AC481" i="3"/>
  <c r="AH481" i="3"/>
  <c r="E524" i="3"/>
  <c r="AH195" i="3"/>
  <c r="E574" i="3"/>
  <c r="AE522" i="3"/>
  <c r="F574" i="3"/>
  <c r="E556" i="3"/>
  <c r="F511" i="3"/>
  <c r="Y511" i="3" s="1"/>
  <c r="F499" i="3"/>
  <c r="Y499" i="3" s="1"/>
  <c r="E505" i="3"/>
  <c r="X505" i="3" s="1"/>
  <c r="AD505" i="3" s="1"/>
  <c r="E515" i="3"/>
  <c r="X515" i="3" s="1"/>
  <c r="AD515" i="3" s="1"/>
  <c r="E498" i="3"/>
  <c r="X498" i="3" s="1"/>
  <c r="AD498" i="3" s="1"/>
  <c r="F507" i="3"/>
  <c r="Y507" i="3" s="1"/>
  <c r="E511" i="3"/>
  <c r="X511" i="3" s="1"/>
  <c r="AD511" i="3" s="1"/>
  <c r="E502" i="3"/>
  <c r="X502" i="3" s="1"/>
  <c r="AD502" i="3" s="1"/>
  <c r="AE349" i="3"/>
  <c r="F398" i="3"/>
  <c r="Y398" i="3" s="1"/>
  <c r="F447" i="3" s="1"/>
  <c r="AE380" i="3"/>
  <c r="F429" i="3"/>
  <c r="AE376" i="3"/>
  <c r="F425" i="3"/>
  <c r="AE374" i="3"/>
  <c r="F423" i="3"/>
  <c r="AE371" i="3"/>
  <c r="F420" i="3"/>
  <c r="F397" i="3"/>
  <c r="AE300" i="3"/>
  <c r="AH200" i="3"/>
  <c r="AH241" i="3" s="1"/>
  <c r="D250" i="3"/>
  <c r="AC200" i="3"/>
  <c r="W237" i="3"/>
  <c r="W242" i="3" s="1"/>
  <c r="F237" i="3"/>
  <c r="E300" i="3"/>
  <c r="AD251" i="3"/>
  <c r="X287" i="3"/>
  <c r="AC306" i="3" l="1"/>
  <c r="AC305" i="3"/>
  <c r="AH305" i="3"/>
  <c r="AA575" i="3"/>
  <c r="AD575" i="3" s="1"/>
  <c r="F408" i="3"/>
  <c r="Y408" i="3" s="1"/>
  <c r="F457" i="3" s="1"/>
  <c r="Y457" i="3" s="1"/>
  <c r="AE457" i="3" s="1"/>
  <c r="E560" i="3"/>
  <c r="X560" i="3" s="1"/>
  <c r="AD463" i="3"/>
  <c r="AD461" i="3"/>
  <c r="AD471" i="3"/>
  <c r="AD469" i="3"/>
  <c r="AD468" i="3"/>
  <c r="AD460" i="3"/>
  <c r="AH479" i="3"/>
  <c r="AC479" i="3"/>
  <c r="AC417" i="3"/>
  <c r="D451" i="3"/>
  <c r="W451" i="3" s="1"/>
  <c r="AC402" i="3"/>
  <c r="AC422" i="3"/>
  <c r="D464" i="3"/>
  <c r="W464" i="3" s="1"/>
  <c r="AC415" i="3"/>
  <c r="AC365" i="3"/>
  <c r="AC379" i="3"/>
  <c r="AC350" i="3"/>
  <c r="AC364" i="3"/>
  <c r="AC372" i="3"/>
  <c r="AC374" i="3"/>
  <c r="AC354" i="3"/>
  <c r="AC349" i="3"/>
  <c r="AC355" i="3"/>
  <c r="AC377" i="3"/>
  <c r="AC375" i="3"/>
  <c r="AC356" i="3"/>
  <c r="AC380" i="3"/>
  <c r="AC363" i="3"/>
  <c r="AC352" i="3"/>
  <c r="AC358" i="3"/>
  <c r="AC327" i="3"/>
  <c r="AH363" i="3"/>
  <c r="D412" i="3"/>
  <c r="W412" i="3" s="1"/>
  <c r="D398" i="3"/>
  <c r="W398" i="3" s="1"/>
  <c r="AH349" i="3"/>
  <c r="D357" i="3"/>
  <c r="W357" i="3" s="1"/>
  <c r="AC308" i="3"/>
  <c r="AC313" i="3"/>
  <c r="AC321" i="3"/>
  <c r="AC314" i="3"/>
  <c r="AD331" i="3"/>
  <c r="E380" i="3"/>
  <c r="X380" i="3" s="1"/>
  <c r="AH415" i="3"/>
  <c r="X292" i="3"/>
  <c r="D362" i="3"/>
  <c r="W362" i="3" s="1"/>
  <c r="AH313" i="3"/>
  <c r="AC382" i="3"/>
  <c r="AH382" i="3"/>
  <c r="D431" i="3"/>
  <c r="W431" i="3" s="1"/>
  <c r="D528" i="3"/>
  <c r="W528" i="3" s="1"/>
  <c r="AH237" i="3"/>
  <c r="AH244" i="3" s="1"/>
  <c r="AC237" i="3"/>
  <c r="AH280" i="3"/>
  <c r="AH293" i="3" s="1"/>
  <c r="D329" i="3"/>
  <c r="W329" i="3" s="1"/>
  <c r="E529" i="3"/>
  <c r="X529" i="3" s="1"/>
  <c r="AD529" i="3" s="1"/>
  <c r="AD480" i="3"/>
  <c r="F402" i="3"/>
  <c r="Y402" i="3" s="1"/>
  <c r="F451" i="3" s="1"/>
  <c r="Y451" i="3" s="1"/>
  <c r="AE451" i="3" s="1"/>
  <c r="AE361" i="3"/>
  <c r="F468" i="3"/>
  <c r="Y468" i="3" s="1"/>
  <c r="AE468" i="3" s="1"/>
  <c r="F515" i="3"/>
  <c r="Y515" i="3" s="1"/>
  <c r="AE515" i="3" s="1"/>
  <c r="F404" i="3"/>
  <c r="Y404" i="3" s="1"/>
  <c r="F453" i="3" s="1"/>
  <c r="Y453" i="3" s="1"/>
  <c r="AE453" i="3" s="1"/>
  <c r="F421" i="3"/>
  <c r="Y421" i="3" s="1"/>
  <c r="F470" i="3" s="1"/>
  <c r="Y470" i="3" s="1"/>
  <c r="AE470" i="3" s="1"/>
  <c r="D423" i="3"/>
  <c r="W423" i="3" s="1"/>
  <c r="AD433" i="3"/>
  <c r="F513" i="3"/>
  <c r="Y513" i="3" s="1"/>
  <c r="AE513" i="3" s="1"/>
  <c r="AE407" i="3"/>
  <c r="AH380" i="3"/>
  <c r="E507" i="3"/>
  <c r="X507" i="3" s="1"/>
  <c r="AD507" i="3" s="1"/>
  <c r="AH364" i="3"/>
  <c r="AD421" i="3"/>
  <c r="F497" i="3"/>
  <c r="Y497" i="3" s="1"/>
  <c r="F549" i="3" s="1"/>
  <c r="AH308" i="3"/>
  <c r="E501" i="3"/>
  <c r="X501" i="3" s="1"/>
  <c r="AD501" i="3" s="1"/>
  <c r="AH358" i="3"/>
  <c r="F411" i="3"/>
  <c r="Y411" i="3" s="1"/>
  <c r="F460" i="3" s="1"/>
  <c r="Y460" i="3" s="1"/>
  <c r="AE460" i="3" s="1"/>
  <c r="D370" i="3"/>
  <c r="W370" i="3" s="1"/>
  <c r="AH356" i="3"/>
  <c r="AC360" i="3"/>
  <c r="AH360" i="3"/>
  <c r="AH352" i="3"/>
  <c r="AE378" i="3"/>
  <c r="D429" i="3"/>
  <c r="W429" i="3" s="1"/>
  <c r="D405" i="3"/>
  <c r="W405" i="3" s="1"/>
  <c r="AE403" i="3"/>
  <c r="AE428" i="3"/>
  <c r="E482" i="3"/>
  <c r="X482" i="3" s="1"/>
  <c r="AE422" i="3"/>
  <c r="E516" i="3"/>
  <c r="X516" i="3" s="1"/>
  <c r="AD516" i="3" s="1"/>
  <c r="AD287" i="3"/>
  <c r="AD428" i="3"/>
  <c r="AD419" i="3"/>
  <c r="AH321" i="3"/>
  <c r="AH355" i="3"/>
  <c r="AH354" i="3"/>
  <c r="AD423" i="3"/>
  <c r="E514" i="3"/>
  <c r="X514" i="3" s="1"/>
  <c r="AD514" i="3" s="1"/>
  <c r="E510" i="3"/>
  <c r="X510" i="3" s="1"/>
  <c r="AD510" i="3" s="1"/>
  <c r="D407" i="3"/>
  <c r="W407" i="3" s="1"/>
  <c r="D413" i="3"/>
  <c r="W413" i="3" s="1"/>
  <c r="D404" i="3"/>
  <c r="W404" i="3" s="1"/>
  <c r="AC369" i="3"/>
  <c r="AH369" i="3"/>
  <c r="D418" i="3"/>
  <c r="W418" i="3" s="1"/>
  <c r="AH408" i="3"/>
  <c r="D457" i="3"/>
  <c r="W457" i="3" s="1"/>
  <c r="AC408" i="3"/>
  <c r="D403" i="3"/>
  <c r="W403" i="3" s="1"/>
  <c r="D449" i="3"/>
  <c r="W449" i="3" s="1"/>
  <c r="AC400" i="3"/>
  <c r="AH400" i="3"/>
  <c r="E497" i="3"/>
  <c r="X497" i="3" s="1"/>
  <c r="F475" i="3"/>
  <c r="Y475" i="3" s="1"/>
  <c r="AE475" i="3" s="1"/>
  <c r="AE412" i="3"/>
  <c r="AH402" i="3"/>
  <c r="AD427" i="3"/>
  <c r="AH417" i="3"/>
  <c r="D466" i="3"/>
  <c r="W466" i="3" s="1"/>
  <c r="D531" i="3"/>
  <c r="W531" i="3" s="1"/>
  <c r="AH482" i="3"/>
  <c r="AC482" i="3"/>
  <c r="AD415" i="3"/>
  <c r="X401" i="3"/>
  <c r="AD401" i="3" s="1"/>
  <c r="E520" i="3"/>
  <c r="X520" i="3" s="1"/>
  <c r="AD520" i="3" s="1"/>
  <c r="Y405" i="3"/>
  <c r="AE405" i="3" s="1"/>
  <c r="E509" i="3"/>
  <c r="X509" i="3" s="1"/>
  <c r="AD509" i="3" s="1"/>
  <c r="E518" i="3"/>
  <c r="X518" i="3" s="1"/>
  <c r="W322" i="3"/>
  <c r="Y423" i="3"/>
  <c r="AE423" i="3" s="1"/>
  <c r="AE414" i="3"/>
  <c r="AE418" i="3"/>
  <c r="E506" i="3"/>
  <c r="X506" i="3" s="1"/>
  <c r="W530" i="3"/>
  <c r="W361" i="3"/>
  <c r="D424" i="3"/>
  <c r="W424" i="3" s="1"/>
  <c r="AH375" i="3"/>
  <c r="E464" i="3"/>
  <c r="X464" i="3" s="1"/>
  <c r="AD464" i="3" s="1"/>
  <c r="AC318" i="3"/>
  <c r="D367" i="3"/>
  <c r="AH318" i="3"/>
  <c r="AE357" i="3"/>
  <c r="F406" i="3"/>
  <c r="E512" i="3"/>
  <c r="X512" i="3" s="1"/>
  <c r="AD512" i="3" s="1"/>
  <c r="X405" i="3"/>
  <c r="AD405" i="3" s="1"/>
  <c r="F465" i="3"/>
  <c r="Y465" i="3" s="1"/>
  <c r="AE465" i="3" s="1"/>
  <c r="D399" i="3"/>
  <c r="W399" i="3" s="1"/>
  <c r="X556" i="3"/>
  <c r="X524" i="3"/>
  <c r="AD524" i="3" s="1"/>
  <c r="Y427" i="3"/>
  <c r="F476" i="3" s="1"/>
  <c r="Y476" i="3" s="1"/>
  <c r="AE476" i="3" s="1"/>
  <c r="X574" i="3"/>
  <c r="AH327" i="3"/>
  <c r="AH341" i="3" s="1"/>
  <c r="D376" i="3"/>
  <c r="W376" i="3" s="1"/>
  <c r="AH422" i="3"/>
  <c r="D471" i="3"/>
  <c r="AH350" i="3"/>
  <c r="Y420" i="3"/>
  <c r="AE420" i="3" s="1"/>
  <c r="Y425" i="3"/>
  <c r="AE425" i="3" s="1"/>
  <c r="Y429" i="3"/>
  <c r="AE429" i="3" s="1"/>
  <c r="Y410" i="3"/>
  <c r="F459" i="3" s="1"/>
  <c r="Y459" i="3" s="1"/>
  <c r="AE459" i="3" s="1"/>
  <c r="Y574" i="3"/>
  <c r="E432" i="3"/>
  <c r="X432" i="3" s="1"/>
  <c r="AD383" i="3"/>
  <c r="E451" i="3"/>
  <c r="X451" i="3" s="1"/>
  <c r="D414" i="3"/>
  <c r="W414" i="3" s="1"/>
  <c r="AH365" i="3"/>
  <c r="D426" i="3"/>
  <c r="W426" i="3" s="1"/>
  <c r="AH377" i="3"/>
  <c r="D401" i="3"/>
  <c r="W401" i="3" s="1"/>
  <c r="D409" i="3"/>
  <c r="W409" i="3" s="1"/>
  <c r="AH374" i="3"/>
  <c r="AH372" i="3"/>
  <c r="AH379" i="3"/>
  <c r="D421" i="3"/>
  <c r="D428" i="3"/>
  <c r="F516" i="3"/>
  <c r="Y516" i="3" s="1"/>
  <c r="F526" i="3"/>
  <c r="Y526" i="3" s="1"/>
  <c r="E517" i="3"/>
  <c r="X517" i="3" s="1"/>
  <c r="AD517" i="3" s="1"/>
  <c r="F505" i="3"/>
  <c r="Y505" i="3" s="1"/>
  <c r="E554" i="3"/>
  <c r="E563" i="3"/>
  <c r="AE507" i="3"/>
  <c r="F559" i="3"/>
  <c r="E550" i="3"/>
  <c r="E567" i="3"/>
  <c r="E557" i="3"/>
  <c r="AE499" i="3"/>
  <c r="F551" i="3"/>
  <c r="AE511" i="3"/>
  <c r="F563" i="3"/>
  <c r="F510" i="3"/>
  <c r="Y510" i="3" s="1"/>
  <c r="E525" i="3"/>
  <c r="X525" i="3" s="1"/>
  <c r="AD525" i="3" s="1"/>
  <c r="E521" i="3"/>
  <c r="X521" i="3" s="1"/>
  <c r="AD521" i="3" s="1"/>
  <c r="F520" i="3"/>
  <c r="Y520" i="3" s="1"/>
  <c r="F501" i="3"/>
  <c r="Y501" i="3" s="1"/>
  <c r="E526" i="3"/>
  <c r="X526" i="3" s="1"/>
  <c r="AD526" i="3" s="1"/>
  <c r="E519" i="3"/>
  <c r="X519" i="3" s="1"/>
  <c r="AD519" i="3" s="1"/>
  <c r="F512" i="3"/>
  <c r="Y512" i="3" s="1"/>
  <c r="AE398" i="3"/>
  <c r="Y447" i="3"/>
  <c r="Y397" i="3"/>
  <c r="F446" i="3" s="1"/>
  <c r="AE348" i="3"/>
  <c r="X300" i="3"/>
  <c r="E349" i="3" s="1"/>
  <c r="E336" i="3"/>
  <c r="X340" i="3" s="1"/>
  <c r="F253" i="3"/>
  <c r="Y253" i="3" s="1"/>
  <c r="AE253" i="3" s="1"/>
  <c r="AE203" i="3"/>
  <c r="AE237" i="3" s="1"/>
  <c r="Y237" i="3"/>
  <c r="D287" i="3"/>
  <c r="W291" i="3" s="1"/>
  <c r="W250" i="3"/>
  <c r="AA574" i="3" l="1"/>
  <c r="AD574" i="3" s="1"/>
  <c r="AA556" i="3"/>
  <c r="AD556" i="3" s="1"/>
  <c r="AA560" i="3"/>
  <c r="AD560" i="3" s="1"/>
  <c r="AB574" i="3"/>
  <c r="AE574" i="3" s="1"/>
  <c r="E558" i="3"/>
  <c r="X558" i="3" s="1"/>
  <c r="AD506" i="3"/>
  <c r="E561" i="3"/>
  <c r="X561" i="3" s="1"/>
  <c r="D583" i="3"/>
  <c r="W583" i="3" s="1"/>
  <c r="Z583" i="3" s="1"/>
  <c r="AC531" i="3"/>
  <c r="D580" i="3"/>
  <c r="W580" i="3" s="1"/>
  <c r="Z580" i="3" s="1"/>
  <c r="AC528" i="3"/>
  <c r="D582" i="3"/>
  <c r="W582" i="3" s="1"/>
  <c r="Z582" i="3" s="1"/>
  <c r="AD451" i="3"/>
  <c r="AC457" i="3"/>
  <c r="AH464" i="3"/>
  <c r="AC464" i="3"/>
  <c r="D500" i="3"/>
  <c r="W500" i="3" s="1"/>
  <c r="AC451" i="3"/>
  <c r="AH451" i="3"/>
  <c r="D513" i="3"/>
  <c r="W513" i="3" s="1"/>
  <c r="AH403" i="3"/>
  <c r="D456" i="3"/>
  <c r="W456" i="3" s="1"/>
  <c r="D505" i="3" s="1"/>
  <c r="W505" i="3" s="1"/>
  <c r="AC407" i="3"/>
  <c r="D454" i="3"/>
  <c r="W454" i="3" s="1"/>
  <c r="AC405" i="3"/>
  <c r="D478" i="3"/>
  <c r="W478" i="3" s="1"/>
  <c r="AH478" i="3" s="1"/>
  <c r="AC429" i="3"/>
  <c r="AC423" i="3"/>
  <c r="AC412" i="3"/>
  <c r="D447" i="3"/>
  <c r="W447" i="3" s="1"/>
  <c r="AC370" i="3"/>
  <c r="AC357" i="3"/>
  <c r="D411" i="3"/>
  <c r="W411" i="3" s="1"/>
  <c r="AC362" i="3"/>
  <c r="E429" i="3"/>
  <c r="X429" i="3" s="1"/>
  <c r="AD380" i="3"/>
  <c r="D406" i="3"/>
  <c r="W406" i="3" s="1"/>
  <c r="AH357" i="3"/>
  <c r="AH398" i="3"/>
  <c r="Z287" i="3"/>
  <c r="AH362" i="3"/>
  <c r="D480" i="3"/>
  <c r="W480" i="3" s="1"/>
  <c r="AC431" i="3"/>
  <c r="AH431" i="3"/>
  <c r="AH528" i="3"/>
  <c r="AH407" i="3"/>
  <c r="F517" i="3"/>
  <c r="Y517" i="3" s="1"/>
  <c r="AE517" i="3" s="1"/>
  <c r="AC403" i="3"/>
  <c r="D378" i="3"/>
  <c r="W378" i="3" s="1"/>
  <c r="AC329" i="3"/>
  <c r="AH329" i="3"/>
  <c r="AH342" i="3" s="1"/>
  <c r="F567" i="3"/>
  <c r="Y567" i="3" s="1"/>
  <c r="E531" i="3"/>
  <c r="X531" i="3" s="1"/>
  <c r="AD531" i="3" s="1"/>
  <c r="AD482" i="3"/>
  <c r="E559" i="3"/>
  <c r="X559" i="3" s="1"/>
  <c r="F565" i="3"/>
  <c r="Y565" i="3" s="1"/>
  <c r="AE427" i="3"/>
  <c r="E581" i="3"/>
  <c r="X581" i="3" s="1"/>
  <c r="E553" i="3"/>
  <c r="X553" i="3" s="1"/>
  <c r="AE497" i="3"/>
  <c r="D472" i="3"/>
  <c r="W472" i="3" s="1"/>
  <c r="E566" i="3"/>
  <c r="X566" i="3" s="1"/>
  <c r="AH370" i="3"/>
  <c r="D419" i="3"/>
  <c r="W419" i="3" s="1"/>
  <c r="AH405" i="3"/>
  <c r="AE402" i="3"/>
  <c r="AE410" i="3"/>
  <c r="AE408" i="3"/>
  <c r="AE411" i="3"/>
  <c r="E568" i="3"/>
  <c r="X568" i="3" s="1"/>
  <c r="E562" i="3"/>
  <c r="X562" i="3" s="1"/>
  <c r="F472" i="3"/>
  <c r="Y472" i="3" s="1"/>
  <c r="AE472" i="3" s="1"/>
  <c r="AH449" i="3"/>
  <c r="AC449" i="3"/>
  <c r="D498" i="3"/>
  <c r="W498" i="3" s="1"/>
  <c r="AC418" i="3"/>
  <c r="AH418" i="3"/>
  <c r="D467" i="3"/>
  <c r="W467" i="3" s="1"/>
  <c r="D453" i="3"/>
  <c r="W453" i="3" s="1"/>
  <c r="AC404" i="3"/>
  <c r="AH404" i="3"/>
  <c r="D506" i="3"/>
  <c r="W506" i="3" s="1"/>
  <c r="AH457" i="3"/>
  <c r="AE404" i="3"/>
  <c r="F524" i="3"/>
  <c r="Y524" i="3" s="1"/>
  <c r="AE524" i="3" s="1"/>
  <c r="D452" i="3"/>
  <c r="W452" i="3" s="1"/>
  <c r="D462" i="3"/>
  <c r="W462" i="3" s="1"/>
  <c r="AC413" i="3"/>
  <c r="AH413" i="3"/>
  <c r="E549" i="3"/>
  <c r="X549" i="3" s="1"/>
  <c r="AD497" i="3"/>
  <c r="F474" i="3"/>
  <c r="Y474" i="3" s="1"/>
  <c r="AE474" i="3" s="1"/>
  <c r="AH466" i="3"/>
  <c r="D515" i="3"/>
  <c r="W515" i="3" s="1"/>
  <c r="AC466" i="3"/>
  <c r="AC530" i="3"/>
  <c r="AH429" i="3"/>
  <c r="AH531" i="3"/>
  <c r="X554" i="3"/>
  <c r="D448" i="3"/>
  <c r="W448" i="3" s="1"/>
  <c r="AC399" i="3"/>
  <c r="AH399" i="3"/>
  <c r="AC424" i="3"/>
  <c r="AH424" i="3"/>
  <c r="D473" i="3"/>
  <c r="E572" i="3"/>
  <c r="AE421" i="3"/>
  <c r="X557" i="3"/>
  <c r="AH530" i="3"/>
  <c r="E576" i="3"/>
  <c r="E500" i="3"/>
  <c r="X500" i="3" s="1"/>
  <c r="AD500" i="3" s="1"/>
  <c r="E513" i="3"/>
  <c r="X513" i="3" s="1"/>
  <c r="AD513" i="3" s="1"/>
  <c r="E450" i="3"/>
  <c r="X450" i="3" s="1"/>
  <c r="AD450" i="3" s="1"/>
  <c r="Y551" i="3"/>
  <c r="X567" i="3"/>
  <c r="AH412" i="3"/>
  <c r="W421" i="3"/>
  <c r="D458" i="3"/>
  <c r="W458" i="3" s="1"/>
  <c r="AC409" i="3"/>
  <c r="AH409" i="3"/>
  <c r="AC414" i="3"/>
  <c r="AH414" i="3"/>
  <c r="D463" i="3"/>
  <c r="W463" i="3" s="1"/>
  <c r="D461" i="3"/>
  <c r="W461" i="3" s="1"/>
  <c r="F478" i="3"/>
  <c r="Y478" i="3" s="1"/>
  <c r="AE478" i="3" s="1"/>
  <c r="F469" i="3"/>
  <c r="Y469" i="3" s="1"/>
  <c r="AE469" i="3" s="1"/>
  <c r="Y406" i="3"/>
  <c r="AE406" i="3" s="1"/>
  <c r="W367" i="3"/>
  <c r="AC361" i="3"/>
  <c r="AH361" i="3"/>
  <c r="AH322" i="3"/>
  <c r="D371" i="3"/>
  <c r="W371" i="3" s="1"/>
  <c r="Y563" i="3"/>
  <c r="Y559" i="3"/>
  <c r="E481" i="3"/>
  <c r="AD432" i="3"/>
  <c r="W471" i="3"/>
  <c r="E564" i="3"/>
  <c r="X563" i="3"/>
  <c r="W428" i="3"/>
  <c r="AH423" i="3"/>
  <c r="F514" i="3"/>
  <c r="Y514" i="3" s="1"/>
  <c r="F566" i="3" s="1"/>
  <c r="Y549" i="3"/>
  <c r="X550" i="3"/>
  <c r="D450" i="3"/>
  <c r="AH401" i="3"/>
  <c r="AC401" i="3"/>
  <c r="D475" i="3"/>
  <c r="AH426" i="3"/>
  <c r="AC426" i="3"/>
  <c r="AC376" i="3"/>
  <c r="AH376" i="3"/>
  <c r="AH390" i="3" s="1"/>
  <c r="D425" i="3"/>
  <c r="W425" i="3" s="1"/>
  <c r="E454" i="3"/>
  <c r="X454" i="3" s="1"/>
  <c r="D410" i="3"/>
  <c r="W410" i="3" s="1"/>
  <c r="AC322" i="3"/>
  <c r="F454" i="3"/>
  <c r="Y454" i="3" s="1"/>
  <c r="F502" i="3"/>
  <c r="Y502" i="3" s="1"/>
  <c r="AE512" i="3"/>
  <c r="F564" i="3"/>
  <c r="E571" i="3"/>
  <c r="E578" i="3"/>
  <c r="AE501" i="3"/>
  <c r="F553" i="3"/>
  <c r="AE520" i="3"/>
  <c r="F572" i="3"/>
  <c r="E573" i="3"/>
  <c r="E577" i="3"/>
  <c r="AE510" i="3"/>
  <c r="F562" i="3"/>
  <c r="AE505" i="3"/>
  <c r="F557" i="3"/>
  <c r="E569" i="3"/>
  <c r="AE526" i="3"/>
  <c r="F578" i="3"/>
  <c r="AE516" i="3"/>
  <c r="F568" i="3"/>
  <c r="AE447" i="3"/>
  <c r="F496" i="3"/>
  <c r="Y496" i="3" s="1"/>
  <c r="F519" i="3"/>
  <c r="Y519" i="3" s="1"/>
  <c r="F525" i="3"/>
  <c r="Y525" i="3" s="1"/>
  <c r="F508" i="3"/>
  <c r="Y508" i="3" s="1"/>
  <c r="F509" i="3"/>
  <c r="Y509" i="3" s="1"/>
  <c r="F500" i="3"/>
  <c r="Y500" i="3" s="1"/>
  <c r="F506" i="3"/>
  <c r="Y506" i="3" s="1"/>
  <c r="Y446" i="3"/>
  <c r="F495" i="3" s="1"/>
  <c r="AE397" i="3"/>
  <c r="X349" i="3"/>
  <c r="E385" i="3"/>
  <c r="X389" i="3" s="1"/>
  <c r="D299" i="3"/>
  <c r="W287" i="3"/>
  <c r="AC250" i="3"/>
  <c r="AC287" i="3" s="1"/>
  <c r="AH250" i="3"/>
  <c r="F287" i="3"/>
  <c r="AD300" i="3"/>
  <c r="AD336" i="3" s="1"/>
  <c r="X336" i="3"/>
  <c r="AB559" i="3" l="1"/>
  <c r="AE559" i="3" s="1"/>
  <c r="AA567" i="3"/>
  <c r="AD567" i="3" s="1"/>
  <c r="AA554" i="3"/>
  <c r="AD554" i="3" s="1"/>
  <c r="AA562" i="3"/>
  <c r="AD562" i="3" s="1"/>
  <c r="AA566" i="3"/>
  <c r="AD566" i="3" s="1"/>
  <c r="AA581" i="3"/>
  <c r="AD581" i="3" s="1"/>
  <c r="AA550" i="3"/>
  <c r="AD550" i="3" s="1"/>
  <c r="AB563" i="3"/>
  <c r="AE563" i="3" s="1"/>
  <c r="AB551" i="3"/>
  <c r="AE551" i="3" s="1"/>
  <c r="AA557" i="3"/>
  <c r="AD557" i="3" s="1"/>
  <c r="AA561" i="3"/>
  <c r="AD561" i="3" s="1"/>
  <c r="AB549" i="3"/>
  <c r="AE549" i="3" s="1"/>
  <c r="AA563" i="3"/>
  <c r="AD563" i="3" s="1"/>
  <c r="AA568" i="3"/>
  <c r="AD568" i="3" s="1"/>
  <c r="AB565" i="3"/>
  <c r="AE565" i="3" s="1"/>
  <c r="AB567" i="3"/>
  <c r="AE567" i="3" s="1"/>
  <c r="AA558" i="3"/>
  <c r="AD558" i="3" s="1"/>
  <c r="AA549" i="3"/>
  <c r="AD549" i="3" s="1"/>
  <c r="AA553" i="3"/>
  <c r="AD553" i="3" s="1"/>
  <c r="AA559" i="3"/>
  <c r="AD559" i="3" s="1"/>
  <c r="AC582" i="3"/>
  <c r="AC583" i="3"/>
  <c r="AC498" i="3"/>
  <c r="AH583" i="3"/>
  <c r="D552" i="3"/>
  <c r="W552" i="3" s="1"/>
  <c r="Z552" i="3" s="1"/>
  <c r="AC500" i="3"/>
  <c r="D557" i="3"/>
  <c r="W557" i="3" s="1"/>
  <c r="Z557" i="3" s="1"/>
  <c r="AC505" i="3"/>
  <c r="AC513" i="3"/>
  <c r="AH500" i="3"/>
  <c r="AC467" i="3"/>
  <c r="AH513" i="3"/>
  <c r="AC471" i="3"/>
  <c r="D521" i="3"/>
  <c r="W521" i="3" s="1"/>
  <c r="AC472" i="3"/>
  <c r="AC478" i="3"/>
  <c r="AH456" i="3"/>
  <c r="AC456" i="3"/>
  <c r="D496" i="3"/>
  <c r="W496" i="3" s="1"/>
  <c r="AC447" i="3"/>
  <c r="D503" i="3"/>
  <c r="W503" i="3" s="1"/>
  <c r="AC454" i="3"/>
  <c r="D565" i="3"/>
  <c r="W565" i="3" s="1"/>
  <c r="Z565" i="3" s="1"/>
  <c r="AH454" i="3"/>
  <c r="D527" i="3"/>
  <c r="W527" i="3" s="1"/>
  <c r="AC406" i="3"/>
  <c r="D468" i="3"/>
  <c r="W468" i="3" s="1"/>
  <c r="AC419" i="3"/>
  <c r="AH421" i="3"/>
  <c r="AC421" i="3"/>
  <c r="D460" i="3"/>
  <c r="W460" i="3" s="1"/>
  <c r="AC411" i="3"/>
  <c r="AC398" i="3"/>
  <c r="AH447" i="3"/>
  <c r="AH406" i="3"/>
  <c r="AH411" i="3"/>
  <c r="D455" i="3"/>
  <c r="W455" i="3" s="1"/>
  <c r="X341" i="3"/>
  <c r="AH287" i="3"/>
  <c r="AH291" i="3"/>
  <c r="W292" i="3"/>
  <c r="AH480" i="3"/>
  <c r="D529" i="3"/>
  <c r="W529" i="3" s="1"/>
  <c r="AC480" i="3"/>
  <c r="F569" i="3"/>
  <c r="Y569" i="3" s="1"/>
  <c r="F523" i="3"/>
  <c r="Y523" i="3" s="1"/>
  <c r="F575" i="3" s="1"/>
  <c r="F576" i="3"/>
  <c r="Y576" i="3" s="1"/>
  <c r="E583" i="3"/>
  <c r="X583" i="3" s="1"/>
  <c r="D427" i="3"/>
  <c r="W427" i="3" s="1"/>
  <c r="AC378" i="3"/>
  <c r="AH378" i="3"/>
  <c r="AH391" i="3" s="1"/>
  <c r="AH580" i="3"/>
  <c r="AC580" i="3"/>
  <c r="AD454" i="3"/>
  <c r="AH472" i="3"/>
  <c r="AH467" i="3"/>
  <c r="AH419" i="3"/>
  <c r="D516" i="3"/>
  <c r="W516" i="3" s="1"/>
  <c r="F521" i="3"/>
  <c r="Y521" i="3" s="1"/>
  <c r="F573" i="3" s="1"/>
  <c r="F527" i="3"/>
  <c r="Y527" i="3" s="1"/>
  <c r="AE527" i="3" s="1"/>
  <c r="AH428" i="3"/>
  <c r="D558" i="3"/>
  <c r="W558" i="3" s="1"/>
  <c r="Z558" i="3" s="1"/>
  <c r="AH506" i="3"/>
  <c r="AC506" i="3"/>
  <c r="D501" i="3"/>
  <c r="W501" i="3" s="1"/>
  <c r="AC452" i="3"/>
  <c r="AH452" i="3"/>
  <c r="D550" i="3"/>
  <c r="W550" i="3" s="1"/>
  <c r="Z550" i="3" s="1"/>
  <c r="AH498" i="3"/>
  <c r="AE514" i="3"/>
  <c r="AC462" i="3"/>
  <c r="D511" i="3"/>
  <c r="W511" i="3" s="1"/>
  <c r="AH462" i="3"/>
  <c r="D502" i="3"/>
  <c r="W502" i="3" s="1"/>
  <c r="AH453" i="3"/>
  <c r="AC453" i="3"/>
  <c r="E570" i="3"/>
  <c r="X570" i="3" s="1"/>
  <c r="AH461" i="3"/>
  <c r="D567" i="3"/>
  <c r="W567" i="3" s="1"/>
  <c r="Z567" i="3" s="1"/>
  <c r="AH515" i="3"/>
  <c r="AC515" i="3"/>
  <c r="Y568" i="3"/>
  <c r="Y562" i="3"/>
  <c r="X577" i="3"/>
  <c r="Y572" i="3"/>
  <c r="X578" i="3"/>
  <c r="Y564" i="3"/>
  <c r="AC425" i="3"/>
  <c r="D474" i="3"/>
  <c r="AH425" i="3"/>
  <c r="AH439" i="3" s="1"/>
  <c r="AC371" i="3"/>
  <c r="D420" i="3"/>
  <c r="W420" i="3" s="1"/>
  <c r="AH371" i="3"/>
  <c r="AC458" i="3"/>
  <c r="D507" i="3"/>
  <c r="AH458" i="3"/>
  <c r="E552" i="3"/>
  <c r="X572" i="3"/>
  <c r="X569" i="3"/>
  <c r="F518" i="3"/>
  <c r="Y518" i="3" s="1"/>
  <c r="F570" i="3" s="1"/>
  <c r="D510" i="3"/>
  <c r="W510" i="3" s="1"/>
  <c r="D477" i="3"/>
  <c r="D470" i="3"/>
  <c r="W470" i="3" s="1"/>
  <c r="AH505" i="3"/>
  <c r="AC428" i="3"/>
  <c r="AH471" i="3"/>
  <c r="D520" i="3"/>
  <c r="F455" i="3"/>
  <c r="Y455" i="3" s="1"/>
  <c r="AH463" i="3"/>
  <c r="AC463" i="3"/>
  <c r="D512" i="3"/>
  <c r="W512" i="3" s="1"/>
  <c r="E565" i="3"/>
  <c r="AH448" i="3"/>
  <c r="D497" i="3"/>
  <c r="AC448" i="3"/>
  <c r="X576" i="3"/>
  <c r="AH582" i="3"/>
  <c r="Y578" i="3"/>
  <c r="Y557" i="3"/>
  <c r="Y553" i="3"/>
  <c r="X571" i="3"/>
  <c r="AE454" i="3"/>
  <c r="F503" i="3"/>
  <c r="Y503" i="3" s="1"/>
  <c r="D459" i="3"/>
  <c r="W459" i="3" s="1"/>
  <c r="AC410" i="3"/>
  <c r="AH410" i="3"/>
  <c r="AD429" i="3"/>
  <c r="AC367" i="3"/>
  <c r="AH367" i="3"/>
  <c r="X573" i="3"/>
  <c r="Y566" i="3"/>
  <c r="E503" i="3"/>
  <c r="X503" i="3" s="1"/>
  <c r="AD503" i="3" s="1"/>
  <c r="W475" i="3"/>
  <c r="W450" i="3"/>
  <c r="X564" i="3"/>
  <c r="X481" i="3"/>
  <c r="AD481" i="3" s="1"/>
  <c r="E478" i="3"/>
  <c r="X478" i="3" s="1"/>
  <c r="AD478" i="3" s="1"/>
  <c r="D416" i="3"/>
  <c r="W416" i="3" s="1"/>
  <c r="E499" i="3"/>
  <c r="X499" i="3" s="1"/>
  <c r="AD499" i="3" s="1"/>
  <c r="W473" i="3"/>
  <c r="AE502" i="3"/>
  <c r="F554" i="3"/>
  <c r="AE506" i="3"/>
  <c r="F558" i="3"/>
  <c r="AE500" i="3"/>
  <c r="F552" i="3"/>
  <c r="AE509" i="3"/>
  <c r="F561" i="3"/>
  <c r="AE508" i="3"/>
  <c r="F560" i="3"/>
  <c r="AE525" i="3"/>
  <c r="F577" i="3"/>
  <c r="AE519" i="3"/>
  <c r="F571" i="3"/>
  <c r="AE496" i="3"/>
  <c r="F548" i="3"/>
  <c r="Y548" i="3" s="1"/>
  <c r="Y495" i="3"/>
  <c r="AE446" i="3"/>
  <c r="E398" i="3"/>
  <c r="AD349" i="3"/>
  <c r="AD385" i="3" s="1"/>
  <c r="X385" i="3"/>
  <c r="F302" i="3"/>
  <c r="AE287" i="3"/>
  <c r="Y287" i="3"/>
  <c r="D336" i="3"/>
  <c r="W340" i="3" s="1"/>
  <c r="W299" i="3"/>
  <c r="AB566" i="3" l="1"/>
  <c r="AE566" i="3" s="1"/>
  <c r="AB578" i="3"/>
  <c r="AE578" i="3" s="1"/>
  <c r="AA572" i="3"/>
  <c r="AD572" i="3" s="1"/>
  <c r="AB568" i="3"/>
  <c r="AE568" i="3" s="1"/>
  <c r="AA564" i="3"/>
  <c r="AD564" i="3" s="1"/>
  <c r="AB557" i="3"/>
  <c r="AE557" i="3" s="1"/>
  <c r="AA569" i="3"/>
  <c r="AD569" i="3" s="1"/>
  <c r="AB564" i="3"/>
  <c r="AE564" i="3" s="1"/>
  <c r="AB562" i="3"/>
  <c r="AE562" i="3" s="1"/>
  <c r="AA570" i="3"/>
  <c r="AD570" i="3" s="1"/>
  <c r="AA578" i="3"/>
  <c r="AD578" i="3" s="1"/>
  <c r="AB569" i="3"/>
  <c r="AE569" i="3" s="1"/>
  <c r="AA573" i="3"/>
  <c r="AD573" i="3" s="1"/>
  <c r="AA571" i="3"/>
  <c r="AD571" i="3" s="1"/>
  <c r="AB572" i="3"/>
  <c r="AE572" i="3" s="1"/>
  <c r="AA583" i="3"/>
  <c r="AD583" i="3" s="1"/>
  <c r="AB548" i="3"/>
  <c r="AB553" i="3"/>
  <c r="AE553" i="3" s="1"/>
  <c r="AA576" i="3"/>
  <c r="AD576" i="3" s="1"/>
  <c r="AA577" i="3"/>
  <c r="AD577" i="3" s="1"/>
  <c r="AB576" i="3"/>
  <c r="AE576" i="3" s="1"/>
  <c r="AC567" i="3"/>
  <c r="AC552" i="3"/>
  <c r="AC550" i="3"/>
  <c r="AC558" i="3"/>
  <c r="AC565" i="3"/>
  <c r="AC557" i="3"/>
  <c r="AH565" i="3"/>
  <c r="AH552" i="3"/>
  <c r="AH503" i="3"/>
  <c r="AC503" i="3"/>
  <c r="AC501" i="3"/>
  <c r="D579" i="3"/>
  <c r="W579" i="3" s="1"/>
  <c r="Z579" i="3" s="1"/>
  <c r="AC521" i="3"/>
  <c r="AC510" i="3"/>
  <c r="AH511" i="3"/>
  <c r="AC511" i="3"/>
  <c r="D568" i="3"/>
  <c r="W568" i="3" s="1"/>
  <c r="Z568" i="3" s="1"/>
  <c r="AC516" i="3"/>
  <c r="D548" i="3"/>
  <c r="W548" i="3" s="1"/>
  <c r="AC496" i="3"/>
  <c r="AH496" i="3"/>
  <c r="D499" i="3"/>
  <c r="W499" i="3" s="1"/>
  <c r="AC450" i="3"/>
  <c r="D504" i="3"/>
  <c r="W504" i="3" s="1"/>
  <c r="AC455" i="3"/>
  <c r="D519" i="3"/>
  <c r="W519" i="3" s="1"/>
  <c r="AC470" i="3"/>
  <c r="AC475" i="3"/>
  <c r="D509" i="3"/>
  <c r="W509" i="3" s="1"/>
  <c r="AH468" i="3"/>
  <c r="AC468" i="3"/>
  <c r="D522" i="3"/>
  <c r="W522" i="3" s="1"/>
  <c r="AC473" i="3"/>
  <c r="AC461" i="3"/>
  <c r="AH527" i="3"/>
  <c r="AC527" i="3"/>
  <c r="D517" i="3"/>
  <c r="W517" i="3" s="1"/>
  <c r="AH460" i="3"/>
  <c r="X390" i="3"/>
  <c r="D348" i="3"/>
  <c r="W348" i="3" s="1"/>
  <c r="Z336" i="3"/>
  <c r="AH294" i="3"/>
  <c r="AC529" i="3"/>
  <c r="AH529" i="3"/>
  <c r="D581" i="3"/>
  <c r="W581" i="3" s="1"/>
  <c r="Z581" i="3" s="1"/>
  <c r="AE523" i="3"/>
  <c r="AC427" i="3"/>
  <c r="D476" i="3"/>
  <c r="W476" i="3" s="1"/>
  <c r="AH427" i="3"/>
  <c r="AH440" i="3" s="1"/>
  <c r="AE521" i="3"/>
  <c r="F579" i="3"/>
  <c r="Y579" i="3" s="1"/>
  <c r="AE518" i="3"/>
  <c r="D555" i="3"/>
  <c r="W555" i="3" s="1"/>
  <c r="Z555" i="3" s="1"/>
  <c r="AH470" i="3"/>
  <c r="AH521" i="3"/>
  <c r="D573" i="3"/>
  <c r="W573" i="3" s="1"/>
  <c r="Z573" i="3" s="1"/>
  <c r="AC502" i="3"/>
  <c r="AH502" i="3"/>
  <c r="D554" i="3"/>
  <c r="W554" i="3" s="1"/>
  <c r="Z554" i="3" s="1"/>
  <c r="D563" i="3"/>
  <c r="W563" i="3" s="1"/>
  <c r="Z563" i="3" s="1"/>
  <c r="AH550" i="3"/>
  <c r="AH501" i="3"/>
  <c r="D553" i="3"/>
  <c r="W553" i="3" s="1"/>
  <c r="Z553" i="3" s="1"/>
  <c r="AH558" i="3"/>
  <c r="AH567" i="3"/>
  <c r="AH510" i="3"/>
  <c r="D562" i="3"/>
  <c r="W562" i="3" s="1"/>
  <c r="Z562" i="3" s="1"/>
  <c r="Y575" i="3"/>
  <c r="X552" i="3"/>
  <c r="W507" i="3"/>
  <c r="D469" i="3"/>
  <c r="AH420" i="3"/>
  <c r="Y571" i="3"/>
  <c r="Y560" i="3"/>
  <c r="Y552" i="3"/>
  <c r="AH473" i="3"/>
  <c r="D465" i="3"/>
  <c r="W465" i="3" s="1"/>
  <c r="AH416" i="3"/>
  <c r="AC416" i="3"/>
  <c r="D524" i="3"/>
  <c r="W524" i="3" s="1"/>
  <c r="AH475" i="3"/>
  <c r="AH459" i="3"/>
  <c r="D508" i="3"/>
  <c r="W508" i="3" s="1"/>
  <c r="AC459" i="3"/>
  <c r="AH455" i="3"/>
  <c r="W520" i="3"/>
  <c r="Y573" i="3"/>
  <c r="E527" i="3"/>
  <c r="X527" i="3" s="1"/>
  <c r="AD527" i="3" s="1"/>
  <c r="F555" i="3"/>
  <c r="AE503" i="3"/>
  <c r="W477" i="3"/>
  <c r="Y570" i="3"/>
  <c r="W497" i="3"/>
  <c r="Y577" i="3"/>
  <c r="Y561" i="3"/>
  <c r="Y558" i="3"/>
  <c r="Y554" i="3"/>
  <c r="E551" i="3"/>
  <c r="E530" i="3"/>
  <c r="AH450" i="3"/>
  <c r="E555" i="3"/>
  <c r="X565" i="3"/>
  <c r="D564" i="3"/>
  <c r="AH512" i="3"/>
  <c r="AC512" i="3"/>
  <c r="AE455" i="3"/>
  <c r="F504" i="3"/>
  <c r="Y504" i="3" s="1"/>
  <c r="AH516" i="3"/>
  <c r="W474" i="3"/>
  <c r="AH557" i="3"/>
  <c r="F547" i="3"/>
  <c r="AE495" i="3"/>
  <c r="X398" i="3"/>
  <c r="E447" i="3" s="1"/>
  <c r="E434" i="3"/>
  <c r="X438" i="3" s="1"/>
  <c r="AH299" i="3"/>
  <c r="AH340" i="3" s="1"/>
  <c r="W336" i="3"/>
  <c r="F351" i="3"/>
  <c r="Y351" i="3" s="1"/>
  <c r="F336" i="3"/>
  <c r="AB575" i="3" l="1"/>
  <c r="AE575" i="3" s="1"/>
  <c r="AA565" i="3"/>
  <c r="AD565" i="3" s="1"/>
  <c r="AB558" i="3"/>
  <c r="AE558" i="3" s="1"/>
  <c r="AB561" i="3"/>
  <c r="AE561" i="3" s="1"/>
  <c r="AB577" i="3"/>
  <c r="AE577" i="3" s="1"/>
  <c r="AB573" i="3"/>
  <c r="AE573" i="3" s="1"/>
  <c r="AB571" i="3"/>
  <c r="AE571" i="3" s="1"/>
  <c r="AB570" i="3"/>
  <c r="AE570" i="3" s="1"/>
  <c r="AB552" i="3"/>
  <c r="AE552" i="3" s="1"/>
  <c r="AB579" i="3"/>
  <c r="AE579" i="3" s="1"/>
  <c r="AB560" i="3"/>
  <c r="AE560" i="3" s="1"/>
  <c r="AB554" i="3"/>
  <c r="AE554" i="3" s="1"/>
  <c r="AA552" i="3"/>
  <c r="AD552" i="3" s="1"/>
  <c r="AE548" i="3"/>
  <c r="D385" i="3"/>
  <c r="W389" i="3" s="1"/>
  <c r="AC555" i="3"/>
  <c r="AC562" i="3"/>
  <c r="AC553" i="3"/>
  <c r="AC568" i="3"/>
  <c r="AC563" i="3"/>
  <c r="AC554" i="3"/>
  <c r="Z548" i="3"/>
  <c r="AC548" i="3" s="1"/>
  <c r="AC579" i="3"/>
  <c r="AH548" i="3"/>
  <c r="AH568" i="3"/>
  <c r="D556" i="3"/>
  <c r="W556" i="3" s="1"/>
  <c r="AC504" i="3"/>
  <c r="AC499" i="3"/>
  <c r="AH504" i="3"/>
  <c r="AC520" i="3"/>
  <c r="AH519" i="3"/>
  <c r="AC522" i="3"/>
  <c r="AH509" i="3"/>
  <c r="AC509" i="3"/>
  <c r="AC517" i="3"/>
  <c r="W469" i="3"/>
  <c r="AH469" i="3" s="1"/>
  <c r="AH499" i="3"/>
  <c r="D551" i="3"/>
  <c r="W551" i="3" s="1"/>
  <c r="Z551" i="3" s="1"/>
  <c r="AC519" i="3"/>
  <c r="D571" i="3"/>
  <c r="W571" i="3" s="1"/>
  <c r="Z571" i="3" s="1"/>
  <c r="D561" i="3"/>
  <c r="W561" i="3" s="1"/>
  <c r="Z561" i="3" s="1"/>
  <c r="AH522" i="3"/>
  <c r="D574" i="3"/>
  <c r="W574" i="3" s="1"/>
  <c r="Z574" i="3" s="1"/>
  <c r="D569" i="3"/>
  <c r="W569" i="3" s="1"/>
  <c r="Z569" i="3" s="1"/>
  <c r="AH517" i="3"/>
  <c r="Z385" i="3"/>
  <c r="W341" i="3"/>
  <c r="AC299" i="3"/>
  <c r="AC336" i="3" s="1"/>
  <c r="AC581" i="3"/>
  <c r="AH581" i="3"/>
  <c r="AH476" i="3"/>
  <c r="AH489" i="3" s="1"/>
  <c r="D525" i="3"/>
  <c r="W525" i="3" s="1"/>
  <c r="AH555" i="3"/>
  <c r="AC573" i="3"/>
  <c r="AH553" i="3"/>
  <c r="AH563" i="3"/>
  <c r="AH554" i="3"/>
  <c r="AH562" i="3"/>
  <c r="AH579" i="3"/>
  <c r="AH524" i="3"/>
  <c r="D576" i="3"/>
  <c r="W576" i="3" s="1"/>
  <c r="Z576" i="3" s="1"/>
  <c r="AC524" i="3"/>
  <c r="AC507" i="3"/>
  <c r="AH507" i="3"/>
  <c r="AH474" i="3"/>
  <c r="AH488" i="3" s="1"/>
  <c r="D523" i="3"/>
  <c r="W523" i="3" s="1"/>
  <c r="Y555" i="3"/>
  <c r="AH520" i="3"/>
  <c r="D572" i="3"/>
  <c r="D559" i="3"/>
  <c r="AC465" i="3"/>
  <c r="D514" i="3"/>
  <c r="AH465" i="3"/>
  <c r="AE504" i="3"/>
  <c r="F556" i="3"/>
  <c r="X555" i="3"/>
  <c r="X551" i="3"/>
  <c r="AC497" i="3"/>
  <c r="D549" i="3"/>
  <c r="AH477" i="3"/>
  <c r="D526" i="3"/>
  <c r="X530" i="3"/>
  <c r="AH573" i="3"/>
  <c r="W564" i="3"/>
  <c r="Z564" i="3" s="1"/>
  <c r="AH497" i="3"/>
  <c r="AC477" i="3"/>
  <c r="E579" i="3"/>
  <c r="AH508" i="3"/>
  <c r="AC508" i="3"/>
  <c r="D560" i="3"/>
  <c r="Y547" i="3"/>
  <c r="X447" i="3"/>
  <c r="E483" i="3"/>
  <c r="X488" i="3" s="1"/>
  <c r="D397" i="3"/>
  <c r="AD398" i="3"/>
  <c r="AD434" i="3" s="1"/>
  <c r="X434" i="3"/>
  <c r="AH348" i="3"/>
  <c r="AH389" i="3" s="1"/>
  <c r="W385" i="3"/>
  <c r="F400" i="3"/>
  <c r="Y400" i="3" s="1"/>
  <c r="F385" i="3"/>
  <c r="AE302" i="3"/>
  <c r="AE336" i="3" s="1"/>
  <c r="Y336" i="3"/>
  <c r="AH336" i="3"/>
  <c r="AA555" i="3" l="1"/>
  <c r="AD555" i="3" s="1"/>
  <c r="AB555" i="3"/>
  <c r="AE555" i="3" s="1"/>
  <c r="AA551" i="3"/>
  <c r="AD551" i="3" s="1"/>
  <c r="Z556" i="3"/>
  <c r="AC556" i="3" s="1"/>
  <c r="D518" i="3"/>
  <c r="W518" i="3" s="1"/>
  <c r="AH518" i="3" s="1"/>
  <c r="AC574" i="3"/>
  <c r="AH556" i="3"/>
  <c r="AC571" i="3"/>
  <c r="AC551" i="3"/>
  <c r="AC561" i="3"/>
  <c r="AC564" i="3"/>
  <c r="AC576" i="3"/>
  <c r="AC569" i="3"/>
  <c r="E582" i="3"/>
  <c r="X582" i="3" s="1"/>
  <c r="AD530" i="3"/>
  <c r="E496" i="3"/>
  <c r="X496" i="3" s="1"/>
  <c r="AD496" i="3" s="1"/>
  <c r="AH561" i="3"/>
  <c r="AH571" i="3"/>
  <c r="AC474" i="3"/>
  <c r="AH569" i="3"/>
  <c r="X439" i="3"/>
  <c r="W390" i="3"/>
  <c r="AC348" i="3"/>
  <c r="AC385" i="3" s="1"/>
  <c r="AH525" i="3"/>
  <c r="AH538" i="3" s="1"/>
  <c r="D577" i="3"/>
  <c r="W577" i="3" s="1"/>
  <c r="Z577" i="3" s="1"/>
  <c r="AH574" i="3"/>
  <c r="W559" i="3"/>
  <c r="Z559" i="3" s="1"/>
  <c r="W560" i="3"/>
  <c r="Z560" i="3" s="1"/>
  <c r="W526" i="3"/>
  <c r="Y556" i="3"/>
  <c r="W514" i="3"/>
  <c r="D575" i="3"/>
  <c r="AC523" i="3"/>
  <c r="AH523" i="3"/>
  <c r="AH537" i="3" s="1"/>
  <c r="X579" i="3"/>
  <c r="AH564" i="3"/>
  <c r="W549" i="3"/>
  <c r="Z549" i="3" s="1"/>
  <c r="AH576" i="3"/>
  <c r="AH551" i="3"/>
  <c r="W572" i="3"/>
  <c r="Z572" i="3" s="1"/>
  <c r="AH385" i="3"/>
  <c r="AE547" i="3"/>
  <c r="AD447" i="3"/>
  <c r="AD483" i="3" s="1"/>
  <c r="X483" i="3"/>
  <c r="F449" i="3"/>
  <c r="Y449" i="3" s="1"/>
  <c r="F434" i="3"/>
  <c r="D434" i="3"/>
  <c r="W438" i="3" s="1"/>
  <c r="W397" i="3"/>
  <c r="AE351" i="3"/>
  <c r="AE385" i="3" s="1"/>
  <c r="Y385" i="3"/>
  <c r="AH343" i="3"/>
  <c r="D570" i="3" l="1"/>
  <c r="W570" i="3" s="1"/>
  <c r="Z570" i="3" s="1"/>
  <c r="AA579" i="3"/>
  <c r="AD579" i="3" s="1"/>
  <c r="AB556" i="3"/>
  <c r="AE556" i="3" s="1"/>
  <c r="AA582" i="3"/>
  <c r="AD582" i="3" s="1"/>
  <c r="E532" i="3"/>
  <c r="X536" i="3" s="1"/>
  <c r="AC559" i="3"/>
  <c r="AC549" i="3"/>
  <c r="AC572" i="3"/>
  <c r="AC560" i="3"/>
  <c r="X489" i="3"/>
  <c r="D446" i="3"/>
  <c r="W446" i="3" s="1"/>
  <c r="Z434" i="3"/>
  <c r="AH577" i="3"/>
  <c r="AH590" i="3" s="1"/>
  <c r="AH572" i="3"/>
  <c r="AC514" i="3"/>
  <c r="D566" i="3"/>
  <c r="AH560" i="3"/>
  <c r="AH514" i="3"/>
  <c r="AC526" i="3"/>
  <c r="AH526" i="3"/>
  <c r="AH549" i="3"/>
  <c r="W575" i="3"/>
  <c r="Z575" i="3" s="1"/>
  <c r="D578" i="3"/>
  <c r="W578" i="3" s="1"/>
  <c r="Z578" i="3" s="1"/>
  <c r="AH559" i="3"/>
  <c r="E548" i="3"/>
  <c r="AD532" i="3"/>
  <c r="X532" i="3"/>
  <c r="AE449" i="3"/>
  <c r="F483" i="3"/>
  <c r="AE400" i="3"/>
  <c r="AE434" i="3" s="1"/>
  <c r="Y434" i="3"/>
  <c r="AH397" i="3"/>
  <c r="AH438" i="3" s="1"/>
  <c r="W434" i="3"/>
  <c r="AH392" i="3"/>
  <c r="AC570" i="3" l="1"/>
  <c r="D483" i="3"/>
  <c r="W488" i="3" s="1"/>
  <c r="AH570" i="3"/>
  <c r="AC575" i="3"/>
  <c r="AC578" i="3"/>
  <c r="X537" i="3"/>
  <c r="Z483" i="3"/>
  <c r="W483" i="3"/>
  <c r="AC397" i="3"/>
  <c r="AC434" i="3" s="1"/>
  <c r="W439" i="3"/>
  <c r="AH575" i="3"/>
  <c r="AH589" i="3" s="1"/>
  <c r="W566" i="3"/>
  <c r="Z566" i="3" s="1"/>
  <c r="AH578" i="3"/>
  <c r="F498" i="3"/>
  <c r="Y498" i="3" s="1"/>
  <c r="X548" i="3"/>
  <c r="E584" i="3"/>
  <c r="X588" i="3" s="1"/>
  <c r="D495" i="3"/>
  <c r="AH446" i="3"/>
  <c r="AH487" i="3" s="1"/>
  <c r="AE483" i="3"/>
  <c r="Y483" i="3"/>
  <c r="AH434" i="3"/>
  <c r="AA548" i="3" l="1"/>
  <c r="AA584" i="3" s="1"/>
  <c r="AA586" i="3" s="1"/>
  <c r="AC566" i="3"/>
  <c r="AC446" i="3"/>
  <c r="AC483" i="3" s="1"/>
  <c r="W489" i="3"/>
  <c r="AH566" i="3"/>
  <c r="F532" i="3"/>
  <c r="X584" i="3"/>
  <c r="X645" i="3" s="1"/>
  <c r="W495" i="3"/>
  <c r="D532" i="3"/>
  <c r="W536" i="3" s="1"/>
  <c r="AH483" i="3"/>
  <c r="AH441" i="3"/>
  <c r="AD548" i="3" l="1"/>
  <c r="AD584" i="3" s="1"/>
  <c r="X589" i="3"/>
  <c r="D547" i="3"/>
  <c r="D584" i="3" s="1"/>
  <c r="W588" i="3" s="1"/>
  <c r="Z532" i="3"/>
  <c r="AE498" i="3"/>
  <c r="AE532" i="3" s="1"/>
  <c r="F550" i="3"/>
  <c r="Y550" i="3" s="1"/>
  <c r="AB550" i="3" s="1"/>
  <c r="AB584" i="3" s="1"/>
  <c r="Y532" i="3"/>
  <c r="AH495" i="3"/>
  <c r="AH536" i="3" s="1"/>
  <c r="W532" i="3"/>
  <c r="AH490" i="3"/>
  <c r="AC495" i="3" l="1"/>
  <c r="AC532" i="3" s="1"/>
  <c r="W547" i="3"/>
  <c r="W537" i="3"/>
  <c r="AE550" i="3"/>
  <c r="F584" i="3"/>
  <c r="AH532" i="3"/>
  <c r="Z547" i="3" l="1"/>
  <c r="Z584" i="3" s="1"/>
  <c r="W584" i="3"/>
  <c r="W645" i="3" s="1"/>
  <c r="AH547" i="3"/>
  <c r="AH588" i="3" s="1"/>
  <c r="AE584" i="3"/>
  <c r="Y584" i="3"/>
  <c r="AH539" i="3"/>
  <c r="AC547" i="3" l="1"/>
  <c r="AC584" i="3" s="1"/>
  <c r="W589" i="3"/>
  <c r="AH584" i="3"/>
  <c r="AH591" i="3" s="1"/>
</calcChain>
</file>

<file path=xl/comments1.xml><?xml version="1.0" encoding="utf-8"?>
<comments xmlns="http://schemas.openxmlformats.org/spreadsheetml/2006/main">
  <authors>
    <author>HP</author>
    <author>Bajigar</author>
    <author>Commercial</author>
  </authors>
  <commentList>
    <comment ref="AG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last month 
</t>
        </r>
      </text>
    </comment>
    <comment ref="AG3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last month </t>
        </r>
      </text>
    </comment>
    <comment ref="AG3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last month </t>
        </r>
      </text>
    </comment>
    <comment ref="K43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AG53" authorId="0" shapeId="0">
      <text>
        <r>
          <rPr>
            <b/>
            <sz val="9"/>
            <color indexed="81"/>
            <rFont val="Tahoma"/>
            <family val="2"/>
          </rPr>
          <t>Bajigar :
Last Month take</t>
        </r>
      </text>
    </comment>
    <comment ref="AG54" authorId="0" shapeId="0">
      <text>
        <r>
          <rPr>
            <b/>
            <sz val="9"/>
            <color indexed="81"/>
            <rFont val="Tahoma"/>
            <family val="2"/>
          </rPr>
          <t>Bajigar :
Last Month take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2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AG102" authorId="0" shapeId="0">
      <text>
        <r>
          <rPr>
            <b/>
            <sz val="9"/>
            <color indexed="81"/>
            <rFont val="Tahoma"/>
            <family val="2"/>
          </rPr>
          <t>Bajigar :
Last Month take</t>
        </r>
      </text>
    </comment>
    <comment ref="AG110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</t>
        </r>
      </text>
    </comment>
    <comment ref="AG116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</t>
        </r>
      </text>
    </comment>
    <comment ref="AG130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</t>
        </r>
      </text>
    </comment>
    <comment ref="K141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AG152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AG159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AG165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AG179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</t>
        </r>
      </text>
    </comment>
    <comment ref="K190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Other scraps paper putha and wooden</t>
        </r>
      </text>
    </comment>
    <comment ref="K239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Other scraps
</t>
        </r>
      </text>
    </comment>
    <comment ref="K289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Other scraps</t>
        </r>
      </text>
    </comment>
    <comment ref="K338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O349" authorId="2" shapeId="0">
      <text>
        <r>
          <rPr>
            <b/>
            <sz val="9"/>
            <color indexed="81"/>
            <rFont val="Tahoma"/>
            <family val="2"/>
          </rPr>
          <t xml:space="preserve">Commercial:
</t>
        </r>
        <r>
          <rPr>
            <sz val="9"/>
            <color indexed="81"/>
            <rFont val="Tahoma"/>
            <family val="2"/>
          </rPr>
          <t>JOB RAW MATERIAL PP GRANULES RETURN</t>
        </r>
      </text>
    </comment>
    <comment ref="AG368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AG37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K387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388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AG425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K43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437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AG446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Last Month Rate of
</t>
        </r>
      </text>
    </comment>
    <comment ref="AG447" authorId="0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Last Month Rate
</t>
        </r>
      </text>
    </comment>
    <comment ref="AG460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 AND THIS MONTH AVREGE Rate</t>
        </r>
      </text>
    </comment>
    <comment ref="AG46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AG474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</t>
        </r>
      </text>
    </comment>
    <comment ref="K485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486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AG509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AS PER LAST MONTH RATE AND THIS MONTH AVREGE Rate</t>
        </r>
      </text>
    </comment>
    <comment ref="K534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  <comment ref="P535" authorId="2" shapeId="0">
      <text>
        <r>
          <rPr>
            <b/>
            <sz val="9"/>
            <color indexed="81"/>
            <rFont val="Tahoma"/>
            <family val="2"/>
          </rPr>
          <t>Commercial:</t>
        </r>
        <r>
          <rPr>
            <sz val="9"/>
            <color indexed="81"/>
            <rFont val="Tahoma"/>
            <family val="2"/>
          </rPr>
          <t xml:space="preserve">
Excess stock on floor </t>
        </r>
      </text>
    </comment>
    <comment ref="K586" authorId="1" shapeId="0">
      <text>
        <r>
          <rPr>
            <b/>
            <sz val="9"/>
            <color indexed="81"/>
            <rFont val="Tahoma"/>
            <family val="2"/>
          </rPr>
          <t>Bajigar:</t>
        </r>
        <r>
          <rPr>
            <sz val="9"/>
            <color indexed="81"/>
            <rFont val="Tahoma"/>
            <family val="2"/>
          </rPr>
          <t xml:space="preserve">
Otheer Scraps
</t>
        </r>
      </text>
    </comment>
  </commentList>
</comments>
</file>

<file path=xl/sharedStrings.xml><?xml version="1.0" encoding="utf-8"?>
<sst xmlns="http://schemas.openxmlformats.org/spreadsheetml/2006/main" count="33433" uniqueCount="3397">
  <si>
    <t>Opening Stock</t>
  </si>
  <si>
    <t>Factory Owned</t>
  </si>
  <si>
    <t>Factory JW (Others)</t>
  </si>
  <si>
    <t>At JW (Own)</t>
  </si>
  <si>
    <t>Branch Tfr Recd</t>
  </si>
  <si>
    <t>Purchase</t>
  </si>
  <si>
    <t>Recd from JW (Own)</t>
  </si>
  <si>
    <t>Recd For JW (Others)</t>
  </si>
  <si>
    <t>Sales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</si>
  <si>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</si>
  <si>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</si>
  <si>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</si>
  <si>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</si>
  <si>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</si>
  <si>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</si>
  <si>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</si>
  <si>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Pord of JW</t>
  </si>
  <si>
    <t>Consumption of JW</t>
  </si>
  <si>
    <t>Net Production Own</t>
  </si>
  <si>
    <t>Net Consumption Own</t>
  </si>
  <si>
    <t>Closing Stock -As per Movement Sheet</t>
  </si>
  <si>
    <t>Difference</t>
  </si>
  <si>
    <t>Remark for Difference, If any</t>
  </si>
  <si>
    <t>Details of Items / Products</t>
  </si>
  <si>
    <t>Group</t>
  </si>
  <si>
    <t>Item Name</t>
  </si>
  <si>
    <t>GroupName</t>
  </si>
  <si>
    <t>MainGroupName</t>
  </si>
  <si>
    <t>SubGroupName</t>
  </si>
  <si>
    <t>MB Alok Blue 2095AM Pantone 3125C</t>
  </si>
  <si>
    <t>Granuals</t>
  </si>
  <si>
    <t>RM</t>
  </si>
  <si>
    <t>Masterbatch</t>
  </si>
  <si>
    <t>MB Karnavati  New Chrome Yellow</t>
  </si>
  <si>
    <t>MB Karnavati PO Red</t>
  </si>
  <si>
    <t>MB Karnavati Rishi Green-T</t>
  </si>
  <si>
    <t>PP Basell HH 450FB</t>
  </si>
  <si>
    <t>PP Granuals</t>
  </si>
  <si>
    <t>PP RIL H110MA</t>
  </si>
  <si>
    <t>HDPE Gail W50A009A</t>
  </si>
  <si>
    <t>HDPE Granuals</t>
  </si>
  <si>
    <t>HDPE NCT F0455</t>
  </si>
  <si>
    <t>HDPE Sabic B5429</t>
  </si>
  <si>
    <t>HDPE Sabic F00952</t>
  </si>
  <si>
    <t>HDPE Titan 5000S6718-B</t>
  </si>
  <si>
    <t>LDPE Exxon LD251</t>
  </si>
  <si>
    <t>LDPE Granuals</t>
  </si>
  <si>
    <t>LDPE Granual Others</t>
  </si>
  <si>
    <t>LLDPE IOCL 010F18A</t>
  </si>
  <si>
    <t>LLDPE Granuals</t>
  </si>
  <si>
    <t>LLDPE Sabic M500026</t>
  </si>
  <si>
    <t>MB Alok Green AM9414 Pantone 7742C</t>
  </si>
  <si>
    <t>MB Karnavati CMC Pink</t>
  </si>
  <si>
    <t>MB PIL Purging</t>
  </si>
  <si>
    <t>UV Alok NFG AM 13350 20%</t>
  </si>
  <si>
    <t>UV MB</t>
  </si>
  <si>
    <t>LLDPE Borouge FB2270</t>
  </si>
  <si>
    <t>MB Perfect Orange 021-C RD-7632</t>
  </si>
  <si>
    <t>MB JJ White WE9180PT</t>
  </si>
  <si>
    <t>MB Karnavati 1213 Green (Panton 361C)</t>
  </si>
  <si>
    <t>PP Luban HP1102K</t>
  </si>
  <si>
    <t>LLDPE Opal M2550</t>
  </si>
  <si>
    <t>LLDPE Exxon 3588 Vistamaxx</t>
  </si>
  <si>
    <t>MB Clariant CMC PIL 433C(104682)</t>
  </si>
  <si>
    <t>MB Pixel PPA</t>
  </si>
  <si>
    <t>PP IOCL P1110MAS</t>
  </si>
  <si>
    <t>PP Ulsan UH450J</t>
  </si>
  <si>
    <t>PP IOCL 1110MGNP</t>
  </si>
  <si>
    <t>Non Woven Fabric (Felt) 170Gsm.Pati Cut Length- 2" ( 5 Cm )</t>
  </si>
  <si>
    <t>FIBC Accessories</t>
  </si>
  <si>
    <t>Spun Bound Non Woven Fabric  118 Cm 90 Gsm Uncoated</t>
  </si>
  <si>
    <t>Polyester Film</t>
  </si>
  <si>
    <t>Films All</t>
  </si>
  <si>
    <t>MB Karnavati Ambuja Yellow</t>
  </si>
  <si>
    <t>MB Karnavati Super Blue</t>
  </si>
  <si>
    <t>PP Basell 456J OG</t>
  </si>
  <si>
    <t>PP Basell EP229S</t>
  </si>
  <si>
    <t>PP IOCL 1350 YG</t>
  </si>
  <si>
    <t>PP MRPL HR003</t>
  </si>
  <si>
    <t>PP Sumitomo H101T</t>
  </si>
  <si>
    <t>HDPE RIL E52009</t>
  </si>
  <si>
    <t>LDPE Dow PG7008</t>
  </si>
  <si>
    <t>LDPE Tasnee 4025AS</t>
  </si>
  <si>
    <t>LLDPE IOCL 010F18S</t>
  </si>
  <si>
    <t>Filler PK Transfil PE Code- SP 7103 0067</t>
  </si>
  <si>
    <t>Filler</t>
  </si>
  <si>
    <t>MB Karnavati Pool Green</t>
  </si>
  <si>
    <t>MB Calco M-Green 070</t>
  </si>
  <si>
    <t>LLDPE RIL JF19010</t>
  </si>
  <si>
    <t>MB Karnavati D. Silver</t>
  </si>
  <si>
    <t>PP Borouge HOE222NP</t>
  </si>
  <si>
    <t>LLDPE EXXON mLLDPE OFF GRADE</t>
  </si>
  <si>
    <t>PP Aramco HP30G</t>
  </si>
  <si>
    <t>HDPE Gail Y50A010U A</t>
  </si>
  <si>
    <t>LLDPE JAMPETRO 22501KJ</t>
  </si>
  <si>
    <t>MB karnavati White Beige</t>
  </si>
  <si>
    <t>MB Karnavati Oswal Blue</t>
  </si>
  <si>
    <t>MB Alok Brown Code L-26481</t>
  </si>
  <si>
    <t>LLDPE Exxon 3980 Vistamaxx</t>
  </si>
  <si>
    <t>MB Goldmine Milky White</t>
  </si>
  <si>
    <t>MB Goldmine Beige Golden Yellow GM707</t>
  </si>
  <si>
    <t>MB JJ Shiny Black BKE0193</t>
  </si>
  <si>
    <t>PP Luban HP3107K</t>
  </si>
  <si>
    <t>Filler Merit Merfill FPP Alpha</t>
  </si>
  <si>
    <t>Filler Bluebird Anti Moisture</t>
  </si>
  <si>
    <t>Non Woven Fabric (Felt) 170Gsm.Pati Cut Length- 2" ( 5 Cm ) (Food Grade Quality)</t>
  </si>
  <si>
    <t>PP Basell 550J</t>
  </si>
  <si>
    <t>PP IOCL 1100FS</t>
  </si>
  <si>
    <t>LDPE Basell 2420H</t>
  </si>
  <si>
    <t>LDPE Basell 2421H</t>
  </si>
  <si>
    <t>LDPE Borouge FT5230</t>
  </si>
  <si>
    <t>LDPE Dow 722</t>
  </si>
  <si>
    <t>LLDPE Dow 1210P</t>
  </si>
  <si>
    <t>LLDPE Dow 1211P</t>
  </si>
  <si>
    <t>LLDPE Dow XUS 59910.03</t>
  </si>
  <si>
    <t>LLDPE Exxon 1018HA</t>
  </si>
  <si>
    <t>LLDPE RIL E24065</t>
  </si>
  <si>
    <t>LLDPE Sabic M50026</t>
  </si>
  <si>
    <t>Filler Soltex TPT</t>
  </si>
  <si>
    <t>MB Alok Green AM601 Pantone 369U</t>
  </si>
  <si>
    <t>MB Karnavati Site Green 3400</t>
  </si>
  <si>
    <t>HDPE IOCL 012DB54</t>
  </si>
  <si>
    <t>PP IOCL 4080MA - PPCP</t>
  </si>
  <si>
    <t>LDPE RIL J24FS040</t>
  </si>
  <si>
    <t>UV Alok FG AM 7730 PP (Without Filler)</t>
  </si>
  <si>
    <t>MB Karnavati Dark Domestic Blue</t>
  </si>
  <si>
    <t>MB Perfect BLUE BL 3948 (072C)</t>
  </si>
  <si>
    <t>MB Karnavati Olive Green D</t>
  </si>
  <si>
    <t>HDPE IOCL 180M50</t>
  </si>
  <si>
    <t>MB JJ RED -2183</t>
  </si>
  <si>
    <t>LLDPE IOCL XFLL</t>
  </si>
  <si>
    <t>UV Soltex NFG PE UVAD2225</t>
  </si>
  <si>
    <t>MB Alok Red AM6716 Pantone Pink 226C</t>
  </si>
  <si>
    <t>PP Zhongjing T30S</t>
  </si>
  <si>
    <t>PP China T3034</t>
  </si>
  <si>
    <t>HDPE OPAL Y5710</t>
  </si>
  <si>
    <t>PP IOCL 1030FG</t>
  </si>
  <si>
    <t>PP IOCL P1350YG</t>
  </si>
  <si>
    <t>Filler Goldmine LL GM 101 MB</t>
  </si>
  <si>
    <t>UV Samtone FG SIPE30501901PP -UV MB 24</t>
  </si>
  <si>
    <t>PP Exxon 5032E5</t>
  </si>
  <si>
    <t>UV Bajaj NFG PE UV04C</t>
  </si>
  <si>
    <t>MB Clariant Processing Aid -1 PE-001</t>
  </si>
  <si>
    <t>MB Clariant Premium Black 3912</t>
  </si>
  <si>
    <t>MB Plastiblend Polyaddit Antistatic 04005</t>
  </si>
  <si>
    <t>PP RIL H350EG</t>
  </si>
  <si>
    <t>PP Granuals Others</t>
  </si>
  <si>
    <t>HDPE Gail E45A003A</t>
  </si>
  <si>
    <t>HDPE IOCL 012E50</t>
  </si>
  <si>
    <t>HDPE RIL F46003E</t>
  </si>
  <si>
    <t>LDPE Petchem LFI2047A</t>
  </si>
  <si>
    <t>LDPE Sabic HP0823J</t>
  </si>
  <si>
    <t>LDPE SCG D777C</t>
  </si>
  <si>
    <t>LLDPE Asrene UI2650</t>
  </si>
  <si>
    <t>LLDPE Dow XZ 89210</t>
  </si>
  <si>
    <t>LLDPE Exxon 2018KB</t>
  </si>
  <si>
    <t>LLDPE LG SP310</t>
  </si>
  <si>
    <t>LLDPE SK Global Smart151</t>
  </si>
  <si>
    <t>LLDPE Sumitomo FS250B</t>
  </si>
  <si>
    <t>Filler Soltex PTUFF23LM</t>
  </si>
  <si>
    <t>Filler Shri Ambica TPT</t>
  </si>
  <si>
    <t>MB Alok Green AM2287 Pantone 3415C</t>
  </si>
  <si>
    <t>MB Alok Yellow AM3534 Pantone 116U</t>
  </si>
  <si>
    <t>MB Karnavati Jute Brown</t>
  </si>
  <si>
    <t>MB Karnavati Lami. Violet</t>
  </si>
  <si>
    <t>MB Karnavati Super CMC Yellow</t>
  </si>
  <si>
    <t>MB Sukhesh PPA EIN 25005-ML HPA</t>
  </si>
  <si>
    <t>MB Clariant PHA0-Z0N-EM Antistatic 470011</t>
  </si>
  <si>
    <t>MB Karnavati JetWhite</t>
  </si>
  <si>
    <t>MB Anand Super Dark Navy Blue</t>
  </si>
  <si>
    <t>HDPE IOCL 004DP44</t>
  </si>
  <si>
    <t>Filler Karnavati GOM Liner</t>
  </si>
  <si>
    <t>Filler Everplus TPT-75 E110</t>
  </si>
  <si>
    <t>PP Imported YTD30S</t>
  </si>
  <si>
    <t>HDPE IOCL 003DB52</t>
  </si>
  <si>
    <t>UV Samtone NFG SIPE020H -UV MB 03</t>
  </si>
  <si>
    <t>PP Luban HP2100N</t>
  </si>
  <si>
    <t>MB Goldmine Anti Moisture</t>
  </si>
  <si>
    <t>LDPE Sabic 7019EC 148</t>
  </si>
  <si>
    <t>Multilayer Laminated Film</t>
  </si>
  <si>
    <t>PE Film</t>
  </si>
  <si>
    <t>MB Alok Blue AM10430 Pantone 072C</t>
  </si>
  <si>
    <t>MB Alok Grey AM3230 Pantone 444U</t>
  </si>
  <si>
    <t>MB Plastiblend Polyaddit PPA04001</t>
  </si>
  <si>
    <t>PP Basell 462R</t>
  </si>
  <si>
    <t>PP Basell 462S</t>
  </si>
  <si>
    <t>PP Basell EP229R</t>
  </si>
  <si>
    <t>PP RIL AS160N</t>
  </si>
  <si>
    <t>HDPE Basell SPEC_OG</t>
  </si>
  <si>
    <t>HDPE NCT B1258</t>
  </si>
  <si>
    <t>HDPE RIL F46003</t>
  </si>
  <si>
    <t>LDPE Dow 150E</t>
  </si>
  <si>
    <t>LDPE Dow 410E</t>
  </si>
  <si>
    <t>LDPE RIL 16MA400</t>
  </si>
  <si>
    <t>LDPE Repsol 1970C</t>
  </si>
  <si>
    <t>LLDPE Dow 5400G</t>
  </si>
  <si>
    <t>LLDPE Exxon 1018CA</t>
  </si>
  <si>
    <t>LLDPE Itochu SP 1520</t>
  </si>
  <si>
    <t>LLDPE Itochu SP 1520H</t>
  </si>
  <si>
    <t>LLDPE Sabic MG500026</t>
  </si>
  <si>
    <t>Filler Soltex White02</t>
  </si>
  <si>
    <t>MB Karnavati Varana Brown</t>
  </si>
  <si>
    <t>LDPE RIL 22FA002</t>
  </si>
  <si>
    <t>LLDPE Marlex D139FK</t>
  </si>
  <si>
    <t>PP Borouge HC116FB</t>
  </si>
  <si>
    <t>UV Soltex FG Super PE UV20MB</t>
  </si>
  <si>
    <t>MB JJ White WE9381PT</t>
  </si>
  <si>
    <t>HDPE RIL S42005</t>
  </si>
  <si>
    <t>MB Goldmine Yellow(Sanghi)</t>
  </si>
  <si>
    <t>MB Jenil Blue-689</t>
  </si>
  <si>
    <t>HDPE IOCL XEHD</t>
  </si>
  <si>
    <t>PP IOCL 1200MG</t>
  </si>
  <si>
    <t>PP Topilene F501N</t>
  </si>
  <si>
    <t>PP SABIC 5061PR</t>
  </si>
  <si>
    <t>MB Mix</t>
  </si>
  <si>
    <t>MB Clariant CMC Royal Blue DP 101152</t>
  </si>
  <si>
    <t>MB Karnavati K Brown Pantone Red 1675C</t>
  </si>
  <si>
    <t>MB Karnavati Oswal Green</t>
  </si>
  <si>
    <t>MB Plastiblend Polyaddit Antiblock 04001</t>
  </si>
  <si>
    <t>PP Borouge HH450FB</t>
  </si>
  <si>
    <t>PP HPCL R03RR</t>
  </si>
  <si>
    <t>HDPE Haldia R5801</t>
  </si>
  <si>
    <t>HDPE Haldia T6</t>
  </si>
  <si>
    <t>HDPE RIL HD50GF003</t>
  </si>
  <si>
    <t>LDPE Dow EC7000</t>
  </si>
  <si>
    <t>LDPE Qapco FD0270</t>
  </si>
  <si>
    <t>LDPE RIL 1070LA17</t>
  </si>
  <si>
    <t>LLDPE Arkema LOTADER 4210</t>
  </si>
  <si>
    <t>LLDPE Borouge FB2235</t>
  </si>
  <si>
    <t>LLDPE Dow 2045G</t>
  </si>
  <si>
    <t>LLDPE Exxon 6202 Vistamaxx</t>
  </si>
  <si>
    <t>LLDPE RIL F18010</t>
  </si>
  <si>
    <t>LLDPE RIL M26500</t>
  </si>
  <si>
    <t>LLDPE RIL O21010</t>
  </si>
  <si>
    <t>LLDPE Sabic Film Non</t>
  </si>
  <si>
    <t>MB Karnavati Coffee Brown</t>
  </si>
  <si>
    <t>MB Karnavati Parrot Green</t>
  </si>
  <si>
    <t>MB Karnavati TR Orange</t>
  </si>
  <si>
    <t>MB Karnavati AAA Orange</t>
  </si>
  <si>
    <t>HDPE IOCL 020M52</t>
  </si>
  <si>
    <t>LDPE RIL J1005FY20</t>
  </si>
  <si>
    <t>UV Alok NFG AM7751 20% (Transparent Without Filler)</t>
  </si>
  <si>
    <t>UV Alok FG AM10075 UV NOX FGL 100081 20% MF Grade</t>
  </si>
  <si>
    <t>MB Karnavati TR Green</t>
  </si>
  <si>
    <t>FILLER JJ AF03PL</t>
  </si>
  <si>
    <t>MB JJ SIVATHENE BKCCE 701 BLACK</t>
  </si>
  <si>
    <t>MB Karnavati Matellic Majenta</t>
  </si>
  <si>
    <t>MB Alok Beige AM 2257</t>
  </si>
  <si>
    <t>HDPE IOCL 080M60</t>
  </si>
  <si>
    <t>MB Karnavati Site Green 3490</t>
  </si>
  <si>
    <t>HDPE IOCL 180M50NP</t>
  </si>
  <si>
    <t>PP IOCL 3030MF PPCP</t>
  </si>
  <si>
    <t>PP IOCL 3030MG - PPCP</t>
  </si>
  <si>
    <t>HDPE IOCL 080M60NP</t>
  </si>
  <si>
    <t>PP IOCL P1060MG</t>
  </si>
  <si>
    <t>HDPE IOCL 012DB60</t>
  </si>
  <si>
    <t>Non Woven Fabric (Felt) 200 Gsm.Pati Cut Length- 4" (10 Cm)</t>
  </si>
  <si>
    <t>MB Alok Red AM6847 Pantone 1795U</t>
  </si>
  <si>
    <t>MB Clariant Bonus Green 355C MF 102914</t>
  </si>
  <si>
    <t>MB Clariant TR Deep Blue 645HT1 MF</t>
  </si>
  <si>
    <t>MB Karnavati J Yellow</t>
  </si>
  <si>
    <t>MB Polyrich Dark Oxford Blue</t>
  </si>
  <si>
    <t>PP IOCL 1110MAS</t>
  </si>
  <si>
    <t>PP RIL H110MG</t>
  </si>
  <si>
    <t>HDPE Basell 5831D</t>
  </si>
  <si>
    <t>HDPE Haldia M5025L</t>
  </si>
  <si>
    <t>LDPE Basell 2426K</t>
  </si>
  <si>
    <t>LDPE Qapco HP7022</t>
  </si>
  <si>
    <t>LDPE RIL 1005FY20</t>
  </si>
  <si>
    <t>LDPE RIL 24FS040</t>
  </si>
  <si>
    <t>LLDPE Borouge FB2239X</t>
  </si>
  <si>
    <t>LLDPE Dow 5400GS</t>
  </si>
  <si>
    <t>LLDPE Haldia 71501S</t>
  </si>
  <si>
    <t>LLDPE Haldia 72307E</t>
  </si>
  <si>
    <t>LLDPE Qatar Q1018H</t>
  </si>
  <si>
    <t>LLDPE Sabic 120W</t>
  </si>
  <si>
    <t>LLDPE Sumitomo FS153S</t>
  </si>
  <si>
    <t>EVA Granuals</t>
  </si>
  <si>
    <t>MB Polyrich NR Yellow</t>
  </si>
  <si>
    <t>LLDPE IOCL 010L22S</t>
  </si>
  <si>
    <t>UV Stab Imp UV Stabilizer 770</t>
  </si>
  <si>
    <t>UV Arguvin NFG 633 LD</t>
  </si>
  <si>
    <t>MB JJ SIVA 2800 Antiblock</t>
  </si>
  <si>
    <t>MB JJ Siva Slip 2002 PE</t>
  </si>
  <si>
    <t>PP OPAL MH13</t>
  </si>
  <si>
    <t>PP IOCL 1060MG</t>
  </si>
  <si>
    <t>PP IOCL 1350YG</t>
  </si>
  <si>
    <t>MB Alok SLIP 21135 ADDNOX</t>
  </si>
  <si>
    <t>PP IOCL P1110MG</t>
  </si>
  <si>
    <t>PP IOCL P1XHF/P1XLF</t>
  </si>
  <si>
    <t>PP Sabic 50GO</t>
  </si>
  <si>
    <t>PP IOCL P1500MG</t>
  </si>
  <si>
    <t>PP IOCL 4080MA - PPCPNP</t>
  </si>
  <si>
    <t>MB Clariant Polyclean Purge MB015</t>
  </si>
  <si>
    <t>MB Karnavati Lam Brown Beige</t>
  </si>
  <si>
    <t>MB Karnavati Shiny Black</t>
  </si>
  <si>
    <t>PP Basell 462S-OG</t>
  </si>
  <si>
    <t>PP Basell PB FL-OG</t>
  </si>
  <si>
    <t>LDPE Tasnee 0725N</t>
  </si>
  <si>
    <t>LLDPE borouge FK1828</t>
  </si>
  <si>
    <t>LLDPE Dow 2645G</t>
  </si>
  <si>
    <t>LLDPE Exxon 1018MH</t>
  </si>
  <si>
    <t>LLDPE Exxon 6201RQ</t>
  </si>
  <si>
    <t>LLDPE Hanwha 3304</t>
  </si>
  <si>
    <t>LLDPE LG SP311</t>
  </si>
  <si>
    <t>MB Karnavati Export Brown</t>
  </si>
  <si>
    <t>MB Vivek Bottle Green PE 585</t>
  </si>
  <si>
    <t>UV Soltex NFG PE UV20MB</t>
  </si>
  <si>
    <t>PP IOCL 1030MG</t>
  </si>
  <si>
    <t>Filler Alpha ASCOM 40 TM</t>
  </si>
  <si>
    <t>LLDPE RIL JF18010</t>
  </si>
  <si>
    <t>Filler 365 Goldfill PX5</t>
  </si>
  <si>
    <t>MB Karnavati Vikram Orange</t>
  </si>
  <si>
    <t>LDPE Sipchem 0823 HA S</t>
  </si>
  <si>
    <t>Filler Everplus E103 Liner</t>
  </si>
  <si>
    <t>UV Stab Imp UV Stabilizer 783</t>
  </si>
  <si>
    <t>MB Karnavati Bright Blue (Pantone 304C)</t>
  </si>
  <si>
    <t>UV Goldmine NFG 20%LL- Pure</t>
  </si>
  <si>
    <t>Filler Soltex PTUFF23</t>
  </si>
  <si>
    <t>LLDPE HF1810P Basell</t>
  </si>
  <si>
    <t>PP Aramco HP30EG</t>
  </si>
  <si>
    <t>PP IOCL 3650MN PPCP</t>
  </si>
  <si>
    <t>PP IOCL P1200MG</t>
  </si>
  <si>
    <t>PP IOCL 1350YGNP</t>
  </si>
  <si>
    <t>Filler Everplus Modifier E-105</t>
  </si>
  <si>
    <t>MB Bhavin Pista Green</t>
  </si>
  <si>
    <t>MB Karnavati Leaf Green</t>
  </si>
  <si>
    <t>UV Bhavin FG 408</t>
  </si>
  <si>
    <t>PP Israel Poly MT34EC</t>
  </si>
  <si>
    <t>PP RIL H033MG</t>
  </si>
  <si>
    <t>PP Sumitomo FS2011E</t>
  </si>
  <si>
    <t>HDPE Haldia F5400</t>
  </si>
  <si>
    <t>LDPE Qapco MG-70</t>
  </si>
  <si>
    <t>LDPE Sasol LF2119</t>
  </si>
  <si>
    <t>LDPE Tasnee 1925AS</t>
  </si>
  <si>
    <t>LLDPE Asrene UF1810T</t>
  </si>
  <si>
    <t>LLDPE Dow 2645.11G</t>
  </si>
  <si>
    <t>LLDPE Dow DFDC7087NT7</t>
  </si>
  <si>
    <t>LLDPE Exxon 1018EA</t>
  </si>
  <si>
    <t>LLDPE Haldia 71601W</t>
  </si>
  <si>
    <t>LLDPE IOCL 500M24A</t>
  </si>
  <si>
    <t>Filler PK Modifier Sp71030538</t>
  </si>
  <si>
    <t>MB Anand Coffee Brown</t>
  </si>
  <si>
    <t>MB Anand Polyfilms Navy Blue</t>
  </si>
  <si>
    <t>Filler Everplus E102 PP</t>
  </si>
  <si>
    <t>Filler Omya film 715 DS</t>
  </si>
  <si>
    <t>Filler Everplus E101 LLDPE</t>
  </si>
  <si>
    <t>HDPE Lotte MF5000</t>
  </si>
  <si>
    <t>HDPE OPAL R5410</t>
  </si>
  <si>
    <t>LLDPE IOCL 020F18A</t>
  </si>
  <si>
    <t>PP IOCL 1045RG</t>
  </si>
  <si>
    <t>PP IOCL 1200MC</t>
  </si>
  <si>
    <t>PP IOCL P1030RG</t>
  </si>
  <si>
    <t>MB Clariant CMC Veer HP RED 485B</t>
  </si>
  <si>
    <t>MB Karnavati Bright Red</t>
  </si>
  <si>
    <t>MB Karnavati Light AP Green</t>
  </si>
  <si>
    <t>MB Karnavati Polyplast Blue</t>
  </si>
  <si>
    <t>PP Basell HP561R</t>
  </si>
  <si>
    <t>PP Borouge HC401BF</t>
  </si>
  <si>
    <t>PP Haldia M110</t>
  </si>
  <si>
    <t>PP MRPL HR003N</t>
  </si>
  <si>
    <t>PP Regal Petro RG1102XK</t>
  </si>
  <si>
    <t>PP RIL H026SG</t>
  </si>
  <si>
    <t>PP RIL H200FG</t>
  </si>
  <si>
    <t>HDPE PTT HD5000S</t>
  </si>
  <si>
    <t>HDPE RIL 50MA180</t>
  </si>
  <si>
    <t>LDPE Basell 2427F</t>
  </si>
  <si>
    <t>LDPE Borouge FT5236</t>
  </si>
  <si>
    <t>LDPE Itochu SP1071C</t>
  </si>
  <si>
    <t>LDPE Qapco FD0474</t>
  </si>
  <si>
    <t>LDPE Qapco FE3000</t>
  </si>
  <si>
    <t>LDPE Repsol PE071</t>
  </si>
  <si>
    <t>LDPE Sabic HP2022J</t>
  </si>
  <si>
    <t>LDPE Sabic NPF4N</t>
  </si>
  <si>
    <t>LDPE Sumitomo L705</t>
  </si>
  <si>
    <t>LLDPE Borouge FB2230</t>
  </si>
  <si>
    <t>LLDPE Borouge FB2239</t>
  </si>
  <si>
    <t>LLDPE Dow 5401GT</t>
  </si>
  <si>
    <t>LLDPE Dow Elite5815</t>
  </si>
  <si>
    <t>LLDPE Gail E36A060A</t>
  </si>
  <si>
    <t>LLDPE Itochu SP1510HA</t>
  </si>
  <si>
    <t>LLDPE Qapco Q1018N</t>
  </si>
  <si>
    <t>MB Calco Militery Green 1670</t>
  </si>
  <si>
    <t>UV Alok FG AM4664 20% MF Grade</t>
  </si>
  <si>
    <t>UV Bhavin NFG 406 PP 20%</t>
  </si>
  <si>
    <t>MB JJ SIVA ASLT 101 PE ANTISTATIC</t>
  </si>
  <si>
    <t>mLLDPE Marlex D139FK</t>
  </si>
  <si>
    <t>mLLDPE Granuals</t>
  </si>
  <si>
    <t>PP Anphat T3034</t>
  </si>
  <si>
    <t>MB Deep Light Beige</t>
  </si>
  <si>
    <t>Filler Soltex PTUFF24</t>
  </si>
  <si>
    <t>MB Alok Blue AM -3387 (Pantone Blue 284-U)</t>
  </si>
  <si>
    <t>MB JJ ASLT109 Antistatic</t>
  </si>
  <si>
    <t>UV Agroha NFG ACA-U0009</t>
  </si>
  <si>
    <t>MB Karnavati Kamakshi white</t>
  </si>
  <si>
    <t>PP IOCL 1XLF</t>
  </si>
  <si>
    <t>MB Alok PPA 501 ADDNOX</t>
  </si>
  <si>
    <t>PP IOCL P1250YG</t>
  </si>
  <si>
    <t>BOPP Film</t>
  </si>
  <si>
    <t>MB Karnavati Tarp Navy Blue</t>
  </si>
  <si>
    <t>UV Alok FG AM10645 20%</t>
  </si>
  <si>
    <t>UV Alok NFG AM10350 20%</t>
  </si>
  <si>
    <t>UV Bhavin Coraplast CP UV-OB-03M</t>
  </si>
  <si>
    <t>UV Plastiblend NFG Polyultra 04025B</t>
  </si>
  <si>
    <t>PP Basell HP525J</t>
  </si>
  <si>
    <t>PP Basell H-T30</t>
  </si>
  <si>
    <t>PP National Petro HOG</t>
  </si>
  <si>
    <t>HDPE Gail W52ASR009A</t>
  </si>
  <si>
    <t>LDPE Borouge FT6230</t>
  </si>
  <si>
    <t>LDPE Dow 312E</t>
  </si>
  <si>
    <t>LDPE Ineos 19N430</t>
  </si>
  <si>
    <t>LDPE Tasnee 0222N</t>
  </si>
  <si>
    <t>LLDPE ARPC LL0209AA</t>
  </si>
  <si>
    <t>LLDPE Exxon 1018KA</t>
  </si>
  <si>
    <t>LLDPE Exxon 1018MK</t>
  </si>
  <si>
    <t>LLDPE Qapco FC21HN</t>
  </si>
  <si>
    <t>Enable Exxon 2005MC</t>
  </si>
  <si>
    <t>Enable Granuals</t>
  </si>
  <si>
    <t>Filler Simandhar Sodium Sulphate Transparent</t>
  </si>
  <si>
    <t>MB Plastiblend Comp CD Black PE 4803</t>
  </si>
  <si>
    <t>HDPE IOCL XMHD</t>
  </si>
  <si>
    <t>UV Alok FG MB 21303 UV NOX FGL 000040  20%  MF Grade</t>
  </si>
  <si>
    <t>MB Karnavati PM Blue 2756C</t>
  </si>
  <si>
    <t>LLDPE GAIL F180S0UA</t>
  </si>
  <si>
    <t>MB Chandan Spl Orange TR (Flurocent)</t>
  </si>
  <si>
    <t>MB Chandan Shiny Black</t>
  </si>
  <si>
    <t>MB Anand Ice Green</t>
  </si>
  <si>
    <t>UV JJ NFG Siva 1042</t>
  </si>
  <si>
    <t>LDPE RIL J24FA040</t>
  </si>
  <si>
    <t>LLDPE IOCL XRLL</t>
  </si>
  <si>
    <t>PP IOCL 4015EG</t>
  </si>
  <si>
    <t>PP IOCL P1030MG</t>
  </si>
  <si>
    <t>PP IOCL P1350EG</t>
  </si>
  <si>
    <t>Filler Skytouch Raffia Grade MB</t>
  </si>
  <si>
    <t>HDPE IOCL 010DP45U</t>
  </si>
  <si>
    <t>BOPP Film Printed</t>
  </si>
  <si>
    <t>MB Clariant Dark Orange T164 (PLASTICHEMIX)</t>
  </si>
  <si>
    <t>MB Karnavati CMC-Beige Ashtech</t>
  </si>
  <si>
    <t>MB Karnavati Light Green Pantone 349C</t>
  </si>
  <si>
    <t>PP Basell 456J</t>
  </si>
  <si>
    <t>PP Borouge RB707CF</t>
  </si>
  <si>
    <t>PP HPCL M12RR</t>
  </si>
  <si>
    <t>PP IOCL 1030RG</t>
  </si>
  <si>
    <t>PP RIL H030SG</t>
  </si>
  <si>
    <t>PP RIL SS35N</t>
  </si>
  <si>
    <t>HDPE Basell 5052B</t>
  </si>
  <si>
    <t>HDPE Granual Others</t>
  </si>
  <si>
    <t>HDPE Haldia T9</t>
  </si>
  <si>
    <t>LDPE Qapco LA0710</t>
  </si>
  <si>
    <t>LDPE RIL 23FY005</t>
  </si>
  <si>
    <t>LDPE Titan LDF265YZ</t>
  </si>
  <si>
    <t>LLDPE Aramco F2111BS</t>
  </si>
  <si>
    <t>LLDPE Dow 5401GS</t>
  </si>
  <si>
    <t>LLDPE Exxon 1001AV</t>
  </si>
  <si>
    <t>LLDPE Exxon 6201XR</t>
  </si>
  <si>
    <t>LLDPE Itochu SP 1510</t>
  </si>
  <si>
    <t>LLDPE Itochu SP 1510H</t>
  </si>
  <si>
    <t>LLDPE RIL M24300</t>
  </si>
  <si>
    <t>MB Alok Golden Yellow 28189 Y</t>
  </si>
  <si>
    <t>MB Karnavati Blood Red</t>
  </si>
  <si>
    <t>UV Bhavin FG 404 (PE based)</t>
  </si>
  <si>
    <t>PP IOCL 3XHF</t>
  </si>
  <si>
    <t>PP IOCL 3120MA</t>
  </si>
  <si>
    <t>LLDPE IOCL XMLL/XFLL</t>
  </si>
  <si>
    <t>Filler JJ AF04PV PP</t>
  </si>
  <si>
    <t>MB Karnavati Moist White</t>
  </si>
  <si>
    <t>UV Goldmine FG</t>
  </si>
  <si>
    <t>UV Agroha FG ACA-U0012</t>
  </si>
  <si>
    <t>PP IOCL 2120MC PPCP</t>
  </si>
  <si>
    <t>PP IOCL 1350EG</t>
  </si>
  <si>
    <t>PP IOCL 1500MG</t>
  </si>
  <si>
    <t>LLDPE IOCL 010F18ANP</t>
  </si>
  <si>
    <t>Non Woven Fabric (Felt)</t>
  </si>
  <si>
    <t>MB Bhavin CP Green CP4A181F</t>
  </si>
  <si>
    <t>PP Basell HOE111NP</t>
  </si>
  <si>
    <t>PP Basell OG</t>
  </si>
  <si>
    <t>PP Borouge BA212EHF</t>
  </si>
  <si>
    <t>PP Exxon 3155</t>
  </si>
  <si>
    <t>PP RIL AM120N</t>
  </si>
  <si>
    <t>PP RIL AS030N</t>
  </si>
  <si>
    <t>HDPE IOCL 010E52</t>
  </si>
  <si>
    <t>HDPE RIL 53EA010</t>
  </si>
  <si>
    <t>HDPE Titan HD5609AA</t>
  </si>
  <si>
    <t>LDPE Basell 2420K</t>
  </si>
  <si>
    <t>LDPE Basell 2426F</t>
  </si>
  <si>
    <t>LDPE Exxon 150AC</t>
  </si>
  <si>
    <t>LLDPE Basell Lucalen A2700M</t>
  </si>
  <si>
    <t>LLDPE Dow TH60</t>
  </si>
  <si>
    <t>LLDPE Exxon 1001BU</t>
  </si>
  <si>
    <t>LLDPE Exxon 1001XV</t>
  </si>
  <si>
    <t>LLDPE Gail F20S009A</t>
  </si>
  <si>
    <t>Enable Exxon 2005ME</t>
  </si>
  <si>
    <t>MB Bhavin Pink CORAPLAST-CP3A27F</t>
  </si>
  <si>
    <t>MB Clariant Rose Pink 152 OPF</t>
  </si>
  <si>
    <t>MB Coraplast  Pista Green</t>
  </si>
  <si>
    <t>MB Mix Masterbatches</t>
  </si>
  <si>
    <t>MB Plastiblend Polyaddit SLIP 04001</t>
  </si>
  <si>
    <t>HDPE IOCL 002DP48</t>
  </si>
  <si>
    <t>LDPE Dow 450E</t>
  </si>
  <si>
    <t>HDPE IOCL 010DP45</t>
  </si>
  <si>
    <t>MB Perfect NET BLACK BK 7021</t>
  </si>
  <si>
    <t>PP Rakha H034EM</t>
  </si>
  <si>
    <t>LDPE Qapco FE8004</t>
  </si>
  <si>
    <t>MB Karnavati PIL Blue Pantone 300U</t>
  </si>
  <si>
    <t>LLDPE GAIL F18S010UA</t>
  </si>
  <si>
    <t>HDPE IOCL 002DF50</t>
  </si>
  <si>
    <t>UV Everplus NFG PE -20 MB E109</t>
  </si>
  <si>
    <t>Filler Calcium Carbonate (Powder)</t>
  </si>
  <si>
    <t>PP Opal RH03</t>
  </si>
  <si>
    <t>MB Goldmine Jute Brown</t>
  </si>
  <si>
    <t>Filler Pinnacle Super 1500 PP</t>
  </si>
  <si>
    <t>PP China S1003</t>
  </si>
  <si>
    <t>PET AP0080</t>
  </si>
  <si>
    <t>MLLDPE LG Lucene HP 1018BI</t>
  </si>
  <si>
    <t>LLDPE IOCL 042R35A</t>
  </si>
  <si>
    <t>PP IOCL 3250MG</t>
  </si>
  <si>
    <t>Non Woven Fabric (Felt) 170Gsm.Pati Cut Length- 4" ( 10 Cm )</t>
  </si>
  <si>
    <t>MB Karnavati Optical Brightner</t>
  </si>
  <si>
    <t>MB Karnavati Plastgreen G</t>
  </si>
  <si>
    <t>PP Basell PB WP-OG</t>
  </si>
  <si>
    <t>PP IOCL 1110MG</t>
  </si>
  <si>
    <t>PP RIL AM650N</t>
  </si>
  <si>
    <t>PP RIL H350FG</t>
  </si>
  <si>
    <t>HDPE Asrene SM5508</t>
  </si>
  <si>
    <t>LDPE Basell NOG</t>
  </si>
  <si>
    <t>LDPE Hanwha 955</t>
  </si>
  <si>
    <t>LDPE Titan LDC801YY</t>
  </si>
  <si>
    <t>LDPE Titan LDF200GG</t>
  </si>
  <si>
    <t>LLDPE Dow 2685G</t>
  </si>
  <si>
    <t>LLDPE Exxon 1018MA</t>
  </si>
  <si>
    <t>LLDPE RIL F19010</t>
  </si>
  <si>
    <t>Filler Simandhar Classic</t>
  </si>
  <si>
    <t>MB Alok Grey AM4993 Pantone 433C</t>
  </si>
  <si>
    <t>MB Alok Green Pantone 3405C</t>
  </si>
  <si>
    <t>MB RR Silver</t>
  </si>
  <si>
    <t>MB Alok Yellow 116 U (3534)</t>
  </si>
  <si>
    <t>LLDPE OPAL F2001S</t>
  </si>
  <si>
    <t>LLDPE GAIL F180S0UAPC II</t>
  </si>
  <si>
    <t>UV Soltex NFG PE AD2085 Natural</t>
  </si>
  <si>
    <t>MB Karnavati SP10475 White</t>
  </si>
  <si>
    <t>MB JJ BE-6167 (KP Dark Blue)</t>
  </si>
  <si>
    <t>UV Agroha FG ACA-U0010</t>
  </si>
  <si>
    <t>Filler Masterplast PP20%</t>
  </si>
  <si>
    <t>PP IOCL 1XHF</t>
  </si>
  <si>
    <t>PP IOCL P1045RG</t>
  </si>
  <si>
    <t>MB Karnavati Higher Classic Black</t>
  </si>
  <si>
    <t>Filler Skytouch LL Filler MB</t>
  </si>
  <si>
    <t>HDPE IOCL 010DB50</t>
  </si>
  <si>
    <t>MB Karnavati Tape Brown Beige</t>
  </si>
  <si>
    <t>MB Alok Orange AM2886</t>
  </si>
  <si>
    <t>MB Anand Sky Blue 105C</t>
  </si>
  <si>
    <t>PP Borouge HC402BF</t>
  </si>
  <si>
    <t>PP Haldia M325</t>
  </si>
  <si>
    <t>PP Haldia R103</t>
  </si>
  <si>
    <t>PP Sumitomo FY3011E</t>
  </si>
  <si>
    <t>PP Vinmar 1102k</t>
  </si>
  <si>
    <t>HDPE Gail I50A180A</t>
  </si>
  <si>
    <t>HDPE IOCL 003F46</t>
  </si>
  <si>
    <t>HDPE RIL 53TA010</t>
  </si>
  <si>
    <t>LDPE Asia Polymer C7100</t>
  </si>
  <si>
    <t>LDPE Basell 2421F</t>
  </si>
  <si>
    <t>LDPE Basell 2427K</t>
  </si>
  <si>
    <t>LDPE Basell SPEC_OG</t>
  </si>
  <si>
    <t>LDPE RIL 1035FS20</t>
  </si>
  <si>
    <t>LLDPE Sumitomo FS150A</t>
  </si>
  <si>
    <t>LDPE Basell 2421K</t>
  </si>
  <si>
    <t>MB Anand Mango Yellow Plus</t>
  </si>
  <si>
    <t>MB Bhavin Blue 288C</t>
  </si>
  <si>
    <t>MB Deep GF Yellow</t>
  </si>
  <si>
    <t>MB Plastiblend Clarifying Agent PP 244004210D</t>
  </si>
  <si>
    <t>LDPE Sasol LF 2207M</t>
  </si>
  <si>
    <t>MB Karnavati Excellent Yellow</t>
  </si>
  <si>
    <t>Filler PK SP7103 0017 TPT</t>
  </si>
  <si>
    <t>UV Arguvin NFG 731 LD</t>
  </si>
  <si>
    <t>UV Soltex FG PE AD2082 Super</t>
  </si>
  <si>
    <t>PP Sibur H030 GP/3</t>
  </si>
  <si>
    <t>PP Luban HP2100S</t>
  </si>
  <si>
    <t>MB Alok Yellow 3575</t>
  </si>
  <si>
    <t>LLDPE GAIL I26A500UA 50 MFI</t>
  </si>
  <si>
    <t>UV Goldmine NFG (LL30)</t>
  </si>
  <si>
    <t>PP IOCL 3400MN PPCP</t>
  </si>
  <si>
    <t>PP IOCL 3XLF</t>
  </si>
  <si>
    <t>MB Alok Antiblock 21134</t>
  </si>
  <si>
    <t>PP IOCL P1100FS</t>
  </si>
  <si>
    <t>HDPE IOCL XFHD</t>
  </si>
  <si>
    <t>PP RIL H045SG</t>
  </si>
  <si>
    <t>MB Alok IM 2100 Beige</t>
  </si>
  <si>
    <t>UV Bhavin NFG UV PPOB03M 20%</t>
  </si>
  <si>
    <t>PP Basell 518P</t>
  </si>
  <si>
    <t>PP MRPL OG-II</t>
  </si>
  <si>
    <t>PP Qurain HT031</t>
  </si>
  <si>
    <t>PP RIL B250EG</t>
  </si>
  <si>
    <t>PP Tasnee H1018</t>
  </si>
  <si>
    <t>PP Tasnee H1030</t>
  </si>
  <si>
    <t>LDPE Basell 2420F</t>
  </si>
  <si>
    <t>LDPE Petlin C150Y</t>
  </si>
  <si>
    <t>LDPE Qapco FB3003</t>
  </si>
  <si>
    <t>LDPE Qapco FB5026</t>
  </si>
  <si>
    <t>LDPE RIL 1020FA20</t>
  </si>
  <si>
    <t>LDPE Sabic HP4027N</t>
  </si>
  <si>
    <t>LLDPE Dow 2085B</t>
  </si>
  <si>
    <t>LLDPE RIL O19010</t>
  </si>
  <si>
    <t>LLDPE Sabic 118W</t>
  </si>
  <si>
    <t>LLDPE Sabic 218W</t>
  </si>
  <si>
    <t>LLDPE SK Global Smart151S</t>
  </si>
  <si>
    <t>MB Alok Red 1819</t>
  </si>
  <si>
    <t>MB Anand Green 368</t>
  </si>
  <si>
    <t>MB Calco Militery Green 070</t>
  </si>
  <si>
    <t>MB Deep Dark Green Iffco</t>
  </si>
  <si>
    <t>MB Polyrich RT Orange</t>
  </si>
  <si>
    <t>MB Prayag A Yellow PE3136</t>
  </si>
  <si>
    <t>UV Arguvin FG 626 LD</t>
  </si>
  <si>
    <t>LLDPE OPAL F2001SNP</t>
  </si>
  <si>
    <t>LDPE OFF GRADE</t>
  </si>
  <si>
    <t>LDPE Dow 582E</t>
  </si>
  <si>
    <t>MB JJ SHIVA PPA03</t>
  </si>
  <si>
    <t>MB Texel Nary Blue</t>
  </si>
  <si>
    <t>MB Titanium Dioxide</t>
  </si>
  <si>
    <t>Filler Imported PP4300</t>
  </si>
  <si>
    <t>PP China L5E89</t>
  </si>
  <si>
    <t>MB Karnavati Grey Pantone 433-C</t>
  </si>
  <si>
    <t>Filler Imported PP902W5</t>
  </si>
  <si>
    <t>PP IOCL 2300MC PPCP</t>
  </si>
  <si>
    <t>PP Luban HP2106N</t>
  </si>
  <si>
    <t>UV JJ FG SIVA 1057</t>
  </si>
  <si>
    <t>MB Karnavati Beige Pantone 466 -C</t>
  </si>
  <si>
    <t>PP Fibrillated Tape Flat 3200 Yellow</t>
  </si>
  <si>
    <t>Yarn All</t>
  </si>
  <si>
    <t>SF</t>
  </si>
  <si>
    <t>PP Yarn</t>
  </si>
  <si>
    <t>PP MF Yarn Twisted 1000 MW</t>
  </si>
  <si>
    <t>PP MF Yarn Twisted 1500 Green</t>
  </si>
  <si>
    <t>PP MF Yarn Twisted 2000 Yellow</t>
  </si>
  <si>
    <t>PP MF Yarn Twisted 3000 Blue</t>
  </si>
  <si>
    <t>PP MF Yarn Twisted 3000 Denier Grey</t>
  </si>
  <si>
    <t>PP MF Yarn Flat</t>
  </si>
  <si>
    <t>PP MF Yarn Twisted 3300 Denier UV NW</t>
  </si>
  <si>
    <t>PP UL Fabric CutPcs With UV</t>
  </si>
  <si>
    <t>PP/PE Fabric</t>
  </si>
  <si>
    <t>PP UL Fabric</t>
  </si>
  <si>
    <t>Pp Frame Model No. Op150519</t>
  </si>
  <si>
    <t>Flexitank Accessories</t>
  </si>
  <si>
    <t>LDPE/LLDPE Film</t>
  </si>
  <si>
    <t>PP Fibrillated Tape Flat 3000 Blue</t>
  </si>
  <si>
    <t>PP Fibrillated Tape Twisted</t>
  </si>
  <si>
    <t>PP MF Yarn Flat 2000 Yellow</t>
  </si>
  <si>
    <t>PP MF Yarn Flat 4000 MW</t>
  </si>
  <si>
    <t>PP MF Yarn Twisted 2000 Green</t>
  </si>
  <si>
    <t>PP MF Yarn Twisted 4000 Black</t>
  </si>
  <si>
    <t>PP Fibrillated Tape Twisted 3600 Blue</t>
  </si>
  <si>
    <t>PP MF Yarn Flat 1000 Denier Green</t>
  </si>
  <si>
    <t>PP Lam Fabric Without UV</t>
  </si>
  <si>
    <t>PP Lam Fabric</t>
  </si>
  <si>
    <t>PP MF Yarn Flat 3000 Denier UV NW</t>
  </si>
  <si>
    <t>PP Fibrillated Tape Flat 3000 Yellow</t>
  </si>
  <si>
    <t>PP Fibrillated Tape Twisted 3200 Black</t>
  </si>
  <si>
    <t>PP MF Yarn Flat 4000 Black</t>
  </si>
  <si>
    <t>PP MF Yarn Twisted 3000 Black</t>
  </si>
  <si>
    <t>PP MF Yarn Twisted 2500 Black</t>
  </si>
  <si>
    <t>PP Fibrillated Tape Twisted 3600 Black</t>
  </si>
  <si>
    <t>PP Fibrillated Tape Twisted 1000 Blue</t>
  </si>
  <si>
    <t>PP MF Yarn Flat 2250 Denier Deep Blue</t>
  </si>
  <si>
    <t>PP MF Yarn Twisted 1000 Denier Red</t>
  </si>
  <si>
    <t>HD UL Fabric Without UV</t>
  </si>
  <si>
    <t>HD UL Fabric</t>
  </si>
  <si>
    <t>PP UL Fabric Without UV</t>
  </si>
  <si>
    <t>PP MF Yarn Twisted 2500 Denier UV Black</t>
  </si>
  <si>
    <t>PP Fibrillated Tape Twisted 3000 MW</t>
  </si>
  <si>
    <t>PP Fibrillated Tape Twisted 3200 Blue</t>
  </si>
  <si>
    <t>PP Fibrillated Tape Twisted 3200 Green</t>
  </si>
  <si>
    <t>PP Fibrillated Tape Twisted 4000 Green</t>
  </si>
  <si>
    <t>PP MF Yarn Flat 2200 Green</t>
  </si>
  <si>
    <t>PP MF Yarn Twisted 2200 MW</t>
  </si>
  <si>
    <t>PP MF Yarn Twisted 4000 Green</t>
  </si>
  <si>
    <t>HD Lam Fabric With UV</t>
  </si>
  <si>
    <t>HD Lam Fabric</t>
  </si>
  <si>
    <t>HD Lam Fabric Without UV</t>
  </si>
  <si>
    <t>Polyester Yarn Flat</t>
  </si>
  <si>
    <t>Filler Cord</t>
  </si>
  <si>
    <t>PP UL Fabric With UV</t>
  </si>
  <si>
    <t>PP MF Yarn Flat 2500 Denier UV NW</t>
  </si>
  <si>
    <t>PP MF Yarn Flat 3000 Denier UV Black</t>
  </si>
  <si>
    <t>PP MF Yarn Flat 3000 Green</t>
  </si>
  <si>
    <t>PP MF Yarn Twisted 3200 Green</t>
  </si>
  <si>
    <t>PP MF Yarn Twisted 4000 Yellow</t>
  </si>
  <si>
    <t>PP Fibrillated Tape Flat 1000 Red</t>
  </si>
  <si>
    <t>PP MF Yarn Flat 2500 Denier Grey</t>
  </si>
  <si>
    <t>PP Fibrillated Tape Twisted 1600 MW</t>
  </si>
  <si>
    <t>RP Granuals</t>
  </si>
  <si>
    <t>PP MF Yarn Flat 2500 Denier UV Black</t>
  </si>
  <si>
    <t>PP MF Yarn Twisted 2000 Denier UV Maya Blue</t>
  </si>
  <si>
    <t>PP MF Yarn Twisted 2250 Denier UV Cherry Red</t>
  </si>
  <si>
    <t>PP MF Yarn Flat 1500 Denier UV NW</t>
  </si>
  <si>
    <t>Pp Flange 3"</t>
  </si>
  <si>
    <t>PP Fibrillated Tape Flat 3200 Blue</t>
  </si>
  <si>
    <t>PP Fibrillated Tape Flat 4000 Blue</t>
  </si>
  <si>
    <t>PP Fibrillated Tape Flat 4000 Yellow</t>
  </si>
  <si>
    <t>PP MF Yarn Flat 1500 Yellow</t>
  </si>
  <si>
    <t>PP MF Yarn Flat 3000 Yellow</t>
  </si>
  <si>
    <t>PP MF Yarn Twisted 2000 MW</t>
  </si>
  <si>
    <t>PP MF Yarn Twisted 2200 Blue</t>
  </si>
  <si>
    <t>PP Fibrillated Tape Flat 3600 Black</t>
  </si>
  <si>
    <t>PP Fibrillated Tape Twisted 3600 NW</t>
  </si>
  <si>
    <t>PP Fibrillated Tape Twisted 1000 Black</t>
  </si>
  <si>
    <t>Monofilament Yarn</t>
  </si>
  <si>
    <t>Liquid Liner PE 1090</t>
  </si>
  <si>
    <t>Liners</t>
  </si>
  <si>
    <t>Liner for Flexitank</t>
  </si>
  <si>
    <t>Webbing Tie</t>
  </si>
  <si>
    <t>Webbing</t>
  </si>
  <si>
    <t>PP Webbing</t>
  </si>
  <si>
    <t>PP MF Yarn Flat 1000 Denier UV NW</t>
  </si>
  <si>
    <t>PP MF Yarn Flat 1000 Denier UV Deep Blue</t>
  </si>
  <si>
    <t>PP MF Yarn Flat 2500 Denier UV Maya Blue</t>
  </si>
  <si>
    <t>PP MF Yarn Twisted 3000 Denier UV Grey</t>
  </si>
  <si>
    <t>PP UL Fabric CutPcs Without UV</t>
  </si>
  <si>
    <t>Heating Pad</t>
  </si>
  <si>
    <t>3" Ball Valve-Accessories</t>
  </si>
  <si>
    <t>Flexitank</t>
  </si>
  <si>
    <t>PP Fibrillated Tape Twisted 4000 Black</t>
  </si>
  <si>
    <t>PP Fibrillated Tape Twisted 4000 MW</t>
  </si>
  <si>
    <t>PP MF Yarn Twisted 1500 MW</t>
  </si>
  <si>
    <t>PP MF Yarn Twisted 3200 Black</t>
  </si>
  <si>
    <t>PP MF Yarn Twisted 840 MW</t>
  </si>
  <si>
    <t>PP Fibrillated Tape Twisted 3200 Orange</t>
  </si>
  <si>
    <t>PP MF Yarn Flat 3000 Denier Red</t>
  </si>
  <si>
    <t>PP MF Yarn Twisted 2250 Denier Deep Blue</t>
  </si>
  <si>
    <t>PP MF Yarn Flat 2250 Denier UV NW</t>
  </si>
  <si>
    <t>LDPE/LLDPE Bags/Liner</t>
  </si>
  <si>
    <t>LDPE/LLDPE Bags</t>
  </si>
  <si>
    <t>PP MF Yarn Flat 1000 Denier UV Black</t>
  </si>
  <si>
    <t>PP Fibrillated Tape Twisted 4000 Yellow</t>
  </si>
  <si>
    <t>PP MF Yarn Flat 1000 MW</t>
  </si>
  <si>
    <t>PP MF Yarn Flat 3200 Blue</t>
  </si>
  <si>
    <t>PP MF Yarn Twisted 2500 MW</t>
  </si>
  <si>
    <t>PP MF Yarn Twisted 3200 Blue</t>
  </si>
  <si>
    <t>PE Labels</t>
  </si>
  <si>
    <t>PP Fibrillated Tape Flat 3600 NW</t>
  </si>
  <si>
    <t>Net Baffle</t>
  </si>
  <si>
    <t>PP Fibrillated Tape Flat 1000 Black</t>
  </si>
  <si>
    <t>PP MF Yarn Flat 2500 Denier Red</t>
  </si>
  <si>
    <t>PP MF Yarn Flat 1000 Denier Beige</t>
  </si>
  <si>
    <t>Polyester Yarn Twisted</t>
  </si>
  <si>
    <t>PP MF Yarn Twisted 4000 Denier UV Maya Blue</t>
  </si>
  <si>
    <t>PP Lam Fabric CutPcs With UV</t>
  </si>
  <si>
    <t>Hose Assembly</t>
  </si>
  <si>
    <t>PP Fibrillated Tape Flat 4000 Black</t>
  </si>
  <si>
    <t>PP MF Yarn Flat 1500 Blue</t>
  </si>
  <si>
    <t>PP MF Yarn Flat 3200 Black</t>
  </si>
  <si>
    <t>PP MF Yarn Flat 3200 MW</t>
  </si>
  <si>
    <t>PP MF Yarn Flat 840 Yellow</t>
  </si>
  <si>
    <t>PP MF Yarn Twisted 2200 Green</t>
  </si>
  <si>
    <t>PP MF Yarn Twisted 2500 Yellow</t>
  </si>
  <si>
    <t>PP MF Yarn Twisted 840 Green</t>
  </si>
  <si>
    <t>PP MF Yarn Twisted 1000 Cherry Red</t>
  </si>
  <si>
    <t>PP MF Yarn Twisted 1000 Black</t>
  </si>
  <si>
    <t>PP MF Yarn Twisted 2500 Green 355C</t>
  </si>
  <si>
    <t>PP Fibrillated Tape Flat 3600 Red</t>
  </si>
  <si>
    <t>PP Fibrillated Tape Flat 3200 Orange</t>
  </si>
  <si>
    <t>Polyester Yarn 80 D</t>
  </si>
  <si>
    <t>PP MF Yarn Flat 1000 Denier Yellow</t>
  </si>
  <si>
    <t>PP MF Yarn Flat 1000 Denier Red</t>
  </si>
  <si>
    <t>PP MF Yarn Flat 2250 Denier Red</t>
  </si>
  <si>
    <t>PP MF Yarn Twisted 3000 Denier Red</t>
  </si>
  <si>
    <t>Crimp Yarn</t>
  </si>
  <si>
    <t>PP MF Yarn Flat 2000 Denier UV NW</t>
  </si>
  <si>
    <t>PP MF Yarn Flat 2500 Denier UV Green 355C</t>
  </si>
  <si>
    <t>PP MF Yarn Flat 3000 Denier UV Deep Blue</t>
  </si>
  <si>
    <t>PP MF Yarn Twisted 1000 Denier UV NW</t>
  </si>
  <si>
    <t>PP MF Yarn Twisted 3000 Denier UV Black</t>
  </si>
  <si>
    <t>PP Tape on Beams</t>
  </si>
  <si>
    <t>Tape Stock</t>
  </si>
  <si>
    <t>Beam Stock</t>
  </si>
  <si>
    <t>PP Tapes</t>
  </si>
  <si>
    <t>PP Fibrillated Tape Flat</t>
  </si>
  <si>
    <t>PP Fibrillated Tape Flat 3000 Green</t>
  </si>
  <si>
    <t>PP Fibrillated Tape Flat 3200 Black</t>
  </si>
  <si>
    <t>PP Fibrillated Tape Flat 4000 MW</t>
  </si>
  <si>
    <t>PP Fibrillated Tape Twisted 3000 Black</t>
  </si>
  <si>
    <t>PP Fibrillated Tape Twisted 3200 Yellow</t>
  </si>
  <si>
    <t>PP Fibrillated Tape Twisted 4000 Blue</t>
  </si>
  <si>
    <t>PP MF Yarn Flat 3000 Blue</t>
  </si>
  <si>
    <t>PP MF Yarn Flat 3000 MW</t>
  </si>
  <si>
    <t>PP MF Yarn Flat 840 Blue</t>
  </si>
  <si>
    <t>PP MF Yarn Twisted 2200 Yellow</t>
  </si>
  <si>
    <t>PP MF Yarn Twisted 2500 Blue</t>
  </si>
  <si>
    <t>PP MF Yarn Twisted 3000 Green</t>
  </si>
  <si>
    <t>PP MF Yarn Twisted 3000 Yellow</t>
  </si>
  <si>
    <t>PP MF Yarn Twisted 4000 Blue</t>
  </si>
  <si>
    <t>PP Fibrillated Tape Twisted 1000 Green</t>
  </si>
  <si>
    <t>PP Fibrillated Tape Twisted 1000 Red</t>
  </si>
  <si>
    <t>PP MF Yarn Twisted 3000 Denier Green 355C</t>
  </si>
  <si>
    <t>PP MF Yarn Twisted 2500 Denier UV NW</t>
  </si>
  <si>
    <t>PP MF Yarn Twisted 2500 Denier UV Cherry Red</t>
  </si>
  <si>
    <t>PP MF Yarn Twisted 1500 Denier UV NW</t>
  </si>
  <si>
    <t>Flexitank With Accessaries</t>
  </si>
  <si>
    <t>PP Fibrillated Tape Twisted 3200 MW</t>
  </si>
  <si>
    <t>PP MF Yarn Flat 2200 Blue</t>
  </si>
  <si>
    <t>PP MF Yarn Flat 2200 MW</t>
  </si>
  <si>
    <t>PP MF Yarn Flat 2500 Green</t>
  </si>
  <si>
    <t>PP MF Yarn Twisted 1000 Green</t>
  </si>
  <si>
    <t>PP MF Yarn Twisted 1500 Yellow</t>
  </si>
  <si>
    <t>PP MF Yarn Twisted 3000 MW</t>
  </si>
  <si>
    <t>PP MF Yarn Twisted 840 Blue</t>
  </si>
  <si>
    <t>PP MF Yarn Twisted 840 Yellow</t>
  </si>
  <si>
    <t>DOC Pouch</t>
  </si>
  <si>
    <t>PP MF Yarn Flat 2500 Denier Deep Blue</t>
  </si>
  <si>
    <t>PP MF Yarn Flat 3000 Denier Green 355C</t>
  </si>
  <si>
    <t>PP MF Yarn Twisted 2400 Denier Nw</t>
  </si>
  <si>
    <t>PP MF Yarn Twisted 2500 Denier Beige</t>
  </si>
  <si>
    <t>RP Agglo</t>
  </si>
  <si>
    <t>PP MF Yarn Flat 2500 Denier UV Cherry Red</t>
  </si>
  <si>
    <t>PP MF Yarn Flat 2000 MW</t>
  </si>
  <si>
    <t>PP MF Yarn Flat 4000 Yellow</t>
  </si>
  <si>
    <t>PP MF Yarn Twisted 2000 Blue</t>
  </si>
  <si>
    <t>PP MF Yarn Twisted 3200 MW</t>
  </si>
  <si>
    <t>PP Fibrillated Tape Flat 1000 Blue</t>
  </si>
  <si>
    <t>PP MF Yarn Flat 3000 Denier Grey</t>
  </si>
  <si>
    <t>PP MF Yarn Twisted</t>
  </si>
  <si>
    <t>PP/HD Wastage/Scrap</t>
  </si>
  <si>
    <t>Wastage/Scrap</t>
  </si>
  <si>
    <t>PP MF Yarn Twisted 2500 Denier UV Green 355C</t>
  </si>
  <si>
    <t>PP MF Yarn Twisted 3000 Denier UV Cherry Red</t>
  </si>
  <si>
    <t>HD UL Monofilament Fabric</t>
  </si>
  <si>
    <t>PP MF Yarn Flat 4000 Denier UV Royel Blue</t>
  </si>
  <si>
    <t>PP Fibrillated Tape Flat 3000 MW</t>
  </si>
  <si>
    <t>PP Fibrillated Tape Flat 3200 Green</t>
  </si>
  <si>
    <t>PP MF Yarn Flat 1000 Green</t>
  </si>
  <si>
    <t>PP MF Yarn Flat 1500 MW</t>
  </si>
  <si>
    <t>PP MF Yarn Flat 2500 Blue</t>
  </si>
  <si>
    <t>PP MF Yarn Flat 3200 Green</t>
  </si>
  <si>
    <t>PP MF Yarn Flat 3200 Yellow</t>
  </si>
  <si>
    <t>PP MF Yarn Flat 4000 Blue</t>
  </si>
  <si>
    <t>PP MF Yarn Flat 840 Green</t>
  </si>
  <si>
    <t>PP MF Yarn Twisted 1000 Blue</t>
  </si>
  <si>
    <t>PP MF Yarn Twisted 2500 Green</t>
  </si>
  <si>
    <t>PP MF Yarn Twisted 3200 Yellow</t>
  </si>
  <si>
    <t>PP Conductive Tape 1100 Black</t>
  </si>
  <si>
    <t>PP Fibrillated Tape Flat 3600 Blue</t>
  </si>
  <si>
    <t>PP Fibrillated Tape Twisted 3200 Gray</t>
  </si>
  <si>
    <t>PP MF Yarn Flat 2500 Denier Beige</t>
  </si>
  <si>
    <t>PP MF Yarn Twisted 1000 Denier Yellow</t>
  </si>
  <si>
    <t>PP MF Yarn Twisted 1000 Denier Green</t>
  </si>
  <si>
    <t>PP MF Yarn Twisted 2250 Denier Red</t>
  </si>
  <si>
    <t>PP MF Yarn Twisted 2500 Denier Deep Blue</t>
  </si>
  <si>
    <t>PP MF Yarn Twisted 2500 Denier Red</t>
  </si>
  <si>
    <t>PP MF Yarn Twisted 1000 Denier Beige</t>
  </si>
  <si>
    <t>PP Braided Rope Red 6 to 8 GPM</t>
  </si>
  <si>
    <t>PP Fibrillated Tape Flat 1600 MW</t>
  </si>
  <si>
    <t>PP MF Yarn Flat 2000 Denier UV Maya Blue</t>
  </si>
  <si>
    <t>PP Lam Fabric CutPcs Without UV</t>
  </si>
  <si>
    <t>PP Fibrillated Tape Flat 3200 MW</t>
  </si>
  <si>
    <t>PP Fibrillated Tape Twisted 3000 Blue</t>
  </si>
  <si>
    <t>PP MF Yarn Flat 2000 Green</t>
  </si>
  <si>
    <t>PP MF Yarn Flat 840 MW</t>
  </si>
  <si>
    <t>PP MF Yarn Twisted 1500 Blue</t>
  </si>
  <si>
    <t>PP MF Yarn Flat 2400 MW</t>
  </si>
  <si>
    <t>PP Fibrillated Tape Twisted 1000 MW (MFT)</t>
  </si>
  <si>
    <t>PP Fibrillated Tape Flat 1000 Green</t>
  </si>
  <si>
    <t>PP Lam Fabric With UV</t>
  </si>
  <si>
    <t>Webbing CutPcs</t>
  </si>
  <si>
    <t>PP Braided Rope MW 6 to 8 GPM</t>
  </si>
  <si>
    <t>HD UL Fabric With UV (Raschel Fabric)</t>
  </si>
  <si>
    <t>Airvent (Prv)</t>
  </si>
  <si>
    <t>PP Fibrillated Tape Flat 3000 Black</t>
  </si>
  <si>
    <t>PP Fibrillated Tape Twisted 3000 Green</t>
  </si>
  <si>
    <t>PP Fibrillated Tape Twisted 3000 Yellow</t>
  </si>
  <si>
    <t>PP MF Yarn Flat 1000 Yellow</t>
  </si>
  <si>
    <t>PP MF Yarn Flat 4000 Green</t>
  </si>
  <si>
    <t>PP MF Yarn Twisted 1000 Yellow</t>
  </si>
  <si>
    <t>PP MF Yarn Twisted 4000 MW</t>
  </si>
  <si>
    <t>PP Fibrillated Tape Twisted 3600 Red</t>
  </si>
  <si>
    <t>PP Fibrillated Tape Twisted 3200 Red 187C</t>
  </si>
  <si>
    <t>Polyester Yarn 100D/600 TPM Black</t>
  </si>
  <si>
    <t>HDPE Tapes</t>
  </si>
  <si>
    <t>pp tapes</t>
  </si>
  <si>
    <t>PP MF Yarn Flat 2400 Denier Nw</t>
  </si>
  <si>
    <t>PP MF Yarn Twisted 2500 Denier Grey</t>
  </si>
  <si>
    <t>PP MF Yarn Twisted 2250 Denier UV NW</t>
  </si>
  <si>
    <t>HD UL Fabric With UV</t>
  </si>
  <si>
    <t>Webbing MF</t>
  </si>
  <si>
    <t>PP MF Yarn Twisted 3000 Denier UV NW</t>
  </si>
  <si>
    <t>PP MF Yarn Twisted 3000 Denier UV Deep Blue</t>
  </si>
  <si>
    <t>PP Fibrillated Tape Flat 4000 Green</t>
  </si>
  <si>
    <t>PP MF Yarn Flat 1000 Blue</t>
  </si>
  <si>
    <t>PP MF Yarn Flat 1500 Green</t>
  </si>
  <si>
    <t>PP MF Yarn Flat 2000 Blue</t>
  </si>
  <si>
    <t>PP MF Yarn Flat 2200 Yellow</t>
  </si>
  <si>
    <t>PP MF Yarn Flat 2500 MW</t>
  </si>
  <si>
    <t>PP MF Yarn Flat 2500 Yellow</t>
  </si>
  <si>
    <t>PP MF Yarn Flat 3000 Black</t>
  </si>
  <si>
    <t>PP Fibrillated Tape Flat 3200 Grey</t>
  </si>
  <si>
    <t>FIBC WIP</t>
  </si>
  <si>
    <t>FG</t>
  </si>
  <si>
    <t>Printed Taffeta/Satin Labels</t>
  </si>
  <si>
    <t>Label Div</t>
  </si>
  <si>
    <t>FIBC Bags With UV With Liner</t>
  </si>
  <si>
    <t>FIBC Bags</t>
  </si>
  <si>
    <t>HD UL Bags With UV</t>
  </si>
  <si>
    <t>Small Bags</t>
  </si>
  <si>
    <t>HDPE Bags</t>
  </si>
  <si>
    <t>HDPE Tarpauline</t>
  </si>
  <si>
    <t>Tarps</t>
  </si>
  <si>
    <t>Tarpauline</t>
  </si>
  <si>
    <t>Pet Strap 16 mm x 0.90 mm Thickness</t>
  </si>
  <si>
    <t>Trading Items</t>
  </si>
  <si>
    <t>PP Lam Bags Without UV</t>
  </si>
  <si>
    <t>PP Bags</t>
  </si>
  <si>
    <t>Small Bags WIP</t>
  </si>
  <si>
    <t>HD Lam Bags Without UV</t>
  </si>
  <si>
    <t>Container Liner</t>
  </si>
  <si>
    <t>FIBC Bags With UV Without Liner</t>
  </si>
  <si>
    <t>HD Lam Bags With UV</t>
  </si>
  <si>
    <t>PP Lam Bags With UV - Ad Star</t>
  </si>
  <si>
    <t>HD UL Bags Without UV</t>
  </si>
  <si>
    <t>PP UL Bags Without UV With Liner</t>
  </si>
  <si>
    <t>PP UL Bags With UV</t>
  </si>
  <si>
    <t>PP UL Bags Without UV</t>
  </si>
  <si>
    <t>Non Woven Fabric</t>
  </si>
  <si>
    <t>PP Tarpauline</t>
  </si>
  <si>
    <t>Woven Labels</t>
  </si>
  <si>
    <t>PP UL Bags With UV With Liner</t>
  </si>
  <si>
    <t>PP Lam Bags Without UV - Ad Star</t>
  </si>
  <si>
    <t>PP Lam Bags With UV</t>
  </si>
  <si>
    <t>Sub group</t>
  </si>
  <si>
    <t xml:space="preserve">Opening </t>
  </si>
  <si>
    <t>Closing</t>
  </si>
  <si>
    <t>Sales/Purchase/Job in/Job out as per ERP report</t>
  </si>
  <si>
    <t>Total</t>
  </si>
  <si>
    <t>Closing Stock - As per Actual (Physical)</t>
  </si>
  <si>
    <t>Closing Stock of Finished goods</t>
  </si>
  <si>
    <t>Closing Work-in-progress</t>
  </si>
  <si>
    <t>Closing Stock of Raw material</t>
  </si>
  <si>
    <t>Value Factory Own</t>
  </si>
  <si>
    <t>Rate</t>
  </si>
  <si>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</si>
  <si>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</si>
  <si>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</si>
  <si>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</si>
  <si>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</si>
  <si>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</si>
  <si>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</si>
  <si>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</si>
  <si>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</si>
  <si>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</si>
  <si>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sales Group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</si>
  <si>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</si>
  <si>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</si>
  <si>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</si>
  <si>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</si>
  <si>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</si>
  <si>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</si>
  <si>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</si>
  <si>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</si>
  <si>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</si>
  <si>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</si>
  <si>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</si>
  <si>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</si>
  <si>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</si>
  <si>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</si>
  <si>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Unit</t>
  </si>
  <si>
    <t>HSN Code</t>
  </si>
  <si>
    <t>Currencty</t>
  </si>
  <si>
    <t>Exc.Rate</t>
  </si>
  <si>
    <t>Net Wt</t>
  </si>
  <si>
    <t>Row Labels</t>
  </si>
  <si>
    <t>Grand Total</t>
  </si>
  <si>
    <t>Sum of Quantity</t>
  </si>
  <si>
    <t>Sum of Amount</t>
  </si>
  <si>
    <t>PendingQty</t>
  </si>
  <si>
    <t>Diff</t>
  </si>
  <si>
    <t>ChallanNo</t>
  </si>
  <si>
    <t>Deptt</t>
  </si>
  <si>
    <t>CompanyName</t>
  </si>
  <si>
    <t>srno</t>
  </si>
  <si>
    <t>Itemcode</t>
  </si>
  <si>
    <t>Itemname</t>
  </si>
  <si>
    <t>Indentsubcode</t>
  </si>
  <si>
    <t>PoNO</t>
  </si>
  <si>
    <t>OrderQty</t>
  </si>
  <si>
    <t>Challanqty</t>
  </si>
  <si>
    <t>Recdqty</t>
  </si>
  <si>
    <t>Acceptedqty</t>
  </si>
  <si>
    <t>Vehicalno</t>
  </si>
  <si>
    <t>Partyname</t>
  </si>
  <si>
    <t>Suppliername</t>
  </si>
  <si>
    <t>Challan Date</t>
  </si>
  <si>
    <t>category</t>
  </si>
  <si>
    <t>subcategory</t>
  </si>
  <si>
    <t>MRno</t>
  </si>
  <si>
    <t>BillNo</t>
  </si>
  <si>
    <t>Bill Date</t>
  </si>
  <si>
    <t>ItemRemarks</t>
  </si>
  <si>
    <t>Remarks</t>
  </si>
  <si>
    <t>Note</t>
  </si>
  <si>
    <t>Transportname</t>
  </si>
  <si>
    <t>Lrnodate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</si>
  <si>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</si>
  <si>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</si>
  <si>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</si>
  <si>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</si>
  <si>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</si>
  <si>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</si>
  <si>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</si>
  <si>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</si>
  <si>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</si>
  <si>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</si>
  <si>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</si>
  <si>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</si>
  <si>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</si>
  <si>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</si>
  <si>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Billamount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</si>
  <si>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</si>
  <si>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</si>
  <si>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</si>
  <si>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</si>
  <si>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</si>
  <si>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</si>
  <si>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</si>
  <si>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</si>
  <si>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</si>
  <si>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</si>
  <si>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</si>
  <si>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</si>
  <si>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</si>
  <si>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</si>
  <si>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</si>
  <si>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</si>
  <si>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</si>
  <si>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</si>
  <si>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Sum of Acceptedqty</t>
  </si>
  <si>
    <t>Diffrence</t>
  </si>
  <si>
    <t>Granules</t>
  </si>
  <si>
    <t>OEL-1</t>
  </si>
  <si>
    <t>KPW-3</t>
  </si>
  <si>
    <t>Physical</t>
  </si>
  <si>
    <t>JOB Stock</t>
  </si>
  <si>
    <t>AS PER REPORT</t>
  </si>
  <si>
    <t>Year</t>
  </si>
  <si>
    <t>ProcessorName</t>
  </si>
  <si>
    <t>SubsidiaryBuyer</t>
  </si>
  <si>
    <t>MainChallan No</t>
  </si>
  <si>
    <t>MainChallan Date</t>
  </si>
  <si>
    <t>CommodityName</t>
  </si>
  <si>
    <t>THeading</t>
  </si>
  <si>
    <t>QtyUnit</t>
  </si>
  <si>
    <t>Balanced Qty</t>
  </si>
  <si>
    <t>ChallanSrno</t>
  </si>
  <si>
    <t>ProcessorAddress</t>
  </si>
  <si>
    <t>SubsidiaryAddress</t>
  </si>
  <si>
    <t>subsidiaryyear</t>
  </si>
  <si>
    <t>Sum of Balanced Qty</t>
  </si>
  <si>
    <t>Oswal Extrusion Limited</t>
  </si>
  <si>
    <t>Plastene India ltd - Unit 1-Sales</t>
  </si>
  <si>
    <t>Polypropylene Granuals</t>
  </si>
  <si>
    <t>Kgs</t>
  </si>
  <si>
    <t>Sector - 2,  KASEZ,  Plot No. 73/74/75 - A &amp; A,             Gandhidham - 370 230 Kutch</t>
  </si>
  <si>
    <t>Survey No 315/1,315/2,316 &amp; 317,Nani Chirai Nr.Softel Company ,Taluka-Bhachau</t>
  </si>
  <si>
    <t>PP WOVEN BIG BAGS/SACKS</t>
  </si>
  <si>
    <t>PP Granules</t>
  </si>
  <si>
    <t>K.P. Woven Pvt Ltd - Unit 3 -Sales</t>
  </si>
  <si>
    <t>PP Woven Fabrics</t>
  </si>
  <si>
    <t>PLOT NO. 27 TO 30,, SECTOR-1,, ,KANDLA SPECIAL ECONOMIC,,GANDHIDHAM,</t>
  </si>
  <si>
    <t>WIP00023</t>
  </si>
  <si>
    <t>PP TAPE</t>
  </si>
  <si>
    <t>RAW05951</t>
  </si>
  <si>
    <t>WIP00015</t>
  </si>
  <si>
    <t>LD/LLDPE BAGS</t>
  </si>
  <si>
    <t>WIP00013</t>
  </si>
  <si>
    <t>PP Woven Fabrics Laminated/ Coated</t>
  </si>
  <si>
    <t>WIP00025</t>
  </si>
  <si>
    <t>PP WEBBING</t>
  </si>
  <si>
    <t>LDPE Granules</t>
  </si>
  <si>
    <t>PP Woven Fabric</t>
  </si>
  <si>
    <t>RP Granules</t>
  </si>
  <si>
    <t>PP WOVEN FABRICS</t>
  </si>
  <si>
    <t>Scrap</t>
  </si>
  <si>
    <t>PP WOVEN BIG BAGS</t>
  </si>
  <si>
    <t>FILLERCORD</t>
  </si>
  <si>
    <t>PIL1/JW/285</t>
  </si>
  <si>
    <t>PIL1/JW/287</t>
  </si>
  <si>
    <t>PIL1/JW/288</t>
  </si>
  <si>
    <t>PIL1/JW/293</t>
  </si>
  <si>
    <t>PIL1/JW/294</t>
  </si>
  <si>
    <t>PIL1/JW/301</t>
  </si>
  <si>
    <t>PIL1/JW/300</t>
  </si>
  <si>
    <t>PIL1/JW/302</t>
  </si>
  <si>
    <t>PIL1/JW/303</t>
  </si>
  <si>
    <t>PIL1/JW/306</t>
  </si>
  <si>
    <t>RP GRANULES</t>
  </si>
  <si>
    <t>TOTAL ISSUED</t>
  </si>
  <si>
    <t>TOTAL RECEIVED</t>
  </si>
  <si>
    <t xml:space="preserve">PP WOVEN BIG BAGS </t>
  </si>
  <si>
    <t>Nani Chirai</t>
  </si>
  <si>
    <t>PIL-1</t>
  </si>
  <si>
    <t>15.04.2025</t>
  </si>
  <si>
    <t>PIL1/JW/009</t>
  </si>
  <si>
    <t>003</t>
  </si>
  <si>
    <t>PIL1/JW/008</t>
  </si>
  <si>
    <t>002</t>
  </si>
  <si>
    <t>07.04.2025</t>
  </si>
  <si>
    <t>PIL1/JW/004</t>
  </si>
  <si>
    <t>001</t>
  </si>
  <si>
    <t>27.03.2025</t>
  </si>
  <si>
    <t>26.03.2025</t>
  </si>
  <si>
    <t>25.03.2025</t>
  </si>
  <si>
    <t>24.03.2025</t>
  </si>
  <si>
    <t>22.03.2025</t>
  </si>
  <si>
    <t>PIL1/JW/297</t>
  </si>
  <si>
    <t xml:space="preserve"> UV MB</t>
  </si>
  <si>
    <t>21.03.2025</t>
  </si>
  <si>
    <t>20.03.2025</t>
  </si>
  <si>
    <t>LD/LLDPE  FILM</t>
  </si>
  <si>
    <t>18.03.2025</t>
  </si>
  <si>
    <t>PIL1/JW/289</t>
  </si>
  <si>
    <t>002/08.04.25</t>
  </si>
  <si>
    <t>17.03.2025</t>
  </si>
  <si>
    <t>15.03.2025</t>
  </si>
  <si>
    <t>PP MF YARN</t>
  </si>
  <si>
    <t>07.02.2025</t>
  </si>
  <si>
    <t>PIL1/JW/267</t>
  </si>
  <si>
    <t>30.01.2025</t>
  </si>
  <si>
    <t>PIL1/JW/263</t>
  </si>
  <si>
    <t>29.01.2025</t>
  </si>
  <si>
    <t>PIL1/JW/262</t>
  </si>
  <si>
    <t>20.01.2025</t>
  </si>
  <si>
    <t>PIL1/JW/257</t>
  </si>
  <si>
    <t>18.01.2025</t>
  </si>
  <si>
    <t>PIL1/JW/256</t>
  </si>
  <si>
    <t>17.01.2025</t>
  </si>
  <si>
    <t>PIL1/JW/255</t>
  </si>
  <si>
    <t>09.01.2025</t>
  </si>
  <si>
    <t>PIL1/JW/248</t>
  </si>
  <si>
    <t>PIL1/JW/247</t>
  </si>
  <si>
    <t>098/18.02.25</t>
  </si>
  <si>
    <t>30.12.2024</t>
  </si>
  <si>
    <t>PIL1/JW/241</t>
  </si>
  <si>
    <t>28.12.2024</t>
  </si>
  <si>
    <t>PIL1/JW/239</t>
  </si>
  <si>
    <t>25.12.2024</t>
  </si>
  <si>
    <t>PIL1/JW/237</t>
  </si>
  <si>
    <t>099/24.02.25</t>
  </si>
  <si>
    <t>24.12.2024</t>
  </si>
  <si>
    <t>PIL1/JW/236</t>
  </si>
  <si>
    <t>21.12.2024</t>
  </si>
  <si>
    <t>PIL1/JW/232</t>
  </si>
  <si>
    <t>20.12.2024</t>
  </si>
  <si>
    <t>PIL1/JW/231</t>
  </si>
  <si>
    <t>18.12.2024</t>
  </si>
  <si>
    <t>PIL1/JW/229</t>
  </si>
  <si>
    <t>16.12.2024</t>
  </si>
  <si>
    <t>PIL1/JW/227</t>
  </si>
  <si>
    <t>13.12.2024</t>
  </si>
  <si>
    <t>PIL1/JW/223</t>
  </si>
  <si>
    <t>12.12.2024</t>
  </si>
  <si>
    <t>PIL1/JW/222</t>
  </si>
  <si>
    <t>10.12.2024</t>
  </si>
  <si>
    <t>PIL1/JW/220</t>
  </si>
  <si>
    <t>28.11.2024</t>
  </si>
  <si>
    <t>PIL1/JW/214</t>
  </si>
  <si>
    <t>PIL1/JW/213</t>
  </si>
  <si>
    <t>27.11.2024</t>
  </si>
  <si>
    <t>PIL1/JW/212</t>
  </si>
  <si>
    <t>20.11.2024</t>
  </si>
  <si>
    <t>PIL1/JW/208</t>
  </si>
  <si>
    <t>UV MASTERBATCH</t>
  </si>
  <si>
    <t>13.11.2024</t>
  </si>
  <si>
    <t>PIL1/JW/204</t>
  </si>
  <si>
    <t>Breaded Rope</t>
  </si>
  <si>
    <t>04.11.2024</t>
  </si>
  <si>
    <t>PIL1/JW/200</t>
  </si>
  <si>
    <t>MASTERBATCH/UV</t>
  </si>
  <si>
    <t>30.10.2024</t>
  </si>
  <si>
    <t>PIL1/JW/199</t>
  </si>
  <si>
    <t>091/28.01.25</t>
  </si>
  <si>
    <t>15.10.2024</t>
  </si>
  <si>
    <t>PIL1/JW/185</t>
  </si>
  <si>
    <t>PIL1/JW/184</t>
  </si>
  <si>
    <t>14.10.2024</t>
  </si>
  <si>
    <t>PIL1/JW/182</t>
  </si>
  <si>
    <t>10.10.2024</t>
  </si>
  <si>
    <t>PIL1/JW/181</t>
  </si>
  <si>
    <t>088/11.01.25</t>
  </si>
  <si>
    <t>081/11.12.24</t>
  </si>
  <si>
    <t>FILLER</t>
  </si>
  <si>
    <t>09.10.2024</t>
  </si>
  <si>
    <t>PIL1/JW/180</t>
  </si>
  <si>
    <t>07.10.2024</t>
  </si>
  <si>
    <t>PIL1/JW/177</t>
  </si>
  <si>
    <t>05.10.2024</t>
  </si>
  <si>
    <t>PIL1/JW/175</t>
  </si>
  <si>
    <t>04.10.2024</t>
  </si>
  <si>
    <t>PIL1/JW/172</t>
  </si>
  <si>
    <t>30.09.2024</t>
  </si>
  <si>
    <t>PIL1/JW/167</t>
  </si>
  <si>
    <t>25.09.2024</t>
  </si>
  <si>
    <t>PIL1/JW/160</t>
  </si>
  <si>
    <t>23.09.2024</t>
  </si>
  <si>
    <t>PIL1/JW/159</t>
  </si>
  <si>
    <t>071/11.11.24</t>
  </si>
  <si>
    <t>20.09.2024</t>
  </si>
  <si>
    <t>PIL1/JW/157</t>
  </si>
  <si>
    <t>16.09.2024</t>
  </si>
  <si>
    <t>PIL1/JW/155</t>
  </si>
  <si>
    <t>PIL1/JW/153</t>
  </si>
  <si>
    <t>17.09.2024</t>
  </si>
  <si>
    <t>PIL1/JW/152</t>
  </si>
  <si>
    <t>PIL1/JW/150</t>
  </si>
  <si>
    <t>14.09.2024</t>
  </si>
  <si>
    <t>PIL1/JW/145</t>
  </si>
  <si>
    <t>10.09.2024</t>
  </si>
  <si>
    <t>PIL1/JW/142</t>
  </si>
  <si>
    <t>09.09.2024</t>
  </si>
  <si>
    <t>PIL1/JW/140</t>
  </si>
  <si>
    <t>092/28.01.25</t>
  </si>
  <si>
    <t>PIL1/JW/139</t>
  </si>
  <si>
    <t>PIL1/JW/137</t>
  </si>
  <si>
    <t>06.09.2024</t>
  </si>
  <si>
    <t>PIL1/JW/134</t>
  </si>
  <si>
    <t>PIL1/JW/133</t>
  </si>
  <si>
    <t>05.09.2024</t>
  </si>
  <si>
    <t>PIL1/JW/132</t>
  </si>
  <si>
    <t>02.09.2024</t>
  </si>
  <si>
    <t>PIL1/JW/128</t>
  </si>
  <si>
    <t>01.09.2024</t>
  </si>
  <si>
    <t>PIL1/JW/127</t>
  </si>
  <si>
    <t>31.08.2024</t>
  </si>
  <si>
    <t>PIL1/JW/126</t>
  </si>
  <si>
    <t>30.08.2024</t>
  </si>
  <si>
    <t>PIL1/JW/124</t>
  </si>
  <si>
    <t>28.08.2024</t>
  </si>
  <si>
    <t>PIL1/JW/122</t>
  </si>
  <si>
    <t>22.08.2024</t>
  </si>
  <si>
    <t>PIL1/JW/119</t>
  </si>
  <si>
    <t>21.08.2024</t>
  </si>
  <si>
    <t>PIL1/JW/118</t>
  </si>
  <si>
    <t>079/04.12.24</t>
  </si>
  <si>
    <t>20.08.2024</t>
  </si>
  <si>
    <t>PIL1/JW/117</t>
  </si>
  <si>
    <t>15.08.2024</t>
  </si>
  <si>
    <t>PIL1/JW/114</t>
  </si>
  <si>
    <t>SCRAPS</t>
  </si>
  <si>
    <t>080/04.12.24</t>
  </si>
  <si>
    <t>PIL1/JW/113</t>
  </si>
  <si>
    <t>14.08.2024</t>
  </si>
  <si>
    <t>PIL1/JW/111</t>
  </si>
  <si>
    <t>12.08.2024</t>
  </si>
  <si>
    <t>PIL1/JW/107</t>
  </si>
  <si>
    <t>09.08.2024</t>
  </si>
  <si>
    <t>PIL1/JW/104</t>
  </si>
  <si>
    <t>08.08.2024</t>
  </si>
  <si>
    <t>PIL1/JW/103</t>
  </si>
  <si>
    <t>PIL1/JW/102</t>
  </si>
  <si>
    <t>07.08.2024</t>
  </si>
  <si>
    <t>PIL1/JW/101</t>
  </si>
  <si>
    <t>06.08.2024</t>
  </si>
  <si>
    <t>PIL1/JW/100</t>
  </si>
  <si>
    <t>PIL1/JW/099</t>
  </si>
  <si>
    <t>PIL1/JW/098</t>
  </si>
  <si>
    <t>03.08.2024</t>
  </si>
  <si>
    <t>PIL1/JW/094</t>
  </si>
  <si>
    <t>PIL1/JW/093</t>
  </si>
  <si>
    <t>01.08.2024</t>
  </si>
  <si>
    <t>PIL1/JW/092</t>
  </si>
  <si>
    <t>PIL1/JW/091</t>
  </si>
  <si>
    <t>PIL1/JW/090</t>
  </si>
  <si>
    <t>30.07.2024</t>
  </si>
  <si>
    <t>PIL1/JW/089</t>
  </si>
  <si>
    <t>065/18.10.24</t>
  </si>
  <si>
    <t>PIL1/JW/087</t>
  </si>
  <si>
    <t>057/21.09.24</t>
  </si>
  <si>
    <t>27.07.2024</t>
  </si>
  <si>
    <t>PIL1/JW/086</t>
  </si>
  <si>
    <t>25.07.2024</t>
  </si>
  <si>
    <t>PIL1/JW/085</t>
  </si>
  <si>
    <t>23.07.2024</t>
  </si>
  <si>
    <t>PIL1/JW/083</t>
  </si>
  <si>
    <t>052/13.09.24</t>
  </si>
  <si>
    <t>22.07.2024</t>
  </si>
  <si>
    <t>PIL1/JW/080</t>
  </si>
  <si>
    <t>18.07.2024</t>
  </si>
  <si>
    <t>PIL1/JW/078</t>
  </si>
  <si>
    <t>16.07.2024</t>
  </si>
  <si>
    <t>PIL1/JW/075</t>
  </si>
  <si>
    <t>PIL1/JW/074</t>
  </si>
  <si>
    <t>13.07.2024</t>
  </si>
  <si>
    <t>PIL1/JW/072</t>
  </si>
  <si>
    <t>049/24.08.24</t>
  </si>
  <si>
    <t>PIL1/JW/071</t>
  </si>
  <si>
    <t>047/21.08.24</t>
  </si>
  <si>
    <t>044/12.08.24</t>
  </si>
  <si>
    <t>09.07.2024</t>
  </si>
  <si>
    <t>PIL1/JW/070</t>
  </si>
  <si>
    <t>PIL1/JW/069</t>
  </si>
  <si>
    <t>06.07.2024</t>
  </si>
  <si>
    <t>PIL1/JW/068</t>
  </si>
  <si>
    <t>01.07.2024</t>
  </si>
  <si>
    <t>PIL1/JW/064</t>
  </si>
  <si>
    <t>PIL1/JW/062</t>
  </si>
  <si>
    <t>30.06.2024</t>
  </si>
  <si>
    <t>PIL1/JW/061</t>
  </si>
  <si>
    <t>29.06.2024</t>
  </si>
  <si>
    <t>PIL1/JW/058</t>
  </si>
  <si>
    <t>27.06.2024</t>
  </si>
  <si>
    <t>PIL1/JW/055</t>
  </si>
  <si>
    <t>25.06.2024</t>
  </si>
  <si>
    <t>PIL1/JW/053</t>
  </si>
  <si>
    <t>042/02.08.24</t>
  </si>
  <si>
    <t>039/25.07.24</t>
  </si>
  <si>
    <t>038/22.07.24</t>
  </si>
  <si>
    <t>24.06.2024</t>
  </si>
  <si>
    <t>PIL1/JW/052</t>
  </si>
  <si>
    <t>PIL1/JW/051</t>
  </si>
  <si>
    <t>14.06.2024</t>
  </si>
  <si>
    <t>PIL1/JW/045</t>
  </si>
  <si>
    <t>PIL1/JW/044</t>
  </si>
  <si>
    <t>025/28.05.24</t>
  </si>
  <si>
    <t>12.06.2024</t>
  </si>
  <si>
    <t>PIL1/JW/042</t>
  </si>
  <si>
    <t>PIL1/JW/041</t>
  </si>
  <si>
    <t>021/15.05.24</t>
  </si>
  <si>
    <t>04.06.2024</t>
  </si>
  <si>
    <t>PIL1/JW/038</t>
  </si>
  <si>
    <t>24.05.2024</t>
  </si>
  <si>
    <t>PIL1/JW/031</t>
  </si>
  <si>
    <t>manufacturer of fibc jumbo bags</t>
  </si>
  <si>
    <t>Balance Qty.</t>
  </si>
  <si>
    <t>Return Qty</t>
  </si>
  <si>
    <t>Discriptions Of sent Goods</t>
  </si>
  <si>
    <t>Month</t>
  </si>
  <si>
    <t>Sc Challan &amp; Return Dt</t>
  </si>
  <si>
    <t>Process</t>
  </si>
  <si>
    <t>Address</t>
  </si>
  <si>
    <t>Party Name</t>
  </si>
  <si>
    <t>As Per Ch.</t>
  </si>
  <si>
    <t>Material</t>
  </si>
  <si>
    <t>Recd. Date</t>
  </si>
  <si>
    <t>Party Challan (Ann-II)No.&amp; Date</t>
  </si>
  <si>
    <t>Sr. No.</t>
  </si>
  <si>
    <t>For Jobwork vide DCC permission No.F.KASEZ/CUS/01/38/05-06/Pt-IV/1060 date : 21.05.2024 Under Rule 43 Of Sez Rules 2006</t>
  </si>
  <si>
    <t>Oswal Extrusion Ltd- KASEZ- Permission No : KASEZ/CUS/01/38/05-06/Pt-IV/1060 date : 21.05.2024</t>
  </si>
  <si>
    <t>KASEZ</t>
  </si>
  <si>
    <t>PP WOVEN FABRIC LAMINATED/COATED</t>
  </si>
  <si>
    <t>18.04.2025</t>
  </si>
  <si>
    <t>KPW3/JW/016</t>
  </si>
  <si>
    <t>17.04.2025</t>
  </si>
  <si>
    <t>KPW3/JW/015</t>
  </si>
  <si>
    <t>16.04.2025</t>
  </si>
  <si>
    <t>KPW3/JW/014</t>
  </si>
  <si>
    <t>KPW3/JW/013</t>
  </si>
  <si>
    <t>KPW3/JW/012</t>
  </si>
  <si>
    <t>12.04.2025</t>
  </si>
  <si>
    <t>KPW3/JW/011</t>
  </si>
  <si>
    <t>11.04.2025</t>
  </si>
  <si>
    <t>KPW3/JW/010</t>
  </si>
  <si>
    <t>10.04.2025</t>
  </si>
  <si>
    <t>KPW3/JW/009</t>
  </si>
  <si>
    <t>09.04.2025</t>
  </si>
  <si>
    <t>KPW3/JW/008</t>
  </si>
  <si>
    <t>008</t>
  </si>
  <si>
    <t>KPW3/JW/007</t>
  </si>
  <si>
    <t>007</t>
  </si>
  <si>
    <t>08.04.2025</t>
  </si>
  <si>
    <t>KPW3/JW/006</t>
  </si>
  <si>
    <t>006</t>
  </si>
  <si>
    <t>KPW3/JW/005</t>
  </si>
  <si>
    <t>005</t>
  </si>
  <si>
    <t>05.04.2025</t>
  </si>
  <si>
    <t>KPW3/JW/004</t>
  </si>
  <si>
    <t>004</t>
  </si>
  <si>
    <t>04.04.2025</t>
  </si>
  <si>
    <t>KPW3/JW/003</t>
  </si>
  <si>
    <t>03.04.2025</t>
  </si>
  <si>
    <t>KPW3/JW/002</t>
  </si>
  <si>
    <t>02.04.2025</t>
  </si>
  <si>
    <t>KPW3/JW/001</t>
  </si>
  <si>
    <t>003/18.04.25</t>
  </si>
  <si>
    <t>31.03.2025</t>
  </si>
  <si>
    <t>KPW3/JW/302</t>
  </si>
  <si>
    <t>28.03.2025</t>
  </si>
  <si>
    <t>KPW3/JW/301</t>
  </si>
  <si>
    <t>KPW3/JW/300</t>
  </si>
  <si>
    <t>KPW3/JW/299</t>
  </si>
  <si>
    <t>KPW3/JW/298</t>
  </si>
  <si>
    <t>KPW3/JW/297</t>
  </si>
  <si>
    <t>KPW3/JW/296</t>
  </si>
  <si>
    <t>KPW3/JW/295</t>
  </si>
  <si>
    <t>KPW3/JW/294</t>
  </si>
  <si>
    <t>19.03.2025</t>
  </si>
  <si>
    <t>KPW3/JW/293</t>
  </si>
  <si>
    <t>KPW3/JW/292</t>
  </si>
  <si>
    <t>001/07.04.25</t>
  </si>
  <si>
    <t>KPW3/JW/291</t>
  </si>
  <si>
    <t>KPW3/JW/290</t>
  </si>
  <si>
    <t>108/31.03.25</t>
  </si>
  <si>
    <t>13.03.2025</t>
  </si>
  <si>
    <t>KPW3/JW/289</t>
  </si>
  <si>
    <t>12.03.2025</t>
  </si>
  <si>
    <t>KPW3/JW/288</t>
  </si>
  <si>
    <t>11.03.2025</t>
  </si>
  <si>
    <t>KPW3/JW/287</t>
  </si>
  <si>
    <t>106/28.03.25</t>
  </si>
  <si>
    <t>10.03.2025</t>
  </si>
  <si>
    <t>KPW3/JW/286</t>
  </si>
  <si>
    <t>08.03.2025</t>
  </si>
  <si>
    <t>KPW3/JW/285</t>
  </si>
  <si>
    <t>07.03.2025</t>
  </si>
  <si>
    <t>KPW3/JW/284</t>
  </si>
  <si>
    <t>06.03.2025</t>
  </si>
  <si>
    <t>KPW3/JW/283</t>
  </si>
  <si>
    <t>05.03.2025</t>
  </si>
  <si>
    <t>KPW3/JW/282</t>
  </si>
  <si>
    <t>04.03.2025</t>
  </si>
  <si>
    <t>KPW3/JW/281</t>
  </si>
  <si>
    <t>03.03.2025</t>
  </si>
  <si>
    <t>KPW3/JW/280</t>
  </si>
  <si>
    <t>01.03.2025</t>
  </si>
  <si>
    <t>KPW3/JW/279</t>
  </si>
  <si>
    <t>28.02.2025</t>
  </si>
  <si>
    <t>KPW3/JW/278</t>
  </si>
  <si>
    <t>27.02.2025</t>
  </si>
  <si>
    <t>KPW3/JW/277</t>
  </si>
  <si>
    <t>26.02.2025</t>
  </si>
  <si>
    <t>KPW3/JW/276</t>
  </si>
  <si>
    <t>25.02.2025</t>
  </si>
  <si>
    <t>KPW3/JW/275</t>
  </si>
  <si>
    <t>24.02.2025</t>
  </si>
  <si>
    <t>KPW3/JW/274</t>
  </si>
  <si>
    <t>22.02.2025</t>
  </si>
  <si>
    <t>KPW3/JW/273</t>
  </si>
  <si>
    <t>21.02.2025</t>
  </si>
  <si>
    <t>KPW3/JW/272</t>
  </si>
  <si>
    <t>20.02.2025</t>
  </si>
  <si>
    <t>KPW3/JW/271</t>
  </si>
  <si>
    <t>19.02.2025</t>
  </si>
  <si>
    <t>KPW3/JW/270</t>
  </si>
  <si>
    <t>18.02.2025</t>
  </si>
  <si>
    <t>KPW3/JW/269</t>
  </si>
  <si>
    <t>17.02.2025</t>
  </si>
  <si>
    <t>KPW3/JW/268</t>
  </si>
  <si>
    <t>15.02.2025</t>
  </si>
  <si>
    <t>KPW3/JW/267</t>
  </si>
  <si>
    <t>14.02.2025</t>
  </si>
  <si>
    <t>KPW3/JW/266</t>
  </si>
  <si>
    <t>107/28.03.25</t>
  </si>
  <si>
    <t>105/26.03.25</t>
  </si>
  <si>
    <t>13.02.2025</t>
  </si>
  <si>
    <t>KPW3/JW/265</t>
  </si>
  <si>
    <t>104/08.03.25</t>
  </si>
  <si>
    <t>12.02.2025</t>
  </si>
  <si>
    <t>KPW3/JW/264</t>
  </si>
  <si>
    <t>11.02.2025</t>
  </si>
  <si>
    <t>KPW3/JW/263</t>
  </si>
  <si>
    <t>10.02.2025</t>
  </si>
  <si>
    <t>KPW3/JW/262</t>
  </si>
  <si>
    <t>08.02.2025</t>
  </si>
  <si>
    <t>KPW3/JW/261</t>
  </si>
  <si>
    <t>KPW3/JW/260</t>
  </si>
  <si>
    <t>103/05.03.25</t>
  </si>
  <si>
    <t>06.02.2025</t>
  </si>
  <si>
    <t>KPW3/JW/259</t>
  </si>
  <si>
    <t>05.02.2025</t>
  </si>
  <si>
    <t>KPW3/JW/258</t>
  </si>
  <si>
    <t>102/28.02.25</t>
  </si>
  <si>
    <t>04.02.2025</t>
  </si>
  <si>
    <t>KPW3/JW/257</t>
  </si>
  <si>
    <t>03.02.2025</t>
  </si>
  <si>
    <t>KPW3/JW/256</t>
  </si>
  <si>
    <t>01.02.2025</t>
  </si>
  <si>
    <t>KPW3/JW/255</t>
  </si>
  <si>
    <t>31.01.2025</t>
  </si>
  <si>
    <t>KPW3/JW/254</t>
  </si>
  <si>
    <t>KPW3/JW/253</t>
  </si>
  <si>
    <t>28.01.2025</t>
  </si>
  <si>
    <t>KPW3/JW/252</t>
  </si>
  <si>
    <t>27.01.2025</t>
  </si>
  <si>
    <t>KPW3/JW/251</t>
  </si>
  <si>
    <t>25.01.2025</t>
  </si>
  <si>
    <t>KPW3/JW/250</t>
  </si>
  <si>
    <t>24.01.2025</t>
  </si>
  <si>
    <t>KPW3/JW/249</t>
  </si>
  <si>
    <t>23.01.2025</t>
  </si>
  <si>
    <t>KPW3/JW/248</t>
  </si>
  <si>
    <t>22.01.2025</t>
  </si>
  <si>
    <t>KPW3/JW/247</t>
  </si>
  <si>
    <t>21.01.2025</t>
  </si>
  <si>
    <t>KPW3/JW/246</t>
  </si>
  <si>
    <t>101/26.02.25</t>
  </si>
  <si>
    <t>100/24.02.25</t>
  </si>
  <si>
    <t>KPW3/JW/245</t>
  </si>
  <si>
    <t>KPW3/JW/244</t>
  </si>
  <si>
    <t>KPW3/JW/243</t>
  </si>
  <si>
    <t>097/12.02.25</t>
  </si>
  <si>
    <t>16.01.2025</t>
  </si>
  <si>
    <t>KPW3/JW/242</t>
  </si>
  <si>
    <t>15.01.2025</t>
  </si>
  <si>
    <t>KPW3/JW/241</t>
  </si>
  <si>
    <t>14.01.2025</t>
  </si>
  <si>
    <t>KPW3/JW/240</t>
  </si>
  <si>
    <t>096/10.02.25</t>
  </si>
  <si>
    <t>095/31.01.25</t>
  </si>
  <si>
    <t>13.01.2025</t>
  </si>
  <si>
    <t>KPW3/JW/239</t>
  </si>
  <si>
    <t>090/21.01.25</t>
  </si>
  <si>
    <t>11.01.2025</t>
  </si>
  <si>
    <t>KPW3/JW/238</t>
  </si>
  <si>
    <t>10.01.2025</t>
  </si>
  <si>
    <t>KPW3/JW/237</t>
  </si>
  <si>
    <t>KPW3/JW/236</t>
  </si>
  <si>
    <t>08.01.2025</t>
  </si>
  <si>
    <t>KPW3/JW/235</t>
  </si>
  <si>
    <t>06.01.2025</t>
  </si>
  <si>
    <t>KPW3/JW/234</t>
  </si>
  <si>
    <t>04.01.2025</t>
  </si>
  <si>
    <t>KPW3/JW/233</t>
  </si>
  <si>
    <t>094/30.01.25</t>
  </si>
  <si>
    <t>093/29.01.25</t>
  </si>
  <si>
    <t>03.01.2025</t>
  </si>
  <si>
    <t>KPW3/JW/232</t>
  </si>
  <si>
    <t>02.01.2025</t>
  </si>
  <si>
    <t>KPW3/JW/231</t>
  </si>
  <si>
    <t>01.01.2025</t>
  </si>
  <si>
    <t>KPW3/JW/230</t>
  </si>
  <si>
    <t>31.12.2024</t>
  </si>
  <si>
    <t>KPW3/JW/229</t>
  </si>
  <si>
    <t>KPW3/JW/228</t>
  </si>
  <si>
    <t>KPW3/JW/227</t>
  </si>
  <si>
    <t>27.12.2024</t>
  </si>
  <si>
    <t>KPW3/JW/226</t>
  </si>
  <si>
    <t>26.12.2024</t>
  </si>
  <si>
    <t>KPW3/JW/225</t>
  </si>
  <si>
    <t>KPW3/JW/224</t>
  </si>
  <si>
    <t>KPW3/JW/223</t>
  </si>
  <si>
    <t>23.12.2024</t>
  </si>
  <si>
    <t>KPW3/JW/222</t>
  </si>
  <si>
    <t>KPW3/JW/221</t>
  </si>
  <si>
    <t>KPW3/JW/220</t>
  </si>
  <si>
    <t>KPW3/JW/219</t>
  </si>
  <si>
    <t>KPW3/JW/218</t>
  </si>
  <si>
    <t>17.12.2024</t>
  </si>
  <si>
    <t>KPW3/JW/217</t>
  </si>
  <si>
    <t>KPW3/JW/216</t>
  </si>
  <si>
    <t>089/18.01.25</t>
  </si>
  <si>
    <t>KPW3/JW/215</t>
  </si>
  <si>
    <t>KPW3/JW/214</t>
  </si>
  <si>
    <t>11.12.2024</t>
  </si>
  <si>
    <t>KPW3/JW/213</t>
  </si>
  <si>
    <t>KPW3/JW/212</t>
  </si>
  <si>
    <t>09.12.2024</t>
  </si>
  <si>
    <t>KPW3/JW/211</t>
  </si>
  <si>
    <t>07.12.2024</t>
  </si>
  <si>
    <t>KPW3/JW/210</t>
  </si>
  <si>
    <t>085/31.12.24</t>
  </si>
  <si>
    <t>083/24.12.24</t>
  </si>
  <si>
    <t>082/11.12.24</t>
  </si>
  <si>
    <t>06.12.2024</t>
  </si>
  <si>
    <t>KPW3/JW/209</t>
  </si>
  <si>
    <t>05.12.2024</t>
  </si>
  <si>
    <t>KPW3/JW/208</t>
  </si>
  <si>
    <t>04.12.2024</t>
  </si>
  <si>
    <t>KPW3/JW/207</t>
  </si>
  <si>
    <t>03.12.2024</t>
  </si>
  <si>
    <t>KPW3/JW/206</t>
  </si>
  <si>
    <t>02.12.2024</t>
  </si>
  <si>
    <t>KPW3/JW/205</t>
  </si>
  <si>
    <t>087/09.01.25</t>
  </si>
  <si>
    <t>084/28.12.24</t>
  </si>
  <si>
    <t>30.11.2024</t>
  </si>
  <si>
    <t>KPW3/JW/204</t>
  </si>
  <si>
    <t>29.11.2024</t>
  </si>
  <si>
    <t>KPW3/JW/203</t>
  </si>
  <si>
    <t>KPW3/JW/202</t>
  </si>
  <si>
    <t>KPW3/JW/201</t>
  </si>
  <si>
    <t>26.11.2024</t>
  </si>
  <si>
    <t>KPW3/JW/200</t>
  </si>
  <si>
    <t>086/31.12.24</t>
  </si>
  <si>
    <t>25.11.2024</t>
  </si>
  <si>
    <t>KPW3/JW/199</t>
  </si>
  <si>
    <t>23.11.2024</t>
  </si>
  <si>
    <t>KPW3/JW/198</t>
  </si>
  <si>
    <t>21.11.2024</t>
  </si>
  <si>
    <t>KPW3/JW/197</t>
  </si>
  <si>
    <t>KPW3/JW/196</t>
  </si>
  <si>
    <t>KPW3/JW/195</t>
  </si>
  <si>
    <t>KPW3/JW/194</t>
  </si>
  <si>
    <t>18.11.2024</t>
  </si>
  <si>
    <t>KPW3/JW/193</t>
  </si>
  <si>
    <t>16.11.2024</t>
  </si>
  <si>
    <t>KPW3/JW/192</t>
  </si>
  <si>
    <t>15.11.2024</t>
  </si>
  <si>
    <t>KPW3/JW/191</t>
  </si>
  <si>
    <t>14.11.2024</t>
  </si>
  <si>
    <t>KPW3/JW/190</t>
  </si>
  <si>
    <t>KPW3/JW/189</t>
  </si>
  <si>
    <t>12.11.2024</t>
  </si>
  <si>
    <t>KPW3/JW/188</t>
  </si>
  <si>
    <t>11.11.2024</t>
  </si>
  <si>
    <t>KPW3/JW/187</t>
  </si>
  <si>
    <t>075/30.11.24</t>
  </si>
  <si>
    <t>08.11.2024</t>
  </si>
  <si>
    <t>KPW3/JW/186</t>
  </si>
  <si>
    <t>078/02.12.24</t>
  </si>
  <si>
    <t>07.11.2024</t>
  </si>
  <si>
    <t>KPW3/JW/185</t>
  </si>
  <si>
    <t>074/23.11.24</t>
  </si>
  <si>
    <t>KPW3/JW/184</t>
  </si>
  <si>
    <t>06.11.2024</t>
  </si>
  <si>
    <t>KPW3/JW/183</t>
  </si>
  <si>
    <t>077/30.11.24</t>
  </si>
  <si>
    <t>05.11.2024</t>
  </si>
  <si>
    <t>KPW3/JW/182</t>
  </si>
  <si>
    <t>KPW3/JW/181</t>
  </si>
  <si>
    <t>KPW3/JW/180</t>
  </si>
  <si>
    <t>KPW3/JW/179</t>
  </si>
  <si>
    <t>074/27.11.24</t>
  </si>
  <si>
    <t>29.10.2024</t>
  </si>
  <si>
    <t>KPW3/JW/178</t>
  </si>
  <si>
    <t>25.10.2024</t>
  </si>
  <si>
    <t>KPW3/JW/177</t>
  </si>
  <si>
    <t>24.10.2024</t>
  </si>
  <si>
    <t>KPW3/JW/176</t>
  </si>
  <si>
    <t>23.10.2024</t>
  </si>
  <si>
    <t>KPW3/JW/175</t>
  </si>
  <si>
    <t>073/13.11.24</t>
  </si>
  <si>
    <t>072/13.11.24</t>
  </si>
  <si>
    <t>21.10.2024</t>
  </si>
  <si>
    <t>KPW3/JW/174</t>
  </si>
  <si>
    <t>19.10.2024</t>
  </si>
  <si>
    <t>KPW3/JW/173</t>
  </si>
  <si>
    <t>18.10.2024</t>
  </si>
  <si>
    <t>KPW3/JW/172</t>
  </si>
  <si>
    <t>17.10.2024</t>
  </si>
  <si>
    <t>KPW3/JW/171</t>
  </si>
  <si>
    <t>16.10.2024</t>
  </si>
  <si>
    <t>KPW3/JW/170</t>
  </si>
  <si>
    <t>KPW3/JW/169</t>
  </si>
  <si>
    <t>KPW3/JW/168</t>
  </si>
  <si>
    <t>12.10.2024</t>
  </si>
  <si>
    <t>KPW3/JW/167</t>
  </si>
  <si>
    <t>11.10.2024</t>
  </si>
  <si>
    <t>KPW3/JW/166</t>
  </si>
  <si>
    <t>KPW3/JW/165</t>
  </si>
  <si>
    <t>KPW3/JW/164</t>
  </si>
  <si>
    <t>KPW3/JW/163</t>
  </si>
  <si>
    <t>08.10.2024</t>
  </si>
  <si>
    <t>KPW3/JW/162</t>
  </si>
  <si>
    <t>KPW3/JW/161</t>
  </si>
  <si>
    <t>KPW3/JW/160</t>
  </si>
  <si>
    <t>KPW3/JW/159</t>
  </si>
  <si>
    <t>070/07.11.24</t>
  </si>
  <si>
    <t>KPW3/JW/158</t>
  </si>
  <si>
    <t>KPW3/JW/157</t>
  </si>
  <si>
    <t>03.10.2024</t>
  </si>
  <si>
    <t>KPW3/JW/156</t>
  </si>
  <si>
    <t>KPW3/JW/155</t>
  </si>
  <si>
    <t>01.10.2024</t>
  </si>
  <si>
    <t>KPW3/JW/154</t>
  </si>
  <si>
    <t>KPW3/JW/153</t>
  </si>
  <si>
    <t>28.09.2024</t>
  </si>
  <si>
    <t>KPW3/JW/152</t>
  </si>
  <si>
    <t>069/29.10.24</t>
  </si>
  <si>
    <t>KPW3/JW/151</t>
  </si>
  <si>
    <t>27.09.2024</t>
  </si>
  <si>
    <t>KPW3/JW/150</t>
  </si>
  <si>
    <t>26.09.2024</t>
  </si>
  <si>
    <t>KPW3/JW/149</t>
  </si>
  <si>
    <t>KPW3/JW/148</t>
  </si>
  <si>
    <t>067/21.10.24</t>
  </si>
  <si>
    <t>066/21.10.24</t>
  </si>
  <si>
    <t>24.09.2024</t>
  </si>
  <si>
    <t>KPW3/JW/147</t>
  </si>
  <si>
    <t>068/25.10.24</t>
  </si>
  <si>
    <t>KPW3/JW/146</t>
  </si>
  <si>
    <t>KPW3/JW/145</t>
  </si>
  <si>
    <t>21.09.2024</t>
  </si>
  <si>
    <t>KPW3/JW/144</t>
  </si>
  <si>
    <t>KPW3/JW/143</t>
  </si>
  <si>
    <t>KPW3/JW/142</t>
  </si>
  <si>
    <t>KPW3/JW/141</t>
  </si>
  <si>
    <t>064/17.10.24</t>
  </si>
  <si>
    <t>19.09.2024</t>
  </si>
  <si>
    <t>KPW3/JW/140</t>
  </si>
  <si>
    <t>KPW3/JW/139</t>
  </si>
  <si>
    <t>18.09.2024</t>
  </si>
  <si>
    <t>KPW3/JW/138</t>
  </si>
  <si>
    <t>KPW3/JW/137</t>
  </si>
  <si>
    <t>KPW3/JW/136</t>
  </si>
  <si>
    <t>063/14.10.24</t>
  </si>
  <si>
    <t>KPW3/JW/135</t>
  </si>
  <si>
    <t>062/04.10.24</t>
  </si>
  <si>
    <t>061/30.09.24</t>
  </si>
  <si>
    <t>13.09.2024</t>
  </si>
  <si>
    <t>KPW3/JW/134</t>
  </si>
  <si>
    <t>KPW3/JW/133</t>
  </si>
  <si>
    <t>12.09.2024</t>
  </si>
  <si>
    <t>KPW3/JW/132</t>
  </si>
  <si>
    <t>11.09.2024</t>
  </si>
  <si>
    <t>KPW3/JW/131</t>
  </si>
  <si>
    <t>KPW3/JW/130</t>
  </si>
  <si>
    <t>060/27.09.24</t>
  </si>
  <si>
    <t>KPW3/JW/129</t>
  </si>
  <si>
    <t>KPW3/JW/128</t>
  </si>
  <si>
    <t>KPW3/JW/127</t>
  </si>
  <si>
    <t>04.09.2024</t>
  </si>
  <si>
    <t>KPW3/JW/126</t>
  </si>
  <si>
    <t>03.09.2024</t>
  </si>
  <si>
    <t>KPW3/JW/125</t>
  </si>
  <si>
    <t>KPW3/JW/124</t>
  </si>
  <si>
    <t>KPW3/JW/123</t>
  </si>
  <si>
    <t>059/21.09.24</t>
  </si>
  <si>
    <t>058/21.09.24</t>
  </si>
  <si>
    <t>KPW3/JW/122</t>
  </si>
  <si>
    <t>KPW3/JW/121</t>
  </si>
  <si>
    <t>KPW3/JW/120</t>
  </si>
  <si>
    <t>27.08.2024</t>
  </si>
  <si>
    <t>KPW3/JW/119</t>
  </si>
  <si>
    <t>KPW3/JW/118</t>
  </si>
  <si>
    <t>056/19.09.24</t>
  </si>
  <si>
    <t>054/13.09.24</t>
  </si>
  <si>
    <t>25.08.2024</t>
  </si>
  <si>
    <t>KPW3/JW/117</t>
  </si>
  <si>
    <t>24.08.2024</t>
  </si>
  <si>
    <t>KPW3/JW/116</t>
  </si>
  <si>
    <t>LLDPE LINER</t>
  </si>
  <si>
    <t>055/19.09.24</t>
  </si>
  <si>
    <t>23.08.2024</t>
  </si>
  <si>
    <t>KPW3/JW/115</t>
  </si>
  <si>
    <t>KPW3/JW/114</t>
  </si>
  <si>
    <t>KPW3/JW/113</t>
  </si>
  <si>
    <t>KPW3/JW/112</t>
  </si>
  <si>
    <t>19.08.2024</t>
  </si>
  <si>
    <t>KPW3/JW/111</t>
  </si>
  <si>
    <t>17.08.2024</t>
  </si>
  <si>
    <t>KPW3/JW/110</t>
  </si>
  <si>
    <t>16.08.2024</t>
  </si>
  <si>
    <t>KPW3/JW/109</t>
  </si>
  <si>
    <t>KPW3/JW/108</t>
  </si>
  <si>
    <t>13.08.2024</t>
  </si>
  <si>
    <t>KPW3/JW/107</t>
  </si>
  <si>
    <t>051/11.09.24</t>
  </si>
  <si>
    <t>KPW3/JW/106</t>
  </si>
  <si>
    <t>10.08.2024</t>
  </si>
  <si>
    <t>KPW3/JW/105</t>
  </si>
  <si>
    <t>KPW3/JW/104</t>
  </si>
  <si>
    <t>KPW3/JW/103</t>
  </si>
  <si>
    <t>KPW3/JW/102</t>
  </si>
  <si>
    <t>KPW3/JW/101</t>
  </si>
  <si>
    <t>05.08.2024</t>
  </si>
  <si>
    <t>KPW3/JW/100</t>
  </si>
  <si>
    <t>KPW3/JW/099</t>
  </si>
  <si>
    <t>02.08.2024</t>
  </si>
  <si>
    <t>KPW3/JW/098</t>
  </si>
  <si>
    <t>KPW3/JW/097</t>
  </si>
  <si>
    <t>050/31.08.24</t>
  </si>
  <si>
    <t>31.07.2024</t>
  </si>
  <si>
    <t>KPW3/JW/096</t>
  </si>
  <si>
    <t>KPW3/JW/095</t>
  </si>
  <si>
    <t>29.07.2024</t>
  </si>
  <si>
    <t>KPW3/JW/094</t>
  </si>
  <si>
    <t>KPW3/JW/093</t>
  </si>
  <si>
    <t>26.07.2024</t>
  </si>
  <si>
    <t>KPW3/JW/092</t>
  </si>
  <si>
    <t>048/21.08.24</t>
  </si>
  <si>
    <t>KPW3/JW/091</t>
  </si>
  <si>
    <t>24.07.2024</t>
  </si>
  <si>
    <t>KPW3/JW/090</t>
  </si>
  <si>
    <t>KPW3/JW/089</t>
  </si>
  <si>
    <t>KPW3/JW/088</t>
  </si>
  <si>
    <t>20.07.2024</t>
  </si>
  <si>
    <t>KPW3/JW/087</t>
  </si>
  <si>
    <t>19.07.2024</t>
  </si>
  <si>
    <t>KPW3/JW/086</t>
  </si>
  <si>
    <t>KPW3/JW/085</t>
  </si>
  <si>
    <t>045/12.08.24</t>
  </si>
  <si>
    <t>17.07.2024</t>
  </si>
  <si>
    <t>KPW3/JW/084</t>
  </si>
  <si>
    <t>046/12.08.24</t>
  </si>
  <si>
    <t>KPW3/JW/083</t>
  </si>
  <si>
    <t>KPW3/JW/082</t>
  </si>
  <si>
    <t>043/10.08.24</t>
  </si>
  <si>
    <t>11.07.2024</t>
  </si>
  <si>
    <t>KPW3/JW/081</t>
  </si>
  <si>
    <t>10.07.2024</t>
  </si>
  <si>
    <t>KPW3/JW/080</t>
  </si>
  <si>
    <t>KPW3/JW/079</t>
  </si>
  <si>
    <t>08.07.2024</t>
  </si>
  <si>
    <t>KPW3/JW/078</t>
  </si>
  <si>
    <t>KPW3/JW/077</t>
  </si>
  <si>
    <t>KPW3/JW/076</t>
  </si>
  <si>
    <t>041/29.07.24</t>
  </si>
  <si>
    <t>05.07.2024</t>
  </si>
  <si>
    <t>KPW3/JW/075</t>
  </si>
  <si>
    <t>04.07.2024</t>
  </si>
  <si>
    <t>KPW3/JW/074</t>
  </si>
  <si>
    <t>03.07.2024</t>
  </si>
  <si>
    <t>KPW3/JW/073</t>
  </si>
  <si>
    <t>02.07.2024</t>
  </si>
  <si>
    <t>KPW3/JW/072</t>
  </si>
  <si>
    <t>KPW3/JW/071</t>
  </si>
  <si>
    <t>040/27.07.24</t>
  </si>
  <si>
    <t>KPW3/JW/070</t>
  </si>
  <si>
    <t>28.06.2024</t>
  </si>
  <si>
    <t>KPW3/JW/069</t>
  </si>
  <si>
    <t>KPW3/JW/068</t>
  </si>
  <si>
    <t>KPW3/JW/067</t>
  </si>
  <si>
    <t>KPW3/JW/066</t>
  </si>
  <si>
    <t>22.06.2024</t>
  </si>
  <si>
    <t>KPW3/JW/065</t>
  </si>
  <si>
    <t>21.06.2024</t>
  </si>
  <si>
    <t>KPW3/JW/064</t>
  </si>
  <si>
    <t>035/17.07.24</t>
  </si>
  <si>
    <t>034/17.07.24</t>
  </si>
  <si>
    <t>20.06.2024</t>
  </si>
  <si>
    <t>KPW3/JW/063</t>
  </si>
  <si>
    <t>19.06.2024</t>
  </si>
  <si>
    <t>KPW3/JW/062</t>
  </si>
  <si>
    <t>18.06.2024</t>
  </si>
  <si>
    <t>KPW3/JW/061</t>
  </si>
  <si>
    <t>15.06.2024</t>
  </si>
  <si>
    <t>KPW3/JW/060</t>
  </si>
  <si>
    <t>KPW3/JW/059</t>
  </si>
  <si>
    <t>13.06.2024</t>
  </si>
  <si>
    <t>KPW3/JW/058</t>
  </si>
  <si>
    <t>KPW3/JW/057</t>
  </si>
  <si>
    <t>11.06.2024</t>
  </si>
  <si>
    <t>KPW3/JW/056</t>
  </si>
  <si>
    <t>027/03.07.24</t>
  </si>
  <si>
    <t>10.06.2024</t>
  </si>
  <si>
    <t>KPW3/JW/055</t>
  </si>
  <si>
    <t>08.06.2024</t>
  </si>
  <si>
    <t>KPW3/JW/054</t>
  </si>
  <si>
    <t>07.06.2024</t>
  </si>
  <si>
    <t>KPW3/JW/053</t>
  </si>
  <si>
    <t>022/21.06.24</t>
  </si>
  <si>
    <t>06.06.2024</t>
  </si>
  <si>
    <t>KPW3/JW/052</t>
  </si>
  <si>
    <t>05.06.2024</t>
  </si>
  <si>
    <t>KPW3/JW/051</t>
  </si>
  <si>
    <t>019/14.06.24</t>
  </si>
  <si>
    <t>KPW3/JW/050</t>
  </si>
  <si>
    <t>03.06.2024</t>
  </si>
  <si>
    <t>KPW3/JW/049</t>
  </si>
  <si>
    <t>01.06.2024</t>
  </si>
  <si>
    <t>KPW3/JW/048</t>
  </si>
  <si>
    <t>31.05.2024</t>
  </si>
  <si>
    <t>KPW3/JW/047</t>
  </si>
  <si>
    <t>30.05.2024</t>
  </si>
  <si>
    <t>KPW3/JW/046</t>
  </si>
  <si>
    <t>29.05.2024</t>
  </si>
  <si>
    <t>KPW3/JW/045</t>
  </si>
  <si>
    <t>28.05.2024</t>
  </si>
  <si>
    <t>KPW3/JW/044</t>
  </si>
  <si>
    <t>27.05.2024</t>
  </si>
  <si>
    <t>KPW3/JW/043</t>
  </si>
  <si>
    <t>25.05.2024</t>
  </si>
  <si>
    <t>KPW3/JW/042</t>
  </si>
  <si>
    <t>018/10.06.24</t>
  </si>
  <si>
    <t>KPW3/JW/041</t>
  </si>
  <si>
    <t>23.05.2024</t>
  </si>
  <si>
    <t>KPW3/JW/040</t>
  </si>
  <si>
    <t>020/14.06.24</t>
  </si>
  <si>
    <t>014/28.05.24</t>
  </si>
  <si>
    <t>22.05.2024</t>
  </si>
  <si>
    <t>KPW3/JW/039</t>
  </si>
  <si>
    <t>017/07.06.24</t>
  </si>
  <si>
    <t>21.05.2024</t>
  </si>
  <si>
    <t>KPW3/JW/038</t>
  </si>
  <si>
    <t>20.05.2024</t>
  </si>
  <si>
    <t>KPW3/JW/037</t>
  </si>
  <si>
    <t>18.05.2024</t>
  </si>
  <si>
    <t>KPW3/JW/036</t>
  </si>
  <si>
    <t>015/29.05.24</t>
  </si>
  <si>
    <t>16.05.2024</t>
  </si>
  <si>
    <t>KPW3/JW/035</t>
  </si>
  <si>
    <t>016/29.05.24</t>
  </si>
  <si>
    <t>15.05.2024</t>
  </si>
  <si>
    <t>KPW3/JW/034</t>
  </si>
  <si>
    <t>14.05.2024</t>
  </si>
  <si>
    <t>KPW3/JW/033</t>
  </si>
  <si>
    <t>13.05.2024</t>
  </si>
  <si>
    <t>KPW3/JW/032</t>
  </si>
  <si>
    <t>11.05.2024</t>
  </si>
  <si>
    <t>KPW3/JW/031</t>
  </si>
  <si>
    <t>10.05.2024</t>
  </si>
  <si>
    <t>KPW3/JW/030</t>
  </si>
  <si>
    <t>09.05.2024</t>
  </si>
  <si>
    <t>KPW3/JW/029</t>
  </si>
  <si>
    <t>08.05.2024</t>
  </si>
  <si>
    <t>KPW3/JW/028</t>
  </si>
  <si>
    <t>06.05.2024</t>
  </si>
  <si>
    <t>KPW3/JW/027</t>
  </si>
  <si>
    <t>04.05.2024</t>
  </si>
  <si>
    <t>KPW3/JW/026</t>
  </si>
  <si>
    <t>013/24.05.24</t>
  </si>
  <si>
    <t>KPW3/JW/025</t>
  </si>
  <si>
    <t>012/09.05.24</t>
  </si>
  <si>
    <t>03.05.2024</t>
  </si>
  <si>
    <t>KPW3/JW/024</t>
  </si>
  <si>
    <t>KPW3/JW/023</t>
  </si>
  <si>
    <t>02.05.2024</t>
  </si>
  <si>
    <t>KPW3/JW/022</t>
  </si>
  <si>
    <t>01.05.2024</t>
  </si>
  <si>
    <t>KPW3/JW/021</t>
  </si>
  <si>
    <t>29.04.2024</t>
  </si>
  <si>
    <t>KPW3/JW/020</t>
  </si>
  <si>
    <t>27.04.2024</t>
  </si>
  <si>
    <t>KPW3/JW/019</t>
  </si>
  <si>
    <t>25.04.2024</t>
  </si>
  <si>
    <t>KPW3/JW/018</t>
  </si>
  <si>
    <t>24.04.2024</t>
  </si>
  <si>
    <t>KPW3/JW/017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</si>
  <si>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</si>
  <si>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</si>
  <si>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</si>
  <si>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</si>
  <si>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</si>
  <si>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</si>
  <si>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</si>
  <si>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13.04.2024</t>
  </si>
  <si>
    <t>011/29.04.24</t>
  </si>
  <si>
    <t>007/16.04.24</t>
  </si>
  <si>
    <t>12.04.2024</t>
  </si>
  <si>
    <t>11.04.2024</t>
  </si>
  <si>
    <t>10.04.2024</t>
  </si>
  <si>
    <t>010/24.04.24</t>
  </si>
  <si>
    <t>08.04.2024</t>
  </si>
  <si>
    <t>06.04.2024</t>
  </si>
  <si>
    <t>04.04.2024</t>
  </si>
  <si>
    <t>03.04.2024</t>
  </si>
  <si>
    <t>02.04.2024</t>
  </si>
  <si>
    <t>008/17.04.24</t>
  </si>
  <si>
    <t>30.03.2024</t>
  </si>
  <si>
    <t>005/16.04.24</t>
  </si>
  <si>
    <t>29.03.2024</t>
  </si>
  <si>
    <t>28.03.2024</t>
  </si>
  <si>
    <t>27.03.2024</t>
  </si>
  <si>
    <t>004/12.04.24</t>
  </si>
  <si>
    <t>001/02.04.24</t>
  </si>
  <si>
    <t>26.03.2024</t>
  </si>
  <si>
    <t>23.03.2024</t>
  </si>
  <si>
    <t>22.03.2024</t>
  </si>
  <si>
    <t>21.03.2024</t>
  </si>
  <si>
    <t>20.03.2024</t>
  </si>
  <si>
    <t>19.03.2024</t>
  </si>
  <si>
    <t>170/28.03.24</t>
  </si>
  <si>
    <t>18.03.2024</t>
  </si>
  <si>
    <t>16.03.2024</t>
  </si>
  <si>
    <t>15.03.2024</t>
  </si>
  <si>
    <t>13.03.2024</t>
  </si>
  <si>
    <t>12.03.2024</t>
  </si>
  <si>
    <t>11.03.2024</t>
  </si>
  <si>
    <t>09.03.2024</t>
  </si>
  <si>
    <t>08.03.2024</t>
  </si>
  <si>
    <t>MASTERBATCH</t>
  </si>
  <si>
    <t>07.03.2024</t>
  </si>
  <si>
    <t>06.03.2024</t>
  </si>
  <si>
    <t>05.03.2024</t>
  </si>
  <si>
    <t>04.03.2024</t>
  </si>
  <si>
    <t>02.03.2024</t>
  </si>
  <si>
    <t>01.03.2024</t>
  </si>
  <si>
    <t>169/20.03.24</t>
  </si>
  <si>
    <t>168/19.03.24</t>
  </si>
  <si>
    <t>29.02.2024</t>
  </si>
  <si>
    <t>28.02.2024</t>
  </si>
  <si>
    <t>26.02.2024</t>
  </si>
  <si>
    <t>LD/LLDPE FILM</t>
  </si>
  <si>
    <t>24.02.2024</t>
  </si>
  <si>
    <t>23.02.2024</t>
  </si>
  <si>
    <t>22.02.2024</t>
  </si>
  <si>
    <t>21.02.2024</t>
  </si>
  <si>
    <t>20.02.2024</t>
  </si>
  <si>
    <t>19.02.2024</t>
  </si>
  <si>
    <t>17.02.2024</t>
  </si>
  <si>
    <t>15.02.2024</t>
  </si>
  <si>
    <t>14.02.2024</t>
  </si>
  <si>
    <t>13.02.2024</t>
  </si>
  <si>
    <t>167/15.03.24</t>
  </si>
  <si>
    <t>12.02.2024</t>
  </si>
  <si>
    <t>166/14.03.24</t>
  </si>
  <si>
    <t>10.02.2024</t>
  </si>
  <si>
    <t>161/27.02.24</t>
  </si>
  <si>
    <t>160/19.02.24</t>
  </si>
  <si>
    <t>08.02.2024</t>
  </si>
  <si>
    <t>163/01.03.24</t>
  </si>
  <si>
    <t>158/14.02.24</t>
  </si>
  <si>
    <t>155/13.02.24</t>
  </si>
  <si>
    <t>153/12.02.24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</si>
  <si>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</si>
  <si>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</si>
  <si>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</si>
  <si>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</si>
  <si>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</si>
  <si>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</si>
  <si>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</si>
  <si>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</si>
  <si>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27.01.2024</t>
  </si>
  <si>
    <t>25.01.2024</t>
  </si>
  <si>
    <t>24.01.2024</t>
  </si>
  <si>
    <t>20.01.2024</t>
  </si>
  <si>
    <t>19.01.2024</t>
  </si>
  <si>
    <t>159/14.02.24</t>
  </si>
  <si>
    <t>18.01.2024</t>
  </si>
  <si>
    <t>17.01.2024</t>
  </si>
  <si>
    <t>16.01.2024</t>
  </si>
  <si>
    <t>15.01.2024</t>
  </si>
  <si>
    <t>13.01.2024</t>
  </si>
  <si>
    <t>12.01.2024</t>
  </si>
  <si>
    <t>11.01.2024</t>
  </si>
  <si>
    <t>10.01.2024</t>
  </si>
  <si>
    <t>152/10.02.24</t>
  </si>
  <si>
    <t>09.01.2024</t>
  </si>
  <si>
    <t>HD UL WOVEN FABRICS</t>
  </si>
  <si>
    <t>08.01.2024</t>
  </si>
  <si>
    <t>151/09.02.24</t>
  </si>
  <si>
    <t>149/06.02.24</t>
  </si>
  <si>
    <t>147/03.02.24</t>
  </si>
  <si>
    <t>145/31.01.24</t>
  </si>
  <si>
    <t>06.01.2024</t>
  </si>
  <si>
    <t>148/05.02.24</t>
  </si>
  <si>
    <t>05.01.2024</t>
  </si>
  <si>
    <t>144/29.01.24</t>
  </si>
  <si>
    <t>143/27.01.24</t>
  </si>
  <si>
    <t>04.01.2024</t>
  </si>
  <si>
    <t>03.01.2024</t>
  </si>
  <si>
    <t>141/20.01.24</t>
  </si>
  <si>
    <t>02.01.2024</t>
  </si>
  <si>
    <t>01.01.2024</t>
  </si>
  <si>
    <t>30.12.2023</t>
  </si>
  <si>
    <t>29.12.2023</t>
  </si>
  <si>
    <t>28.12.2023</t>
  </si>
  <si>
    <t>27.12.2023</t>
  </si>
  <si>
    <t>26.12.2023</t>
  </si>
  <si>
    <t>139/17.01.24</t>
  </si>
  <si>
    <t>25.12.2023</t>
  </si>
  <si>
    <t>23.12.2023</t>
  </si>
  <si>
    <t>22.12.2023</t>
  </si>
  <si>
    <t>138/13.01.24</t>
  </si>
  <si>
    <t>135/08.01.24</t>
  </si>
  <si>
    <t>134/05.01.24</t>
  </si>
  <si>
    <t>133/03.01.24</t>
  </si>
  <si>
    <t>21.12.2023</t>
  </si>
  <si>
    <t>20.12.2023</t>
  </si>
  <si>
    <t>140/17.01.24</t>
  </si>
  <si>
    <t>19.12.2023</t>
  </si>
  <si>
    <t>18.12.2023</t>
  </si>
  <si>
    <t>16.12.2023</t>
  </si>
  <si>
    <t>14.12.2023</t>
  </si>
  <si>
    <t>12.12.2023</t>
  </si>
  <si>
    <t>11.12.2023</t>
  </si>
  <si>
    <t>09.12.2023</t>
  </si>
  <si>
    <t>08.12.2023</t>
  </si>
  <si>
    <t>07.12.2023</t>
  </si>
  <si>
    <t>06.12.2023</t>
  </si>
  <si>
    <t>05.12.2023</t>
  </si>
  <si>
    <t>04.12.2023</t>
  </si>
  <si>
    <t>02.12.2023</t>
  </si>
  <si>
    <t>01.12.2023</t>
  </si>
  <si>
    <t>126/16.12.23</t>
  </si>
  <si>
    <t>30.11.2023</t>
  </si>
  <si>
    <t>129/22.12.23</t>
  </si>
  <si>
    <t>29.11.2023</t>
  </si>
  <si>
    <t>27.11.2023</t>
  </si>
  <si>
    <t>131/28.12.23</t>
  </si>
  <si>
    <t>25.11.2023</t>
  </si>
  <si>
    <t>128/21.12.23</t>
  </si>
  <si>
    <t>24.11.2023</t>
  </si>
  <si>
    <t>130/26.12.23</t>
  </si>
  <si>
    <t>22.11.2023</t>
  </si>
  <si>
    <t>21.11.2023</t>
  </si>
  <si>
    <t>124/13.12.23</t>
  </si>
  <si>
    <t>20.11.2023</t>
  </si>
  <si>
    <t>122/11.12.23</t>
  </si>
  <si>
    <t>121/08.12.23</t>
  </si>
  <si>
    <t>119/06.12.23</t>
  </si>
  <si>
    <t>18.11.2023</t>
  </si>
  <si>
    <t>123/11.12.23</t>
  </si>
  <si>
    <t>17.11.2023</t>
  </si>
  <si>
    <t>16.11.2023</t>
  </si>
  <si>
    <t>11.11.2023</t>
  </si>
  <si>
    <t>10.11.2023</t>
  </si>
  <si>
    <t>09.11.2023</t>
  </si>
  <si>
    <t>07.11.2023</t>
  </si>
  <si>
    <t>06.11.2023</t>
  </si>
  <si>
    <t>116/30.11.23</t>
  </si>
  <si>
    <t>04.11.2023</t>
  </si>
  <si>
    <t>118/03.12.23</t>
  </si>
  <si>
    <t>117/01.12.23</t>
  </si>
  <si>
    <t>03.11.2023</t>
  </si>
  <si>
    <t>02.11.2023</t>
  </si>
  <si>
    <t>113/24.11.23</t>
  </si>
  <si>
    <t>31.10.2023</t>
  </si>
  <si>
    <t>28.10.2023</t>
  </si>
  <si>
    <t>112/22.11.23</t>
  </si>
  <si>
    <t>25.10.2023</t>
  </si>
  <si>
    <t>115/28.11.23</t>
  </si>
  <si>
    <t>114/25.11.23</t>
  </si>
  <si>
    <t>23.10.2023</t>
  </si>
  <si>
    <t>111/21.11.23</t>
  </si>
  <si>
    <t>21.10.2023</t>
  </si>
  <si>
    <t>20.10.2023</t>
  </si>
  <si>
    <t>110/18.11.23</t>
  </si>
  <si>
    <t>19.10.2023</t>
  </si>
  <si>
    <t>18.10.2023</t>
  </si>
  <si>
    <t>108/09.11.23</t>
  </si>
  <si>
    <t>107/07.11.23</t>
  </si>
  <si>
    <t>104/03.11.23</t>
  </si>
  <si>
    <t>17.10.2023</t>
  </si>
  <si>
    <t>109/09.11.23</t>
  </si>
  <si>
    <t>16.10.2023</t>
  </si>
  <si>
    <t>13.10.2023</t>
  </si>
  <si>
    <t>11.10.2023</t>
  </si>
  <si>
    <t>10.10.2023</t>
  </si>
  <si>
    <t>09.10.2023</t>
  </si>
  <si>
    <t>07.10.2023</t>
  </si>
  <si>
    <t>103/02.11.23</t>
  </si>
  <si>
    <t>06.10.2023</t>
  </si>
  <si>
    <t>05.10.2023</t>
  </si>
  <si>
    <t>04.10.2023</t>
  </si>
  <si>
    <t>03.10.2023</t>
  </si>
  <si>
    <t>29.09.2023</t>
  </si>
  <si>
    <t>28.09.2023</t>
  </si>
  <si>
    <t>102/01.11.23</t>
  </si>
  <si>
    <t>101/30.10.23</t>
  </si>
  <si>
    <t>098/26.10.23</t>
  </si>
  <si>
    <t>097/24.10.23</t>
  </si>
  <si>
    <t>096/20.10.23</t>
  </si>
  <si>
    <t>093/17.10.23</t>
  </si>
  <si>
    <t>27.09.2023</t>
  </si>
  <si>
    <t>26.09.2023</t>
  </si>
  <si>
    <t>100/28.10.23</t>
  </si>
  <si>
    <t>25.09.2023</t>
  </si>
  <si>
    <t>23.09.2023</t>
  </si>
  <si>
    <t>22.09.2023</t>
  </si>
  <si>
    <t>21.09.2023</t>
  </si>
  <si>
    <t>20.09.2023</t>
  </si>
  <si>
    <t>19.09.2023</t>
  </si>
  <si>
    <t>18.09.2023</t>
  </si>
  <si>
    <t>16.09.2023</t>
  </si>
  <si>
    <t>095/18.10.23</t>
  </si>
  <si>
    <t>086/30.09.23</t>
  </si>
  <si>
    <t>15.09.2023</t>
  </si>
  <si>
    <t>14.09.2023</t>
  </si>
  <si>
    <t>13.09.2023</t>
  </si>
  <si>
    <t>12.09.2023</t>
  </si>
  <si>
    <t>11.09.2023</t>
  </si>
  <si>
    <t>094/17.10.23</t>
  </si>
  <si>
    <t>09.09.2023</t>
  </si>
  <si>
    <t>089/11.10.23</t>
  </si>
  <si>
    <t>08.09.2023</t>
  </si>
  <si>
    <t>088/09.10.23</t>
  </si>
  <si>
    <t>087/05.10.23</t>
  </si>
  <si>
    <t>06.09.2023</t>
  </si>
  <si>
    <t>05.09.2023</t>
  </si>
  <si>
    <t>04.09.2023</t>
  </si>
  <si>
    <t>02.09.2023</t>
  </si>
  <si>
    <t>01.09.2023</t>
  </si>
  <si>
    <t>31.08.2023</t>
  </si>
  <si>
    <t>29.08.2023</t>
  </si>
  <si>
    <t>085/29.09.23</t>
  </si>
  <si>
    <t>28.08.2023</t>
  </si>
  <si>
    <t>26.08.2023</t>
  </si>
  <si>
    <t>25.08.2023</t>
  </si>
  <si>
    <t>081/25.09.23</t>
  </si>
  <si>
    <t>24.08.2023</t>
  </si>
  <si>
    <t>23.08.2023</t>
  </si>
  <si>
    <t>080/23.09.23</t>
  </si>
  <si>
    <t>22.08.2023</t>
  </si>
  <si>
    <t>079/22.09.23</t>
  </si>
  <si>
    <t>21.08.2023</t>
  </si>
  <si>
    <t>077/16.09.23</t>
  </si>
  <si>
    <t>19.08.2023</t>
  </si>
  <si>
    <t>18.08.2023</t>
  </si>
  <si>
    <t>17.08.2023</t>
  </si>
  <si>
    <t>075/11.09.23</t>
  </si>
  <si>
    <t>16.08.2023</t>
  </si>
  <si>
    <t>074/09.09.23</t>
  </si>
  <si>
    <t>14.08.2023</t>
  </si>
  <si>
    <t>076/12.09.23</t>
  </si>
  <si>
    <t>12.08.2023</t>
  </si>
  <si>
    <t>10.08.2023</t>
  </si>
  <si>
    <t>09.08.2023</t>
  </si>
  <si>
    <t>08.08.2023</t>
  </si>
  <si>
    <t>07.08.2023</t>
  </si>
  <si>
    <t>073/08.09.23</t>
  </si>
  <si>
    <t>05.08.2023</t>
  </si>
  <si>
    <t>04.08.2023</t>
  </si>
  <si>
    <t>03.08.2023</t>
  </si>
  <si>
    <t>072/06.09.23</t>
  </si>
  <si>
    <t>071/05.09.23</t>
  </si>
  <si>
    <t>01.08.2023</t>
  </si>
  <si>
    <t>31.07.2023</t>
  </si>
  <si>
    <t>29.07.2023</t>
  </si>
  <si>
    <t>27.07.2023</t>
  </si>
  <si>
    <t>070/02.09.23</t>
  </si>
  <si>
    <t>26.07.2023</t>
  </si>
  <si>
    <t>25.07.2023</t>
  </si>
  <si>
    <t>069/30.08.23</t>
  </si>
  <si>
    <t>063/17.08.23</t>
  </si>
  <si>
    <t>060/09.08.23</t>
  </si>
  <si>
    <t>24.07.2023</t>
  </si>
  <si>
    <t>22.07.2023</t>
  </si>
  <si>
    <t>21.07.2023</t>
  </si>
  <si>
    <t>20.07.2023</t>
  </si>
  <si>
    <t>19.07.2023</t>
  </si>
  <si>
    <t>18.07.2023</t>
  </si>
  <si>
    <t>17.07.2023</t>
  </si>
  <si>
    <t>068/29.08.23</t>
  </si>
  <si>
    <t>16.07.2023</t>
  </si>
  <si>
    <t>14.07.2023</t>
  </si>
  <si>
    <t>064/17.08.23</t>
  </si>
  <si>
    <t>13.07.2023</t>
  </si>
  <si>
    <t>12.07.2023</t>
  </si>
  <si>
    <t>061/12.08.23</t>
  </si>
  <si>
    <t>10.07.2023</t>
  </si>
  <si>
    <t>07.07.2023</t>
  </si>
  <si>
    <t>059/08.08.23</t>
  </si>
  <si>
    <t>06.07.2023</t>
  </si>
  <si>
    <t>05.07.2023</t>
  </si>
  <si>
    <t>04.07.2023</t>
  </si>
  <si>
    <t>03.07.2023</t>
  </si>
  <si>
    <t>01.07.2023</t>
  </si>
  <si>
    <t>058/07.08.23</t>
  </si>
  <si>
    <t>057/04.08.23</t>
  </si>
  <si>
    <t>30.06.2023</t>
  </si>
  <si>
    <t>28.06.2023</t>
  </si>
  <si>
    <t>056/02.08.23</t>
  </si>
  <si>
    <t>27.06.2023</t>
  </si>
  <si>
    <t>26.06.2023</t>
  </si>
  <si>
    <t>055/01.08.23</t>
  </si>
  <si>
    <t>24.06.2023</t>
  </si>
  <si>
    <t>23.06.2023</t>
  </si>
  <si>
    <t>22.06.2023</t>
  </si>
  <si>
    <t>21.06.2023</t>
  </si>
  <si>
    <t>20.06.2023</t>
  </si>
  <si>
    <t>14.06.2023</t>
  </si>
  <si>
    <t>13.06.2023</t>
  </si>
  <si>
    <t>054/31.07.23</t>
  </si>
  <si>
    <t>12.06.2023</t>
  </si>
  <si>
    <t>10.06.2023</t>
  </si>
  <si>
    <t>053/29.07.23</t>
  </si>
  <si>
    <t>09.06.2023</t>
  </si>
  <si>
    <t>038/29.06.23</t>
  </si>
  <si>
    <t>08.06.2023</t>
  </si>
  <si>
    <t>07.06.2023</t>
  </si>
  <si>
    <t>06.06.2023</t>
  </si>
  <si>
    <t>05.06.2023</t>
  </si>
  <si>
    <t>03.06.2023</t>
  </si>
  <si>
    <t>01.06.2023</t>
  </si>
  <si>
    <t>051/27.07.23</t>
  </si>
  <si>
    <t>047/20.07.23</t>
  </si>
  <si>
    <t>044/12.07.23</t>
  </si>
  <si>
    <t>30.05.2023</t>
  </si>
  <si>
    <t>052/27.07.23</t>
  </si>
  <si>
    <t>29.05.2023</t>
  </si>
  <si>
    <t>25.05.2023</t>
  </si>
  <si>
    <t>23.05.2023</t>
  </si>
  <si>
    <t>046/15.07.23</t>
  </si>
  <si>
    <t>045/13.07.23</t>
  </si>
  <si>
    <t>21.05.2023</t>
  </si>
  <si>
    <t>20.05.2023</t>
  </si>
  <si>
    <t>19.05.2023</t>
  </si>
  <si>
    <t>18.05.2023</t>
  </si>
  <si>
    <t>17.05.2023</t>
  </si>
  <si>
    <t>16.05.2023</t>
  </si>
  <si>
    <t>041/01.07.23</t>
  </si>
  <si>
    <t>FILLER CORD</t>
  </si>
  <si>
    <t>15.05.2023</t>
  </si>
  <si>
    <t>13.05.2023</t>
  </si>
  <si>
    <t>11.05.2023</t>
  </si>
  <si>
    <t>10.05.2023</t>
  </si>
  <si>
    <t>08.05.2023</t>
  </si>
  <si>
    <t>06.05.2023</t>
  </si>
  <si>
    <t>04.05.2023</t>
  </si>
  <si>
    <t>03.05.2023</t>
  </si>
  <si>
    <t>039/29.06.23</t>
  </si>
  <si>
    <t>01.05.2023</t>
  </si>
  <si>
    <t>037/24.06.23</t>
  </si>
  <si>
    <t>29.04.2023</t>
  </si>
  <si>
    <t>035/23.06.23</t>
  </si>
  <si>
    <t>034/22.06.23</t>
  </si>
  <si>
    <t>27.04.2023</t>
  </si>
  <si>
    <t>26.04.2023</t>
  </si>
  <si>
    <t>036/23.06.23</t>
  </si>
  <si>
    <t>25.04.2023</t>
  </si>
  <si>
    <t>24.04.2023</t>
  </si>
  <si>
    <t>033/12.06.23</t>
  </si>
  <si>
    <t>22.04.2023</t>
  </si>
  <si>
    <t>21.04.2023</t>
  </si>
  <si>
    <t>19.04.2023</t>
  </si>
  <si>
    <t>031/09.06.23</t>
  </si>
  <si>
    <t>030/08.06.23</t>
  </si>
  <si>
    <t>17.04.2023</t>
  </si>
  <si>
    <t>15.04.2023</t>
  </si>
  <si>
    <t>14.04.2023</t>
  </si>
  <si>
    <t>13.04.2023</t>
  </si>
  <si>
    <t>12.04.2023</t>
  </si>
  <si>
    <t>11.04.2023</t>
  </si>
  <si>
    <t>028/05.06.23</t>
  </si>
  <si>
    <t>08.04.2023</t>
  </si>
  <si>
    <t>07.04.2023</t>
  </si>
  <si>
    <t>026/29.05.23</t>
  </si>
  <si>
    <t>025/26.05.23</t>
  </si>
  <si>
    <t>021/19.05.23</t>
  </si>
  <si>
    <t>018/11.05.23</t>
  </si>
  <si>
    <t>016/11.05.23</t>
  </si>
  <si>
    <t>06.04.2023</t>
  </si>
  <si>
    <t>04.04.2023</t>
  </si>
  <si>
    <t>03.04.2023</t>
  </si>
  <si>
    <t>01.04.2023</t>
  </si>
  <si>
    <t>Oswal Extrusion Ltd- KASEZ- Permission No : KASEZ/CUS/01/38/05-06/Pt-IV/ date : 12.05.2021</t>
  </si>
  <si>
    <t>Column Labels</t>
  </si>
  <si>
    <t>25-26</t>
  </si>
  <si>
    <t xml:space="preserve">DIFFRENCE BALANCE </t>
  </si>
  <si>
    <t>TOTAL BALANCE</t>
  </si>
  <si>
    <t>PPL</t>
  </si>
  <si>
    <t xml:space="preserve"> 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</si>
  <si>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</si>
  <si>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</si>
  <si>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</si>
  <si>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</si>
  <si>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</si>
  <si>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</si>
  <si>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</si>
  <si>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</si>
  <si>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</si>
  <si>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</si>
  <si>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</si>
  <si>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</si>
  <si>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March Closing </t>
  </si>
  <si>
    <t>PP/HD/LD WASTE</t>
  </si>
  <si>
    <t>PP MF Yarn</t>
  </si>
  <si>
    <t>PP GRANULES</t>
  </si>
  <si>
    <t>LLDPE BLENDED FILM IN TUBULAR ROLLS</t>
  </si>
  <si>
    <t>UV/MB</t>
  </si>
  <si>
    <t>LLDPE Liner</t>
  </si>
  <si>
    <t>Closing Balance Qty</t>
  </si>
  <si>
    <t>Total Send FIBC Jumbo &amp; Fabrics Bags Qty</t>
  </si>
  <si>
    <t>TOTAL Received Raw Material</t>
  </si>
  <si>
    <t xml:space="preserve">Opning Balance </t>
  </si>
  <si>
    <t>Total Received Qty</t>
  </si>
  <si>
    <t xml:space="preserve">Received Material </t>
  </si>
  <si>
    <t>Months</t>
  </si>
  <si>
    <t>pend. Day</t>
  </si>
  <si>
    <t>Today</t>
  </si>
  <si>
    <t xml:space="preserve">exp Date </t>
  </si>
  <si>
    <t>Chall No</t>
  </si>
  <si>
    <t xml:space="preserve">Sr. no </t>
  </si>
  <si>
    <t xml:space="preserve">KPW-3 Last Chalan Date </t>
  </si>
  <si>
    <t xml:space="preserve">PIL-1 Last Chalan Date </t>
  </si>
  <si>
    <t>Inventory movement fo the month of August 2025</t>
  </si>
  <si>
    <t>Inventory movement fo the month of September 2025</t>
  </si>
  <si>
    <t>Inventory movement fo the month of Octomber 2025</t>
  </si>
  <si>
    <t>Inventory movement fo the month of November2025</t>
  </si>
  <si>
    <t>Inventory movement fo the month of December 2025</t>
  </si>
  <si>
    <t>Inventory movement fo the month of January 2026</t>
  </si>
  <si>
    <t>Inventory movement fo the month of Febuary 2026</t>
  </si>
  <si>
    <t>Inventory movement fo the month of March 2026</t>
  </si>
  <si>
    <t>19.04.2025</t>
  </si>
  <si>
    <t>YTD STOCK REPORT 2025-26</t>
  </si>
  <si>
    <t>Inventory movement fo the month of APRIL To March 2025-26</t>
  </si>
  <si>
    <t>netwt</t>
  </si>
  <si>
    <t>Sum of Basic Amount</t>
  </si>
  <si>
    <t>21.04.2025</t>
  </si>
  <si>
    <t>22.04.2025</t>
  </si>
  <si>
    <t>Iteam Code</t>
  </si>
  <si>
    <t>Sub Group Name</t>
  </si>
  <si>
    <t>Iteam Name</t>
  </si>
  <si>
    <t>Issu</t>
  </si>
  <si>
    <t>23.04.2025</t>
  </si>
  <si>
    <t>PIL1/JW/015</t>
  </si>
  <si>
    <t>25.04.2025</t>
  </si>
  <si>
    <t>24.04.2025</t>
  </si>
  <si>
    <t>004/26.04.25</t>
  </si>
  <si>
    <t>005/26.04.25</t>
  </si>
  <si>
    <t>006/26.04.25</t>
  </si>
  <si>
    <t>007/26.04.25</t>
  </si>
  <si>
    <t>U.V. STABILIZER MASTER BATCH</t>
  </si>
  <si>
    <t>PIL1/JW/019</t>
  </si>
  <si>
    <t>28.04.2025</t>
  </si>
  <si>
    <t>29.04.2025</t>
  </si>
  <si>
    <t>008/30.04.25</t>
  </si>
  <si>
    <t>009</t>
  </si>
  <si>
    <t>010</t>
  </si>
  <si>
    <t>011</t>
  </si>
  <si>
    <t>012</t>
  </si>
  <si>
    <t>013</t>
  </si>
  <si>
    <t>014</t>
  </si>
  <si>
    <t>015</t>
  </si>
  <si>
    <t>016</t>
  </si>
  <si>
    <t>30.04.2025</t>
  </si>
  <si>
    <t>02.05.2025</t>
  </si>
  <si>
    <t>03.05.2025</t>
  </si>
  <si>
    <t>05.05.2025</t>
  </si>
  <si>
    <t>009/06.05.25</t>
  </si>
  <si>
    <t>07.05.2025</t>
  </si>
  <si>
    <t>010/08.05.25</t>
  </si>
  <si>
    <t>08.05.2025</t>
  </si>
  <si>
    <t>09.05.2025</t>
  </si>
  <si>
    <t>10.05.2025</t>
  </si>
  <si>
    <t>12.05.2025</t>
  </si>
  <si>
    <t>14.05.2025</t>
  </si>
  <si>
    <t>011/15.05.25</t>
  </si>
  <si>
    <t>15.05.2025</t>
  </si>
  <si>
    <t>16.05.2025</t>
  </si>
  <si>
    <t>19.05.2025</t>
  </si>
  <si>
    <t>012/18.05.25</t>
  </si>
  <si>
    <t>21.05.2025</t>
  </si>
  <si>
    <t>013/23.05.25</t>
  </si>
  <si>
    <t>23.05.2025</t>
  </si>
  <si>
    <t>For Jobwork Vide DCC Permission No.F.NO. KASEZ/Cus0miso/36/2025-SEZ-KANDLA-836 Dt : 21.05.2025 Under Rule 43OfSezRules2006</t>
  </si>
  <si>
    <t>Oswal Extrusion Ltd- KASEZ- Permission No.F.NO. KASEZ/Cus0miso/36/2025-SEZ-KANDLA-836 Dt : 21.05.2025 Under Rule 43OfSezRules2006</t>
  </si>
  <si>
    <t>PIL1/JW/026</t>
  </si>
  <si>
    <t>25.05.2025</t>
  </si>
  <si>
    <t>24.05.2025</t>
  </si>
  <si>
    <t>RAW05516</t>
  </si>
  <si>
    <t>26.05.2025</t>
  </si>
  <si>
    <t>27.05.2025</t>
  </si>
  <si>
    <t>PIL1/JW/028</t>
  </si>
  <si>
    <t>28.05.2025</t>
  </si>
  <si>
    <t>014/27.05.25</t>
  </si>
  <si>
    <t>015/29.05.25</t>
  </si>
  <si>
    <t>29.05.2025</t>
  </si>
  <si>
    <t>016/31.05.25</t>
  </si>
  <si>
    <t>31.05.2025</t>
  </si>
  <si>
    <t>02.06.2025</t>
  </si>
  <si>
    <t>03.06.2025</t>
  </si>
  <si>
    <t>04.06.2025</t>
  </si>
  <si>
    <t>05.06.2025</t>
  </si>
  <si>
    <t>017/06.06.25</t>
  </si>
  <si>
    <t>06.06.2025</t>
  </si>
  <si>
    <t>07.06.2025</t>
  </si>
  <si>
    <t>09.06.2025</t>
  </si>
  <si>
    <t>10.06.2025</t>
  </si>
  <si>
    <t>11.06.2025</t>
  </si>
  <si>
    <t>12.06.2025</t>
  </si>
  <si>
    <t>018/13.06.25</t>
  </si>
  <si>
    <t>13.06.2025</t>
  </si>
  <si>
    <t>019/16.06.25</t>
  </si>
  <si>
    <t>16.06.2025</t>
  </si>
  <si>
    <t>17.06.2025</t>
  </si>
  <si>
    <t>18.06.2025</t>
  </si>
  <si>
    <t>19.06.2025</t>
  </si>
  <si>
    <t>20.06.2025</t>
  </si>
  <si>
    <t>21.06.2025</t>
  </si>
  <si>
    <t>020/20.06.25</t>
  </si>
  <si>
    <t>23.06.2025</t>
  </si>
  <si>
    <t>24.06.2025</t>
  </si>
  <si>
    <t>25.06.2025</t>
  </si>
  <si>
    <t>26.06.2025</t>
  </si>
  <si>
    <t>27.06.2025</t>
  </si>
  <si>
    <t>28.06.2025</t>
  </si>
  <si>
    <t>PIL1/JW/048</t>
  </si>
  <si>
    <t>021/30.06.25</t>
  </si>
  <si>
    <t>30.06.2025</t>
  </si>
  <si>
    <t>01.07.2025</t>
  </si>
  <si>
    <t>022/02.07.25</t>
  </si>
  <si>
    <t>023/02.07.25</t>
  </si>
  <si>
    <t>03.07.2025</t>
  </si>
  <si>
    <t>PIL1/JW/056</t>
  </si>
  <si>
    <t>04.07.2025</t>
  </si>
  <si>
    <t>024/05.07.25</t>
  </si>
  <si>
    <t>05.07.2025</t>
  </si>
  <si>
    <t>08.07.2025</t>
  </si>
  <si>
    <t>07.07.2025</t>
  </si>
  <si>
    <t>09.07.2025</t>
  </si>
  <si>
    <t>025/12.07.25</t>
  </si>
  <si>
    <t>11.07.2025</t>
  </si>
  <si>
    <t>12.07.2025</t>
  </si>
  <si>
    <t>PIL1/JW/057</t>
  </si>
  <si>
    <t>PIL1/JW/060</t>
  </si>
  <si>
    <t>14.07.2025</t>
  </si>
  <si>
    <t>15.07.2025</t>
  </si>
  <si>
    <t>16.07.2025</t>
  </si>
  <si>
    <t>17.07.2025</t>
  </si>
  <si>
    <t>18.07.2025</t>
  </si>
  <si>
    <t>19.07.2025</t>
  </si>
  <si>
    <t>21.07.2025</t>
  </si>
  <si>
    <t>22.07.2025</t>
  </si>
  <si>
    <t>23.07.2025</t>
  </si>
  <si>
    <t>25.07.2025</t>
  </si>
  <si>
    <t>026/26.07.25</t>
  </si>
  <si>
    <t>027/28.07.25</t>
  </si>
  <si>
    <t>26.07.2025</t>
  </si>
  <si>
    <t>28.07.2025</t>
  </si>
  <si>
    <t>028/29.07.25</t>
  </si>
  <si>
    <t>29.07.2025</t>
  </si>
  <si>
    <t>PIL1/JW/067</t>
  </si>
  <si>
    <t>029/29.07.25</t>
  </si>
  <si>
    <t>acc. Pro</t>
  </si>
  <si>
    <t>30.07.2025</t>
  </si>
  <si>
    <t>31.07.2025</t>
  </si>
  <si>
    <t>030/31.07.25</t>
  </si>
  <si>
    <t>PP WOVEN BAGS/SACK</t>
  </si>
  <si>
    <t>01.08.2025</t>
  </si>
  <si>
    <t>02.08.2025</t>
  </si>
  <si>
    <t>03.08.2025</t>
  </si>
  <si>
    <t>05.08.2025</t>
  </si>
  <si>
    <t>06.08.2025</t>
  </si>
  <si>
    <t>07.08.2025</t>
  </si>
  <si>
    <t>08.08.2025</t>
  </si>
  <si>
    <t>PIL1/JW/073</t>
  </si>
  <si>
    <t>031/09.08.25</t>
  </si>
  <si>
    <t>09.08.2025</t>
  </si>
  <si>
    <t>11.08.2025</t>
  </si>
  <si>
    <t>PIL1/JW/076</t>
  </si>
  <si>
    <t>PIL1/JW/077</t>
  </si>
  <si>
    <t>PIL1/JW/079</t>
  </si>
  <si>
    <t>12.08.2025</t>
  </si>
  <si>
    <t>13.08.2025</t>
  </si>
  <si>
    <t>032/13.08.25</t>
  </si>
  <si>
    <t>14.08.2025</t>
  </si>
  <si>
    <t>PIL1/JW/081</t>
  </si>
  <si>
    <t>033/16.08.25</t>
  </si>
  <si>
    <t>PIL1/JW/082</t>
  </si>
  <si>
    <t>16.08.2025</t>
  </si>
  <si>
    <t>18.08.2025</t>
  </si>
  <si>
    <t>19.08.2025</t>
  </si>
  <si>
    <t>20.08.2025</t>
  </si>
  <si>
    <t>034/21.08.25</t>
  </si>
  <si>
    <t>035/21.08.25</t>
  </si>
  <si>
    <t>21.08.2025</t>
  </si>
  <si>
    <t>22.08.2025</t>
  </si>
  <si>
    <t>PIL1/JW/084</t>
  </si>
  <si>
    <t>23.08.2025</t>
  </si>
  <si>
    <t>24.08.2025</t>
  </si>
  <si>
    <t>25.08.2025</t>
  </si>
  <si>
    <t>036/25.08.25</t>
  </si>
  <si>
    <t>037/26.08.25</t>
  </si>
  <si>
    <t>26.08.2025</t>
  </si>
  <si>
    <t>27.08.2025</t>
  </si>
  <si>
    <t>28.08.2025</t>
  </si>
  <si>
    <t>30.08.2025</t>
  </si>
  <si>
    <t>29.08.2025</t>
  </si>
  <si>
    <t>038/29.08.25</t>
  </si>
  <si>
    <t>039/02.09.25</t>
  </si>
  <si>
    <t>01.09.2025</t>
  </si>
  <si>
    <t>02.09.2025</t>
  </si>
  <si>
    <t>05.09.2025</t>
  </si>
  <si>
    <t>03.09.2025</t>
  </si>
  <si>
    <t>08.09.2025</t>
  </si>
  <si>
    <t>09.09.2025</t>
  </si>
  <si>
    <t>10.09.2025</t>
  </si>
  <si>
    <t>040/05.09.25</t>
  </si>
  <si>
    <t>11.09.2025</t>
  </si>
  <si>
    <t>12.09.2025</t>
  </si>
  <si>
    <t>13.09.2025</t>
  </si>
  <si>
    <t>PIL1/JW/105</t>
  </si>
  <si>
    <t>15.09.2025</t>
  </si>
  <si>
    <t>PIL1/JW/106</t>
  </si>
  <si>
    <t>041/15.09.25</t>
  </si>
  <si>
    <t>16.09.2025</t>
  </si>
  <si>
    <t>PIL1/JW/108</t>
  </si>
  <si>
    <t>042/17.09.25</t>
  </si>
  <si>
    <t>043/17.09.25</t>
  </si>
  <si>
    <t>044/19.09.25</t>
  </si>
  <si>
    <t>17.09.2025</t>
  </si>
  <si>
    <t>18.09.2025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</si>
  <si>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</si>
  <si>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</si>
  <si>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</si>
  <si>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</si>
  <si>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</si>
  <si>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</si>
  <si>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</si>
  <si>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045/25.09.25</t>
  </si>
  <si>
    <t>046/26.09.25</t>
  </si>
  <si>
    <t>047/26.09.25</t>
  </si>
  <si>
    <t>048/29.09.25</t>
  </si>
  <si>
    <t>29.09.2025</t>
  </si>
  <si>
    <t>27.09.2025</t>
  </si>
  <si>
    <t>049/30.09.25</t>
  </si>
  <si>
    <t>30.09.2025</t>
  </si>
  <si>
    <t>01.10.2025</t>
  </si>
  <si>
    <t>03.10.2025</t>
  </si>
  <si>
    <t>04.10.2025</t>
  </si>
  <si>
    <t>06.10.2025</t>
  </si>
  <si>
    <t>050/07.10.25</t>
  </si>
  <si>
    <t>07.10.2025</t>
  </si>
  <si>
    <t>PIL1/JW/121</t>
  </si>
  <si>
    <t>08.10.2025</t>
  </si>
  <si>
    <t>PIL1/JW/125</t>
  </si>
  <si>
    <t>14.10.2025</t>
  </si>
  <si>
    <t>10.10.2025</t>
  </si>
  <si>
    <t>11.10.2025</t>
  </si>
  <si>
    <t>13.10.2025</t>
  </si>
  <si>
    <t>15.10.2025</t>
  </si>
  <si>
    <t>16.10.2025</t>
  </si>
  <si>
    <t>PIL1/JW/129</t>
  </si>
  <si>
    <t>051/17.10.25</t>
  </si>
  <si>
    <t>17.10.2025</t>
  </si>
  <si>
    <t>18.10.2025</t>
  </si>
  <si>
    <t>23.10.2025</t>
  </si>
  <si>
    <t>052/17.10.25</t>
  </si>
  <si>
    <t>24.10.2025</t>
  </si>
  <si>
    <t>25.10.2025</t>
  </si>
  <si>
    <t>053/27.10.25</t>
  </si>
  <si>
    <t>054/27.10.25</t>
  </si>
  <si>
    <t>27.10.2025</t>
  </si>
  <si>
    <t>28.10.2025</t>
  </si>
  <si>
    <t>29.10.2025</t>
  </si>
  <si>
    <t>055/31.10.25</t>
  </si>
  <si>
    <t>31.10.2025</t>
  </si>
  <si>
    <t>02.11.2025</t>
  </si>
  <si>
    <t>01.11.2025</t>
  </si>
  <si>
    <t>03.11.2025</t>
  </si>
  <si>
    <t>04.11.2025</t>
  </si>
  <si>
    <t>05.11.2025</t>
  </si>
  <si>
    <t>06.11.2025</t>
  </si>
  <si>
    <t>07.11.2025</t>
  </si>
  <si>
    <t>056/07.11.25</t>
  </si>
  <si>
    <t>056/10.11.25</t>
  </si>
  <si>
    <t>08.11.2025</t>
  </si>
  <si>
    <t>10.11.2025</t>
  </si>
  <si>
    <t>11.11.2025</t>
  </si>
  <si>
    <t>12.11.2025</t>
  </si>
  <si>
    <t>13.11.2025</t>
  </si>
  <si>
    <t>058/14.11.25</t>
  </si>
  <si>
    <t>14.11.2025</t>
  </si>
  <si>
    <t>059/19.11.25</t>
  </si>
  <si>
    <t>WIP00151</t>
  </si>
  <si>
    <t>17.11.2025</t>
  </si>
  <si>
    <t>18.11.2025</t>
  </si>
  <si>
    <t>PIL1/JW/148</t>
  </si>
  <si>
    <t>060/22.11.25</t>
  </si>
  <si>
    <t>PIL1/JW/149</t>
  </si>
  <si>
    <t>20.11.2025</t>
  </si>
  <si>
    <t>Rope</t>
  </si>
  <si>
    <t>PIL1/JW/151</t>
  </si>
  <si>
    <t>22.11.2025</t>
  </si>
  <si>
    <t>19.11.2025</t>
  </si>
  <si>
    <t>061/22.11.25</t>
  </si>
  <si>
    <t>24.11.2025</t>
  </si>
  <si>
    <t>25.11.2025</t>
  </si>
  <si>
    <t>26.11.2025</t>
  </si>
  <si>
    <t>27.11.2025</t>
  </si>
  <si>
    <t>062/26.11.25</t>
  </si>
  <si>
    <t>063/28.11.25</t>
  </si>
  <si>
    <t>064/28.11.25</t>
  </si>
  <si>
    <t>PP GRANULES RETURN</t>
  </si>
  <si>
    <t>28.11.2025</t>
  </si>
  <si>
    <t>065/29.11.25</t>
  </si>
  <si>
    <t>066/29.11.25</t>
  </si>
  <si>
    <t>067/29.11.25</t>
  </si>
  <si>
    <t>29.11.2025</t>
  </si>
  <si>
    <t>01.12.2025</t>
  </si>
  <si>
    <t>03.12.2025</t>
  </si>
  <si>
    <t>04.12.2025</t>
  </si>
  <si>
    <t>05.12.2025</t>
  </si>
  <si>
    <t>06.12.2025</t>
  </si>
  <si>
    <t>08.12.2025</t>
  </si>
  <si>
    <t>09.12.2025</t>
  </si>
  <si>
    <t>068/01.12.25</t>
  </si>
  <si>
    <t>10.12.2025</t>
  </si>
  <si>
    <t>11.12.2025</t>
  </si>
  <si>
    <t>069/12.12.25</t>
  </si>
  <si>
    <t>RAW06223</t>
  </si>
  <si>
    <t>12.12.2025</t>
  </si>
  <si>
    <t>13.12.2025</t>
  </si>
  <si>
    <t>PIL1/JW/161</t>
  </si>
  <si>
    <t>PIL1/JW/162</t>
  </si>
  <si>
    <t>PIL1/JW/163</t>
  </si>
  <si>
    <t>070/12.12.25</t>
  </si>
  <si>
    <t>15.12.2025</t>
  </si>
  <si>
    <t>16.12.2025</t>
  </si>
  <si>
    <t>17.12.2025</t>
  </si>
  <si>
    <t>PIL1/JW/164</t>
  </si>
  <si>
    <t>RAW05173</t>
  </si>
  <si>
    <t>18.12.2025</t>
  </si>
  <si>
    <t>PIL1/JW/165</t>
  </si>
  <si>
    <t>071/19.12.25</t>
  </si>
  <si>
    <t>19.12.2025</t>
  </si>
  <si>
    <t>20.12.2025</t>
  </si>
  <si>
    <t>22.12.2025</t>
  </si>
  <si>
    <t>PIL1/JW/168</t>
  </si>
  <si>
    <t>PIL1/JW/169</t>
  </si>
  <si>
    <t>PIL1/JW/170</t>
  </si>
  <si>
    <t>23.12.2025</t>
  </si>
  <si>
    <t>24.12.2025</t>
  </si>
  <si>
    <t>25.12.2025</t>
  </si>
  <si>
    <t>073/26.12.25</t>
  </si>
  <si>
    <t>074/26.12.25</t>
  </si>
  <si>
    <t>075/26.12.25</t>
  </si>
  <si>
    <t>26.12.2025</t>
  </si>
  <si>
    <t>PIL1/JW/173</t>
  </si>
  <si>
    <t>PIL1/JW/174</t>
  </si>
  <si>
    <t>29.12.2025</t>
  </si>
  <si>
    <t>27.12.2025</t>
  </si>
  <si>
    <t>075/30.12.25</t>
  </si>
  <si>
    <t>077/30.12.25</t>
  </si>
  <si>
    <t>078/30.12.25</t>
  </si>
  <si>
    <t>PIL1/JW/176</t>
  </si>
  <si>
    <t>31.12.2025</t>
  </si>
  <si>
    <t>PIL1/176</t>
  </si>
  <si>
    <t>30.12.2025</t>
  </si>
  <si>
    <t>079/31.12.25</t>
  </si>
  <si>
    <t>01.01.2026</t>
  </si>
  <si>
    <t>02.01.2026</t>
  </si>
  <si>
    <t>03.01.2026</t>
  </si>
  <si>
    <t>05.01.2026</t>
  </si>
  <si>
    <t>06.01.2026</t>
  </si>
  <si>
    <t>07.01.2026</t>
  </si>
  <si>
    <t>08.01.2026</t>
  </si>
  <si>
    <t>09.01.2026</t>
  </si>
  <si>
    <t>PIL1/184</t>
  </si>
  <si>
    <t>11.01.2026</t>
  </si>
  <si>
    <t>080/10.01.26</t>
  </si>
  <si>
    <t>081/13.01.26</t>
  </si>
  <si>
    <t>082/13.01.26</t>
  </si>
  <si>
    <t>12.01.2026</t>
  </si>
  <si>
    <t>13.01.2026</t>
  </si>
  <si>
    <t>PIL1/185</t>
  </si>
  <si>
    <t>083/16.01.26</t>
  </si>
  <si>
    <t>15.01.2026</t>
  </si>
  <si>
    <t>17.01.2026</t>
  </si>
  <si>
    <t>084/17.01.26</t>
  </si>
  <si>
    <t>19.01.2026</t>
  </si>
  <si>
    <t>21.01.2026</t>
  </si>
  <si>
    <t>22.01.2026</t>
  </si>
  <si>
    <t>23.01.2026</t>
  </si>
  <si>
    <t>085/24.01.26</t>
  </si>
  <si>
    <t>086/24.01.26</t>
  </si>
  <si>
    <t>RAW06049</t>
  </si>
  <si>
    <t>PIL1/JW/191</t>
  </si>
  <si>
    <t>PIL1/JW/193</t>
  </si>
  <si>
    <t>MB</t>
  </si>
  <si>
    <t>REPROCESSED GRANULES</t>
  </si>
  <si>
    <t>191-3</t>
  </si>
  <si>
    <t>24.01.2026</t>
  </si>
  <si>
    <t>27.01.2026</t>
  </si>
  <si>
    <t>28.01.2026</t>
  </si>
  <si>
    <t>29.01.2026</t>
  </si>
  <si>
    <t>30.01.2026</t>
  </si>
  <si>
    <t>PIL1/191</t>
  </si>
  <si>
    <t>PIL1/193</t>
  </si>
  <si>
    <t>087/31.01.26</t>
  </si>
  <si>
    <t>31.01.2026</t>
  </si>
  <si>
    <t>088/31.01.26</t>
  </si>
  <si>
    <t>RAW06278</t>
  </si>
  <si>
    <t>PIL1/JW/194</t>
  </si>
  <si>
    <t>PIL1/JW/195</t>
  </si>
  <si>
    <t>02.02.2026</t>
  </si>
  <si>
    <t>04.02.2026</t>
  </si>
  <si>
    <t>07.02.2026</t>
  </si>
  <si>
    <t>09.02.2026</t>
  </si>
  <si>
    <t>03.02.2026</t>
  </si>
  <si>
    <t>PIL1/194</t>
  </si>
  <si>
    <t>PIL1/195</t>
  </si>
  <si>
    <t>06.02.2026</t>
  </si>
  <si>
    <t>10.02.2026</t>
  </si>
  <si>
    <t>089/11.02.26</t>
  </si>
  <si>
    <t>11.02.2026</t>
  </si>
  <si>
    <t>12.02.2026</t>
  </si>
  <si>
    <t>RAW05067</t>
  </si>
  <si>
    <t>207-2</t>
  </si>
  <si>
    <t>RAW05130</t>
  </si>
  <si>
    <t>206-2</t>
  </si>
  <si>
    <t>RAW05089</t>
  </si>
  <si>
    <t>090/17.02.26</t>
  </si>
  <si>
    <t>091/17.02.26</t>
  </si>
  <si>
    <t>PIL1/JW/206</t>
  </si>
  <si>
    <t>17.02.2026</t>
  </si>
  <si>
    <t xml:space="preserve">U.V. MASTER BATCH </t>
  </si>
  <si>
    <t>PIL1/JW/207</t>
  </si>
  <si>
    <t>18.02.2026</t>
  </si>
  <si>
    <t xml:space="preserve">MASTER BATCH </t>
  </si>
  <si>
    <t>13.02.2026</t>
  </si>
  <si>
    <t>14.02.2026</t>
  </si>
  <si>
    <t>16.02.2026</t>
  </si>
  <si>
    <t>PIL1/207</t>
  </si>
  <si>
    <t>PIL1/206</t>
  </si>
  <si>
    <t>092/19.02.26</t>
  </si>
  <si>
    <t>PIL1/JW/209</t>
  </si>
  <si>
    <t>RAW06364</t>
  </si>
  <si>
    <t>PIL1/JW/211</t>
  </si>
  <si>
    <t>19.02.2026</t>
  </si>
  <si>
    <t>PIL1/209</t>
  </si>
  <si>
    <t>PIL1/211</t>
  </si>
  <si>
    <t>093/20.02.26</t>
  </si>
  <si>
    <t>20.02.2026</t>
  </si>
  <si>
    <t>21.02.2026</t>
  </si>
  <si>
    <t>PIL1/212</t>
  </si>
  <si>
    <t>PIL1/214</t>
  </si>
  <si>
    <t>094/24.02.26</t>
  </si>
  <si>
    <t>22.02.2026</t>
  </si>
  <si>
    <t>24.02.2026</t>
  </si>
  <si>
    <t>PIL1/JW/217</t>
  </si>
  <si>
    <t>PIL1/217</t>
  </si>
  <si>
    <t>PIL1/JW/218</t>
  </si>
  <si>
    <t>RAW05182</t>
  </si>
  <si>
    <t>PIL1/JW/219</t>
  </si>
  <si>
    <t>RAW05270</t>
  </si>
  <si>
    <t>LDPE GRANULE</t>
  </si>
  <si>
    <t>25.02.2026</t>
  </si>
  <si>
    <t>26.02.2026</t>
  </si>
  <si>
    <t>27.02.2026</t>
  </si>
  <si>
    <t>PIL1/218</t>
  </si>
  <si>
    <t>PIL1/219</t>
  </si>
  <si>
    <t>PIL1/222</t>
  </si>
  <si>
    <t>096/28.02.26</t>
  </si>
  <si>
    <t>PIL1/JW/225</t>
  </si>
  <si>
    <t>28.02.2026</t>
  </si>
  <si>
    <t>PIL1/225</t>
  </si>
  <si>
    <t>WIP00032</t>
  </si>
  <si>
    <t>RAW06375</t>
  </si>
  <si>
    <t>RAW05127</t>
  </si>
  <si>
    <t>PIL1/JW/234</t>
  </si>
  <si>
    <t>PIL1/JW/233</t>
  </si>
  <si>
    <t>02.03.2026</t>
  </si>
  <si>
    <t>03.03.2026</t>
  </si>
  <si>
    <t>05.03.2026</t>
  </si>
  <si>
    <t>06.03.2026</t>
  </si>
  <si>
    <t>07.03.2026</t>
  </si>
  <si>
    <t>PIL1/229</t>
  </si>
  <si>
    <t>PIL1/232</t>
  </si>
  <si>
    <t>PIL1/233</t>
  </si>
  <si>
    <t>PIL1/234</t>
  </si>
  <si>
    <t>097/09.03.26</t>
  </si>
  <si>
    <t>09.03.2026</t>
  </si>
  <si>
    <t>10.03.2026</t>
  </si>
  <si>
    <t>098/11.03.26</t>
  </si>
  <si>
    <t>099/11.03.26</t>
  </si>
  <si>
    <t>Polypropylene Multifilament Yarn</t>
  </si>
  <si>
    <t>11.03.2026</t>
  </si>
  <si>
    <t>12.03.2026</t>
  </si>
  <si>
    <t>13.03.2026</t>
  </si>
  <si>
    <t>WIP00022</t>
  </si>
  <si>
    <t>14.03.2026</t>
  </si>
  <si>
    <t>PIL1/JW/242</t>
  </si>
  <si>
    <t>16.03.2026</t>
  </si>
  <si>
    <t>17.03.2026</t>
  </si>
  <si>
    <t>19.03.2026</t>
  </si>
  <si>
    <t>PIL1/JW/243</t>
  </si>
  <si>
    <t>PIL1/243</t>
  </si>
  <si>
    <t>PIL1/242</t>
  </si>
  <si>
    <t>102/15.03.26</t>
  </si>
  <si>
    <t>PP LAM FABRICS</t>
  </si>
  <si>
    <t>103/21.03.26</t>
  </si>
  <si>
    <t>101/16.03.26</t>
  </si>
  <si>
    <t>104/23.03.26</t>
  </si>
  <si>
    <t>PIL1/JW/244</t>
  </si>
  <si>
    <t>RAW05810</t>
  </si>
  <si>
    <t>PIL1/JW/246</t>
  </si>
  <si>
    <t>20.03.2026</t>
  </si>
  <si>
    <t>21.03.2026</t>
  </si>
  <si>
    <t>22.03.2026</t>
  </si>
  <si>
    <t>PIL1/244</t>
  </si>
  <si>
    <t>PIL1/246</t>
  </si>
  <si>
    <t>23.03.2026</t>
  </si>
  <si>
    <t>24.03.2026</t>
  </si>
  <si>
    <t>25.03.2026</t>
  </si>
  <si>
    <t>26.03.2026</t>
  </si>
  <si>
    <t>105/27.03.26</t>
  </si>
  <si>
    <t>106/27.03.26</t>
  </si>
  <si>
    <t>107/31.03.26</t>
  </si>
  <si>
    <t>27.03.2026</t>
  </si>
  <si>
    <t>28.03.2026</t>
  </si>
  <si>
    <t>29.03.2026</t>
  </si>
  <si>
    <t>108/31.03.26</t>
  </si>
  <si>
    <t>109/31.03.26</t>
  </si>
  <si>
    <t>PP LAMINATED FABRICS</t>
  </si>
  <si>
    <t>110/31.03.26</t>
  </si>
  <si>
    <t>111/31.03.26</t>
  </si>
  <si>
    <t>31.03.2026</t>
  </si>
  <si>
    <t>Inventory movement fo the month of APRIL 2026</t>
  </si>
  <si>
    <t>Sales - Interstate - Manufactured Goods</t>
  </si>
  <si>
    <t>24AAACO3087C1ZT</t>
  </si>
  <si>
    <t>KGS</t>
  </si>
  <si>
    <t>Rs.</t>
  </si>
  <si>
    <t>India</t>
  </si>
  <si>
    <t>Deemed Export</t>
  </si>
  <si>
    <t>24AAECK6307M2ZE</t>
  </si>
  <si>
    <t>VAT</t>
  </si>
  <si>
    <t>erp</t>
  </si>
  <si>
    <t>bharatd</t>
  </si>
  <si>
    <t>-</t>
  </si>
  <si>
    <t>No PO</t>
  </si>
  <si>
    <t>K.P. Woven Pvt Ltd - Unit 3 -Purchase</t>
  </si>
  <si>
    <t>JOB IN</t>
  </si>
  <si>
    <t>OTHER</t>
  </si>
  <si>
    <t>by Truck</t>
  </si>
  <si>
    <t>26-27</t>
  </si>
  <si>
    <t>01.04.2026</t>
  </si>
  <si>
    <t>02.04.2026</t>
  </si>
  <si>
    <t>03.04.2026</t>
  </si>
  <si>
    <t>04.04.2026</t>
  </si>
  <si>
    <t>PIL1/JW/001</t>
  </si>
  <si>
    <t>06.04.2026</t>
  </si>
  <si>
    <t>05.04.2026</t>
  </si>
  <si>
    <t>08.04.2026</t>
  </si>
  <si>
    <t>09.04.2026</t>
  </si>
  <si>
    <t>10.04.2026</t>
  </si>
  <si>
    <t>PIL1/001</t>
  </si>
  <si>
    <t>001/08.04.26</t>
  </si>
  <si>
    <t>002/11.04.26</t>
  </si>
  <si>
    <t>11.04.2026</t>
  </si>
  <si>
    <t>13.04.2026</t>
  </si>
  <si>
    <t>14.04.2026</t>
  </si>
  <si>
    <t>003/15.04.26</t>
  </si>
  <si>
    <t>004/15.04.26</t>
  </si>
  <si>
    <t>15.04.2026</t>
  </si>
  <si>
    <t>16.04.2026</t>
  </si>
  <si>
    <t>18.04.2026</t>
  </si>
  <si>
    <t>20.04.2026</t>
  </si>
  <si>
    <t>21.04.2026</t>
  </si>
  <si>
    <t>22.04.2026</t>
  </si>
  <si>
    <t>23.04.2026</t>
  </si>
  <si>
    <t>005/24.04.26</t>
  </si>
  <si>
    <t>006/24.04.26</t>
  </si>
  <si>
    <t>RAW05124</t>
  </si>
  <si>
    <t>Films All (SF)</t>
  </si>
  <si>
    <t>24.04.2026</t>
  </si>
  <si>
    <t>25.04.2026</t>
  </si>
  <si>
    <t>007/27.04.26</t>
  </si>
  <si>
    <t>27.04.2026</t>
  </si>
  <si>
    <t>28.04.2026</t>
  </si>
  <si>
    <t>29.04.2026</t>
  </si>
  <si>
    <t>008/29.04.26</t>
  </si>
  <si>
    <t>009/30.04.26</t>
  </si>
  <si>
    <t>30.04.2026</t>
  </si>
  <si>
    <t>02.05.2026</t>
  </si>
  <si>
    <t>04.05.2026</t>
  </si>
  <si>
    <t>05.05.2026</t>
  </si>
  <si>
    <t>07.05.2026</t>
  </si>
  <si>
    <t>010/07.05.26</t>
  </si>
  <si>
    <t>011/08.05.26</t>
  </si>
  <si>
    <t>Plastene India ltd - Unit 2-Purchase</t>
  </si>
  <si>
    <t>RAW MATERIAL</t>
  </si>
  <si>
    <t>INDIGENOUS</t>
  </si>
  <si>
    <t>PARTY SELF</t>
  </si>
  <si>
    <t>PP woven fabrics laminated/ coated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</si>
  <si>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</si>
  <si>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</si>
  <si>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</si>
  <si>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</si>
  <si>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</si>
  <si>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</si>
  <si>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</si>
  <si>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</si>
  <si>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</si>
  <si>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</si>
  <si>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</si>
  <si>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</si>
  <si>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</si>
  <si>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</si>
  <si>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</si>
  <si>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</si>
  <si>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25.05.2026</t>
  </si>
  <si>
    <t>012/23.05.26</t>
  </si>
  <si>
    <t>26.05.2026</t>
  </si>
  <si>
    <t>013/29.05.26</t>
  </si>
  <si>
    <t>29.05.2026</t>
  </si>
  <si>
    <t>014/30.05.26</t>
  </si>
  <si>
    <t>015/30.05.26</t>
  </si>
  <si>
    <t>KPW3/083</t>
  </si>
  <si>
    <t>KPW3/084</t>
  </si>
  <si>
    <t>KPW3/085</t>
  </si>
  <si>
    <t>KPW3/086</t>
  </si>
  <si>
    <t>KPW3/087</t>
  </si>
  <si>
    <t>KPW3/088</t>
  </si>
  <si>
    <t>KPW3/089</t>
  </si>
  <si>
    <t>KPW3/090</t>
  </si>
  <si>
    <t>KPW3/091</t>
  </si>
  <si>
    <t>KPW3/092</t>
  </si>
  <si>
    <t>KPW3/093</t>
  </si>
  <si>
    <t>KPW3/094</t>
  </si>
  <si>
    <t>KPW3/095</t>
  </si>
  <si>
    <t>KPW3/096</t>
  </si>
  <si>
    <t>KPW3/097</t>
  </si>
  <si>
    <t>KPW3/098</t>
  </si>
  <si>
    <t>anil</t>
  </si>
  <si>
    <t>U.V. Stabilizer Master Batch</t>
  </si>
  <si>
    <t>30.05.2026</t>
  </si>
  <si>
    <t>Inventory movement fo the month of June 2026</t>
  </si>
  <si>
    <t>Inventory movement fo the month of MAY 2026</t>
  </si>
  <si>
    <t>01.06.2026</t>
  </si>
  <si>
    <t>03.06.2026</t>
  </si>
  <si>
    <t>016/05.06.26</t>
  </si>
  <si>
    <t>05.06.2026</t>
  </si>
  <si>
    <t>06.06.2026</t>
  </si>
  <si>
    <t>08.06.2026</t>
  </si>
  <si>
    <t>PIL1/031</t>
  </si>
  <si>
    <t>09.06.2026</t>
  </si>
  <si>
    <t>017/09.06.26</t>
  </si>
  <si>
    <t>11.06.2026</t>
  </si>
  <si>
    <t>018/13.06.26</t>
  </si>
  <si>
    <t>12.06.2026</t>
  </si>
  <si>
    <t>13.06.2026</t>
  </si>
  <si>
    <t>15.06.2026</t>
  </si>
  <si>
    <t>16.06.2026</t>
  </si>
  <si>
    <t>019/17.06.26</t>
  </si>
  <si>
    <t>PIL1/JW/033</t>
  </si>
  <si>
    <t>19.06.2026</t>
  </si>
  <si>
    <t>17.06.2026</t>
  </si>
  <si>
    <t>18.06.2026</t>
  </si>
  <si>
    <t>PIL1/033</t>
  </si>
  <si>
    <t>020/22.06.26</t>
  </si>
  <si>
    <t>RAW05075</t>
  </si>
  <si>
    <t>PIL1/JW/034</t>
  </si>
  <si>
    <t>22.06.2026</t>
  </si>
  <si>
    <t>23.06.2026</t>
  </si>
  <si>
    <t>PIL1/034</t>
  </si>
  <si>
    <t>PIL1/JW/036</t>
  </si>
  <si>
    <t>24.06.2026</t>
  </si>
  <si>
    <t>25.06.2026</t>
  </si>
  <si>
    <t>27.06.2026</t>
  </si>
  <si>
    <t>PIL1/036</t>
  </si>
  <si>
    <t>021/29.06.26</t>
  </si>
  <si>
    <t>022/29.06.26</t>
  </si>
  <si>
    <t>KPW3/099</t>
  </si>
  <si>
    <t>KPW3/101</t>
  </si>
  <si>
    <t>KPW3/102</t>
  </si>
  <si>
    <t>KPW3/103</t>
  </si>
  <si>
    <t>KPW3/104</t>
  </si>
  <si>
    <t>KPW3/105</t>
  </si>
  <si>
    <t>KPW3/106</t>
  </si>
  <si>
    <t>KPW3/107</t>
  </si>
  <si>
    <t>KPW3/108</t>
  </si>
  <si>
    <t>KPW3/109</t>
  </si>
  <si>
    <t>KPW3/110</t>
  </si>
  <si>
    <t>KPW3/111</t>
  </si>
  <si>
    <t>KPW3/112</t>
  </si>
  <si>
    <t>KPW3/113</t>
  </si>
  <si>
    <t>KPW3/114</t>
  </si>
  <si>
    <t>KPW3/115</t>
  </si>
  <si>
    <t>KPW3/116</t>
  </si>
  <si>
    <t>KPW3/117</t>
  </si>
  <si>
    <t>KPW3/118</t>
  </si>
  <si>
    <t>KPW3/119</t>
  </si>
  <si>
    <t>KPW3/120</t>
  </si>
  <si>
    <t>KPW3/121</t>
  </si>
  <si>
    <t>29.06.2026</t>
  </si>
  <si>
    <t>WIP00236</t>
  </si>
  <si>
    <t>30.06.2026</t>
  </si>
  <si>
    <t>Inventory movement fo the month of July 2026</t>
  </si>
  <si>
    <t>OEL1/DE/051/26-27</t>
  </si>
  <si>
    <t>OEL1/DE/052/26-27</t>
  </si>
  <si>
    <t>OEL1/DE/053/26-27</t>
  </si>
  <si>
    <t>OEL/26-27/SII00487</t>
  </si>
  <si>
    <t>OEL/RAW/26-27/17</t>
  </si>
  <si>
    <t>GJ12BZ8686</t>
  </si>
  <si>
    <t>PIL2/E/79</t>
  </si>
  <si>
    <t>RM 13</t>
  </si>
  <si>
    <t>OEL/26-27/SII00482</t>
  </si>
  <si>
    <t>GJ12BT4781, GJ12BY1595</t>
  </si>
  <si>
    <t>KPW/JW/072</t>
  </si>
  <si>
    <t>JBIN-OT 77</t>
  </si>
  <si>
    <t>OEL/26-27/SII00497</t>
  </si>
  <si>
    <t>WIP00017</t>
  </si>
  <si>
    <t>GJ16Z8614, GJ09Z0572</t>
  </si>
  <si>
    <t>KPW/JW/073</t>
  </si>
  <si>
    <t>JBIN-OT 78</t>
  </si>
  <si>
    <t>Polyester Yarn</t>
  </si>
  <si>
    <t>OEL/26-27/SII00505</t>
  </si>
  <si>
    <t>GJ12BV1841, GJ12BY0479</t>
  </si>
  <si>
    <t>KPW/JW/074</t>
  </si>
  <si>
    <t>JBIN-OT 79</t>
  </si>
  <si>
    <t>OEL/26-27/SII00514</t>
  </si>
  <si>
    <t>GJ17XX0310</t>
  </si>
  <si>
    <t>KPW/JW/075</t>
  </si>
  <si>
    <t>JBIN-OT 80</t>
  </si>
  <si>
    <t>01.07.2026</t>
  </si>
  <si>
    <t>02.07.2026</t>
  </si>
  <si>
    <t>04.07.2026</t>
  </si>
  <si>
    <t>06.07.2026</t>
  </si>
  <si>
    <t>023/08.07.26</t>
  </si>
  <si>
    <t>Job Invoice</t>
  </si>
  <si>
    <t>Job Work Income</t>
  </si>
  <si>
    <t>Jambo Bag/Fibc Bag Mfr (Kg)</t>
  </si>
  <si>
    <t>MANUFACTURER OF PP WOVEN BIG BAGS/SACKS</t>
  </si>
  <si>
    <t>OEL1/D/23</t>
  </si>
  <si>
    <t>OEL/26-27/SII00519</t>
  </si>
  <si>
    <t>FIB10766</t>
  </si>
  <si>
    <t>OEL/26-27/STR00097/01</t>
  </si>
  <si>
    <t>OEL/RAW/26-27/10</t>
  </si>
  <si>
    <t>RJ47GA4382</t>
  </si>
  <si>
    <t>Dynamic Wooltex</t>
  </si>
  <si>
    <t>RM 14</t>
  </si>
  <si>
    <t>Consumables</t>
  </si>
  <si>
    <t>08ABFPB2251A1ZI</t>
  </si>
  <si>
    <t>shyam</t>
  </si>
  <si>
    <t>OEL/26-27/SII00522</t>
  </si>
  <si>
    <t>GJ39T9710</t>
  </si>
  <si>
    <t>KPW/JW/076</t>
  </si>
  <si>
    <t>JBIN-OT 81</t>
  </si>
  <si>
    <t>OEL/26-27/SII00524</t>
  </si>
  <si>
    <t>RAW06279</t>
  </si>
  <si>
    <t>Plastene India ltd - Unit 1-Purchase</t>
  </si>
  <si>
    <t>PIL1/JW/44</t>
  </si>
  <si>
    <t>JBIN-OT 82</t>
  </si>
  <si>
    <t>LAXMAN B BAKUTRA</t>
  </si>
  <si>
    <t>181 07-07-2026</t>
  </si>
  <si>
    <t>44-2</t>
  </si>
  <si>
    <t>07.07.2026</t>
  </si>
  <si>
    <t>08.07.2026</t>
  </si>
  <si>
    <t>PIL1/044</t>
  </si>
  <si>
    <t>Domestic Sales</t>
  </si>
  <si>
    <t>OEL/DTA/019/26-27</t>
  </si>
  <si>
    <t>Sales - Waste &amp; Scrape</t>
  </si>
  <si>
    <t>Other Scrap</t>
  </si>
  <si>
    <t>Misc</t>
  </si>
  <si>
    <t>MS/Other Scrap</t>
  </si>
  <si>
    <t>OTHER SCRAPS</t>
  </si>
  <si>
    <t>OEL1/DE/054/26-27</t>
  </si>
  <si>
    <t>OEL/DTA/020/26-27</t>
  </si>
  <si>
    <t>Reprocessed Granules</t>
  </si>
  <si>
    <t>OEL1/DE/055/26-27</t>
  </si>
  <si>
    <t>OEL/26-27/SII00525</t>
  </si>
  <si>
    <t>GJ12BY0479</t>
  </si>
  <si>
    <t>KPW/JW/077</t>
  </si>
  <si>
    <t>JBIN-OT 83</t>
  </si>
  <si>
    <t>OEL/26-27/SII00528</t>
  </si>
  <si>
    <t>GJ24X8795</t>
  </si>
  <si>
    <t>KPW/JW/078</t>
  </si>
  <si>
    <t>JBIN-OT 84</t>
  </si>
  <si>
    <t>09.07.2026</t>
  </si>
  <si>
    <t>Gokul Overseas</t>
  </si>
  <si>
    <t>OEL/IZS/26-27/007</t>
  </si>
  <si>
    <t>Sales - Kasez - Mfg - U/B</t>
  </si>
  <si>
    <t>24AACFG9539L2Z0</t>
  </si>
  <si>
    <t>OEL/DTA/021/26-27</t>
  </si>
  <si>
    <t>OEL/DTA/022/26-27</t>
  </si>
  <si>
    <t>OEL/26-27/SII00530</t>
  </si>
  <si>
    <t>GJ12BV1841, GJ12BY0479...</t>
  </si>
  <si>
    <t>KPW/JW/079</t>
  </si>
  <si>
    <t>JBIN-OT 85</t>
  </si>
  <si>
    <t>10.07.2026</t>
  </si>
  <si>
    <t>OEL1/DE/056/26-27</t>
  </si>
  <si>
    <t>14-07-2026</t>
  </si>
  <si>
    <t>OEL1/DE/057/26-27</t>
  </si>
  <si>
    <t>OEL/26-27/SII00554</t>
  </si>
  <si>
    <t>RAW05065</t>
  </si>
  <si>
    <t>OEL/RAW/26-27/18</t>
  </si>
  <si>
    <t>GJ12BY1595</t>
  </si>
  <si>
    <t>PIL1/E/367</t>
  </si>
  <si>
    <t>RM 17</t>
  </si>
  <si>
    <t>13-07-2026</t>
  </si>
  <si>
    <t>RAW06258</t>
  </si>
  <si>
    <t>mani</t>
  </si>
  <si>
    <t>OEL/26-27/SII00555</t>
  </si>
  <si>
    <t>PIL1/E/372</t>
  </si>
  <si>
    <t>RM 18</t>
  </si>
  <si>
    <t>OEL/26-27/SII00553</t>
  </si>
  <si>
    <t>GJ08AW4250, GJ12BY1595</t>
  </si>
  <si>
    <t>KPW/JW/081</t>
  </si>
  <si>
    <t>JBIN-OT 86</t>
  </si>
  <si>
    <t>OEL/26-27/SII00556</t>
  </si>
  <si>
    <t>KPW/JW/080</t>
  </si>
  <si>
    <t>JBIN-OT 87</t>
  </si>
  <si>
    <t>SMF00240</t>
  </si>
  <si>
    <t>11.07.2026</t>
  </si>
  <si>
    <t>13.07.2026</t>
  </si>
  <si>
    <t>14.07.2026</t>
  </si>
  <si>
    <t>024/15.07.26</t>
  </si>
  <si>
    <t>15-07-2026</t>
  </si>
  <si>
    <t>OEL1/D/24</t>
  </si>
  <si>
    <t>OEL/26-27/SII00558</t>
  </si>
  <si>
    <t>RAW06348</t>
  </si>
  <si>
    <t>OEL/RAW/26-27/19</t>
  </si>
  <si>
    <t>GJ14Z0334</t>
  </si>
  <si>
    <t>PIL1/E/375</t>
  </si>
  <si>
    <t>RM 19</t>
  </si>
  <si>
    <t>RAW06011</t>
  </si>
  <si>
    <t>OEL/26-27/SII00560</t>
  </si>
  <si>
    <t>FIB21881</t>
  </si>
  <si>
    <t>OEL/26-27/RWM00002/01</t>
  </si>
  <si>
    <t>OEL/RAW/26-27/15</t>
  </si>
  <si>
    <t>GJ12BT4481</t>
  </si>
  <si>
    <t>RM 20</t>
  </si>
  <si>
    <t>88/25293</t>
  </si>
  <si>
    <t>OEL/26-27/SII00559</t>
  </si>
  <si>
    <t>GJ01LT7680, GJ12BY0479</t>
  </si>
  <si>
    <t>KPW/JW/082</t>
  </si>
  <si>
    <t>JBIN-OT 88</t>
  </si>
  <si>
    <t>16-07-2026</t>
  </si>
  <si>
    <t>OEL/26-27/SII00573</t>
  </si>
  <si>
    <t>GJ09Z0572</t>
  </si>
  <si>
    <t>KPW/JW/083</t>
  </si>
  <si>
    <t>JBIN-OT 89</t>
  </si>
  <si>
    <t>15.07.2026</t>
  </si>
  <si>
    <t>025/16.07.26</t>
  </si>
  <si>
    <t>OEL1/DE/058/26-27</t>
  </si>
  <si>
    <t>OEL1/D/25</t>
  </si>
  <si>
    <t>16.07.2026</t>
  </si>
  <si>
    <t>17-07-2026</t>
  </si>
  <si>
    <t>OEL1/DE/059/26-27</t>
  </si>
  <si>
    <t>OEL1/DE/060/26-27</t>
  </si>
  <si>
    <t>18-07-2026</t>
  </si>
  <si>
    <t>OEL/DTA/023/26-27</t>
  </si>
  <si>
    <t>RP GRNULES</t>
  </si>
  <si>
    <t>OEL/26-27/SII00582</t>
  </si>
  <si>
    <t>RAW06398</t>
  </si>
  <si>
    <t>OEL/RAW/26-27/20</t>
  </si>
  <si>
    <t>PIL1/E/385</t>
  </si>
  <si>
    <t>RM 21</t>
  </si>
  <si>
    <t>OEL/26-27/SII00583</t>
  </si>
  <si>
    <t>RAW06251</t>
  </si>
  <si>
    <t>OEL/26-27/IMP/2</t>
  </si>
  <si>
    <t>GJ14Z6310/ GJ39TA0541/ GJ14Z0613/ GJ39TA3007/ GJ14Z0406</t>
  </si>
  <si>
    <t>HCP Enterprise Ltd-Purchase</t>
  </si>
  <si>
    <t>HCP/26-27/25</t>
  </si>
  <si>
    <t>30-06-2026</t>
  </si>
  <si>
    <t>IMPORT/HIGH SEA SALES</t>
  </si>
  <si>
    <t>RMIMP 2</t>
  </si>
  <si>
    <t>SELF</t>
  </si>
  <si>
    <t>24AAACC7815N1ZI</t>
  </si>
  <si>
    <t>OEL/26-27/SII00585</t>
  </si>
  <si>
    <t>OEL/RAW/26-27/21</t>
  </si>
  <si>
    <t>GJ12CT6064</t>
  </si>
  <si>
    <t>PIL2/E/97</t>
  </si>
  <si>
    <t>RM 22</t>
  </si>
  <si>
    <t>OEL/26-27/SII00577</t>
  </si>
  <si>
    <t>GJ12BY0479, GJ16Z8614</t>
  </si>
  <si>
    <t>KPW/JW/84</t>
  </si>
  <si>
    <t>JBIN-OT 90</t>
  </si>
  <si>
    <t>OEL/26-27/SII00581</t>
  </si>
  <si>
    <t>PIL1/JW/49</t>
  </si>
  <si>
    <t>JBIN-OT 91</t>
  </si>
  <si>
    <t>200 17-07-2026</t>
  </si>
  <si>
    <t>OEL/26-27/SII00584</t>
  </si>
  <si>
    <t>KPW/JW/85</t>
  </si>
  <si>
    <t>JBIN-OT 92</t>
  </si>
  <si>
    <t>20-07-2026</t>
  </si>
  <si>
    <t>OEL/26-27/SII00586</t>
  </si>
  <si>
    <t>GJ06AX2024, GJ12BY0479</t>
  </si>
  <si>
    <t>KPW/JW/86</t>
  </si>
  <si>
    <t>JBIN-OT 93</t>
  </si>
  <si>
    <t>085-3</t>
  </si>
  <si>
    <t>17.07.2026</t>
  </si>
  <si>
    <t>18.07.2026</t>
  </si>
  <si>
    <t>PIL1/JW/049</t>
  </si>
  <si>
    <t>PIL1/049</t>
  </si>
  <si>
    <t>OEL/DTA/024/26-27</t>
  </si>
  <si>
    <t>OEL1/DE/061/26-27</t>
  </si>
  <si>
    <t>OEL1/DE/062/26-27</t>
  </si>
  <si>
    <t>21-07-2026</t>
  </si>
  <si>
    <t>OEL/26-27/SII00590</t>
  </si>
  <si>
    <t>GJ16Z8614, GJ12BY0479</t>
  </si>
  <si>
    <t>KPW/JW/87</t>
  </si>
  <si>
    <t>JBIN-OT 94</t>
  </si>
  <si>
    <t>087-2</t>
  </si>
  <si>
    <t>20.07.2026</t>
  </si>
  <si>
    <t>026/21.07.26</t>
  </si>
  <si>
    <t>22-07-2026</t>
  </si>
  <si>
    <t>OEL/26-27/SII00598</t>
  </si>
  <si>
    <t>OEL/RAW/26-27/23</t>
  </si>
  <si>
    <t>PIL1/E/399</t>
  </si>
  <si>
    <t>RM 23</t>
  </si>
  <si>
    <t>RAW05187</t>
  </si>
  <si>
    <t>RAW05527</t>
  </si>
  <si>
    <t>OEL/26-27/SII00599</t>
  </si>
  <si>
    <t>GJ01LT7680, GJ12BY1595</t>
  </si>
  <si>
    <t>KPW/JW/88</t>
  </si>
  <si>
    <t>JBIN-OT 95</t>
  </si>
  <si>
    <t>21.07.2026</t>
  </si>
  <si>
    <t>OEL1/DE/063/26-27</t>
  </si>
  <si>
    <t>OEL1/DE/064/26-27</t>
  </si>
  <si>
    <t>23-07-2026</t>
  </si>
  <si>
    <t>OEL1/DE/065/26-27</t>
  </si>
  <si>
    <t>OEL1/D/26</t>
  </si>
  <si>
    <t>OEL/26-27/SII00604</t>
  </si>
  <si>
    <t>GJ34W1096, GJ12BY0479</t>
  </si>
  <si>
    <t>KPW/JW/89</t>
  </si>
  <si>
    <t>JBIN-OT 96</t>
  </si>
  <si>
    <t>OEL/26-27/SII00603</t>
  </si>
  <si>
    <t>OEL/RAW/26-27/24</t>
  </si>
  <si>
    <t>PIL1/E/405</t>
  </si>
  <si>
    <t>RM 24</t>
  </si>
  <si>
    <t>24-07-2026</t>
  </si>
  <si>
    <t>OEL/26-27/SII00605</t>
  </si>
  <si>
    <t>OEL/RAW/26-27/25</t>
  </si>
  <si>
    <t>GJ27T3559</t>
  </si>
  <si>
    <t>PIL1/E/408</t>
  </si>
  <si>
    <t>RM 25</t>
  </si>
  <si>
    <t>089-2</t>
  </si>
  <si>
    <t>22.07.2026</t>
  </si>
  <si>
    <t>25-07-2026</t>
  </si>
  <si>
    <t>OEL/26-27/SII00615</t>
  </si>
  <si>
    <t>Oswal Extrusion Ltd- KASEZ-Purchase</t>
  </si>
  <si>
    <t>KPW/JW/90</t>
  </si>
  <si>
    <t>JBIN-OT 97</t>
  </si>
  <si>
    <t>24AAACO7290H4ZB</t>
  </si>
  <si>
    <t>OCCL Limited</t>
  </si>
  <si>
    <t>OEL/IZS/26-27/008</t>
  </si>
  <si>
    <t>FIBC JUMBO BAG</t>
  </si>
  <si>
    <t>24AADCO7609P2ZY</t>
  </si>
  <si>
    <t>090-2</t>
  </si>
  <si>
    <t>090-3</t>
  </si>
  <si>
    <t>090-4</t>
  </si>
  <si>
    <t>090-5</t>
  </si>
  <si>
    <t>24.07.2026</t>
  </si>
  <si>
    <t>027/25.07.26</t>
  </si>
  <si>
    <t>028/25.07.26</t>
  </si>
  <si>
    <t>KPW3/122</t>
  </si>
  <si>
    <t>KPW3/123</t>
  </si>
  <si>
    <t>KPW3/124</t>
  </si>
  <si>
    <t>KPW3/125</t>
  </si>
  <si>
    <t>KPW3/126</t>
  </si>
  <si>
    <t>KPW3/127</t>
  </si>
  <si>
    <t>KPW3/128</t>
  </si>
  <si>
    <t>KPW3/129</t>
  </si>
  <si>
    <t>KPW3/130</t>
  </si>
  <si>
    <t>OEL1/DE/066/26-27</t>
  </si>
  <si>
    <t>26-07-2026</t>
  </si>
  <si>
    <t>OEL/26-27/SII00619</t>
  </si>
  <si>
    <t>WIP00031</t>
  </si>
  <si>
    <t>OEL/RAW/26-27/26</t>
  </si>
  <si>
    <t>GJ02Z4078</t>
  </si>
  <si>
    <t>KPW3/IZS/26-27/04</t>
  </si>
  <si>
    <t>RM 26</t>
  </si>
  <si>
    <t>OEL1/D/27</t>
  </si>
  <si>
    <t>OEL1/D/28</t>
  </si>
  <si>
    <t>MANUFACTURER of PP/WASTA/SCRAPS</t>
  </si>
  <si>
    <t>27-07-2026</t>
  </si>
  <si>
    <t>OEL/26-27/SII00620</t>
  </si>
  <si>
    <t>PIL1/JW/65</t>
  </si>
  <si>
    <t>JBIN-OT 98</t>
  </si>
  <si>
    <t>219 25-07-2026</t>
  </si>
  <si>
    <t>RAW06268</t>
  </si>
  <si>
    <t>OEL/26-27/SII00621</t>
  </si>
  <si>
    <t>GJ09Z0572, GJ12BY0479</t>
  </si>
  <si>
    <t>KPW/JW/91</t>
  </si>
  <si>
    <t>JBIN-OT 99</t>
  </si>
  <si>
    <t>092-2</t>
  </si>
  <si>
    <t>092-3</t>
  </si>
  <si>
    <t>092-4</t>
  </si>
  <si>
    <t>092-5</t>
  </si>
  <si>
    <t>091-2</t>
  </si>
  <si>
    <t>091-3</t>
  </si>
  <si>
    <t>091-4</t>
  </si>
  <si>
    <t>25.07.2026</t>
  </si>
  <si>
    <t>27.07.2026</t>
  </si>
  <si>
    <t>65-2</t>
  </si>
  <si>
    <t>PIL1/065</t>
  </si>
  <si>
    <t>PIL1/JW/065</t>
  </si>
  <si>
    <t>OEL1/DE/067/26-27</t>
  </si>
  <si>
    <t>29-07-2026</t>
  </si>
  <si>
    <t>OEL1/DE/068/26-27</t>
  </si>
  <si>
    <t>28-07-2026</t>
  </si>
  <si>
    <t>OEL/26-27/SII00626</t>
  </si>
  <si>
    <t>GJ24X5687, GJ12BY0479</t>
  </si>
  <si>
    <t>KPW/JW/92</t>
  </si>
  <si>
    <t>JBIN-OT 100</t>
  </si>
  <si>
    <t>WIP00024</t>
  </si>
  <si>
    <t>OEL/26-27/SII00632</t>
  </si>
  <si>
    <t>PIL1/JW/71</t>
  </si>
  <si>
    <t>JBIN-OT 101</t>
  </si>
  <si>
    <t>225 28-07-2026</t>
  </si>
  <si>
    <t>OEL/26-27/SII00633</t>
  </si>
  <si>
    <t>GJ12BY0479, GJ09Z0572</t>
  </si>
  <si>
    <t>KPW/JW/93</t>
  </si>
  <si>
    <t>JBIN-OT 102</t>
  </si>
  <si>
    <t>30-07-2026</t>
  </si>
  <si>
    <t>OEL/26-27/SII00638</t>
  </si>
  <si>
    <t>GJ12BT2409</t>
  </si>
  <si>
    <t>KPW/JW/94</t>
  </si>
  <si>
    <t>JBIN-OT 103</t>
  </si>
  <si>
    <t>PP Woven Fabrics Laminated / Coated</t>
  </si>
  <si>
    <t>093-2</t>
  </si>
  <si>
    <t>093-3</t>
  </si>
  <si>
    <t>093-4</t>
  </si>
  <si>
    <t>PIL1/071</t>
  </si>
  <si>
    <t>28.07.2026</t>
  </si>
  <si>
    <t>29.07.2026</t>
  </si>
  <si>
    <t>029/30.07.26</t>
  </si>
  <si>
    <t>OEL/IZS/26-27/009</t>
  </si>
  <si>
    <t>OEL1/D/29</t>
  </si>
  <si>
    <t>31-07-2026</t>
  </si>
  <si>
    <t>OEL/26-27/SII00649</t>
  </si>
  <si>
    <t>KPW/JW/95</t>
  </si>
  <si>
    <t>JBIN-OT 104</t>
  </si>
  <si>
    <t>30.07.2026</t>
  </si>
  <si>
    <t>030/31.07.26</t>
  </si>
  <si>
    <t>031/31.07.26</t>
  </si>
  <si>
    <t>OEL/DTA/025/26-27</t>
  </si>
  <si>
    <t>OEL1/DE/069/26-27</t>
  </si>
  <si>
    <t>OEL1/D/31</t>
  </si>
  <si>
    <t>OEL1/D/30</t>
  </si>
  <si>
    <t>OEL/26-27/SII00663</t>
  </si>
  <si>
    <t>SMF00147</t>
  </si>
  <si>
    <t>OEL/RAW/26-27/27</t>
  </si>
  <si>
    <t>Plastene Polyfilms Ltd-Purchase</t>
  </si>
  <si>
    <t>PPL/E/60</t>
  </si>
  <si>
    <t>RM 28</t>
  </si>
  <si>
    <t>25-08-2026</t>
  </si>
  <si>
    <t>24AAFCP2956A1ZR</t>
  </si>
  <si>
    <t>OEL/26-27/SII00661</t>
  </si>
  <si>
    <t>KPW/JW/97</t>
  </si>
  <si>
    <t>JBIN-OT 105</t>
  </si>
  <si>
    <t>OEL/26-27/SII00662</t>
  </si>
  <si>
    <t>GJ03CU3638, GJ03AX2024...</t>
  </si>
  <si>
    <t>KPW/JW/96</t>
  </si>
  <si>
    <t>JBIN-OT 106</t>
  </si>
  <si>
    <t>096-2</t>
  </si>
  <si>
    <t>096-3</t>
  </si>
  <si>
    <t>096-4</t>
  </si>
  <si>
    <t>096-5</t>
  </si>
  <si>
    <t>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</si>
</sst>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[$-409]mmm\-yy;@"/>
    <numFmt numFmtId="169" formatCode="mmmm\-yy;@"/>
    <numFmt numFmtId="170" formatCode="[$-409]d\-mmm\-yy;@"/>
  </numFmts>
  <fonts count="13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rgb="FF00B050"/>
      <name val="Calibri Light"/>
      <family val="2"/>
      <scheme val="major"/>
    </font>
    <font>
      <b/>
      <sz val="11"/>
      <color rgb="FF00206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00B0F0"/>
      <name val="Calibri"/>
      <family val="2"/>
      <scheme val="minor"/>
    </font>
    <font>
      <sz val="11"/>
      <color rgb="FF00B0F0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09" fillId="0" borderId="0" applyFill="0" applyBorder="0" applyAlignment="0" applyProtection="0"/>
    <xf numFmtId="0" fontId="109" fillId="0" borderId="0"/>
    <xf numFmtId="0" fontId="108" fillId="0" borderId="0"/>
    <xf numFmtId="0" fontId="107" fillId="0" borderId="0"/>
    <xf numFmtId="0" fontId="122" fillId="0" borderId="0"/>
  </cellStyleXfs>
  <cellXfs count="566">
    <xf numFmtId="0" fontId="0" fillId="0" borderId="0" xfId="0"/>
    <xf numFmtId="0" fontId="110" fillId="2" borderId="0" xfId="0" applyFont="1" applyFill="1"/>
    <xf numFmtId="165" fontId="110" fillId="2" borderId="1" xfId="1" applyNumberFormat="1" applyFont="1" applyFill="1" applyBorder="1"/>
    <xf numFmtId="165" fontId="110" fillId="2" borderId="1" xfId="1" applyNumberFormat="1" applyFont="1" applyFill="1" applyBorder="1" applyAlignment="1">
      <alignment vertical="center" wrapText="1"/>
    </xf>
    <xf numFmtId="0" fontId="110" fillId="2" borderId="8" xfId="0" applyFont="1" applyFill="1" applyBorder="1"/>
    <xf numFmtId="0" fontId="111" fillId="2" borderId="9" xfId="0" applyFont="1" applyFill="1" applyBorder="1" applyAlignment="1">
      <alignment vertical="center"/>
    </xf>
    <xf numFmtId="165" fontId="111" fillId="2" borderId="1" xfId="1" applyNumberFormat="1" applyFont="1" applyFill="1" applyBorder="1"/>
    <xf numFmtId="0" fontId="111" fillId="2" borderId="1" xfId="0" applyFont="1" applyFill="1" applyBorder="1"/>
    <xf numFmtId="0" fontId="111" fillId="2" borderId="10" xfId="0" applyFont="1" applyFill="1" applyBorder="1" applyAlignment="1">
      <alignment vertical="center"/>
    </xf>
    <xf numFmtId="0" fontId="110" fillId="2" borderId="0" xfId="0" applyFont="1" applyFill="1" applyAlignment="1">
      <alignment horizontal="center" vertical="center"/>
    </xf>
    <xf numFmtId="0" fontId="111" fillId="2" borderId="12" xfId="0" applyFont="1" applyFill="1" applyBorder="1" applyAlignment="1">
      <alignment vertical="center"/>
    </xf>
    <xf numFmtId="0" fontId="110" fillId="2" borderId="1" xfId="0" applyFont="1" applyFill="1" applyBorder="1"/>
    <xf numFmtId="165" fontId="110" fillId="2" borderId="1" xfId="0" applyNumberFormat="1" applyFont="1" applyFill="1" applyBorder="1"/>
    <xf numFmtId="0" fontId="113" fillId="2" borderId="17" xfId="0" applyFont="1" applyFill="1" applyBorder="1" applyAlignment="1">
      <alignment vertical="center" wrapText="1"/>
    </xf>
    <xf numFmtId="0" fontId="110" fillId="0" borderId="1" xfId="0" applyFont="1" applyBorder="1" applyAlignment="1">
      <alignment vertical="center"/>
    </xf>
    <xf numFmtId="0" fontId="110" fillId="0" borderId="11" xfId="0" applyFont="1" applyBorder="1" applyAlignment="1">
      <alignment vertical="center"/>
    </xf>
    <xf numFmtId="0" fontId="110" fillId="0" borderId="2" xfId="0" applyFont="1" applyBorder="1" applyAlignment="1">
      <alignment vertical="center"/>
    </xf>
    <xf numFmtId="165" fontId="110" fillId="2" borderId="2" xfId="1" applyNumberFormat="1" applyFont="1" applyFill="1" applyBorder="1"/>
    <xf numFmtId="165" fontId="110" fillId="2" borderId="2" xfId="0" applyNumberFormat="1" applyFont="1" applyFill="1" applyBorder="1"/>
    <xf numFmtId="0" fontId="110" fillId="0" borderId="18" xfId="0" applyFont="1" applyBorder="1" applyAlignment="1">
      <alignment vertical="center"/>
    </xf>
    <xf numFmtId="0" fontId="110" fillId="0" borderId="5" xfId="0" applyFont="1" applyBorder="1" applyAlignment="1">
      <alignment vertical="center"/>
    </xf>
    <xf numFmtId="0" fontId="110" fillId="0" borderId="6" xfId="0" applyFont="1" applyBorder="1" applyAlignment="1">
      <alignment vertical="center"/>
    </xf>
    <xf numFmtId="165" fontId="111" fillId="2" borderId="6" xfId="0" applyNumberFormat="1" applyFont="1" applyFill="1" applyBorder="1"/>
    <xf numFmtId="0" fontId="110" fillId="2" borderId="6" xfId="0" applyFont="1" applyFill="1" applyBorder="1"/>
    <xf numFmtId="165" fontId="110" fillId="2" borderId="6" xfId="0" applyNumberFormat="1" applyFont="1" applyFill="1" applyBorder="1"/>
    <xf numFmtId="0" fontId="110" fillId="2" borderId="19" xfId="0" applyFont="1" applyFill="1" applyBorder="1"/>
    <xf numFmtId="0" fontId="111" fillId="2" borderId="9" xfId="0" applyFont="1" applyFill="1" applyBorder="1" applyAlignment="1">
      <alignment horizontal="center" vertical="center" wrapText="1"/>
    </xf>
    <xf numFmtId="0" fontId="111" fillId="2" borderId="16" xfId="0" applyFont="1" applyFill="1" applyBorder="1" applyAlignment="1">
      <alignment horizontal="center" vertical="center" wrapText="1"/>
    </xf>
    <xf numFmtId="165" fontId="111" fillId="2" borderId="16" xfId="1" applyNumberFormat="1" applyFont="1" applyFill="1" applyBorder="1" applyAlignment="1">
      <alignment horizontal="center" vertical="center" wrapText="1"/>
    </xf>
    <xf numFmtId="0" fontId="111" fillId="2" borderId="0" xfId="0" applyFont="1" applyFill="1" applyBorder="1"/>
    <xf numFmtId="0" fontId="114" fillId="2" borderId="1" xfId="0" applyFont="1" applyFill="1" applyBorder="1" applyAlignment="1"/>
    <xf numFmtId="0" fontId="115" fillId="2" borderId="0" xfId="0" applyFont="1" applyFill="1"/>
    <xf numFmtId="0" fontId="115" fillId="2" borderId="1" xfId="0" applyFont="1" applyFill="1" applyBorder="1" applyAlignment="1">
      <alignment vertical="center"/>
    </xf>
    <xf numFmtId="0" fontId="115" fillId="2" borderId="1" xfId="0" applyFont="1" applyFill="1" applyBorder="1"/>
    <xf numFmtId="0" fontId="118" fillId="0" borderId="0" xfId="0" applyFont="1"/>
    <xf numFmtId="14" fontId="117" fillId="0" borderId="0" xfId="0" applyNumberFormat="1" applyFont="1"/>
    <xf numFmtId="0" fontId="117" fillId="0" borderId="0" xfId="0" applyFont="1"/>
    <xf numFmtId="0" fontId="117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43" fontId="110" fillId="2" borderId="2" xfId="1" applyFont="1" applyFill="1" applyBorder="1"/>
    <xf numFmtId="43" fontId="110" fillId="2" borderId="1" xfId="1" applyFont="1" applyFill="1" applyBorder="1"/>
    <xf numFmtId="165" fontId="110" fillId="2" borderId="0" xfId="0" applyNumberFormat="1" applyFont="1" applyFill="1"/>
    <xf numFmtId="165" fontId="110" fillId="2" borderId="16" xfId="1" applyNumberFormat="1" applyFont="1" applyFill="1" applyBorder="1"/>
    <xf numFmtId="43" fontId="110" fillId="2" borderId="27" xfId="1" applyFont="1" applyFill="1" applyBorder="1"/>
    <xf numFmtId="0" fontId="111" fillId="2" borderId="28" xfId="0" applyFont="1" applyFill="1" applyBorder="1" applyAlignment="1">
      <alignment horizontal="center" vertical="center" wrapText="1"/>
    </xf>
    <xf numFmtId="0" fontId="110" fillId="3" borderId="0" xfId="0" applyFont="1" applyFill="1"/>
    <xf numFmtId="0" fontId="110" fillId="2" borderId="0" xfId="0" applyFont="1" applyFill="1" applyAlignment="1"/>
    <xf numFmtId="166" fontId="110" fillId="2" borderId="1" xfId="1" applyNumberFormat="1" applyFont="1" applyFill="1" applyBorder="1"/>
    <xf numFmtId="43" fontId="110" fillId="2" borderId="1" xfId="1" applyNumberFormat="1" applyFont="1" applyFill="1" applyBorder="1"/>
    <xf numFmtId="0" fontId="113" fillId="2" borderId="30" xfId="0" applyFont="1" applyFill="1" applyBorder="1" applyAlignment="1">
      <alignment vertical="center" wrapText="1"/>
    </xf>
    <xf numFmtId="43" fontId="110" fillId="2" borderId="29" xfId="0" applyNumberFormat="1" applyFont="1" applyFill="1" applyBorder="1"/>
    <xf numFmtId="43" fontId="110" fillId="2" borderId="7" xfId="1" applyNumberFormat="1" applyFont="1" applyFill="1" applyBorder="1"/>
    <xf numFmtId="43" fontId="110" fillId="2" borderId="1" xfId="0" applyNumberFormat="1" applyFont="1" applyFill="1" applyBorder="1"/>
    <xf numFmtId="0" fontId="116" fillId="0" borderId="18" xfId="3" applyFont="1" applyFill="1" applyBorder="1" applyAlignment="1">
      <alignment vertical="center" wrapText="1"/>
    </xf>
    <xf numFmtId="165" fontId="110" fillId="2" borderId="18" xfId="0" applyNumberFormat="1" applyFont="1" applyFill="1" applyBorder="1"/>
    <xf numFmtId="165" fontId="110" fillId="2" borderId="11" xfId="0" applyNumberFormat="1" applyFont="1" applyFill="1" applyBorder="1"/>
    <xf numFmtId="165" fontId="110" fillId="2" borderId="31" xfId="0" applyNumberFormat="1" applyFont="1" applyFill="1" applyBorder="1"/>
    <xf numFmtId="165" fontId="110" fillId="2" borderId="32" xfId="0" applyNumberFormat="1" applyFont="1" applyFill="1" applyBorder="1"/>
    <xf numFmtId="43" fontId="110" fillId="2" borderId="0" xfId="0" applyNumberFormat="1" applyFont="1" applyFill="1"/>
    <xf numFmtId="165" fontId="110" fillId="2" borderId="34" xfId="0" applyNumberFormat="1" applyFont="1" applyFill="1" applyBorder="1"/>
    <xf numFmtId="165" fontId="110" fillId="2" borderId="0" xfId="0" applyNumberFormat="1" applyFont="1" applyFill="1" applyAlignment="1"/>
    <xf numFmtId="0" fontId="0" fillId="3" borderId="0" xfId="0" applyFill="1"/>
    <xf numFmtId="2" fontId="0" fillId="0" borderId="0" xfId="0" applyNumberFormat="1"/>
    <xf numFmtId="0" fontId="117" fillId="0" borderId="0" xfId="0" applyFont="1" applyFill="1"/>
    <xf numFmtId="43" fontId="110" fillId="3" borderId="0" xfId="0" applyNumberFormat="1" applyFont="1" applyFill="1"/>
    <xf numFmtId="165" fontId="111" fillId="2" borderId="2" xfId="1" applyNumberFormat="1" applyFont="1" applyFill="1" applyBorder="1"/>
    <xf numFmtId="43" fontId="110" fillId="2" borderId="2" xfId="0" applyNumberFormat="1" applyFont="1" applyFill="1" applyBorder="1"/>
    <xf numFmtId="165" fontId="110" fillId="2" borderId="0" xfId="0" applyNumberFormat="1" applyFont="1" applyFill="1" applyBorder="1"/>
    <xf numFmtId="165" fontId="110" fillId="2" borderId="28" xfId="1" applyNumberFormat="1" applyFont="1" applyFill="1" applyBorder="1"/>
    <xf numFmtId="165" fontId="110" fillId="2" borderId="30" xfId="1" applyNumberFormat="1" applyFont="1" applyFill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43" fontId="110" fillId="2" borderId="16" xfId="0" applyNumberFormat="1" applyFont="1" applyFill="1" applyBorder="1"/>
    <xf numFmtId="43" fontId="110" fillId="2" borderId="6" xfId="0" applyNumberFormat="1" applyFont="1" applyFill="1" applyBorder="1"/>
    <xf numFmtId="43" fontId="110" fillId="2" borderId="6" xfId="0" applyNumberFormat="1" applyFont="1" applyFill="1" applyBorder="1" applyAlignment="1"/>
    <xf numFmtId="1" fontId="110" fillId="2" borderId="1" xfId="0" applyNumberFormat="1" applyFont="1" applyFill="1" applyBorder="1"/>
    <xf numFmtId="1" fontId="0" fillId="0" borderId="0" xfId="0" applyNumberFormat="1"/>
    <xf numFmtId="0" fontId="110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118" fillId="0" borderId="0" xfId="0" applyFont="1" applyFill="1"/>
    <xf numFmtId="14" fontId="117" fillId="0" borderId="0" xfId="0" applyNumberFormat="1" applyFont="1" applyFill="1"/>
    <xf numFmtId="0" fontId="117" fillId="0" borderId="0" xfId="0" applyFont="1" applyFill="1" applyAlignment="1"/>
    <xf numFmtId="43" fontId="110" fillId="2" borderId="2" xfId="1" applyNumberFormat="1" applyFont="1" applyFill="1" applyBorder="1"/>
    <xf numFmtId="14" fontId="117" fillId="0" borderId="0" xfId="0" applyNumberFormat="1" applyFont="1" applyAlignment="1"/>
    <xf numFmtId="43" fontId="110" fillId="2" borderId="11" xfId="0" applyNumberFormat="1" applyFont="1" applyFill="1" applyBorder="1"/>
    <xf numFmtId="43" fontId="110" fillId="2" borderId="18" xfId="0" applyNumberFormat="1" applyFont="1" applyFill="1" applyBorder="1"/>
    <xf numFmtId="0" fontId="0" fillId="0" borderId="0" xfId="0" applyAlignment="1">
      <alignment horizontal="left" vertical="center"/>
    </xf>
    <xf numFmtId="165" fontId="110" fillId="2" borderId="0" xfId="0" applyNumberFormat="1" applyFont="1" applyFill="1" applyAlignment="1">
      <alignment horizontal="right"/>
    </xf>
    <xf numFmtId="0" fontId="110" fillId="0" borderId="0" xfId="0" applyFont="1"/>
    <xf numFmtId="4" fontId="0" fillId="0" borderId="0" xfId="0" applyNumberFormat="1" applyAlignment="1">
      <alignment vertical="center"/>
    </xf>
    <xf numFmtId="0" fontId="110" fillId="0" borderId="1" xfId="0" applyFont="1" applyBorder="1" applyAlignment="1">
      <alignment vertical="center" wrapText="1"/>
    </xf>
    <xf numFmtId="167" fontId="110" fillId="2" borderId="0" xfId="0" applyNumberFormat="1" applyFont="1" applyFill="1"/>
    <xf numFmtId="43" fontId="110" fillId="2" borderId="0" xfId="0" applyNumberFormat="1" applyFont="1" applyFill="1" applyAlignment="1">
      <alignment horizontal="right"/>
    </xf>
    <xf numFmtId="0" fontId="110" fillId="2" borderId="0" xfId="0" applyFont="1" applyFill="1" applyAlignment="1">
      <alignment horizontal="left"/>
    </xf>
    <xf numFmtId="0" fontId="110" fillId="0" borderId="0" xfId="0" applyFont="1" applyFill="1" applyAlignment="1">
      <alignment horizontal="left"/>
    </xf>
    <xf numFmtId="0" fontId="111" fillId="2" borderId="0" xfId="0" applyFont="1" applyFill="1" applyBorder="1" applyAlignment="1">
      <alignment horizontal="left" vertical="center" wrapText="1"/>
    </xf>
    <xf numFmtId="0" fontId="111" fillId="0" borderId="0" xfId="0" applyFont="1" applyFill="1" applyBorder="1" applyAlignment="1">
      <alignment horizontal="left" vertical="center" wrapText="1"/>
    </xf>
    <xf numFmtId="0" fontId="110" fillId="2" borderId="0" xfId="0" applyFont="1" applyFill="1" applyAlignment="1">
      <alignment horizontal="left" vertical="center"/>
    </xf>
    <xf numFmtId="0" fontId="121" fillId="0" borderId="8" xfId="3" applyFont="1" applyFill="1" applyBorder="1" applyAlignment="1">
      <alignment horizontal="left" vertical="center" wrapText="1"/>
    </xf>
    <xf numFmtId="0" fontId="121" fillId="0" borderId="0" xfId="3" applyFont="1" applyFill="1" applyBorder="1" applyAlignment="1">
      <alignment horizontal="left" vertical="center" wrapText="1"/>
    </xf>
    <xf numFmtId="0" fontId="121" fillId="2" borderId="0" xfId="3" applyFont="1" applyFill="1" applyBorder="1" applyAlignment="1">
      <alignment horizontal="left" vertical="center" wrapText="1"/>
    </xf>
    <xf numFmtId="165" fontId="110" fillId="2" borderId="7" xfId="0" applyNumberFormat="1" applyFont="1" applyFill="1" applyBorder="1" applyAlignment="1">
      <alignment horizontal="left"/>
    </xf>
    <xf numFmtId="165" fontId="110" fillId="2" borderId="0" xfId="0" applyNumberFormat="1" applyFont="1" applyFill="1" applyBorder="1" applyAlignment="1">
      <alignment horizontal="left"/>
    </xf>
    <xf numFmtId="165" fontId="110" fillId="0" borderId="0" xfId="0" applyNumberFormat="1" applyFont="1" applyFill="1" applyBorder="1" applyAlignment="1">
      <alignment horizontal="left"/>
    </xf>
    <xf numFmtId="165" fontId="110" fillId="2" borderId="0" xfId="0" applyNumberFormat="1" applyFont="1" applyFill="1" applyAlignment="1">
      <alignment horizontal="left"/>
    </xf>
    <xf numFmtId="165" fontId="110" fillId="2" borderId="29" xfId="0" applyNumberFormat="1" applyFont="1" applyFill="1" applyBorder="1" applyAlignment="1">
      <alignment horizontal="left"/>
    </xf>
    <xf numFmtId="43" fontId="110" fillId="2" borderId="0" xfId="0" applyNumberFormat="1" applyFont="1" applyFill="1" applyAlignment="1">
      <alignment horizontal="left"/>
    </xf>
    <xf numFmtId="165" fontId="111" fillId="0" borderId="0" xfId="0" applyNumberFormat="1" applyFont="1" applyFill="1" applyBorder="1" applyAlignment="1">
      <alignment horizontal="left"/>
    </xf>
    <xf numFmtId="43" fontId="110" fillId="2" borderId="7" xfId="1" applyNumberFormat="1" applyFont="1" applyFill="1" applyBorder="1" applyAlignment="1">
      <alignment horizontal="left"/>
    </xf>
    <xf numFmtId="43" fontId="110" fillId="2" borderId="0" xfId="1" applyNumberFormat="1" applyFont="1" applyFill="1" applyBorder="1" applyAlignment="1">
      <alignment horizontal="left"/>
    </xf>
    <xf numFmtId="43" fontId="110" fillId="0" borderId="0" xfId="1" applyNumberFormat="1" applyFont="1" applyFill="1" applyBorder="1" applyAlignment="1">
      <alignment horizontal="left"/>
    </xf>
    <xf numFmtId="165" fontId="110" fillId="2" borderId="33" xfId="0" applyNumberFormat="1" applyFont="1" applyFill="1" applyBorder="1" applyAlignment="1">
      <alignment horizontal="left"/>
    </xf>
    <xf numFmtId="165" fontId="110" fillId="0" borderId="0" xfId="0" applyNumberFormat="1" applyFont="1" applyFill="1" applyAlignment="1">
      <alignment horizontal="left"/>
    </xf>
    <xf numFmtId="165" fontId="110" fillId="3" borderId="0" xfId="0" applyNumberFormat="1" applyFont="1" applyFill="1" applyAlignment="1">
      <alignment horizontal="left"/>
    </xf>
    <xf numFmtId="0" fontId="110" fillId="3" borderId="0" xfId="0" applyFont="1" applyFill="1" applyAlignment="1">
      <alignment horizontal="left"/>
    </xf>
    <xf numFmtId="43" fontId="110" fillId="2" borderId="29" xfId="0" applyNumberFormat="1" applyFont="1" applyFill="1" applyBorder="1" applyAlignment="1">
      <alignment horizontal="left"/>
    </xf>
    <xf numFmtId="165" fontId="110" fillId="0" borderId="29" xfId="0" applyNumberFormat="1" applyFont="1" applyFill="1" applyBorder="1" applyAlignment="1">
      <alignment horizontal="left"/>
    </xf>
    <xf numFmtId="43" fontId="110" fillId="0" borderId="0" xfId="0" applyNumberFormat="1" applyFont="1" applyFill="1" applyAlignment="1">
      <alignment horizontal="left"/>
    </xf>
    <xf numFmtId="0" fontId="111" fillId="2" borderId="30" xfId="0" applyFont="1" applyFill="1" applyBorder="1" applyAlignment="1">
      <alignment horizontal="left" vertical="center" wrapText="1"/>
    </xf>
    <xf numFmtId="164" fontId="110" fillId="2" borderId="0" xfId="0" applyNumberFormat="1" applyFont="1" applyFill="1" applyAlignment="1">
      <alignment horizontal="left"/>
    </xf>
    <xf numFmtId="0" fontId="107" fillId="0" borderId="0" xfId="4"/>
    <xf numFmtId="0" fontId="107" fillId="0" borderId="1" xfId="4" applyBorder="1"/>
    <xf numFmtId="2" fontId="116" fillId="3" borderId="1" xfId="4" applyNumberFormat="1" applyFont="1" applyFill="1" applyBorder="1"/>
    <xf numFmtId="0" fontId="116" fillId="0" borderId="1" xfId="4" applyFont="1" applyBorder="1"/>
    <xf numFmtId="0" fontId="116" fillId="0" borderId="1" xfId="4" applyFont="1" applyBorder="1" applyAlignment="1">
      <alignment horizontal="center"/>
    </xf>
    <xf numFmtId="2" fontId="116" fillId="0" borderId="1" xfId="4" applyNumberFormat="1" applyFont="1" applyBorder="1"/>
    <xf numFmtId="0" fontId="116" fillId="3" borderId="1" xfId="4" applyFont="1" applyFill="1" applyBorder="1"/>
    <xf numFmtId="0" fontId="116" fillId="3" borderId="1" xfId="4" applyFont="1" applyFill="1" applyBorder="1" applyAlignment="1">
      <alignment horizontal="center"/>
    </xf>
    <xf numFmtId="2" fontId="107" fillId="0" borderId="0" xfId="4" applyNumberFormat="1"/>
    <xf numFmtId="0" fontId="107" fillId="0" borderId="0" xfId="4" applyFont="1"/>
    <xf numFmtId="2" fontId="107" fillId="0" borderId="1" xfId="4" applyNumberFormat="1" applyBorder="1"/>
    <xf numFmtId="168" fontId="122" fillId="0" borderId="1" xfId="4" applyNumberFormat="1" applyFont="1" applyFill="1" applyBorder="1" applyAlignment="1"/>
    <xf numFmtId="0" fontId="122" fillId="0" borderId="1" xfId="4" applyNumberFormat="1" applyFont="1" applyFill="1" applyBorder="1" applyAlignment="1"/>
    <xf numFmtId="0" fontId="107" fillId="0" borderId="1" xfId="4" applyBorder="1" applyAlignment="1">
      <alignment vertical="center"/>
    </xf>
    <xf numFmtId="0" fontId="107" fillId="0" borderId="1" xfId="4" applyBorder="1" applyAlignment="1">
      <alignment horizontal="center"/>
    </xf>
    <xf numFmtId="2" fontId="107" fillId="0" borderId="1" xfId="4" applyNumberFormat="1" applyFill="1" applyBorder="1"/>
    <xf numFmtId="0" fontId="107" fillId="0" borderId="1" xfId="4" applyBorder="1" applyAlignment="1">
      <alignment vertical="center" wrapText="1"/>
    </xf>
    <xf numFmtId="0" fontId="107" fillId="0" borderId="1" xfId="4" quotePrefix="1" applyBorder="1" applyAlignment="1">
      <alignment horizontal="center"/>
    </xf>
    <xf numFmtId="2" fontId="107" fillId="5" borderId="1" xfId="4" applyNumberFormat="1" applyFill="1" applyBorder="1"/>
    <xf numFmtId="0" fontId="107" fillId="5" borderId="1" xfId="4" applyFill="1" applyBorder="1"/>
    <xf numFmtId="168" fontId="122" fillId="5" borderId="1" xfId="4" applyNumberFormat="1" applyFont="1" applyFill="1" applyBorder="1" applyAlignment="1"/>
    <xf numFmtId="0" fontId="122" fillId="5" borderId="1" xfId="4" applyNumberFormat="1" applyFont="1" applyFill="1" applyBorder="1" applyAlignment="1"/>
    <xf numFmtId="0" fontId="107" fillId="5" borderId="1" xfId="4" applyFill="1" applyBorder="1" applyAlignment="1">
      <alignment vertical="center"/>
    </xf>
    <xf numFmtId="0" fontId="107" fillId="5" borderId="1" xfId="4" applyFill="1" applyBorder="1" applyAlignment="1">
      <alignment vertical="center" wrapText="1"/>
    </xf>
    <xf numFmtId="0" fontId="107" fillId="5" borderId="1" xfId="4" applyFill="1" applyBorder="1" applyAlignment="1">
      <alignment horizontal="center"/>
    </xf>
    <xf numFmtId="2" fontId="107" fillId="3" borderId="1" xfId="4" applyNumberFormat="1" applyFill="1" applyBorder="1"/>
    <xf numFmtId="0" fontId="107" fillId="0" borderId="1" xfId="4" applyFill="1" applyBorder="1" applyAlignment="1">
      <alignment vertical="center"/>
    </xf>
    <xf numFmtId="2" fontId="116" fillId="0" borderId="0" xfId="4" applyNumberFormat="1" applyFont="1"/>
    <xf numFmtId="0" fontId="107" fillId="0" borderId="0" xfId="4" applyBorder="1" applyAlignment="1">
      <alignment vertical="center"/>
    </xf>
    <xf numFmtId="2" fontId="123" fillId="5" borderId="1" xfId="4" applyNumberFormat="1" applyFont="1" applyFill="1" applyBorder="1"/>
    <xf numFmtId="0" fontId="123" fillId="5" borderId="1" xfId="4" applyFont="1" applyFill="1" applyBorder="1"/>
    <xf numFmtId="168" fontId="124" fillId="5" borderId="1" xfId="4" applyNumberFormat="1" applyFont="1" applyFill="1" applyBorder="1" applyAlignment="1"/>
    <xf numFmtId="0" fontId="124" fillId="5" borderId="1" xfId="4" applyNumberFormat="1" applyFont="1" applyFill="1" applyBorder="1" applyAlignment="1"/>
    <xf numFmtId="0" fontId="123" fillId="5" borderId="1" xfId="4" applyFont="1" applyFill="1" applyBorder="1" applyAlignment="1">
      <alignment vertical="center"/>
    </xf>
    <xf numFmtId="0" fontId="123" fillId="5" borderId="1" xfId="4" applyFont="1" applyFill="1" applyBorder="1" applyAlignment="1">
      <alignment vertical="center" wrapText="1"/>
    </xf>
    <xf numFmtId="0" fontId="123" fillId="5" borderId="1" xfId="4" applyFont="1" applyFill="1" applyBorder="1" applyAlignment="1">
      <alignment horizontal="center"/>
    </xf>
    <xf numFmtId="0" fontId="107" fillId="0" borderId="1" xfId="4" applyFill="1" applyBorder="1"/>
    <xf numFmtId="2" fontId="125" fillId="0" borderId="1" xfId="4" applyNumberFormat="1" applyFont="1" applyFill="1" applyBorder="1" applyAlignment="1">
      <alignment vertical="center" wrapText="1"/>
    </xf>
    <xf numFmtId="0" fontId="125" fillId="0" borderId="1" xfId="4" applyNumberFormat="1" applyFont="1" applyFill="1" applyBorder="1" applyAlignment="1">
      <alignment vertical="center" wrapText="1"/>
    </xf>
    <xf numFmtId="169" fontId="125" fillId="0" borderId="1" xfId="4" applyNumberFormat="1" applyFont="1" applyFill="1" applyBorder="1" applyAlignment="1">
      <alignment vertical="center" wrapText="1"/>
    </xf>
    <xf numFmtId="0" fontId="126" fillId="0" borderId="1" xfId="4" applyNumberFormat="1" applyFont="1" applyFill="1" applyBorder="1" applyAlignment="1">
      <alignment vertical="center" wrapText="1"/>
    </xf>
    <xf numFmtId="0" fontId="125" fillId="0" borderId="1" xfId="4" applyNumberFormat="1" applyFont="1" applyFill="1" applyBorder="1" applyAlignment="1">
      <alignment vertical="center"/>
    </xf>
    <xf numFmtId="0" fontId="126" fillId="0" borderId="1" xfId="4" applyNumberFormat="1" applyFont="1" applyFill="1" applyBorder="1" applyAlignment="1">
      <alignment vertical="center"/>
    </xf>
    <xf numFmtId="0" fontId="126" fillId="0" borderId="1" xfId="4" applyNumberFormat="1" applyFont="1" applyFill="1" applyBorder="1" applyAlignment="1">
      <alignment horizontal="center" vertical="center" wrapText="1"/>
    </xf>
    <xf numFmtId="0" fontId="107" fillId="0" borderId="0" xfId="4" applyAlignment="1">
      <alignment vertical="center" wrapText="1"/>
    </xf>
    <xf numFmtId="2" fontId="128" fillId="5" borderId="1" xfId="4" applyNumberFormat="1" applyFont="1" applyFill="1" applyBorder="1"/>
    <xf numFmtId="0" fontId="128" fillId="5" borderId="1" xfId="4" applyFont="1" applyFill="1" applyBorder="1"/>
    <xf numFmtId="0" fontId="129" fillId="5" borderId="1" xfId="4" applyNumberFormat="1" applyFont="1" applyFill="1" applyBorder="1" applyAlignment="1"/>
    <xf numFmtId="0" fontId="128" fillId="5" borderId="1" xfId="4" applyFont="1" applyFill="1" applyBorder="1" applyAlignment="1">
      <alignment vertical="center"/>
    </xf>
    <xf numFmtId="168" fontId="129" fillId="5" borderId="1" xfId="4" applyNumberFormat="1" applyFont="1" applyFill="1" applyBorder="1" applyAlignment="1"/>
    <xf numFmtId="0" fontId="128" fillId="5" borderId="1" xfId="4" applyFont="1" applyFill="1" applyBorder="1" applyAlignment="1">
      <alignment horizontal="center"/>
    </xf>
    <xf numFmtId="2" fontId="107" fillId="2" borderId="1" xfId="4" applyNumberFormat="1" applyFill="1" applyBorder="1"/>
    <xf numFmtId="2" fontId="130" fillId="5" borderId="1" xfId="4" applyNumberFormat="1" applyFont="1" applyFill="1" applyBorder="1"/>
    <xf numFmtId="0" fontId="130" fillId="5" borderId="1" xfId="4" applyFont="1" applyFill="1" applyBorder="1"/>
    <xf numFmtId="0" fontId="131" fillId="5" borderId="1" xfId="4" applyNumberFormat="1" applyFont="1" applyFill="1" applyBorder="1" applyAlignment="1"/>
    <xf numFmtId="0" fontId="130" fillId="5" borderId="1" xfId="4" applyFont="1" applyFill="1" applyBorder="1" applyAlignment="1">
      <alignment vertical="center"/>
    </xf>
    <xf numFmtId="168" fontId="131" fillId="5" borderId="1" xfId="4" applyNumberFormat="1" applyFont="1" applyFill="1" applyBorder="1" applyAlignment="1"/>
    <xf numFmtId="0" fontId="130" fillId="5" borderId="1" xfId="4" applyFont="1" applyFill="1" applyBorder="1" applyAlignment="1">
      <alignment horizontal="center"/>
    </xf>
    <xf numFmtId="2" fontId="107" fillId="0" borderId="0" xfId="4" applyNumberFormat="1" applyFont="1"/>
    <xf numFmtId="2" fontId="107" fillId="0" borderId="0" xfId="4" applyNumberFormat="1" applyFill="1"/>
    <xf numFmtId="0" fontId="107" fillId="0" borderId="0" xfId="4" applyFill="1"/>
    <xf numFmtId="0" fontId="107" fillId="0" borderId="1" xfId="4" applyFont="1" applyBorder="1" applyAlignment="1">
      <alignment vertical="center"/>
    </xf>
    <xf numFmtId="2" fontId="107" fillId="0" borderId="1" xfId="4" applyNumberFormat="1" applyBorder="1" applyAlignment="1">
      <alignment vertical="center" wrapText="1"/>
    </xf>
    <xf numFmtId="0" fontId="107" fillId="0" borderId="0" xfId="4" applyAlignment="1">
      <alignment vertical="center"/>
    </xf>
    <xf numFmtId="2" fontId="107" fillId="5" borderId="1" xfId="4" applyNumberFormat="1" applyFill="1" applyBorder="1" applyAlignment="1">
      <alignment vertical="center" wrapText="1"/>
    </xf>
    <xf numFmtId="2" fontId="107" fillId="0" borderId="1" xfId="4" applyNumberFormat="1" applyBorder="1" applyAlignment="1">
      <alignment vertical="center"/>
    </xf>
    <xf numFmtId="2" fontId="107" fillId="5" borderId="1" xfId="4" applyNumberFormat="1" applyFill="1" applyBorder="1" applyAlignment="1">
      <alignment vertical="center"/>
    </xf>
    <xf numFmtId="2" fontId="107" fillId="0" borderId="0" xfId="4" applyNumberFormat="1" applyAlignment="1">
      <alignment vertical="center" wrapText="1"/>
    </xf>
    <xf numFmtId="0" fontId="107" fillId="0" borderId="27" xfId="4" applyBorder="1" applyAlignment="1">
      <alignment vertical="center" wrapText="1"/>
    </xf>
    <xf numFmtId="0" fontId="107" fillId="0" borderId="41" xfId="4" applyBorder="1" applyAlignment="1">
      <alignment vertical="center"/>
    </xf>
    <xf numFmtId="170" fontId="107" fillId="0" borderId="0" xfId="4" applyNumberFormat="1"/>
    <xf numFmtId="0" fontId="107" fillId="0" borderId="0" xfId="4" applyAlignment="1">
      <alignment horizontal="left"/>
    </xf>
    <xf numFmtId="0" fontId="107" fillId="0" borderId="0" xfId="4" applyNumberFormat="1"/>
    <xf numFmtId="0" fontId="116" fillId="0" borderId="0" xfId="4" applyFont="1"/>
    <xf numFmtId="0" fontId="107" fillId="0" borderId="0" xfId="4" applyAlignment="1"/>
    <xf numFmtId="14" fontId="107" fillId="0" borderId="0" xfId="4" applyNumberFormat="1" applyAlignment="1">
      <alignment vertical="center"/>
    </xf>
    <xf numFmtId="0" fontId="107" fillId="0" borderId="0" xfId="4" applyAlignment="1">
      <alignment horizontal="left" vertical="center"/>
    </xf>
    <xf numFmtId="0" fontId="116" fillId="0" borderId="0" xfId="4" applyFont="1" applyAlignment="1">
      <alignment horizontal="center" vertical="center"/>
    </xf>
    <xf numFmtId="0" fontId="116" fillId="0" borderId="0" xfId="4" applyFont="1" applyAlignment="1">
      <alignment horizontal="left" vertical="center"/>
    </xf>
    <xf numFmtId="0" fontId="107" fillId="0" borderId="0" xfId="4" applyAlignment="1">
      <alignment horizontal="center"/>
    </xf>
    <xf numFmtId="2" fontId="116" fillId="4" borderId="1" xfId="4" applyNumberFormat="1" applyFont="1" applyFill="1" applyBorder="1" applyAlignment="1"/>
    <xf numFmtId="2" fontId="116" fillId="0" borderId="1" xfId="4" applyNumberFormat="1" applyFont="1" applyFill="1" applyBorder="1" applyAlignment="1"/>
    <xf numFmtId="2" fontId="116" fillId="0" borderId="1" xfId="4" applyNumberFormat="1" applyFont="1" applyFill="1" applyBorder="1" applyAlignment="1">
      <alignment horizontal="left" vertical="center" wrapText="1"/>
    </xf>
    <xf numFmtId="2" fontId="107" fillId="0" borderId="1" xfId="4" applyNumberFormat="1" applyFont="1" applyFill="1" applyBorder="1"/>
    <xf numFmtId="2" fontId="107" fillId="0" borderId="1" xfId="4" applyNumberFormat="1" applyBorder="1" applyAlignment="1">
      <alignment horizontal="right"/>
    </xf>
    <xf numFmtId="2" fontId="107" fillId="0" borderId="1" xfId="4" applyNumberFormat="1" applyFont="1" applyBorder="1" applyAlignment="1">
      <alignment horizontal="right"/>
    </xf>
    <xf numFmtId="2" fontId="107" fillId="0" borderId="1" xfId="4" applyNumberFormat="1" applyBorder="1" applyAlignment="1">
      <alignment horizontal="center"/>
    </xf>
    <xf numFmtId="0" fontId="107" fillId="0" borderId="1" xfId="4" applyBorder="1" applyAlignment="1">
      <alignment horizontal="left"/>
    </xf>
    <xf numFmtId="2" fontId="116" fillId="0" borderId="1" xfId="4" applyNumberFormat="1" applyFont="1" applyBorder="1" applyAlignment="1">
      <alignment horizontal="right" vertical="center"/>
    </xf>
    <xf numFmtId="0" fontId="116" fillId="0" borderId="1" xfId="4" applyFont="1" applyFill="1" applyBorder="1" applyAlignment="1">
      <alignment horizontal="center" vertical="center" wrapText="1"/>
    </xf>
    <xf numFmtId="0" fontId="116" fillId="0" borderId="1" xfId="4" applyFont="1" applyBorder="1" applyAlignment="1">
      <alignment horizontal="left" vertical="center" wrapText="1"/>
    </xf>
    <xf numFmtId="0" fontId="116" fillId="0" borderId="1" xfId="4" applyFont="1" applyBorder="1" applyAlignment="1">
      <alignment horizontal="center" vertical="center" wrapText="1"/>
    </xf>
    <xf numFmtId="0" fontId="116" fillId="0" borderId="1" xfId="4" applyFont="1" applyBorder="1" applyAlignment="1">
      <alignment horizontal="center" vertical="center"/>
    </xf>
    <xf numFmtId="0" fontId="132" fillId="0" borderId="1" xfId="5" applyFont="1" applyFill="1" applyBorder="1" applyAlignment="1">
      <alignment horizontal="center" vertical="center" wrapText="1"/>
    </xf>
    <xf numFmtId="0" fontId="116" fillId="0" borderId="1" xfId="4" applyFont="1" applyFill="1" applyBorder="1" applyAlignment="1">
      <alignment horizontal="center" vertical="center"/>
    </xf>
    <xf numFmtId="0" fontId="116" fillId="0" borderId="1" xfId="4" applyFont="1" applyBorder="1" applyAlignment="1">
      <alignment horizontal="center" wrapText="1"/>
    </xf>
    <xf numFmtId="0" fontId="107" fillId="0" borderId="0" xfId="4" applyAlignment="1">
      <alignment horizontal="right"/>
    </xf>
    <xf numFmtId="0" fontId="107" fillId="0" borderId="0" xfId="4" applyAlignment="1">
      <alignment horizontal="right" vertical="center"/>
    </xf>
    <xf numFmtId="22" fontId="107" fillId="0" borderId="0" xfId="4" applyNumberFormat="1" applyAlignment="1">
      <alignment vertical="center"/>
    </xf>
    <xf numFmtId="0" fontId="107" fillId="0" borderId="0" xfId="4" applyAlignment="1">
      <alignment horizontal="right" vertical="center" wrapText="1"/>
    </xf>
    <xf numFmtId="2" fontId="107" fillId="0" borderId="0" xfId="4" applyNumberFormat="1" applyAlignment="1">
      <alignment vertical="center"/>
    </xf>
    <xf numFmtId="2" fontId="107" fillId="0" borderId="0" xfId="4" applyNumberFormat="1" applyAlignment="1"/>
    <xf numFmtId="1" fontId="107" fillId="0" borderId="0" xfId="4" applyNumberFormat="1"/>
    <xf numFmtId="0" fontId="125" fillId="0" borderId="0" xfId="0" applyFont="1" applyAlignment="1">
      <alignment horizontal="center" vertical="center"/>
    </xf>
    <xf numFmtId="2" fontId="110" fillId="2" borderId="1" xfId="0" applyNumberFormat="1" applyFont="1" applyFill="1" applyBorder="1"/>
    <xf numFmtId="0" fontId="107" fillId="0" borderId="0" xfId="4" applyFont="1" applyFill="1"/>
    <xf numFmtId="164" fontId="110" fillId="2" borderId="1" xfId="0" applyNumberFormat="1" applyFont="1" applyFill="1" applyBorder="1"/>
    <xf numFmtId="0" fontId="107" fillId="0" borderId="0" xfId="4" applyBorder="1" applyAlignment="1">
      <alignment horizontal="center"/>
    </xf>
    <xf numFmtId="0" fontId="107" fillId="0" borderId="0" xfId="4" applyAlignment="1">
      <alignment horizontal="center"/>
    </xf>
    <xf numFmtId="165" fontId="110" fillId="2" borderId="27" xfId="1" applyNumberFormat="1" applyFont="1" applyFill="1" applyBorder="1"/>
    <xf numFmtId="0" fontId="111" fillId="0" borderId="0" xfId="0" applyFont="1" applyFill="1" applyAlignment="1">
      <alignment horizontal="left"/>
    </xf>
    <xf numFmtId="43" fontId="110" fillId="0" borderId="0" xfId="0" applyNumberFormat="1" applyFont="1" applyFill="1" applyBorder="1" applyAlignment="1">
      <alignment horizontal="left"/>
    </xf>
    <xf numFmtId="164" fontId="110" fillId="0" borderId="0" xfId="0" applyNumberFormat="1" applyFont="1" applyFill="1" applyBorder="1" applyAlignment="1">
      <alignment horizontal="left"/>
    </xf>
    <xf numFmtId="43" fontId="111" fillId="0" borderId="0" xfId="0" applyNumberFormat="1" applyFont="1" applyFill="1" applyBorder="1" applyAlignment="1">
      <alignment horizontal="left"/>
    </xf>
    <xf numFmtId="165" fontId="111" fillId="0" borderId="0" xfId="0" applyNumberFormat="1" applyFont="1" applyFill="1" applyAlignment="1">
      <alignment horizontal="left"/>
    </xf>
    <xf numFmtId="43" fontId="111" fillId="0" borderId="7" xfId="1" applyNumberFormat="1" applyFont="1" applyFill="1" applyBorder="1" applyAlignment="1">
      <alignment horizontal="left"/>
    </xf>
    <xf numFmtId="43" fontId="110" fillId="0" borderId="7" xfId="1" applyNumberFormat="1" applyFont="1" applyFill="1" applyBorder="1" applyAlignment="1">
      <alignment horizontal="left"/>
    </xf>
    <xf numFmtId="43" fontId="111" fillId="0" borderId="0" xfId="1" applyNumberFormat="1" applyFont="1" applyFill="1" applyBorder="1" applyAlignment="1">
      <alignment horizontal="left"/>
    </xf>
    <xf numFmtId="43" fontId="111" fillId="0" borderId="0" xfId="0" applyNumberFormat="1" applyFont="1" applyFill="1" applyAlignment="1">
      <alignment horizontal="left"/>
    </xf>
    <xf numFmtId="43" fontId="111" fillId="2" borderId="1" xfId="1" applyNumberFormat="1" applyFont="1" applyFill="1" applyBorder="1"/>
    <xf numFmtId="43" fontId="111" fillId="2" borderId="1" xfId="0" applyNumberFormat="1" applyFont="1" applyFill="1" applyBorder="1"/>
    <xf numFmtId="43" fontId="111" fillId="2" borderId="6" xfId="0" applyNumberFormat="1" applyFont="1" applyFill="1" applyBorder="1"/>
    <xf numFmtId="165" fontId="110" fillId="0" borderId="6" xfId="0" applyNumberFormat="1" applyFont="1" applyFill="1" applyBorder="1"/>
    <xf numFmtId="43" fontId="110" fillId="0" borderId="2" xfId="1" applyNumberFormat="1" applyFont="1" applyFill="1" applyBorder="1"/>
    <xf numFmtId="0" fontId="116" fillId="0" borderId="0" xfId="4" applyFont="1" applyBorder="1" applyAlignment="1">
      <alignment horizontal="center"/>
    </xf>
    <xf numFmtId="0" fontId="107" fillId="5" borderId="1" xfId="4" quotePrefix="1" applyFill="1" applyBorder="1" applyAlignment="1">
      <alignment horizontal="center"/>
    </xf>
    <xf numFmtId="0" fontId="106" fillId="0" borderId="1" xfId="4" applyFont="1" applyBorder="1"/>
    <xf numFmtId="2" fontId="106" fillId="0" borderId="1" xfId="4" applyNumberFormat="1" applyFont="1" applyFill="1" applyBorder="1"/>
    <xf numFmtId="2" fontId="106" fillId="0" borderId="1" xfId="4" applyNumberFormat="1" applyFont="1" applyBorder="1"/>
    <xf numFmtId="2" fontId="106" fillId="5" borderId="1" xfId="4" applyNumberFormat="1" applyFont="1" applyFill="1" applyBorder="1"/>
    <xf numFmtId="0" fontId="105" fillId="0" borderId="1" xfId="4" applyFont="1" applyBorder="1"/>
    <xf numFmtId="0" fontId="104" fillId="0" borderId="1" xfId="4" applyFont="1" applyBorder="1"/>
    <xf numFmtId="0" fontId="103" fillId="0" borderId="1" xfId="4" applyFont="1" applyBorder="1"/>
    <xf numFmtId="0" fontId="103" fillId="0" borderId="0" xfId="4" applyFont="1" applyAlignment="1"/>
    <xf numFmtId="0" fontId="102" fillId="0" borderId="1" xfId="4" applyFont="1" applyBorder="1"/>
    <xf numFmtId="0" fontId="133" fillId="0" borderId="0" xfId="0" applyFont="1" applyAlignment="1">
      <alignment horizontal="left"/>
    </xf>
    <xf numFmtId="0" fontId="101" fillId="0" borderId="1" xfId="4" applyFont="1" applyBorder="1"/>
    <xf numFmtId="0" fontId="100" fillId="0" borderId="1" xfId="4" applyFont="1" applyBorder="1"/>
    <xf numFmtId="0" fontId="99" fillId="0" borderId="1" xfId="4" applyFont="1" applyBorder="1"/>
    <xf numFmtId="0" fontId="98" fillId="0" borderId="1" xfId="4" applyFont="1" applyBorder="1"/>
    <xf numFmtId="0" fontId="97" fillId="0" borderId="1" xfId="4" applyFont="1" applyBorder="1"/>
    <xf numFmtId="0" fontId="96" fillId="0" borderId="1" xfId="4" applyFont="1" applyBorder="1"/>
    <xf numFmtId="0" fontId="95" fillId="0" borderId="1" xfId="4" applyFont="1" applyBorder="1"/>
    <xf numFmtId="0" fontId="94" fillId="0" borderId="1" xfId="4" applyFont="1" applyBorder="1"/>
    <xf numFmtId="0" fontId="93" fillId="0" borderId="1" xfId="4" applyFont="1" applyBorder="1"/>
    <xf numFmtId="0" fontId="92" fillId="0" borderId="1" xfId="4" applyFont="1" applyBorder="1"/>
    <xf numFmtId="0" fontId="91" fillId="0" borderId="1" xfId="4" applyFont="1" applyBorder="1"/>
    <xf numFmtId="0" fontId="90" fillId="0" borderId="1" xfId="4" applyFont="1" applyBorder="1"/>
    <xf numFmtId="0" fontId="90" fillId="0" borderId="0" xfId="4" applyFont="1"/>
    <xf numFmtId="0" fontId="89" fillId="0" borderId="1" xfId="4" applyFont="1" applyBorder="1"/>
    <xf numFmtId="43" fontId="109" fillId="2" borderId="0" xfId="1" applyFill="1" applyAlignment="1">
      <alignment horizontal="left"/>
    </xf>
    <xf numFmtId="0" fontId="90" fillId="5" borderId="1" xfId="4" applyFont="1" applyFill="1" applyBorder="1"/>
    <xf numFmtId="0" fontId="88" fillId="0" borderId="1" xfId="4" applyFont="1" applyBorder="1"/>
    <xf numFmtId="16" fontId="88" fillId="0" borderId="1" xfId="4" applyNumberFormat="1" applyFont="1" applyBorder="1"/>
    <xf numFmtId="0" fontId="87" fillId="0" borderId="1" xfId="4" applyFont="1" applyBorder="1"/>
    <xf numFmtId="16" fontId="87" fillId="0" borderId="1" xfId="4" applyNumberFormat="1" applyFont="1" applyBorder="1"/>
    <xf numFmtId="0" fontId="87" fillId="0" borderId="1" xfId="4" applyFont="1" applyBorder="1" applyAlignment="1">
      <alignment vertical="center" wrapText="1"/>
    </xf>
    <xf numFmtId="0" fontId="86" fillId="0" borderId="1" xfId="4" applyFont="1" applyBorder="1"/>
    <xf numFmtId="16" fontId="86" fillId="0" borderId="1" xfId="4" applyNumberFormat="1" applyFont="1" applyBorder="1"/>
    <xf numFmtId="0" fontId="85" fillId="0" borderId="1" xfId="4" applyFont="1" applyBorder="1"/>
    <xf numFmtId="16" fontId="85" fillId="0" borderId="1" xfId="4" applyNumberFormat="1" applyFont="1" applyBorder="1"/>
    <xf numFmtId="0" fontId="85" fillId="0" borderId="0" xfId="4" applyFont="1"/>
    <xf numFmtId="0" fontId="84" fillId="0" borderId="1" xfId="4" applyFont="1" applyBorder="1"/>
    <xf numFmtId="16" fontId="84" fillId="0" borderId="1" xfId="4" applyNumberFormat="1" applyFont="1" applyBorder="1"/>
    <xf numFmtId="0" fontId="83" fillId="0" borderId="1" xfId="4" applyFont="1" applyBorder="1"/>
    <xf numFmtId="0" fontId="82" fillId="0" borderId="1" xfId="4" applyFont="1" applyBorder="1"/>
    <xf numFmtId="16" fontId="82" fillId="0" borderId="1" xfId="4" applyNumberFormat="1" applyFont="1" applyBorder="1"/>
    <xf numFmtId="0" fontId="82" fillId="0" borderId="0" xfId="4" applyFont="1"/>
    <xf numFmtId="0" fontId="81" fillId="0" borderId="1" xfId="4" applyFont="1" applyBorder="1"/>
    <xf numFmtId="16" fontId="81" fillId="0" borderId="1" xfId="4" applyNumberFormat="1" applyFont="1" applyBorder="1"/>
    <xf numFmtId="0" fontId="81" fillId="0" borderId="1" xfId="4" applyFont="1" applyBorder="1" applyAlignment="1">
      <alignment vertical="center"/>
    </xf>
    <xf numFmtId="0" fontId="80" fillId="0" borderId="1" xfId="4" applyFont="1" applyBorder="1"/>
    <xf numFmtId="16" fontId="80" fillId="0" borderId="1" xfId="4" applyNumberFormat="1" applyFont="1" applyBorder="1"/>
    <xf numFmtId="0" fontId="79" fillId="0" borderId="1" xfId="4" applyFont="1" applyBorder="1"/>
    <xf numFmtId="16" fontId="79" fillId="0" borderId="1" xfId="4" applyNumberFormat="1" applyFont="1" applyBorder="1"/>
    <xf numFmtId="0" fontId="78" fillId="0" borderId="1" xfId="4" applyFont="1" applyBorder="1"/>
    <xf numFmtId="16" fontId="78" fillId="0" borderId="1" xfId="4" applyNumberFormat="1" applyFont="1" applyBorder="1"/>
    <xf numFmtId="0" fontId="78" fillId="0" borderId="1" xfId="4" applyFont="1" applyBorder="1" applyAlignment="1">
      <alignment vertical="center"/>
    </xf>
    <xf numFmtId="0" fontId="78" fillId="0" borderId="1" xfId="4" applyFont="1" applyBorder="1" applyAlignment="1">
      <alignment vertical="center" wrapText="1"/>
    </xf>
    <xf numFmtId="0" fontId="78" fillId="0" borderId="0" xfId="4" applyFont="1"/>
    <xf numFmtId="0" fontId="77" fillId="0" borderId="1" xfId="4" applyFont="1" applyBorder="1"/>
    <xf numFmtId="16" fontId="77" fillId="0" borderId="1" xfId="4" applyNumberFormat="1" applyFont="1" applyBorder="1"/>
    <xf numFmtId="0" fontId="76" fillId="0" borderId="1" xfId="4" applyFont="1" applyBorder="1"/>
    <xf numFmtId="16" fontId="76" fillId="0" borderId="1" xfId="4" applyNumberFormat="1" applyFont="1" applyBorder="1"/>
    <xf numFmtId="0" fontId="76" fillId="0" borderId="1" xfId="4" applyFont="1" applyBorder="1" applyAlignment="1">
      <alignment vertical="center"/>
    </xf>
    <xf numFmtId="0" fontId="76" fillId="0" borderId="0" xfId="4" applyFont="1"/>
    <xf numFmtId="16" fontId="75" fillId="0" borderId="1" xfId="4" applyNumberFormat="1" applyFont="1" applyBorder="1"/>
    <xf numFmtId="0" fontId="75" fillId="0" borderId="1" xfId="4" applyFont="1" applyBorder="1"/>
    <xf numFmtId="0" fontId="74" fillId="0" borderId="1" xfId="4" applyFont="1" applyBorder="1"/>
    <xf numFmtId="16" fontId="74" fillId="0" borderId="1" xfId="4" applyNumberFormat="1" applyFont="1" applyBorder="1"/>
    <xf numFmtId="0" fontId="73" fillId="0" borderId="1" xfId="4" applyFont="1" applyBorder="1"/>
    <xf numFmtId="0" fontId="73" fillId="0" borderId="1" xfId="4" applyFont="1" applyBorder="1" applyAlignment="1">
      <alignment vertical="center"/>
    </xf>
    <xf numFmtId="16" fontId="73" fillId="0" borderId="1" xfId="4" applyNumberFormat="1" applyFont="1" applyBorder="1"/>
    <xf numFmtId="0" fontId="73" fillId="0" borderId="0" xfId="4" applyFont="1"/>
    <xf numFmtId="0" fontId="72" fillId="0" borderId="1" xfId="4" applyFont="1" applyBorder="1"/>
    <xf numFmtId="0" fontId="0" fillId="3" borderId="0" xfId="0" applyFill="1" applyAlignment="1">
      <alignment vertical="center"/>
    </xf>
    <xf numFmtId="0" fontId="71" fillId="0" borderId="1" xfId="4" applyFont="1" applyBorder="1"/>
    <xf numFmtId="16" fontId="71" fillId="0" borderId="1" xfId="4" applyNumberFormat="1" applyFont="1" applyBorder="1"/>
    <xf numFmtId="0" fontId="71" fillId="0" borderId="0" xfId="4" applyFont="1"/>
    <xf numFmtId="0" fontId="70" fillId="0" borderId="1" xfId="4" applyFont="1" applyBorder="1"/>
    <xf numFmtId="16" fontId="70" fillId="0" borderId="1" xfId="4" applyNumberFormat="1" applyFont="1" applyBorder="1"/>
    <xf numFmtId="0" fontId="70" fillId="0" borderId="0" xfId="4" applyFont="1"/>
    <xf numFmtId="0" fontId="69" fillId="0" borderId="1" xfId="4" applyFont="1" applyBorder="1"/>
    <xf numFmtId="0" fontId="68" fillId="0" borderId="1" xfId="4" applyFont="1" applyBorder="1"/>
    <xf numFmtId="16" fontId="68" fillId="0" borderId="1" xfId="4" applyNumberFormat="1" applyFont="1" applyBorder="1"/>
    <xf numFmtId="0" fontId="68" fillId="0" borderId="0" xfId="4" applyFont="1"/>
    <xf numFmtId="2" fontId="67" fillId="0" borderId="0" xfId="4" applyNumberFormat="1" applyFont="1"/>
    <xf numFmtId="0" fontId="67" fillId="0" borderId="1" xfId="4" applyFont="1" applyBorder="1"/>
    <xf numFmtId="16" fontId="67" fillId="0" borderId="1" xfId="4" applyNumberFormat="1" applyFont="1" applyBorder="1"/>
    <xf numFmtId="0" fontId="67" fillId="0" borderId="1" xfId="4" applyFont="1" applyBorder="1" applyAlignment="1">
      <alignment vertical="center"/>
    </xf>
    <xf numFmtId="0" fontId="67" fillId="0" borderId="0" xfId="4" applyFont="1"/>
    <xf numFmtId="0" fontId="67" fillId="0" borderId="1" xfId="4" applyFont="1" applyBorder="1" applyAlignment="1">
      <alignment vertical="center" wrapText="1"/>
    </xf>
    <xf numFmtId="0" fontId="66" fillId="0" borderId="1" xfId="4" applyFont="1" applyBorder="1"/>
    <xf numFmtId="16" fontId="66" fillId="0" borderId="1" xfId="4" applyNumberFormat="1" applyFont="1" applyBorder="1"/>
    <xf numFmtId="0" fontId="66" fillId="0" borderId="0" xfId="4" applyFont="1"/>
    <xf numFmtId="0" fontId="65" fillId="0" borderId="1" xfId="4" applyFont="1" applyBorder="1"/>
    <xf numFmtId="16" fontId="65" fillId="0" borderId="1" xfId="4" applyNumberFormat="1" applyFont="1" applyBorder="1"/>
    <xf numFmtId="0" fontId="65" fillId="0" borderId="1" xfId="4" applyFont="1" applyBorder="1" applyAlignment="1">
      <alignment vertical="center"/>
    </xf>
    <xf numFmtId="0" fontId="65" fillId="0" borderId="0" xfId="4" applyFont="1"/>
    <xf numFmtId="0" fontId="64" fillId="0" borderId="1" xfId="4" applyFont="1" applyBorder="1"/>
    <xf numFmtId="16" fontId="64" fillId="0" borderId="1" xfId="4" applyNumberFormat="1" applyFont="1" applyBorder="1"/>
    <xf numFmtId="170" fontId="64" fillId="0" borderId="0" xfId="4" applyNumberFormat="1" applyFont="1"/>
    <xf numFmtId="0" fontId="64" fillId="0" borderId="0" xfId="4" applyFont="1"/>
    <xf numFmtId="0" fontId="63" fillId="0" borderId="1" xfId="4" applyFont="1" applyBorder="1"/>
    <xf numFmtId="16" fontId="63" fillId="0" borderId="1" xfId="4" applyNumberFormat="1" applyFont="1" applyBorder="1"/>
    <xf numFmtId="2" fontId="69" fillId="0" borderId="1" xfId="4" applyNumberFormat="1" applyFont="1" applyFill="1" applyBorder="1"/>
    <xf numFmtId="0" fontId="62" fillId="0" borderId="1" xfId="4" applyFont="1" applyBorder="1"/>
    <xf numFmtId="16" fontId="62" fillId="0" borderId="1" xfId="4" applyNumberFormat="1" applyFont="1" applyBorder="1"/>
    <xf numFmtId="0" fontId="61" fillId="0" borderId="1" xfId="4" applyFont="1" applyBorder="1"/>
    <xf numFmtId="16" fontId="61" fillId="0" borderId="1" xfId="4" applyNumberFormat="1" applyFont="1" applyBorder="1"/>
    <xf numFmtId="0" fontId="60" fillId="0" borderId="1" xfId="4" applyFont="1" applyBorder="1"/>
    <xf numFmtId="16" fontId="60" fillId="0" borderId="1" xfId="4" applyNumberFormat="1" applyFont="1" applyBorder="1"/>
    <xf numFmtId="0" fontId="60" fillId="0" borderId="1" xfId="4" applyFont="1" applyBorder="1" applyAlignment="1">
      <alignment vertical="center"/>
    </xf>
    <xf numFmtId="0" fontId="59" fillId="0" borderId="1" xfId="4" applyFont="1" applyBorder="1"/>
    <xf numFmtId="16" fontId="59" fillId="0" borderId="1" xfId="4" applyNumberFormat="1" applyFont="1" applyBorder="1"/>
    <xf numFmtId="0" fontId="59" fillId="0" borderId="1" xfId="4" applyFont="1" applyBorder="1" applyAlignment="1">
      <alignment vertical="center"/>
    </xf>
    <xf numFmtId="0" fontId="59" fillId="0" borderId="0" xfId="4" applyFont="1"/>
    <xf numFmtId="0" fontId="58" fillId="0" borderId="1" xfId="4" applyFont="1" applyBorder="1"/>
    <xf numFmtId="0" fontId="57" fillId="0" borderId="1" xfId="4" applyFont="1" applyBorder="1"/>
    <xf numFmtId="2" fontId="57" fillId="0" borderId="1" xfId="4" applyNumberFormat="1" applyFont="1" applyBorder="1"/>
    <xf numFmtId="16" fontId="57" fillId="0" borderId="1" xfId="4" applyNumberFormat="1" applyFont="1" applyBorder="1"/>
    <xf numFmtId="0" fontId="57" fillId="0" borderId="1" xfId="4" applyFont="1" applyBorder="1" applyAlignment="1">
      <alignment vertical="center"/>
    </xf>
    <xf numFmtId="0" fontId="57" fillId="0" borderId="0" xfId="4" applyFont="1"/>
    <xf numFmtId="0" fontId="56" fillId="0" borderId="1" xfId="4" applyFont="1" applyBorder="1"/>
    <xf numFmtId="16" fontId="56" fillId="0" borderId="1" xfId="4" applyNumberFormat="1" applyFont="1" applyBorder="1"/>
    <xf numFmtId="0" fontId="56" fillId="0" borderId="1" xfId="4" applyFont="1" applyBorder="1" applyAlignment="1">
      <alignment vertical="center"/>
    </xf>
    <xf numFmtId="0" fontId="55" fillId="0" borderId="1" xfId="4" applyFont="1" applyBorder="1"/>
    <xf numFmtId="16" fontId="55" fillId="0" borderId="1" xfId="4" applyNumberFormat="1" applyFont="1" applyBorder="1"/>
    <xf numFmtId="0" fontId="54" fillId="0" borderId="1" xfId="4" applyFont="1" applyBorder="1"/>
    <xf numFmtId="16" fontId="54" fillId="0" borderId="1" xfId="4" applyNumberFormat="1" applyFont="1" applyBorder="1"/>
    <xf numFmtId="0" fontId="54" fillId="0" borderId="1" xfId="4" applyFont="1" applyBorder="1" applyAlignment="1">
      <alignment vertical="center"/>
    </xf>
    <xf numFmtId="0" fontId="53" fillId="0" borderId="1" xfId="4" applyFont="1" applyBorder="1"/>
    <xf numFmtId="0" fontId="52" fillId="0" borderId="1" xfId="4" applyFont="1" applyBorder="1"/>
    <xf numFmtId="16" fontId="52" fillId="0" borderId="1" xfId="4" applyNumberFormat="1" applyFont="1" applyBorder="1"/>
    <xf numFmtId="0" fontId="51" fillId="0" borderId="1" xfId="4" applyFont="1" applyBorder="1"/>
    <xf numFmtId="16" fontId="50" fillId="0" borderId="1" xfId="4" applyNumberFormat="1" applyFont="1" applyBorder="1"/>
    <xf numFmtId="0" fontId="50" fillId="0" borderId="1" xfId="4" applyFont="1" applyBorder="1"/>
    <xf numFmtId="0" fontId="50" fillId="0" borderId="1" xfId="4" applyFont="1" applyBorder="1" applyAlignment="1">
      <alignment vertical="center"/>
    </xf>
    <xf numFmtId="0" fontId="50" fillId="0" borderId="0" xfId="4" applyFont="1"/>
    <xf numFmtId="0" fontId="49" fillId="0" borderId="1" xfId="4" applyFont="1" applyBorder="1"/>
    <xf numFmtId="16" fontId="49" fillId="0" borderId="1" xfId="4" applyNumberFormat="1" applyFont="1" applyBorder="1"/>
    <xf numFmtId="0" fontId="49" fillId="0" borderId="1" xfId="4" applyFont="1" applyBorder="1" applyAlignment="1">
      <alignment vertical="center"/>
    </xf>
    <xf numFmtId="0" fontId="48" fillId="0" borderId="1" xfId="4" applyFont="1" applyBorder="1"/>
    <xf numFmtId="16" fontId="48" fillId="0" borderId="1" xfId="4" applyNumberFormat="1" applyFont="1" applyBorder="1"/>
    <xf numFmtId="0" fontId="48" fillId="0" borderId="1" xfId="4" applyFont="1" applyBorder="1" applyAlignment="1">
      <alignment vertical="center" wrapText="1"/>
    </xf>
    <xf numFmtId="0" fontId="107" fillId="0" borderId="0" xfId="4" applyBorder="1"/>
    <xf numFmtId="0" fontId="47" fillId="0" borderId="1" xfId="4" applyFont="1" applyBorder="1"/>
    <xf numFmtId="0" fontId="46" fillId="0" borderId="1" xfId="4" applyFont="1" applyBorder="1"/>
    <xf numFmtId="16" fontId="46" fillId="0" borderId="1" xfId="4" applyNumberFormat="1" applyFont="1" applyBorder="1"/>
    <xf numFmtId="0" fontId="45" fillId="0" borderId="1" xfId="4" applyFont="1" applyBorder="1"/>
    <xf numFmtId="16" fontId="45" fillId="0" borderId="1" xfId="4" applyNumberFormat="1" applyFont="1" applyBorder="1"/>
    <xf numFmtId="0" fontId="44" fillId="0" borderId="1" xfId="4" applyFont="1" applyBorder="1"/>
    <xf numFmtId="16" fontId="44" fillId="0" borderId="1" xfId="4" applyNumberFormat="1" applyFont="1" applyBorder="1"/>
    <xf numFmtId="0" fontId="43" fillId="0" borderId="1" xfId="4" applyFont="1" applyBorder="1"/>
    <xf numFmtId="2" fontId="42" fillId="0" borderId="0" xfId="4" applyNumberFormat="1" applyFont="1"/>
    <xf numFmtId="0" fontId="42" fillId="0" borderId="1" xfId="4" applyFont="1" applyBorder="1"/>
    <xf numFmtId="16" fontId="42" fillId="0" borderId="1" xfId="4" applyNumberFormat="1" applyFont="1" applyBorder="1"/>
    <xf numFmtId="0" fontId="42" fillId="0" borderId="1" xfId="4" applyFont="1" applyBorder="1" applyAlignment="1">
      <alignment vertical="center" wrapText="1"/>
    </xf>
    <xf numFmtId="0" fontId="41" fillId="0" borderId="1" xfId="4" applyFont="1" applyBorder="1"/>
    <xf numFmtId="16" fontId="41" fillId="0" borderId="1" xfId="4" applyNumberFormat="1" applyFont="1" applyBorder="1"/>
    <xf numFmtId="0" fontId="40" fillId="0" borderId="1" xfId="4" applyFont="1" applyBorder="1"/>
    <xf numFmtId="16" fontId="40" fillId="0" borderId="1" xfId="4" applyNumberFormat="1" applyFont="1" applyBorder="1"/>
    <xf numFmtId="0" fontId="39" fillId="0" borderId="1" xfId="4" applyFont="1" applyBorder="1"/>
    <xf numFmtId="16" fontId="39" fillId="0" borderId="1" xfId="4" applyNumberFormat="1" applyFont="1" applyBorder="1"/>
    <xf numFmtId="0" fontId="38" fillId="0" borderId="1" xfId="4" applyFont="1" applyBorder="1"/>
    <xf numFmtId="16" fontId="38" fillId="0" borderId="1" xfId="4" applyNumberFormat="1" applyFont="1" applyBorder="1"/>
    <xf numFmtId="0" fontId="38" fillId="0" borderId="1" xfId="4" applyFont="1" applyBorder="1" applyAlignment="1">
      <alignment vertical="center"/>
    </xf>
    <xf numFmtId="0" fontId="0" fillId="0" borderId="0" xfId="0" applyAlignment="1"/>
    <xf numFmtId="0" fontId="37" fillId="0" borderId="1" xfId="4" applyFont="1" applyBorder="1"/>
    <xf numFmtId="16" fontId="37" fillId="0" borderId="1" xfId="4" applyNumberFormat="1" applyFont="1" applyBorder="1"/>
    <xf numFmtId="0" fontId="37" fillId="0" borderId="1" xfId="4" applyFont="1" applyBorder="1" applyAlignment="1">
      <alignment vertical="center"/>
    </xf>
    <xf numFmtId="0" fontId="37" fillId="0" borderId="0" xfId="4" applyFont="1"/>
    <xf numFmtId="0" fontId="36" fillId="0" borderId="1" xfId="4" applyFont="1" applyBorder="1"/>
    <xf numFmtId="16" fontId="36" fillId="0" borderId="1" xfId="4" applyNumberFormat="1" applyFont="1" applyBorder="1"/>
    <xf numFmtId="0" fontId="35" fillId="0" borderId="1" xfId="4" applyFont="1" applyBorder="1"/>
    <xf numFmtId="16" fontId="35" fillId="0" borderId="1" xfId="4" applyNumberFormat="1" applyFont="1" applyBorder="1"/>
    <xf numFmtId="0" fontId="34" fillId="0" borderId="1" xfId="4" applyFont="1" applyBorder="1"/>
    <xf numFmtId="16" fontId="34" fillId="0" borderId="1" xfId="4" applyNumberFormat="1" applyFont="1" applyBorder="1"/>
    <xf numFmtId="0" fontId="33" fillId="0" borderId="1" xfId="4" applyFont="1" applyBorder="1"/>
    <xf numFmtId="16" fontId="33" fillId="0" borderId="1" xfId="4" applyNumberFormat="1" applyFont="1" applyBorder="1"/>
    <xf numFmtId="0" fontId="33" fillId="0" borderId="1" xfId="4" applyFont="1" applyBorder="1" applyAlignment="1">
      <alignment vertical="center"/>
    </xf>
    <xf numFmtId="0" fontId="32" fillId="0" borderId="1" xfId="4" applyFont="1" applyBorder="1"/>
    <xf numFmtId="16" fontId="32" fillId="0" borderId="1" xfId="4" applyNumberFormat="1" applyFont="1" applyBorder="1"/>
    <xf numFmtId="0" fontId="31" fillId="0" borderId="1" xfId="4" applyFont="1" applyBorder="1"/>
    <xf numFmtId="16" fontId="31" fillId="0" borderId="1" xfId="4" applyNumberFormat="1" applyFont="1" applyBorder="1"/>
    <xf numFmtId="0" fontId="31" fillId="0" borderId="1" xfId="4" applyFont="1" applyBorder="1" applyAlignment="1">
      <alignment vertical="center"/>
    </xf>
    <xf numFmtId="0" fontId="30" fillId="0" borderId="1" xfId="4" applyFont="1" applyBorder="1"/>
    <xf numFmtId="16" fontId="30" fillId="0" borderId="1" xfId="4" applyNumberFormat="1" applyFont="1" applyBorder="1"/>
    <xf numFmtId="0" fontId="29" fillId="0" borderId="1" xfId="4" applyFont="1" applyBorder="1"/>
    <xf numFmtId="16" fontId="29" fillId="0" borderId="1" xfId="4" applyNumberFormat="1" applyFont="1" applyBorder="1"/>
    <xf numFmtId="0" fontId="28" fillId="0" borderId="1" xfId="4" applyFont="1" applyBorder="1"/>
    <xf numFmtId="0" fontId="50" fillId="5" borderId="1" xfId="4" applyFont="1" applyFill="1" applyBorder="1"/>
    <xf numFmtId="0" fontId="73" fillId="5" borderId="1" xfId="4" applyFont="1" applyFill="1" applyBorder="1" applyAlignment="1">
      <alignment vertical="center"/>
    </xf>
    <xf numFmtId="0" fontId="28" fillId="0" borderId="0" xfId="4" applyFont="1"/>
    <xf numFmtId="16" fontId="28" fillId="0" borderId="1" xfId="4" applyNumberFormat="1" applyFont="1" applyBorder="1"/>
    <xf numFmtId="0" fontId="27" fillId="0" borderId="1" xfId="4" applyFont="1" applyBorder="1"/>
    <xf numFmtId="16" fontId="27" fillId="0" borderId="1" xfId="4" applyNumberFormat="1" applyFont="1" applyBorder="1"/>
    <xf numFmtId="0" fontId="26" fillId="0" borderId="1" xfId="4" applyFont="1" applyBorder="1"/>
    <xf numFmtId="16" fontId="26" fillId="0" borderId="1" xfId="4" applyNumberFormat="1" applyFont="1" applyBorder="1"/>
    <xf numFmtId="0" fontId="25" fillId="0" borderId="1" xfId="4" applyFont="1" applyBorder="1"/>
    <xf numFmtId="16" fontId="25" fillId="0" borderId="1" xfId="4" applyNumberFormat="1" applyFont="1" applyBorder="1"/>
    <xf numFmtId="0" fontId="24" fillId="0" borderId="1" xfId="4" applyFont="1" applyBorder="1"/>
    <xf numFmtId="16" fontId="24" fillId="0" borderId="1" xfId="4" applyNumberFormat="1" applyFont="1" applyBorder="1"/>
    <xf numFmtId="0" fontId="23" fillId="0" borderId="1" xfId="4" applyFont="1" applyBorder="1"/>
    <xf numFmtId="16" fontId="23" fillId="0" borderId="1" xfId="4" applyNumberFormat="1" applyFont="1" applyBorder="1"/>
    <xf numFmtId="0" fontId="23" fillId="0" borderId="0" xfId="4" applyFont="1"/>
    <xf numFmtId="0" fontId="22" fillId="0" borderId="1" xfId="4" applyFont="1" applyBorder="1"/>
    <xf numFmtId="0" fontId="21" fillId="0" borderId="1" xfId="4" applyFont="1" applyBorder="1"/>
    <xf numFmtId="16" fontId="21" fillId="0" borderId="1" xfId="4" applyNumberFormat="1" applyFont="1" applyBorder="1"/>
    <xf numFmtId="0" fontId="21" fillId="0" borderId="1" xfId="4" applyFont="1" applyBorder="1" applyAlignment="1">
      <alignment vertical="center"/>
    </xf>
    <xf numFmtId="0" fontId="21" fillId="0" borderId="0" xfId="4" applyFont="1"/>
    <xf numFmtId="0" fontId="20" fillId="0" borderId="1" xfId="4" applyFont="1" applyBorder="1"/>
    <xf numFmtId="16" fontId="20" fillId="0" borderId="1" xfId="4" applyNumberFormat="1" applyFont="1" applyBorder="1"/>
    <xf numFmtId="2" fontId="20" fillId="0" borderId="0" xfId="4" applyNumberFormat="1" applyFont="1"/>
    <xf numFmtId="0" fontId="19" fillId="0" borderId="1" xfId="4" applyFont="1" applyBorder="1"/>
    <xf numFmtId="16" fontId="19" fillId="0" borderId="1" xfId="4" applyNumberFormat="1" applyFont="1" applyBorder="1"/>
    <xf numFmtId="0" fontId="19" fillId="0" borderId="0" xfId="4" applyFont="1"/>
    <xf numFmtId="0" fontId="18" fillId="0" borderId="1" xfId="4" applyFont="1" applyBorder="1"/>
    <xf numFmtId="16" fontId="18" fillId="0" borderId="1" xfId="4" applyNumberFormat="1" applyFont="1" applyBorder="1"/>
    <xf numFmtId="0" fontId="17" fillId="0" borderId="1" xfId="4" applyFont="1" applyBorder="1"/>
    <xf numFmtId="16" fontId="17" fillId="0" borderId="1" xfId="4" applyNumberFormat="1" applyFont="1" applyBorder="1"/>
    <xf numFmtId="0" fontId="17" fillId="0" borderId="1" xfId="4" applyFont="1" applyBorder="1" applyAlignment="1">
      <alignment vertical="center"/>
    </xf>
    <xf numFmtId="0" fontId="16" fillId="0" borderId="1" xfId="4" applyFont="1" applyBorder="1"/>
    <xf numFmtId="16" fontId="16" fillId="0" borderId="1" xfId="4" applyNumberFormat="1" applyFont="1" applyBorder="1"/>
    <xf numFmtId="0" fontId="15" fillId="0" borderId="1" xfId="4" applyFont="1" applyBorder="1"/>
    <xf numFmtId="2" fontId="0" fillId="0" borderId="0" xfId="0" applyNumberFormat="1" applyFill="1"/>
    <xf numFmtId="16" fontId="15" fillId="0" borderId="1" xfId="4" applyNumberFormat="1" applyFont="1" applyBorder="1"/>
    <xf numFmtId="0" fontId="20" fillId="5" borderId="1" xfId="4" applyFont="1" applyFill="1" applyBorder="1"/>
    <xf numFmtId="0" fontId="65" fillId="5" borderId="1" xfId="4" applyFont="1" applyFill="1" applyBorder="1" applyAlignment="1">
      <alignment vertical="center"/>
    </xf>
    <xf numFmtId="0" fontId="15" fillId="0" borderId="1" xfId="4" applyFont="1" applyBorder="1" applyAlignment="1">
      <alignment vertical="center"/>
    </xf>
    <xf numFmtId="0" fontId="15" fillId="0" borderId="0" xfId="4" applyFont="1"/>
    <xf numFmtId="0" fontId="0" fillId="3" borderId="0" xfId="0" applyNumberFormat="1" applyFill="1"/>
    <xf numFmtId="0" fontId="14" fillId="0" borderId="1" xfId="4" applyFont="1" applyBorder="1"/>
    <xf numFmtId="16" fontId="14" fillId="0" borderId="1" xfId="4" applyNumberFormat="1" applyFont="1" applyBorder="1"/>
    <xf numFmtId="0" fontId="13" fillId="0" borderId="1" xfId="4" applyFont="1" applyBorder="1"/>
    <xf numFmtId="16" fontId="13" fillId="0" borderId="1" xfId="4" applyNumberFormat="1" applyFont="1" applyBorder="1"/>
    <xf numFmtId="0" fontId="12" fillId="0" borderId="1" xfId="4" applyFont="1" applyBorder="1"/>
    <xf numFmtId="0" fontId="12" fillId="0" borderId="1" xfId="4" applyFont="1" applyBorder="1" applyAlignment="1">
      <alignment vertical="center"/>
    </xf>
    <xf numFmtId="16" fontId="12" fillId="0" borderId="1" xfId="4" applyNumberFormat="1" applyFont="1" applyBorder="1"/>
    <xf numFmtId="0" fontId="11" fillId="0" borderId="1" xfId="4" applyFont="1" applyBorder="1"/>
    <xf numFmtId="16" fontId="11" fillId="0" borderId="1" xfId="4" applyNumberFormat="1" applyFont="1" applyBorder="1"/>
    <xf numFmtId="0" fontId="11" fillId="0" borderId="1" xfId="4" applyFont="1" applyBorder="1" applyAlignment="1">
      <alignment vertical="center"/>
    </xf>
    <xf numFmtId="2" fontId="11" fillId="0" borderId="0" xfId="4" applyNumberFormat="1" applyFont="1"/>
    <xf numFmtId="0" fontId="10" fillId="0" borderId="1" xfId="4" applyFont="1" applyBorder="1"/>
    <xf numFmtId="16" fontId="10" fillId="0" borderId="1" xfId="4" applyNumberFormat="1" applyFont="1" applyBorder="1"/>
    <xf numFmtId="0" fontId="10" fillId="0" borderId="1" xfId="4" applyFont="1" applyBorder="1" applyAlignment="1">
      <alignment vertical="center"/>
    </xf>
    <xf numFmtId="0" fontId="9" fillId="0" borderId="1" xfId="4" applyFont="1" applyBorder="1"/>
    <xf numFmtId="16" fontId="9" fillId="0" borderId="1" xfId="4" applyNumberFormat="1" applyFont="1" applyBorder="1"/>
    <xf numFmtId="0" fontId="9" fillId="0" borderId="0" xfId="4" applyFont="1"/>
    <xf numFmtId="0" fontId="8" fillId="0" borderId="1" xfId="4" applyFont="1" applyBorder="1"/>
    <xf numFmtId="16" fontId="8" fillId="0" borderId="1" xfId="4" applyNumberFormat="1" applyFont="1" applyBorder="1"/>
    <xf numFmtId="0" fontId="7" fillId="0" borderId="1" xfId="4" applyFont="1" applyBorder="1"/>
    <xf numFmtId="16" fontId="7" fillId="0" borderId="1" xfId="4" applyNumberFormat="1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6" fillId="0" borderId="1" xfId="4" applyFont="1" applyBorder="1"/>
    <xf numFmtId="16" fontId="6" fillId="0" borderId="1" xfId="4" applyNumberFormat="1" applyFont="1" applyBorder="1"/>
    <xf numFmtId="0" fontId="5" fillId="0" borderId="1" xfId="4" applyFont="1" applyBorder="1"/>
    <xf numFmtId="16" fontId="5" fillId="0" borderId="1" xfId="4" applyNumberFormat="1" applyFont="1" applyBorder="1"/>
    <xf numFmtId="0" fontId="5" fillId="0" borderId="0" xfId="4" applyFont="1"/>
    <xf numFmtId="0" fontId="4" fillId="0" borderId="1" xfId="4" applyFont="1" applyBorder="1"/>
    <xf numFmtId="16" fontId="4" fillId="0" borderId="1" xfId="4" applyNumberFormat="1" applyFont="1" applyBorder="1"/>
    <xf numFmtId="0" fontId="4" fillId="0" borderId="0" xfId="4" applyFont="1"/>
    <xf numFmtId="0" fontId="3" fillId="0" borderId="0" xfId="4" applyFont="1"/>
    <xf numFmtId="0" fontId="3" fillId="0" borderId="1" xfId="4" applyFont="1" applyBorder="1"/>
    <xf numFmtId="0" fontId="3" fillId="0" borderId="1" xfId="4" applyFont="1" applyBorder="1" applyAlignment="1">
      <alignment vertical="center"/>
    </xf>
    <xf numFmtId="16" fontId="3" fillId="0" borderId="1" xfId="4" applyNumberFormat="1" applyFont="1" applyBorder="1"/>
    <xf numFmtId="0" fontId="2" fillId="0" borderId="1" xfId="4" applyFont="1" applyBorder="1"/>
    <xf numFmtId="16" fontId="2" fillId="0" borderId="1" xfId="4" applyNumberFormat="1" applyFont="1" applyBorder="1"/>
    <xf numFmtId="0" fontId="125" fillId="3" borderId="0" xfId="0" applyFont="1" applyFill="1" applyAlignment="1">
      <alignment vertical="center"/>
    </xf>
    <xf numFmtId="0" fontId="134" fillId="0" borderId="0" xfId="0" applyFont="1" applyAlignment="1">
      <alignment horizontal="left"/>
    </xf>
    <xf numFmtId="0" fontId="134" fillId="0" borderId="0" xfId="0" applyNumberFormat="1" applyFont="1" applyAlignment="1"/>
    <xf numFmtId="0" fontId="134" fillId="0" borderId="0" xfId="0" applyFont="1" applyAlignment="1">
      <alignment horizontal="center"/>
    </xf>
    <xf numFmtId="0" fontId="134" fillId="0" borderId="0" xfId="0" pivotButton="1" applyFont="1" applyAlignment="1"/>
    <xf numFmtId="0" fontId="134" fillId="0" borderId="0" xfId="0" applyFont="1" applyAlignment="1"/>
    <xf numFmtId="0" fontId="135" fillId="0" borderId="0" xfId="0" applyNumberFormat="1" applyFont="1" applyAlignment="1"/>
    <xf numFmtId="0" fontId="1" fillId="0" borderId="1" xfId="4" applyFont="1" applyBorder="1"/>
    <xf numFmtId="16" fontId="1" fillId="0" borderId="1" xfId="4" applyNumberFormat="1" applyFont="1" applyBorder="1"/>
    <xf numFmtId="0" fontId="113" fillId="2" borderId="9" xfId="0" applyFont="1" applyFill="1" applyBorder="1" applyAlignment="1">
      <alignment horizontal="center" vertical="center" wrapText="1"/>
    </xf>
    <xf numFmtId="0" fontId="113" fillId="2" borderId="17" xfId="0" applyFont="1" applyFill="1" applyBorder="1" applyAlignment="1">
      <alignment horizontal="center" vertical="center" wrapText="1"/>
    </xf>
    <xf numFmtId="0" fontId="110" fillId="2" borderId="24" xfId="0" applyFont="1" applyFill="1" applyBorder="1" applyAlignment="1">
      <alignment horizontal="left"/>
    </xf>
    <xf numFmtId="0" fontId="110" fillId="2" borderId="14" xfId="0" applyFont="1" applyFill="1" applyBorder="1" applyAlignment="1">
      <alignment horizontal="left"/>
    </xf>
    <xf numFmtId="0" fontId="110" fillId="2" borderId="25" xfId="0" applyFont="1" applyFill="1" applyBorder="1" applyAlignment="1">
      <alignment horizontal="left"/>
    </xf>
    <xf numFmtId="0" fontId="111" fillId="0" borderId="26" xfId="0" applyFont="1" applyBorder="1" applyAlignment="1">
      <alignment horizontal="left" vertical="center"/>
    </xf>
    <xf numFmtId="0" fontId="111" fillId="0" borderId="3" xfId="0" applyFont="1" applyBorder="1" applyAlignment="1">
      <alignment horizontal="left" vertical="center"/>
    </xf>
    <xf numFmtId="0" fontId="111" fillId="0" borderId="4" xfId="0" applyFont="1" applyBorder="1" applyAlignment="1">
      <alignment horizontal="left" vertical="center"/>
    </xf>
    <xf numFmtId="0" fontId="112" fillId="2" borderId="9" xfId="0" applyFont="1" applyFill="1" applyBorder="1" applyAlignment="1">
      <alignment horizontal="center" vertical="center"/>
    </xf>
    <xf numFmtId="0" fontId="112" fillId="2" borderId="16" xfId="0" applyFont="1" applyFill="1" applyBorder="1" applyAlignment="1">
      <alignment horizontal="center" vertical="center"/>
    </xf>
    <xf numFmtId="0" fontId="112" fillId="2" borderId="15" xfId="0" applyFont="1" applyFill="1" applyBorder="1" applyAlignment="1">
      <alignment horizontal="center" vertical="center"/>
    </xf>
    <xf numFmtId="0" fontId="112" fillId="2" borderId="13" xfId="0" applyFont="1" applyFill="1" applyBorder="1" applyAlignment="1">
      <alignment horizontal="center" vertical="center"/>
    </xf>
    <xf numFmtId="0" fontId="112" fillId="2" borderId="20" xfId="0" applyFont="1" applyFill="1" applyBorder="1" applyAlignment="1">
      <alignment horizontal="center" vertical="center"/>
    </xf>
    <xf numFmtId="0" fontId="111" fillId="2" borderId="24" xfId="0" applyFont="1" applyFill="1" applyBorder="1" applyAlignment="1">
      <alignment horizontal="left"/>
    </xf>
    <xf numFmtId="0" fontId="111" fillId="2" borderId="14" xfId="0" applyFont="1" applyFill="1" applyBorder="1" applyAlignment="1">
      <alignment horizontal="left"/>
    </xf>
    <xf numFmtId="0" fontId="111" fillId="2" borderId="25" xfId="0" applyFont="1" applyFill="1" applyBorder="1" applyAlignment="1">
      <alignment horizontal="left"/>
    </xf>
    <xf numFmtId="0" fontId="111" fillId="2" borderId="21" xfId="0" applyFont="1" applyFill="1" applyBorder="1" applyAlignment="1">
      <alignment horizontal="left"/>
    </xf>
    <xf numFmtId="0" fontId="111" fillId="2" borderId="22" xfId="0" applyFont="1" applyFill="1" applyBorder="1" applyAlignment="1">
      <alignment horizontal="left"/>
    </xf>
    <xf numFmtId="0" fontId="111" fillId="2" borderId="23" xfId="0" applyFont="1" applyFill="1" applyBorder="1" applyAlignment="1">
      <alignment horizontal="left"/>
    </xf>
    <xf numFmtId="165" fontId="112" fillId="2" borderId="38" xfId="1" applyNumberFormat="1" applyFont="1" applyFill="1" applyBorder="1" applyAlignment="1">
      <alignment horizontal="center" vertical="center" wrapText="1"/>
    </xf>
    <xf numFmtId="165" fontId="112" fillId="2" borderId="36" xfId="1" applyNumberFormat="1" applyFont="1" applyFill="1" applyBorder="1" applyAlignment="1">
      <alignment horizontal="center" vertical="center" wrapText="1"/>
    </xf>
    <xf numFmtId="165" fontId="112" fillId="2" borderId="37" xfId="1" applyNumberFormat="1" applyFont="1" applyFill="1" applyBorder="1" applyAlignment="1">
      <alignment horizontal="center" vertical="center" wrapText="1"/>
    </xf>
    <xf numFmtId="0" fontId="113" fillId="2" borderId="16" xfId="0" applyFont="1" applyFill="1" applyBorder="1" applyAlignment="1">
      <alignment horizontal="center" vertical="center" wrapText="1"/>
    </xf>
    <xf numFmtId="165" fontId="112" fillId="2" borderId="16" xfId="1" applyNumberFormat="1" applyFont="1" applyFill="1" applyBorder="1" applyAlignment="1">
      <alignment horizontal="center" vertical="center" wrapText="1"/>
    </xf>
    <xf numFmtId="0" fontId="111" fillId="0" borderId="35" xfId="0" applyFont="1" applyBorder="1" applyAlignment="1">
      <alignment horizontal="left" vertical="center"/>
    </xf>
    <xf numFmtId="0" fontId="111" fillId="0" borderId="36" xfId="0" applyFont="1" applyBorder="1" applyAlignment="1">
      <alignment horizontal="left" vertical="center"/>
    </xf>
    <xf numFmtId="0" fontId="111" fillId="0" borderId="37" xfId="0" applyFont="1" applyBorder="1" applyAlignment="1">
      <alignment horizontal="left" vertical="center"/>
    </xf>
    <xf numFmtId="2" fontId="116" fillId="3" borderId="1" xfId="4" applyNumberFormat="1" applyFont="1" applyFill="1" applyBorder="1" applyAlignment="1">
      <alignment horizontal="left" vertical="center" wrapText="1"/>
    </xf>
    <xf numFmtId="2" fontId="116" fillId="0" borderId="1" xfId="4" applyNumberFormat="1" applyFont="1" applyBorder="1" applyAlignment="1">
      <alignment horizontal="left" vertical="center" wrapText="1"/>
    </xf>
    <xf numFmtId="0" fontId="116" fillId="0" borderId="1" xfId="4" applyFont="1" applyBorder="1" applyAlignment="1">
      <alignment horizontal="center" vertical="center" wrapText="1"/>
    </xf>
    <xf numFmtId="0" fontId="107" fillId="0" borderId="1" xfId="4" applyBorder="1" applyAlignment="1">
      <alignment horizontal="center" vertical="center" wrapText="1"/>
    </xf>
    <xf numFmtId="0" fontId="127" fillId="0" borderId="40" xfId="4" applyFont="1" applyBorder="1" applyAlignment="1">
      <alignment horizontal="left"/>
    </xf>
    <xf numFmtId="0" fontId="107" fillId="0" borderId="39" xfId="4" applyBorder="1" applyAlignment="1">
      <alignment horizontal="center"/>
    </xf>
    <xf numFmtId="0" fontId="107" fillId="0" borderId="0" xfId="4" applyBorder="1" applyAlignment="1">
      <alignment horizontal="center"/>
    </xf>
    <xf numFmtId="0" fontId="107" fillId="0" borderId="0" xfId="4" applyAlignment="1">
      <alignment horizontal="center"/>
    </xf>
  </cellXfs>
  <cellStyles count="6">
    <cellStyle name="Comma" xfId="1" builtinId="3"/>
    <cellStyle name="Excel Built-in Normal" xfId="5"/>
    <cellStyle name="Normal" xfId="0" builtinId="0"/>
    <cellStyle name="Normal 2" xfId="2"/>
    <cellStyle name="Normal 3" xfId="3"/>
    <cellStyle name="Normal 4" xfId="4"/>
  </cellStyles>
  <dxfs count="106"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wrapText="1" readingOrder="0"/>
    </dxf>
    <dxf>
      <font>
        <b/>
      </font>
    </dxf>
    <dxf>
      <font>
        <b val="0"/>
      </font>
    </dxf>
    <dxf>
      <alignment horizontal="general" readingOrder="0"/>
    </dxf>
    <dxf>
      <alignment vertical="bottom" readingOrder="0"/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minor"/>
      </font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pril-2025\Job%20In%20ward%20Report%20For%20FIBC%20Jumbo%20bags%20&amp;%20Other%20%20Apr%20To%20Mar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ved from PIL 1593"/>
      <sheetName val="Received from PIL 1165"/>
      <sheetName val="Received from PIL 1060"/>
      <sheetName val="Received from PPL 1594"/>
      <sheetName val="Received from PIL 1462"/>
      <sheetName val="Received from KPW3"/>
      <sheetName val="Item"/>
      <sheetName val="Challan"/>
      <sheetName val="Summary"/>
      <sheetName val="Sheet1"/>
      <sheetName val="Sheet2"/>
      <sheetName val="PRIOD"/>
      <sheetName val="Sheet3"/>
      <sheetName val="Pur"/>
      <sheetName val="Sal"/>
    </sheetNames>
    <sheetDataSet>
      <sheetData sheetId="0"/>
      <sheetData sheetId="1">
        <row r="427">
          <cell r="N427">
            <v>0</v>
          </cell>
        </row>
      </sheetData>
      <sheetData sheetId="2"/>
      <sheetData sheetId="3">
        <row r="193">
          <cell r="N19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37.704554398151" createdVersion="5" refreshedVersion="5" minRefreshableVersion="3" recordCount="32">
  <cacheSource type="worksheet">
    <worksheetSource ref="A24:AE247" sheet="Sales "/>
  </cacheSource>
  <cacheFields count="31">
    <cacheField name="Date" numFmtId="0">
      <sharedItems containsDate="1" containsBlank="1" containsMixedTypes="1" minDate="2026-02-07T00:00:00" maxDate="2026-11-08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Date="1" containsBlank="1" containsMixedTypes="1" minDate="2026-02-07T00:00:00" maxDate="2026-11-08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sales Group Name" numFmtId="0">
      <sharedItems containsBlank="1" count="16">
        <s v="PP Woven Fabric"/>
        <s v="Other Scrap"/>
        <s v="Reprocessed Granules"/>
        <s v="Jambo Bag/Fibc Bag Mfr (Kg)"/>
        <s v="PP Webbing"/>
        <m/>
        <s v="Filler Cord" u="1"/>
        <s v="PP. MF Yarn" u="1"/>
        <s v="LLDPE Bags" u="1"/>
        <s v="PP TAPE" u="1"/>
        <s v="Pp Lamianated Woven Fabric - Kg" u="1"/>
        <s v="Scrap" u="1"/>
        <s v="NON Woven Fabric" u="1"/>
        <s v="BREADED ROPE" u="1"/>
        <s v="Master Batch - Kg" u="1"/>
        <s v="PP Granules" u="1"/>
      </sharedItems>
    </cacheField>
    <cacheField name="Item Name" numFmtId="0">
      <sharedItems containsBlank="1"/>
    </cacheField>
    <cacheField name="Quantity" numFmtId="0">
      <sharedItems containsString="0" containsBlank="1" containsNumber="1" minValue="14.2" maxValue="30000"/>
    </cacheField>
    <cacheField name="Amount" numFmtId="0">
      <sharedItems containsString="0" containsBlank="1" containsNumber="1" containsInteger="1" minValue="1520" maxValue="1560000"/>
    </cacheField>
    <cacheField name="Item Desc" numFmtId="0">
      <sharedItems containsBlank="1"/>
    </cacheField>
    <cacheField name="Bill Amount" numFmtId="0">
      <sharedItems containsString="0" containsBlank="1" containsNumber="1" minValue="1560" maxValue="1558440"/>
    </cacheField>
    <cacheField name="CGST Rate" numFmtId="0">
      <sharedItems containsString="0" containsBlank="1" containsNumber="1" containsInteger="1" minValue="0" maxValue="0"/>
    </cacheField>
    <cacheField name="CGST Amt" numFmtId="0">
      <sharedItems containsString="0" containsBlank="1" containsNumber="1" containsInteger="1" minValue="0" maxValue="0"/>
    </cacheField>
    <cacheField name="SGST Rate" numFmtId="0">
      <sharedItems containsString="0" containsBlank="1" containsNumber="1" containsInteger="1" minValue="0" maxValue="0"/>
    </cacheField>
    <cacheField name="SGST Amt" numFmtId="0">
      <sharedItems containsString="0" containsBlank="1" containsNumber="1" containsInteger="1" minValue="0" maxValue="0"/>
    </cacheField>
    <cacheField name="IGST Rate" numFmtId="0">
      <sharedItems containsString="0" containsBlank="1" containsNumber="1" containsInteger="1" minValue="0" maxValue="0"/>
    </cacheField>
    <cacheField name="IGST Amt" numFmtId="0">
      <sharedItems containsString="0" containsBlank="1" containsNumber="1" containsInteger="1" minValue="0" maxValue="0"/>
    </cacheField>
    <cacheField name="Freight GST" numFmtId="0">
      <sharedItems containsString="0" containsBlank="1" containsNumber="1" containsInteger="1" minValue="0" maxValue="0"/>
    </cacheField>
    <cacheField name="Total GST" numFmtId="0">
      <sharedItems containsString="0" containsBlank="1" containsNumber="1" containsInteger="1" minValue="0" maxValue="0"/>
    </cacheField>
    <cacheField name="TCS" numFmtId="0">
      <sharedItems containsString="0" containsBlank="1" containsNumber="1" minValue="0" maxValue="185.99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92690" maxValue="68114010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14.2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37.705332523146" createdVersion="5" refreshedVersion="5" minRefreshableVersion="3" recordCount="253">
  <cacheSource type="worksheet">
    <worksheetSource ref="A21:AE300" sheet="JOB issued"/>
  </cacheSource>
  <cacheFields count="31">
    <cacheField name="Date" numFmtId="0">
      <sharedItems containsDate="1" containsBlank="1" containsMixedTypes="1" minDate="2026-08-07T00:00:00" maxDate="2026-08-08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/>
    </cacheField>
    <cacheField name="Invoice No" numFmtId="0">
      <sharedItems containsBlank="1"/>
    </cacheField>
    <cacheField name="Invoice Date" numFmtId="0">
      <sharedItems containsDate="1" containsBlank="1" containsMixedTypes="1" minDate="2026-08-07T00:00:00" maxDate="2026-08-08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sales Group Name" numFmtId="0">
      <sharedItems containsBlank="1" count="7">
        <s v="Jambo Bag/Fibc Bag Mfr (Kg)"/>
        <s v="Scrap"/>
        <m/>
        <s v="Scraps" u="1"/>
        <s v="Wastage" u="1"/>
        <s v="Jumbo Bag (Trd)" u="1"/>
        <s v="Pp Lamianated Woven Fabric - Kg" u="1"/>
      </sharedItems>
    </cacheField>
    <cacheField name="Item Name" numFmtId="0">
      <sharedItems containsBlank="1"/>
    </cacheField>
    <cacheField name="Quantity" numFmtId="0">
      <sharedItems containsString="0" containsBlank="1" containsNumber="1" minValue="10.7" maxValue="23518.3"/>
    </cacheField>
    <cacheField name="Amount" numFmtId="0">
      <sharedItems containsString="0" containsBlank="1" containsNumber="1" minValue="0" maxValue="2936965.3"/>
    </cacheField>
    <cacheField name="Item Desc" numFmtId="0">
      <sharedItems containsBlank="1"/>
    </cacheField>
    <cacheField name="Bill Amount" numFmtId="0">
      <sharedItems containsString="0" containsBlank="1" containsNumber="1" minValue="0" maxValue="7832867.9800000004"/>
    </cacheField>
    <cacheField name="CGST Rate" numFmtId="0">
      <sharedItems containsString="0" containsBlank="1" containsNumber="1" containsInteger="1" minValue="0" maxValue="0"/>
    </cacheField>
    <cacheField name="CGST Amt" numFmtId="0">
      <sharedItems containsString="0" containsBlank="1" containsNumber="1" containsInteger="1" minValue="0" maxValue="0"/>
    </cacheField>
    <cacheField name="SGST Rate" numFmtId="0">
      <sharedItems containsString="0" containsBlank="1" containsNumber="1" containsInteger="1" minValue="0" maxValue="0"/>
    </cacheField>
    <cacheField name="SGST Amt" numFmtId="0">
      <sharedItems containsString="0" containsBlank="1" containsNumber="1" containsInteger="1" minValue="0" maxValue="0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528653.75"/>
    </cacheField>
    <cacheField name="Freight GST" numFmtId="0">
      <sharedItems containsString="0" containsBlank="1" containsNumber="1" containsInteger="1" minValue="0" maxValue="0"/>
    </cacheField>
    <cacheField name="Total GST" numFmtId="0">
      <sharedItems containsString="0" containsBlank="1" containsNumber="1" minValue="0" maxValue="528653.75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998852" maxValue="998852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10.7" maxValue="23518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237.746790856479" createdVersion="5" refreshedVersion="5" minRefreshableVersion="3" recordCount="24">
  <cacheSource type="worksheet">
    <worksheetSource ref="B27:BP182" sheet="Purchase"/>
  </cacheSource>
  <cacheFields count="67">
    <cacheField name="CompanyName" numFmtId="0">
      <sharedItems containsBlank="1"/>
    </cacheField>
    <cacheField name="Date" numFmtId="0">
      <sharedItems containsDate="1" containsBlank="1" containsMixedTypes="1" minDate="2026-02-07T00:00:00" maxDate="2026-08-08T00:00:00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 count="40">
        <s v="PP MF Yarn Twisted"/>
        <s v="PP Woven Fabric"/>
        <s v="MB Karnavati Polyplast Blue"/>
        <s v="PP Granules"/>
        <s v="LDPE Granuals"/>
        <s v="PP/HD Wastage/Scrap"/>
        <s v="LDPE/LLDPE Bags/Liner"/>
        <m/>
        <s v="Masterbatch" u="1"/>
        <s v="UV PIL NFG 20LD" u="1"/>
        <s v="LDPE Sabic 7019EC 148" u="1"/>
        <s v="MB Alok Blue 10363" u="1"/>
        <s v="Filler Cord" u="1"/>
        <s v="PP WOVEN FABRICS" u="1"/>
        <s v="Webbing" u="1"/>
        <s v="PP Tapes" u="1"/>
        <s v="PP JINNENG HP550J" u="1"/>
        <s v="PP Dongguan PPH-Y40L" u="1"/>
        <s v="PP UL Fabric With UV" u="1"/>
        <s v="FIBC Bags With UV Without Liner" u="1"/>
        <s v="MB Calco Militery Green 070" u="1"/>
        <s v="PP Lam Fabric With UV" u="1"/>
        <s v="MB Karnavati Varana Brown" u="1"/>
        <s v="Itemname" u="1"/>
        <s v="LDPE/LLDPE Film Conductive" u="1"/>
        <s v="PP China PPH T03" u="1"/>
        <s v="Filler Soltex PTUFF23" u="1"/>
        <s v="PP TAPE" u="1"/>
        <s v="PP GRANUESL" u="1"/>
        <s v="PP China L5E89" u="1"/>
        <s v="LDPE Qapco LA0710" u="1"/>
        <s v="Polyester Yarn Twisted" u="1"/>
        <s v="Crimp Yarn" u="1"/>
        <s v="MB Alok Green AM 8634 ( Pantone 356 -C)" u="1"/>
        <s v="MB Karnavati J Yellow" u="1"/>
        <s v="RP Granules" u="1"/>
        <s v="MB Karnavati Site Green 3490" u="1"/>
        <s v="PP Conductive Tape 1100 Black" u="1"/>
        <s v="Non Woven Fabric (Felt) 200 Gsm.Pati Cut Length- 4&quot; (10 Cm)" u="1"/>
        <s v="MB Clariant CMC Veer HP RED 485B" u="1"/>
      </sharedItems>
    </cacheField>
    <cacheField name="Indentsubcode" numFmtId="0">
      <sharedItems containsBlank="1"/>
    </cacheField>
    <cacheField name="PoNO" numFmtId="0">
      <sharedItems containsBlank="1"/>
    </cacheField>
    <cacheField name="OrderQty" numFmtId="0">
      <sharedItems containsString="0" containsBlank="1" containsNumber="1" minValue="50" maxValue="135000"/>
    </cacheField>
    <cacheField name="Challanqty" numFmtId="0">
      <sharedItems containsString="0" containsBlank="1" containsNumber="1" minValue="50" maxValue="135000"/>
    </cacheField>
    <cacheField name="Unit" numFmtId="0">
      <sharedItems containsBlank="1"/>
    </cacheField>
    <cacheField name="Recdqty" numFmtId="0">
      <sharedItems containsString="0" containsBlank="1" containsNumber="1" minValue="50" maxValue="135000"/>
    </cacheField>
    <cacheField name="PendingQty" numFmtId="0">
      <sharedItems containsString="0" containsBlank="1" containsNumber="1" minValue="-6.6000000000000201" maxValue="0"/>
    </cacheField>
    <cacheField name="Acceptedqty" numFmtId="0">
      <sharedItems containsString="0" containsBlank="1" containsNumber="1" minValue="50" maxValue="135000"/>
    </cacheField>
    <cacheField name="Vehicalno" numFmtId="0">
      <sharedItems containsBlank="1"/>
    </cacheField>
    <cacheField name="Partyname" numFmtId="0">
      <sharedItems containsBlank="1"/>
    </cacheField>
    <cacheField name="Suppliername" numFmtId="0">
      <sharedItems containsBlank="1"/>
    </cacheField>
    <cacheField name="ChallanNo" numFmtId="0">
      <sharedItems containsBlank="1" containsMixedTypes="1" containsNumber="1" containsInteger="1" minValue="13526" maxValue="13552"/>
    </cacheField>
    <cacheField name="Challan Date" numFmtId="0">
      <sharedItems containsDate="1" containsBlank="1" containsMixedTypes="1" minDate="2026-01-07T00:00:00" maxDate="2026-12-08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minValue="10" maxValue="271"/>
    </cacheField>
    <cacheField name="Amount" numFmtId="0">
      <sharedItems containsString="0" containsBlank="1" containsNumber="1" minValue="10" maxValue="271"/>
    </cacheField>
    <cacheField name="BillNo" numFmtId="0">
      <sharedItems containsBlank="1" containsMixedTypes="1" containsNumber="1" containsInteger="1" minValue="13526" maxValue="13552"/>
    </cacheField>
    <cacheField name="Bill Date" numFmtId="0">
      <sharedItems containsDate="1" containsBlank="1" containsMixedTypes="1" minDate="2026-01-07T00:00:00" maxDate="2026-12-08T00:00:00"/>
    </cacheField>
    <cacheField name="ItemRemarks" numFmtId="0">
      <sharedItems containsNonDate="0" containsString="0" containsBlank="1"/>
    </cacheField>
    <cacheField name="Remarks" numFmtId="0">
      <sharedItems containsNonDate="0" containsString="0" containsBlank="1"/>
    </cacheField>
    <cacheField name="Note" numFmtId="0">
      <sharedItems containsNonDate="0" containsString="0" containsBlank="1"/>
    </cacheField>
    <cacheField name="Transportname" numFmtId="0">
      <sharedItems containsBlank="1"/>
    </cacheField>
    <cacheField name="Lrnodate" numFmtId="0">
      <sharedItems containsBlank="1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2200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tring="0" containsBlank="1" containsNumber="1" containsInteger="1" minValue="0" maxValue="0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containsInteger="1" minValue="36856" maxValue="16409250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/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minValue="10800" maxValue="16409250"/>
    </cacheField>
    <cacheField name="GateInwardNo" numFmtId="0">
      <sharedItems containsBlank="1" containsMixedTypes="1" containsNumber="1" containsInteger="1" minValue="524" maxValue="671"/>
    </cacheField>
    <cacheField name="GateInwardDate" numFmtId="0">
      <sharedItems containsDate="1" containsBlank="1" containsMixedTypes="1" minDate="2026-02-07T00:00:00" maxDate="2026-07-08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Blank="1"/>
    </cacheField>
    <cacheField name="CGSTPer" numFmtId="0">
      <sharedItems containsString="0" containsBlank="1" containsNumber="1" containsInteger="1" minValue="0" maxValue="0"/>
    </cacheField>
    <cacheField name="CGSTAmount" numFmtId="0">
      <sharedItems containsString="0" containsBlank="1" containsNumber="1" containsInteger="1" minValue="0" maxValue="0"/>
    </cacheField>
    <cacheField name="SGSTPer" numFmtId="0">
      <sharedItems containsString="0" containsBlank="1" containsNumber="1" containsInteger="1" minValue="0" maxValue="0"/>
    </cacheField>
    <cacheField name="SGSTAmount" numFmtId="0">
      <sharedItems containsString="0" containsBlank="1" containsNumber="1" containsInteger="1" minValue="0" maxValue="0"/>
    </cacheField>
    <cacheField name="IGSTPer" numFmtId="0">
      <sharedItems containsString="0" containsBlank="1" containsNumber="1" containsInteger="1" minValue="0" maxValue="0"/>
    </cacheField>
    <cacheField name="IGSTAmount" numFmtId="0">
      <sharedItems containsString="0" containsBlank="1" containsNumber="1" containsInteger="1" minValue="0" maxValue="0"/>
    </cacheField>
    <cacheField name="RBIllmount" numFmtId="0">
      <sharedItems containsString="0" containsBlank="1" containsNumber="1" containsInteger="1" minValue="0" maxValue="16409250"/>
    </cacheField>
    <cacheField name="EWayNo" numFmtId="0">
      <sharedItems containsBlank="1" containsMixedTypes="1" containsNumber="1" containsInteger="1" minValue="602144460805" maxValue="721647716182"/>
    </cacheField>
    <cacheField name="EWayDt" numFmtId="0">
      <sharedItems containsNonDate="0" containsDate="1" containsString="0" containsBlank="1" minDate="2026-07-01T00:00:00" maxDate="2026-07-26T00:00:00"/>
    </cacheField>
    <cacheField name="netwt" numFmtId="0">
      <sharedItems containsString="0" containsBlank="1" containsNumber="1" minValue="0" maxValue="1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6237.747693518519" createdVersion="5" refreshedVersion="5" minRefreshableVersion="3" recordCount="176">
  <cacheSource type="worksheet">
    <worksheetSource ref="B1:BP214" sheet="Rece Chalan"/>
  </cacheSource>
  <cacheFields count="67">
    <cacheField name="CompanyName" numFmtId="0">
      <sharedItems containsBlank="1"/>
    </cacheField>
    <cacheField name="Date" numFmtId="0">
      <sharedItems containsDate="1" containsBlank="1" containsMixedTypes="1" minDate="2026-02-07T00:00:00" maxDate="2026-11-08T00:00:00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 count="32">
        <s v="LDPE/LLDPE Bags/Liner"/>
        <s v="PP MF Yarn Twisted"/>
        <s v="PP Lam Fabric With UV"/>
        <s v="Webbing"/>
        <s v="PP Tapes"/>
        <s v="PP Granules"/>
        <s v="PP UL Fabric With UV"/>
        <s v="MB Karnavati Polyplast Blue"/>
        <s v="UV Arguvin FG 626 LD"/>
        <s v="LDPE Sumitomo L705"/>
        <m/>
        <s v="PP IOCL 1350EG" u="1"/>
        <s v="MB Karnavati Tarp Navy Blue" u="1"/>
        <s v="Filler Cord" u="1"/>
        <s v="PP NSRP NSY114G" u="1"/>
        <s v="PP UL Fabric Without UV" u="1"/>
        <s v="MB Karnavati Leaf Green" u="1"/>
        <s v="PP Webbing" u="1"/>
        <s v="UV Alok FG AM10645 20%" u="1"/>
        <s v="LDPE/LLDPE Film" u="1"/>
        <s v="PP Basell 462S" u="1"/>
        <s v="MB Karnavati Varana Brown" u="1"/>
        <s v="Itemname" u="1"/>
        <s v="Filler Soltex PTUFF23" u="1"/>
        <s v="Polyester Yarn Twisted" u="1"/>
        <s v="MB Karnavati Bright Red" u="1"/>
        <s v="MB Karnavati J Yellow" u="1"/>
        <s v="PP Braided Rope MW 6 to 8 GPM" u="1"/>
        <s v="PP Braided Rope Green 6 to 8 GPM" u="1"/>
        <s v="RP Granules" u="1"/>
        <s v="LDPE Granules" u="1"/>
        <s v="MB" u="1"/>
      </sharedItems>
    </cacheField>
    <cacheField name="Indentsubcode" numFmtId="0">
      <sharedItems containsString="0" containsBlank="1" containsNumber="1" containsInteger="1" minValue="1" maxValue="6"/>
    </cacheField>
    <cacheField name="PoNO" numFmtId="0">
      <sharedItems containsBlank="1"/>
    </cacheField>
    <cacheField name="OrderQty" numFmtId="0">
      <sharedItems containsString="0" containsBlank="1" containsNumber="1" containsInteger="1" minValue="0" maxValue="0"/>
    </cacheField>
    <cacheField name="Challanqty" numFmtId="0">
      <sharedItems containsString="0" containsBlank="1" containsNumber="1" minValue="10.7" maxValue="108000"/>
    </cacheField>
    <cacheField name="Unit" numFmtId="0">
      <sharedItems containsBlank="1"/>
    </cacheField>
    <cacheField name="Recdqty" numFmtId="0">
      <sharedItems containsString="0" containsBlank="1" containsNumber="1" minValue="10.7" maxValue="108000"/>
    </cacheField>
    <cacheField name="PendingQty" numFmtId="0">
      <sharedItems containsString="0" containsBlank="1" containsNumber="1" containsInteger="1" minValue="0" maxValue="0"/>
    </cacheField>
    <cacheField name="Acceptedqty" numFmtId="0">
      <sharedItems containsString="0" containsBlank="1" containsNumber="1" minValue="10.7" maxValue="108000"/>
    </cacheField>
    <cacheField name="Vehicalno" numFmtId="0">
      <sharedItems containsBlank="1"/>
    </cacheField>
    <cacheField name="Partyname" numFmtId="0">
      <sharedItems containsBlank="1"/>
    </cacheField>
    <cacheField name="Suppliername" numFmtId="0">
      <sharedItems containsBlank="1"/>
    </cacheField>
    <cacheField name="ChallanNo" numFmtId="0">
      <sharedItems containsBlank="1"/>
    </cacheField>
    <cacheField name="Challan Date" numFmtId="0">
      <sharedItems containsDate="1" containsBlank="1" containsMixedTypes="1" minDate="2026-01-07T00:00:00" maxDate="2026-11-08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minValue="102.85" maxValue="350"/>
    </cacheField>
    <cacheField name="Amount" numFmtId="0">
      <sharedItems containsString="0" containsBlank="1" containsNumber="1" containsInteger="1" minValue="0" maxValue="0"/>
    </cacheField>
    <cacheField name="BillNo" numFmtId="0">
      <sharedItems containsBlank="1"/>
    </cacheField>
    <cacheField name="Bill Date" numFmtId="0">
      <sharedItems containsDate="1" containsBlank="1" containsMixedTypes="1" minDate="2026-01-07T00:00:00" maxDate="2026-11-08T00:00:00"/>
    </cacheField>
    <cacheField name="ItemRemarks" numFmtId="0">
      <sharedItems containsNonDate="0" containsString="0" containsBlank="1"/>
    </cacheField>
    <cacheField name="Remarks" numFmtId="0">
      <sharedItems containsNonDate="0" containsString="0" containsBlank="1"/>
    </cacheField>
    <cacheField name="Note" numFmtId="0">
      <sharedItems containsNonDate="0" containsString="0" containsBlank="1"/>
    </cacheField>
    <cacheField name="Transportname" numFmtId="0">
      <sharedItems containsBlank="1"/>
    </cacheField>
    <cacheField name="Lrnodate" numFmtId="0">
      <sharedItems containsDate="1" containsBlank="1" containsMixedTypes="1" minDate="2026-01-07T00:00:00" maxDate="2026-11-08T00:00:00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tring="0" containsBlank="1" containsNumber="1" containsInteger="1" minValue="0" maxValue="0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containsInteger="1" minValue="0" maxValue="0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/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containsInteger="1" minValue="0" maxValue="0"/>
    </cacheField>
    <cacheField name="GateInwardNo" numFmtId="0">
      <sharedItems containsString="0" containsBlank="1" containsNumber="1" containsInteger="1" minValue="522" maxValue="727"/>
    </cacheField>
    <cacheField name="GateInwardDate" numFmtId="0">
      <sharedItems containsDate="1" containsBlank="1" containsMixedTypes="1" minDate="2026-01-07T00:00:00" maxDate="2026-11-08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NonDate="0" containsString="0" containsBlank="1"/>
    </cacheField>
    <cacheField name="CGSTPer" numFmtId="0">
      <sharedItems containsString="0" containsBlank="1" containsNumber="1" containsInteger="1" minValue="0" maxValue="9"/>
    </cacheField>
    <cacheField name="CGSTAmount" numFmtId="0">
      <sharedItems containsString="0" containsBlank="1" containsNumber="1" minValue="0" maxValue="20700"/>
    </cacheField>
    <cacheField name="SGSTPer" numFmtId="0">
      <sharedItems containsString="0" containsBlank="1" containsNumber="1" containsInteger="1" minValue="0" maxValue="9"/>
    </cacheField>
    <cacheField name="SGSTAmount" numFmtId="0">
      <sharedItems containsString="0" containsBlank="1" containsNumber="1" minValue="0" maxValue="20700"/>
    </cacheField>
    <cacheField name="IGSTPer" numFmtId="0">
      <sharedItems containsString="0" containsBlank="1" containsNumber="1" containsInteger="1" minValue="0" maxValue="0"/>
    </cacheField>
    <cacheField name="IGSTAmount" numFmtId="0">
      <sharedItems containsString="0" containsBlank="1" containsNumber="1" containsInteger="1" minValue="0" maxValue="0"/>
    </cacheField>
    <cacheField name="RBIllmount" numFmtId="0">
      <sharedItems containsString="0" containsBlank="1" containsNumber="1" containsInteger="1" minValue="0" maxValue="0"/>
    </cacheField>
    <cacheField name="EWayNo" numFmtId="0">
      <sharedItems containsBlank="1" containsMixedTypes="1" containsNumber="1" containsInteger="1" minValue="652141134416" maxValue="652141134416"/>
    </cacheField>
    <cacheField name="EWayDt" numFmtId="0">
      <sharedItems containsNonDate="0" containsDate="1" containsString="0" containsBlank="1" minDate="2026-07-01T11:36:00" maxDate="2026-07-31T16:20:00"/>
    </cacheField>
    <cacheField name="netwt" numFmtId="0">
      <sharedItems containsString="0" containsBlank="1" containsNumber="1" minValue="10.7" maxValue="10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P" refreshedDate="46237.749329398146" createdVersion="5" refreshedVersion="5" minRefreshableVersion="3" recordCount="105">
  <cacheSource type="worksheet">
    <worksheetSource ref="B36:U297" sheet="Challan"/>
  </cacheSource>
  <cacheFields count="20">
    <cacheField name="Year" numFmtId="0">
      <sharedItems containsBlank="1"/>
    </cacheField>
    <cacheField name="ProcessorName" numFmtId="0">
      <sharedItems containsBlank="1"/>
    </cacheField>
    <cacheField name="SubsidiaryBuyer" numFmtId="0">
      <sharedItems containsBlank="1" count="3">
        <s v="K.P. Woven Pvt Ltd - Unit 3 -Sales"/>
        <s v="Plastene India ltd - Unit 1-Sales"/>
        <m/>
      </sharedItems>
    </cacheField>
    <cacheField name="MainChallan No" numFmtId="0">
      <sharedItems containsBlank="1" containsMixedTypes="1" containsNumber="1" containsInteger="1" minValue="1" maxValue="246"/>
    </cacheField>
    <cacheField name="MainChallan Date" numFmtId="0">
      <sharedItems containsNonDate="0" containsDate="1" containsString="0" containsBlank="1" minDate="2026-01-28T00:00:00" maxDate="2026-08-01T00:00:00"/>
    </cacheField>
    <cacheField name="CommodityName" numFmtId="0">
      <sharedItems containsBlank="1"/>
    </cacheField>
    <cacheField name="THeading" numFmtId="0">
      <sharedItems containsString="0" containsBlank="1" containsNumber="1" containsInteger="1" minValue="32061190" maxValue="54026930"/>
    </cacheField>
    <cacheField name="OrderQty" numFmtId="0">
      <sharedItems containsString="0" containsBlank="1" containsNumber="1" minValue="50" maxValue="108000"/>
    </cacheField>
    <cacheField name="QtyUnit" numFmtId="0">
      <sharedItems containsBlank="1"/>
    </cacheField>
    <cacheField name="Balanced Qty" numFmtId="0">
      <sharedItems containsString="0" containsBlank="1" containsNumber="1" minValue="50" maxValue="108000"/>
    </cacheField>
    <cacheField name="ChallanSrno" numFmtId="0">
      <sharedItems containsString="0" containsBlank="1" containsNumber="1" containsInteger="1" minValue="13777" maxValue="14113"/>
    </cacheField>
    <cacheField name="ProcessorAddress" numFmtId="0">
      <sharedItems containsBlank="1"/>
    </cacheField>
    <cacheField name="SubsidiaryAddress" numFmtId="0">
      <sharedItems containsBlank="1"/>
    </cacheField>
    <cacheField name="subsidiaryyear" numFmtId="0">
      <sharedItems containsBlank="1"/>
    </cacheField>
    <cacheField name="Iteam Code" numFmtId="0">
      <sharedItems containsBlank="1"/>
    </cacheField>
    <cacheField name="Deptt" numFmtId="0">
      <sharedItems containsBlank="1"/>
    </cacheField>
    <cacheField name="Group Name" numFmtId="0">
      <sharedItems containsBlank="1"/>
    </cacheField>
    <cacheField name="Sub Group Name" numFmtId="0">
      <sharedItems containsBlank="1"/>
    </cacheField>
    <cacheField name="Iteam Name" numFmtId="0">
      <sharedItems containsBlank="1" count="37">
        <s v="PP UL Fabric With UV"/>
        <s v="PP Tapes"/>
        <s v="PP Lam Fabric With UV"/>
        <s v="LDPE/LLDPE Bags/Liner"/>
        <s v="PP MF Yarn Twisted"/>
        <s v="PP Granules"/>
        <s v="LDPE Granules"/>
        <s v="Filler Cord"/>
        <s v="UV MB"/>
        <s v="LDPE/LLDPE Film"/>
        <s v="MB"/>
        <s v="Webbing"/>
        <s v="RP Granules"/>
        <s v="Filler Soltex PTUFF23"/>
        <m/>
        <s v="PP RIL H030SG" u="1"/>
        <s v="Masterbatch" u="1"/>
        <s v="ROP" u="1"/>
        <s v="Filler " u="1"/>
        <s v="MB Colman Shiny Black ( RD Black-01 )" u="1"/>
        <s v="PP JINNENG HP550J" u="1"/>
        <s v="PP Lam Fabric Without UV" u="1"/>
        <s v="MB UV" u="1"/>
        <s v="UV Alok FG AM10645 20%" u="1"/>
        <s v="LDPE Sumitomo L705" u="1"/>
        <s v="PP Basell 462S" u="1"/>
        <s v="MB Karnavati Varana Brown" u="1"/>
        <s v="UV Arguvin FG 626 LD" u="1"/>
        <s v="LDPE/LLDPE Film Conductive" u="1"/>
        <s v="PP Opal RH03" u="1"/>
        <s v="PP China PPH T03" u="1"/>
        <s v="PP Granules Others" u="1"/>
        <s v="PP China L5E89" u="1"/>
        <s v="PP Braided Rope MW 6 to 8 GPM" u="1"/>
        <s v="PP Braided Rope Green 6 to 8 GPM" u="1"/>
        <s v="PP OPAL RH38" u="1"/>
        <s v="PP Advanced H312" u="1"/>
      </sharedItems>
    </cacheField>
    <cacheField name="Issu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d v="2026-02-07T00:00:00"/>
    <s v="Plastene India ltd - Unit 1-Sales"/>
    <s v="Deemed Export"/>
    <s v="OEL1/DE/051/26-27"/>
    <s v="Sales - Interstate - Manufactured Goods"/>
    <s v="OEL1/DE/051/26-27"/>
    <d v="2026-02-07T00:00:00"/>
    <s v="SF"/>
    <s v="PP/PE Fabric"/>
    <s v="PP UL Fabric"/>
    <x v="0"/>
    <s v="PP UL Fabric With UV"/>
    <n v="2670"/>
    <n v="373789"/>
    <s v="PP WOVEN FABRICS"/>
    <n v="373415.21"/>
    <n v="0"/>
    <n v="0"/>
    <n v="0"/>
    <n v="0"/>
    <n v="0"/>
    <n v="0"/>
    <n v="0"/>
    <n v="0"/>
    <n v="0"/>
    <s v="24AAACO3087C1ZT"/>
    <s v="KGS"/>
    <n v="39269080"/>
    <s v="Rs."/>
    <n v="1"/>
    <n v="2670"/>
  </r>
  <r>
    <d v="2026-03-07T00:00:00"/>
    <s v="Plastene India ltd - Unit 1-Sales"/>
    <s v="Deemed Export"/>
    <s v="OEL1/DE/052/26-27"/>
    <s v="Sales - Interstate - Manufactured Goods"/>
    <s v="OEL1/DE/052/26-27"/>
    <d v="2026-03-07T00:00:00"/>
    <s v="SF"/>
    <s v="PP/PE Fabric"/>
    <s v="PP UL Fabric"/>
    <x v="0"/>
    <s v="PP UL Fabric With UV"/>
    <n v="2543"/>
    <n v="356009"/>
    <s v="PP WOVEN FABRICS"/>
    <n v="355652.99"/>
    <n v="0"/>
    <n v="0"/>
    <n v="0"/>
    <n v="0"/>
    <n v="0"/>
    <n v="0"/>
    <n v="0"/>
    <n v="0"/>
    <n v="0"/>
    <s v="24AAACO3087C1ZT"/>
    <s v="KGS"/>
    <n v="392690"/>
    <s v="Rs."/>
    <n v="1"/>
    <n v="2543"/>
  </r>
  <r>
    <d v="2026-06-07T00:00:00"/>
    <s v="Plastene India ltd - Unit 1-Sales"/>
    <s v="Deemed Export"/>
    <s v="OEL1/DE/053/26-27"/>
    <s v="Sales - Interstate - Manufactured Goods"/>
    <s v="OEL1/DE/053/26-27"/>
    <d v="2026-06-07T00:00:00"/>
    <s v="SF"/>
    <s v="PP/PE Fabric"/>
    <s v="PP UL Fabric"/>
    <x v="0"/>
    <s v="PP UL Fabric With UV"/>
    <n v="6681"/>
    <n v="935311"/>
    <s v="PP WOVEN FABRICS"/>
    <n v="934375.69"/>
    <n v="0"/>
    <n v="0"/>
    <n v="0"/>
    <n v="0"/>
    <n v="0"/>
    <n v="0"/>
    <n v="0"/>
    <n v="0"/>
    <n v="0"/>
    <s v="24AAACO3087C1ZT"/>
    <s v="KGS"/>
    <n v="39269080"/>
    <s v="Rs."/>
    <n v="1"/>
    <n v="6681"/>
  </r>
  <r>
    <d v="2026-08-07T00:00:00"/>
    <s v="Plastene India ltd - Unit 1-Sales"/>
    <s v="Domestic Sales"/>
    <s v="OEL/DTA/019/26-27"/>
    <s v="Sales - Waste &amp; Scrape"/>
    <s v="OEL/DTA/019/26-27"/>
    <d v="2026-08-07T00:00:00"/>
    <s v="Other Scrap"/>
    <s v="Wastage/Scrap"/>
    <s v="Misc"/>
    <x v="1"/>
    <s v="MS/Other Scrap"/>
    <n v="3040"/>
    <n v="1520"/>
    <s v="OTHER SCRAPS"/>
    <n v="1560"/>
    <n v="0"/>
    <n v="0"/>
    <n v="0"/>
    <n v="0"/>
    <n v="0"/>
    <n v="0"/>
    <n v="0"/>
    <n v="0"/>
    <n v="39.82"/>
    <s v="24AAACO3087C1ZT"/>
    <s v="KGS"/>
    <n v="68114010"/>
    <s v="Rs."/>
    <n v="1"/>
    <n v="3040"/>
  </r>
  <r>
    <d v="2026-08-07T00:00:00"/>
    <s v="Plastene India ltd - Unit 1-Sales"/>
    <s v="Deemed Export"/>
    <s v="OEL1/DE/054/26-27"/>
    <s v="Sales - Interstate - Manufactured Goods"/>
    <s v="OEL1/DE/054/26-27"/>
    <d v="2026-08-07T00:00:00"/>
    <s v="SF"/>
    <s v="PP/PE Fabric"/>
    <s v="PP UL Fabric"/>
    <x v="0"/>
    <s v="PP UL Fabric With UV"/>
    <n v="4172"/>
    <n v="584062"/>
    <s v="PP WOVEN FABRICS"/>
    <n v="583477.93999999994"/>
    <n v="0"/>
    <n v="0"/>
    <n v="0"/>
    <n v="0"/>
    <n v="0"/>
    <n v="0"/>
    <n v="0"/>
    <n v="0"/>
    <n v="0"/>
    <s v="24AAACO3087C1ZT"/>
    <s v="KGS"/>
    <n v="39269080"/>
    <s v="Rs."/>
    <n v="1"/>
    <n v="4172"/>
  </r>
  <r>
    <d v="2026-09-07T00:00:00"/>
    <s v="Plastene India ltd - Unit 1-Sales"/>
    <s v="Domestic Sales"/>
    <s v="OEL/DTA/020/26-27"/>
    <s v="Sales - Interstate - Manufactured Goods"/>
    <s v="OEL/DTA/020/26-27"/>
    <d v="2026-09-07T00:00:00"/>
    <s v="SF"/>
    <s v="RP Granules"/>
    <s v="RP Granules"/>
    <x v="2"/>
    <s v="RP Granules"/>
    <n v="15000"/>
    <n v="780000"/>
    <s v="RP GRANULES"/>
    <n v="779220"/>
    <n v="0"/>
    <n v="0"/>
    <n v="0"/>
    <n v="0"/>
    <n v="0"/>
    <n v="0"/>
    <n v="0"/>
    <n v="0"/>
    <n v="0"/>
    <s v="24AAACO3087C1ZT"/>
    <s v="KGS"/>
    <n v="39021000"/>
    <s v="Rs."/>
    <n v="1"/>
    <n v="15000"/>
  </r>
  <r>
    <d v="2026-09-07T00:00:00"/>
    <s v="Plastene India ltd - Unit 1-Sales"/>
    <s v="Deemed Export"/>
    <s v="OEL1/DE/055/26-27"/>
    <s v="Sales - Interstate - Manufactured Goods"/>
    <s v="OEL1/DE/055/26-27"/>
    <d v="2026-09-07T00:00:00"/>
    <s v="SF"/>
    <s v="PP/PE Fabric"/>
    <s v="PP UL Fabric"/>
    <x v="0"/>
    <s v="PP UL Fabric With UV"/>
    <n v="646"/>
    <n v="90437"/>
    <s v="PP WOVEN FABRICS"/>
    <n v="90346.559999999998"/>
    <n v="0"/>
    <n v="0"/>
    <n v="0"/>
    <n v="0"/>
    <n v="0"/>
    <n v="0"/>
    <n v="0"/>
    <n v="0"/>
    <n v="0"/>
    <s v="24AAACO3087C1ZT"/>
    <s v="KGS"/>
    <n v="39269080"/>
    <s v="Rs."/>
    <n v="1"/>
    <n v="646"/>
  </r>
  <r>
    <d v="2026-10-07T00:00:00"/>
    <s v="Gokul Overseas"/>
    <s v="Deemed Export"/>
    <s v="OEL/IZS/26-27/007"/>
    <s v="Sales - Kasez - Mfg - U/B"/>
    <s v="OEL/IZS/26-27/007"/>
    <d v="2026-10-07T00:00:00"/>
    <s v="FG"/>
    <s v="FIBC Bags"/>
    <s v="FIBC Bags"/>
    <x v="3"/>
    <s v="FIBC Bags With UV With Liner"/>
    <n v="226"/>
    <n v="69200"/>
    <s v="PP WOVEN BIG BAGS"/>
    <n v="69200"/>
    <n v="0"/>
    <n v="0"/>
    <n v="0"/>
    <n v="0"/>
    <n v="0"/>
    <n v="0"/>
    <n v="0"/>
    <n v="0"/>
    <n v="0"/>
    <s v="24AACFG9539L2Z0"/>
    <s v="KGS"/>
    <n v="63053200"/>
    <s v="Rs."/>
    <n v="1"/>
    <n v="226"/>
  </r>
  <r>
    <d v="2026-10-07T00:00:00"/>
    <s v="Plastene India ltd - Unit 1-Sales"/>
    <s v="Domestic Sales"/>
    <s v="OEL/DTA/021/26-27"/>
    <s v="Sales - Interstate - Manufactured Goods"/>
    <s v="OEL/DTA/021/26-27"/>
    <d v="2026-10-07T00:00:00"/>
    <s v="SF"/>
    <s v="RP Granules"/>
    <s v="RP Granules"/>
    <x v="2"/>
    <s v="RP Granules"/>
    <n v="22500"/>
    <n v="1170000"/>
    <s v="RP GRANULES"/>
    <n v="1168830"/>
    <n v="0"/>
    <n v="0"/>
    <n v="0"/>
    <n v="0"/>
    <n v="0"/>
    <n v="0"/>
    <n v="0"/>
    <n v="0"/>
    <n v="0"/>
    <s v="24AAACO3087C1ZT"/>
    <s v="KGS"/>
    <n v="39029080"/>
    <s v="Rs."/>
    <n v="1"/>
    <n v="22500"/>
  </r>
  <r>
    <d v="2026-10-07T00:00:00"/>
    <s v="Plastene India ltd - Unit 1-Sales"/>
    <s v="Domestic Sales"/>
    <s v="OEL/DTA/022/26-27"/>
    <s v="Sales - Interstate - Manufactured Goods"/>
    <s v="OEL/DTA/022/26-27"/>
    <d v="2026-10-07T00:00:00"/>
    <s v="SF"/>
    <s v="RP Granules"/>
    <s v="RP Granules"/>
    <x v="2"/>
    <s v="RP Granules"/>
    <n v="2250"/>
    <n v="117000"/>
    <s v="RP GRANULES"/>
    <n v="116883"/>
    <n v="0"/>
    <n v="0"/>
    <n v="0"/>
    <n v="0"/>
    <n v="0"/>
    <n v="0"/>
    <n v="0"/>
    <n v="0"/>
    <n v="0"/>
    <s v="24AAACO3087C1ZT"/>
    <s v="KGS"/>
    <n v="39011090"/>
    <s v="Rs."/>
    <n v="1"/>
    <n v="2250"/>
  </r>
  <r>
    <d v="2026-11-07T00:00:00"/>
    <s v="Plastene India ltd - Unit 1-Sales"/>
    <s v="Deemed Export"/>
    <s v="OEL1/DE/056/26-27"/>
    <s v="Sales - Interstate - Manufactured Goods"/>
    <s v="OEL1/DE/056/26-27"/>
    <d v="2026-11-07T00:00:00"/>
    <s v="SF"/>
    <s v="PP/PE Fabric"/>
    <s v="PP UL Fabric"/>
    <x v="0"/>
    <s v="PP UL Fabric With UV"/>
    <n v="4518"/>
    <n v="632501"/>
    <s v="PP WOVEN FABRICS"/>
    <n v="631868.5"/>
    <n v="0"/>
    <n v="0"/>
    <n v="0"/>
    <n v="0"/>
    <n v="0"/>
    <n v="0"/>
    <n v="0"/>
    <n v="0"/>
    <n v="0"/>
    <s v="24AAACO3087C1ZT"/>
    <s v="KGS"/>
    <n v="39269080"/>
    <s v="Rs."/>
    <n v="1"/>
    <n v="4518"/>
  </r>
  <r>
    <s v="14-07-2026"/>
    <s v="Plastene India ltd - Unit 1-Sales"/>
    <s v="Deemed Export"/>
    <s v="OEL1/DE/057/26-27"/>
    <s v="Sales - Interstate - Manufactured Goods"/>
    <s v="OEL1/DE/057/26-27"/>
    <s v="14-07-2026"/>
    <s v="SF"/>
    <s v="PP/PE Fabric"/>
    <s v="PP UL Fabric"/>
    <x v="0"/>
    <s v="PP UL Fabric With UV"/>
    <n v="5080"/>
    <n v="711178"/>
    <s v="PP WOVEN FABRICS"/>
    <n v="710466.82"/>
    <n v="0"/>
    <n v="0"/>
    <n v="0"/>
    <n v="0"/>
    <n v="0"/>
    <n v="0"/>
    <n v="0"/>
    <n v="0"/>
    <n v="0"/>
    <s v="24AAACO3087C1ZT"/>
    <s v="KGS"/>
    <n v="39269080"/>
    <s v="Rs."/>
    <n v="1"/>
    <n v="5080"/>
  </r>
  <r>
    <s v="16-07-2026"/>
    <s v="Plastene India ltd - Unit 1-Sales"/>
    <s v="Deemed Export"/>
    <s v="OEL1/DE/058/26-27"/>
    <s v="Sales - Interstate - Manufactured Goods"/>
    <s v="OEL1/DE/058/26-27"/>
    <s v="16-07-2026"/>
    <s v="SF"/>
    <s v="PP/PE Fabric"/>
    <s v="PP UL Fabric"/>
    <x v="0"/>
    <s v="PP UL Fabric With UV"/>
    <n v="2434"/>
    <n v="340750"/>
    <s v="PP WOVEN FABRICS"/>
    <n v="340409.25"/>
    <n v="0"/>
    <n v="0"/>
    <n v="0"/>
    <n v="0"/>
    <n v="0"/>
    <n v="0"/>
    <n v="0"/>
    <n v="0"/>
    <n v="0"/>
    <s v="24AAACO3087C1ZT"/>
    <s v="KGS"/>
    <n v="39269080"/>
    <s v="Rs."/>
    <n v="1"/>
    <n v="2434"/>
  </r>
  <r>
    <s v="17-07-2026"/>
    <s v="Plastene India ltd - Unit 1-Sales"/>
    <s v="Deemed Export"/>
    <s v="OEL1/DE/059/26-27"/>
    <s v="Sales - Interstate - Manufactured Goods"/>
    <s v="OEL1/DE/059/26-27"/>
    <s v="17-07-2026"/>
    <s v="SF"/>
    <s v="PP/PE Fabric"/>
    <s v="PP UL Fabric"/>
    <x v="0"/>
    <s v="PP UL Fabric With UV"/>
    <n v="5328"/>
    <n v="745897"/>
    <s v="PP WOVEN FABRICS"/>
    <n v="745151.1"/>
    <n v="0"/>
    <n v="0"/>
    <n v="0"/>
    <n v="0"/>
    <n v="0"/>
    <n v="0"/>
    <n v="0"/>
    <n v="0"/>
    <n v="0"/>
    <s v="24AAACO3087C1ZT"/>
    <s v="KGS"/>
    <n v="39269080"/>
    <s v="Rs."/>
    <n v="1"/>
    <n v="5328"/>
  </r>
  <r>
    <s v="17-07-2026"/>
    <s v="Plastene India ltd - Unit 1-Sales"/>
    <s v="Deemed Export"/>
    <s v="OEL1/DE/060/26-27"/>
    <s v="Sales - Interstate - Manufactured Goods"/>
    <s v="OEL1/DE/060/26-27"/>
    <s v="17-07-2026"/>
    <s v="SF"/>
    <s v="Webbing"/>
    <s v="PP Webbing"/>
    <x v="4"/>
    <s v="Webbing"/>
    <n v="553.4"/>
    <n v="56447"/>
    <s v="PP WEBBING"/>
    <n v="56390.55"/>
    <n v="0"/>
    <n v="0"/>
    <n v="0"/>
    <n v="0"/>
    <n v="0"/>
    <n v="0"/>
    <n v="0"/>
    <n v="0"/>
    <n v="0"/>
    <s v="24AAACO3087C1ZT"/>
    <s v="KGS"/>
    <n v="39269080"/>
    <s v="Rs."/>
    <n v="1"/>
    <n v="553.4"/>
  </r>
  <r>
    <s v="18-07-2026"/>
    <s v="Plastene India ltd - Unit 1-Sales"/>
    <s v="Deemed Export"/>
    <s v="OEL/DTA/023/26-27"/>
    <s v="Sales - Interstate - Manufactured Goods"/>
    <s v="OEL/DTA/023/26-27"/>
    <s v="18-07-2026"/>
    <s v="SF"/>
    <s v="RP Granules"/>
    <s v="RP Granules"/>
    <x v="2"/>
    <s v="RP Granules"/>
    <n v="30000"/>
    <n v="1560000"/>
    <s v="RP GRNULES"/>
    <n v="1558440"/>
    <n v="0"/>
    <n v="0"/>
    <n v="0"/>
    <n v="0"/>
    <n v="0"/>
    <n v="0"/>
    <n v="0"/>
    <n v="0"/>
    <n v="0"/>
    <s v="24AAACO3087C1ZT"/>
    <s v="KGS"/>
    <n v="39021000"/>
    <s v="Rs."/>
    <n v="1"/>
    <n v="30000"/>
  </r>
  <r>
    <s v="20-07-2026"/>
    <s v="Plastene India ltd - Unit 1-Sales"/>
    <s v="Domestic Sales"/>
    <s v="OEL/DTA/024/26-27"/>
    <s v="Sales - Waste &amp; Scrape"/>
    <s v="OEL/DTA/024/26-27"/>
    <s v="20-07-2026"/>
    <s v="Other Scrap"/>
    <s v="Wastage/Scrap"/>
    <s v="Misc"/>
    <x v="1"/>
    <s v="MS/Other Scrap"/>
    <n v="14.2"/>
    <n v="7100"/>
    <s v="OTHER SCRAPS"/>
    <n v="7286"/>
    <n v="0"/>
    <n v="0"/>
    <n v="0"/>
    <n v="0"/>
    <n v="0"/>
    <n v="0"/>
    <n v="0"/>
    <n v="0"/>
    <n v="185.99"/>
    <s v="24AAACO3087C1ZT"/>
    <s v="KGS"/>
    <n v="68114010"/>
    <s v="Rs."/>
    <n v="1"/>
    <n v="14.2"/>
  </r>
  <r>
    <s v="20-07-2026"/>
    <s v="Plastene India ltd - Unit 1-Sales"/>
    <s v="Deemed Export"/>
    <s v="OEL1/DE/061/26-27"/>
    <s v="Sales - Interstate - Manufactured Goods"/>
    <s v="OEL1/DE/061/26-27"/>
    <s v="20-07-2026"/>
    <s v="SF"/>
    <s v="PP/PE Fabric"/>
    <s v="PP UL Fabric"/>
    <x v="0"/>
    <s v="PP UL Fabric With UV"/>
    <n v="4542"/>
    <n v="635860"/>
    <s v="PP WOVEN FABRICS"/>
    <n v="635224.14"/>
    <n v="0"/>
    <n v="0"/>
    <n v="0"/>
    <n v="0"/>
    <n v="0"/>
    <n v="0"/>
    <n v="0"/>
    <n v="0"/>
    <n v="0"/>
    <s v="24AAACO3087C1ZT"/>
    <s v="KGS"/>
    <n v="39269080"/>
    <s v="Rs."/>
    <n v="1"/>
    <n v="4542"/>
  </r>
  <r>
    <s v="20-07-2026"/>
    <s v="Plastene India ltd - Unit 1-Sales"/>
    <s v="Deemed Export"/>
    <s v="OEL1/DE/062/26-27"/>
    <s v="Sales - Interstate - Manufactured Goods"/>
    <s v="OEL1/DE/062/26-27"/>
    <s v="20-07-2026"/>
    <s v="SF"/>
    <s v="Webbing"/>
    <s v="PP Webbing"/>
    <x v="4"/>
    <s v="Webbing"/>
    <n v="519.5"/>
    <n v="52989"/>
    <s v="PP WEBBING"/>
    <n v="52936.01"/>
    <n v="0"/>
    <n v="0"/>
    <n v="0"/>
    <n v="0"/>
    <n v="0"/>
    <n v="0"/>
    <n v="0"/>
    <n v="0"/>
    <n v="0"/>
    <s v="24AAACO3087C1ZT"/>
    <s v="KGS"/>
    <n v="39269080"/>
    <s v="Rs."/>
    <n v="1"/>
    <n v="519.5"/>
  </r>
  <r>
    <s v="22-07-2026"/>
    <s v="Plastene India ltd - Unit 1-Sales"/>
    <s v="Deemed Export"/>
    <s v="OEL1/DE/063/26-27"/>
    <s v="Sales - Interstate - Manufactured Goods"/>
    <s v="OEL1/DE/063/26-27"/>
    <s v="22-07-2026"/>
    <s v="SF"/>
    <s v="PP/PE Fabric"/>
    <s v="PP UL Fabric"/>
    <x v="0"/>
    <s v="PP UL Fabric With UV"/>
    <n v="7157"/>
    <n v="1001981"/>
    <s v="PP WOVEN FABRICS"/>
    <n v="1000979.02"/>
    <n v="0"/>
    <n v="0"/>
    <n v="0"/>
    <n v="0"/>
    <n v="0"/>
    <n v="0"/>
    <n v="0"/>
    <n v="0"/>
    <n v="0"/>
    <s v="24AAACO3087C1ZT"/>
    <s v="KGS"/>
    <n v="39269080"/>
    <s v="Rs."/>
    <n v="1"/>
    <n v="7157"/>
  </r>
  <r>
    <s v="22-07-2026"/>
    <s v="Plastene India ltd - Unit 1-Sales"/>
    <s v="Deemed Export"/>
    <s v="OEL1/DE/064/26-27"/>
    <s v="Sales - Interstate - Manufactured Goods"/>
    <s v="OEL1/DE/064/26-27"/>
    <s v="22-07-2026"/>
    <s v="SF"/>
    <s v="Webbing"/>
    <s v="PP Webbing"/>
    <x v="4"/>
    <s v="Webbing"/>
    <n v="494"/>
    <n v="50388"/>
    <s v="PP WEBBING"/>
    <n v="50337.61"/>
    <n v="0"/>
    <n v="0"/>
    <n v="0"/>
    <n v="0"/>
    <n v="0"/>
    <n v="0"/>
    <n v="0"/>
    <n v="0"/>
    <n v="0"/>
    <s v="24AAACO3087C1ZT"/>
    <s v="KGS"/>
    <n v="39269080"/>
    <s v="Rs."/>
    <n v="1"/>
    <n v="494"/>
  </r>
  <r>
    <s v="23-07-2026"/>
    <s v="Plastene India ltd - Unit 1-Sales"/>
    <s v="Deemed Export"/>
    <s v="OEL1/DE/065/26-27"/>
    <s v="Sales - Interstate - Manufactured Goods"/>
    <s v="OEL1/DE/065/26-27"/>
    <s v="23-07-2026"/>
    <s v="SF"/>
    <s v="PP/PE Fabric"/>
    <s v="PP UL Fabric"/>
    <x v="0"/>
    <s v="PP UL Fabric With UV"/>
    <n v="3223"/>
    <n v="451220"/>
    <s v="PP WOVEN FABRICS"/>
    <n v="450768.78"/>
    <n v="0"/>
    <n v="0"/>
    <n v="0"/>
    <n v="0"/>
    <n v="0"/>
    <n v="0"/>
    <n v="0"/>
    <n v="0"/>
    <n v="0"/>
    <s v="24AAACO3087C1ZT"/>
    <s v="KGS"/>
    <n v="39269080"/>
    <s v="Rs."/>
    <n v="1"/>
    <n v="3223"/>
  </r>
  <r>
    <s v="24-07-2026"/>
    <s v="OCCL Limited"/>
    <s v="Deemed Export"/>
    <s v="OEL/IZS/26-27/008"/>
    <s v="Sales - Kasez - Mfg - U/B"/>
    <s v="OEL/IZS/26-27/008"/>
    <s v="24-07-2026"/>
    <s v="FG"/>
    <s v="FIBC Bags"/>
    <s v="FIBC Bags"/>
    <x v="3"/>
    <s v="FIBC Bags With UV With Liner"/>
    <n v="4300"/>
    <n v="1102720"/>
    <s v="FIBC JUMBO BAG"/>
    <n v="1102720"/>
    <n v="0"/>
    <n v="0"/>
    <n v="0"/>
    <n v="0"/>
    <n v="0"/>
    <n v="0"/>
    <n v="0"/>
    <n v="0"/>
    <n v="0"/>
    <s v="24AADCO7609P2ZY"/>
    <s v="KGS"/>
    <n v="63053200"/>
    <s v="Rs."/>
    <n v="1"/>
    <n v="4300"/>
  </r>
  <r>
    <s v="25-07-2026"/>
    <s v="Plastene India ltd - Unit 1-Sales"/>
    <s v="Deemed Export"/>
    <s v="OEL1/DE/066/26-27"/>
    <s v="Sales - Interstate - Manufactured Goods"/>
    <s v="OEL1/DE/066/26-27"/>
    <s v="25-07-2026"/>
    <s v="SF"/>
    <s v="PP/PE Fabric"/>
    <s v="PP UL Fabric"/>
    <x v="0"/>
    <s v="PP UL Fabric With UV"/>
    <n v="3497"/>
    <n v="489580"/>
    <s v="PP WOVEN FABRICS"/>
    <n v="489090.42"/>
    <n v="0"/>
    <n v="0"/>
    <n v="0"/>
    <n v="0"/>
    <n v="0"/>
    <n v="0"/>
    <n v="0"/>
    <n v="0"/>
    <n v="0"/>
    <s v="24AAACO3087C1ZT"/>
    <s v="KGS"/>
    <n v="39269080"/>
    <s v="Rs."/>
    <n v="1"/>
    <n v="3497"/>
  </r>
  <r>
    <s v="27-07-2026"/>
    <s v="Plastene India ltd - Unit 1-Sales"/>
    <s v="Deemed Export"/>
    <s v="OEL1/DE/067/26-27"/>
    <s v="Sales - Interstate - Manufactured Goods"/>
    <s v="OEL1/DE/067/26-27"/>
    <s v="27-07-2026"/>
    <s v="SF"/>
    <s v="PP/PE Fabric"/>
    <s v="PP UL Fabric"/>
    <x v="0"/>
    <s v="PP UL Fabric With UV"/>
    <n v="4426"/>
    <n v="619640"/>
    <s v="PP WOVEN FABRICS"/>
    <n v="619020.36"/>
    <n v="0"/>
    <n v="0"/>
    <n v="0"/>
    <n v="0"/>
    <n v="0"/>
    <n v="0"/>
    <n v="0"/>
    <n v="0"/>
    <n v="0"/>
    <s v="24AAACO3087C1ZT"/>
    <s v="KGS"/>
    <n v="39269080"/>
    <s v="Rs."/>
    <n v="1"/>
    <n v="4426"/>
  </r>
  <r>
    <s v="29-07-2026"/>
    <s v="Plastene India ltd - Unit 1-Sales"/>
    <s v="Deemed Export"/>
    <s v="OEL1/DE/068/26-27"/>
    <s v="Sales - Interstate - Manufactured Goods"/>
    <s v="OEL1/DE/068/26-27"/>
    <s v="29-07-2026"/>
    <s v="SF"/>
    <s v="PP/PE Fabric"/>
    <s v="PP UL Fabric"/>
    <x v="0"/>
    <s v="PP UL Fabric With UV"/>
    <n v="9304"/>
    <n v="1302561"/>
    <s v="PP WOVEN FABRICS"/>
    <n v="1301258.44"/>
    <n v="0"/>
    <n v="0"/>
    <n v="0"/>
    <n v="0"/>
    <n v="0"/>
    <n v="0"/>
    <n v="0"/>
    <n v="0"/>
    <n v="0"/>
    <s v="24AAACO3087C1ZT"/>
    <s v="KGS"/>
    <n v="39269080"/>
    <s v="Rs."/>
    <n v="1"/>
    <n v="9304"/>
  </r>
  <r>
    <s v="30-07-2026"/>
    <s v="Gokul Overseas"/>
    <s v="Deemed Export"/>
    <s v="OEL/IZS/26-27/009"/>
    <s v="Sales - Kasez - Mfg - U/B"/>
    <s v="OEL/IZS/26-27/009"/>
    <s v="30-07-2026"/>
    <s v="FG"/>
    <s v="FIBC Bags"/>
    <s v="FIBC Bags"/>
    <x v="3"/>
    <s v="FIBC Bags With UV With Liner"/>
    <n v="226"/>
    <n v="69200"/>
    <s v="PP WOVEN BIG BAGS"/>
    <n v="69200"/>
    <n v="0"/>
    <n v="0"/>
    <n v="0"/>
    <n v="0"/>
    <n v="0"/>
    <n v="0"/>
    <n v="0"/>
    <n v="0"/>
    <n v="0"/>
    <s v="24AACFG9539L2Z0"/>
    <s v="KGS"/>
    <n v="63053200"/>
    <s v="Rs."/>
    <n v="1"/>
    <n v="226"/>
  </r>
  <r>
    <s v="31-07-2026"/>
    <s v="Plastene India ltd - Unit 1-Sales"/>
    <s v="Domestic Sales"/>
    <s v="OEL/DTA/025/26-27"/>
    <s v="Sales - Waste &amp; Scrape"/>
    <s v="OEL/DTA/025/26-27"/>
    <s v="31-07-2026"/>
    <s v="Other Scrap"/>
    <s v="Wastage/Scrap"/>
    <s v="Misc"/>
    <x v="1"/>
    <s v="MS/Other Scrap"/>
    <n v="12810"/>
    <n v="6405"/>
    <s v="OTHER SCRAPS"/>
    <n v="6572.79"/>
    <n v="0"/>
    <n v="0"/>
    <n v="0"/>
    <n v="0"/>
    <n v="0"/>
    <n v="0"/>
    <n v="0"/>
    <n v="0"/>
    <n v="167.79"/>
    <s v="24AAACO3087C1ZT"/>
    <s v="KGS"/>
    <n v="68114010"/>
    <s v="Rs."/>
    <n v="1"/>
    <n v="12810"/>
  </r>
  <r>
    <s v="31-07-2026"/>
    <s v="Plastene India ltd - Unit 1-Sales"/>
    <s v="Deemed Export"/>
    <s v="OEL1/DE/069/26-27"/>
    <s v="Sales - Interstate - Manufactured Goods"/>
    <s v="OEL1/DE/069/26-27"/>
    <s v="31-07-2026"/>
    <s v="SF"/>
    <s v="PP/PE Fabric"/>
    <s v="PP UL Fabric"/>
    <x v="0"/>
    <s v="PP UL Fabric With UV"/>
    <n v="9851.4"/>
    <n v="1379197"/>
    <s v="PP WOVEN FABRICS"/>
    <n v="1377817.8"/>
    <n v="0"/>
    <n v="0"/>
    <n v="0"/>
    <n v="0"/>
    <n v="0"/>
    <n v="0"/>
    <n v="0"/>
    <n v="0"/>
    <n v="0"/>
    <s v="24AAACO3087C1ZT"/>
    <s v="KGS"/>
    <n v="39269080"/>
    <s v="Rs."/>
    <n v="1"/>
    <n v="9851.4"/>
  </r>
  <r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3"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1230"/>
    <n v="114943.5"/>
    <s v="MANUFACTURER OF PP WOVEN BIG BAGS/SACKS"/>
    <n v="7832867.9800000004"/>
    <n v="0"/>
    <n v="0"/>
    <n v="0"/>
    <n v="0"/>
    <n v="0"/>
    <n v="0"/>
    <n v="0"/>
    <n v="0"/>
    <n v="0"/>
    <s v="24AAECK6307M2ZE"/>
    <s v="KGS"/>
    <n v="998852"/>
    <s v="Rs."/>
    <n v="1"/>
    <n v="1230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4214"/>
    <n v="393798.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214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1220"/>
    <n v="11400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20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977.9"/>
    <n v="91384.7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77.9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937"/>
    <n v="87562.6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37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6725.8"/>
    <n v="628526.0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725.8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1212"/>
    <n v="113261.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12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2713"/>
    <n v="253529.8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713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535"/>
    <n v="49995.7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35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1775"/>
    <n v="165873.7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775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6687.3"/>
    <n v="624928.1899999999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687.3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9918"/>
    <n v="926837.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918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248"/>
    <n v="23175.59999999999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48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2588.5"/>
    <n v="241895.3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588.5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11558.9"/>
    <n v="1080179.2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1558.9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16507"/>
    <n v="1542579.1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6507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6359"/>
    <n v="594248.5500000000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359"/>
  </r>
  <r>
    <d v="2026-08-07T00:00:00"/>
    <s v="K.P. Woven Pvt Ltd - Unit 3 -Sales"/>
    <s v="Job Invoice"/>
    <s v="OEL1/D/23"/>
    <s v="Job Work Income"/>
    <s v="OEL1/D/23"/>
    <d v="2026-08-07T00:00:00"/>
    <s v="FG"/>
    <s v="FIBC Bags"/>
    <s v="FIBC Bags"/>
    <x v="0"/>
    <s v="FIBC Bags With UV With Liner"/>
    <n v="10123"/>
    <n v="945994.3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123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619.4"/>
    <n v="56582.19"/>
    <s v="MANUFACTURER OF PP WOVEN BIG BAGS/SACKS"/>
    <n v="7693171.54"/>
    <n v="0"/>
    <n v="0"/>
    <n v="0"/>
    <n v="0"/>
    <n v="0"/>
    <n v="0"/>
    <n v="0"/>
    <n v="0"/>
    <n v="0"/>
    <s v="24AAECK6307M2ZE"/>
    <s v="KGS"/>
    <n v="998852"/>
    <s v="Rs."/>
    <n v="1"/>
    <n v="619.4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4788.99"/>
    <n v="437474.2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788.99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3283.25"/>
    <n v="299924.8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283.25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800"/>
    <n v="73080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800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715"/>
    <n v="65315.2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15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529"/>
    <n v="48324.1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29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334.6"/>
    <n v="30565.7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34.6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7562"/>
    <n v="690788.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562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4709.8999999999996"/>
    <n v="430249.3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709.8999999999996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100.8"/>
    <n v="100558.0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100.8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4003"/>
    <n v="365674.0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003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6986"/>
    <n v="638171.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986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363.1"/>
    <n v="124519.1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363.1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3067"/>
    <n v="280170.4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067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3757"/>
    <n v="343201.9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757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434"/>
    <n v="130995.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434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013"/>
    <n v="92537.5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13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000"/>
    <n v="91350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00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800"/>
    <n v="73080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800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2000"/>
    <n v="182700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000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3166.3"/>
    <n v="289241.5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166.3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2383.6999999999998"/>
    <n v="21775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383.6999999999998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6461.2"/>
    <n v="590230.6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461.2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3783"/>
    <n v="345577.0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783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661.3"/>
    <n v="60409.76000000000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61.3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9836.5"/>
    <n v="898564.2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836.5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221"/>
    <n v="20188.34999999999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21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6384"/>
    <n v="583178.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384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552"/>
    <n v="141775.2000000000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552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94.7"/>
    <n v="17785.84999999999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94.7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77"/>
    <n v="16168.9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77"/>
  </r>
  <r>
    <s v="15-07-2026"/>
    <s v="K.P. Woven Pvt Ltd - Unit 3 -Sales"/>
    <s v="Job Invoice"/>
    <s v="OEL1/D/24"/>
    <s v="Job Work Income"/>
    <s v="OEL1/D/24"/>
    <s v="15-07-2026"/>
    <s v="FG"/>
    <s v="FIBC Bags"/>
    <s v="FIBC Bags"/>
    <x v="0"/>
    <s v="FIBC Bags With UV With Liner"/>
    <n v="1248.4000000000001"/>
    <n v="114041.3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48.4000000000001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2733"/>
    <n v="289260.71999999997"/>
    <s v="MANUFACTURER OF PP WOVEN BIG BAGS/SACKS"/>
    <n v="4241272.76"/>
    <n v="0"/>
    <n v="0"/>
    <n v="0"/>
    <n v="0"/>
    <n v="0"/>
    <n v="0"/>
    <n v="0"/>
    <n v="0"/>
    <n v="0"/>
    <s v="24AAECK6307M2ZE"/>
    <s v="KGS"/>
    <n v="998852"/>
    <s v="Rs."/>
    <n v="1"/>
    <n v="2733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2880.3"/>
    <n v="304850.9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880.3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1350"/>
    <n v="14288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350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825"/>
    <n v="8731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825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4129.1000000000004"/>
    <n v="437023.9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129.1000000000004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1125"/>
    <n v="119070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125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2260"/>
    <n v="239198.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260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6230.2"/>
    <n v="659404.3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230.2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3032"/>
    <n v="320906.8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032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2569"/>
    <n v="271902.9600000000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569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5483"/>
    <n v="580320.7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483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6440.7"/>
    <n v="681683.6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440.7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1278"/>
    <n v="135263.5199999999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78"/>
  </r>
  <r>
    <s v="16-07-2026"/>
    <s v="K.P. Woven Pvt Ltd - Unit 3 -Sales"/>
    <s v="Job Invoice"/>
    <s v="OEL1/D/25"/>
    <s v="Job Work Income"/>
    <s v="OEL1/D/25"/>
    <s v="16-07-2026"/>
    <s v="FG"/>
    <s v="FIBC Bags"/>
    <s v="FIBC Bags"/>
    <x v="0"/>
    <s v="FIBC Bags With UV With Liner"/>
    <n v="555"/>
    <n v="58741.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55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3180.6"/>
    <n v="352378.67"/>
    <s v="MANUFACTURER OF PP WOVEN BIG BAGS/SACKS"/>
    <n v="5964277.2199999997"/>
    <n v="0"/>
    <n v="0"/>
    <n v="0"/>
    <n v="0"/>
    <n v="0"/>
    <n v="0"/>
    <n v="0"/>
    <n v="0"/>
    <n v="0"/>
    <s v="24AAECK6307M2ZE"/>
    <s v="KGS"/>
    <n v="998852"/>
    <s v="Rs."/>
    <n v="1"/>
    <n v="3180.6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2257.8000000000002"/>
    <n v="250141.6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257.8000000000002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434"/>
    <n v="48082.8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34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434.7"/>
    <n v="48160.4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34.7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8123.03"/>
    <n v="899950.4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8123.03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9633.9"/>
    <n v="1067339.7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633.9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75"/>
    <n v="8309.2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5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150"/>
    <n v="16618.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50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100"/>
    <n v="1107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0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3301.4"/>
    <n v="365762.1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301.4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1890"/>
    <n v="209393.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890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1785"/>
    <n v="197760.1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785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984.5"/>
    <n v="109072.7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984.5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1655"/>
    <n v="183357.4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655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3737"/>
    <n v="414022.2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737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1617"/>
    <n v="179147.4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617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2238"/>
    <n v="247948.0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238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1240"/>
    <n v="137379.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40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2272.8000000000002"/>
    <n v="251803.5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272.8000000000002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4583"/>
    <n v="507750.5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583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2336"/>
    <n v="258805.4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336"/>
  </r>
  <r>
    <s v="21-07-2026"/>
    <s v="K.P. Woven Pvt Ltd - Unit 3 -Sales"/>
    <s v="Job Invoice"/>
    <s v="OEL1/D/26"/>
    <s v="Job Work Income"/>
    <s v="OEL1/D/26"/>
    <s v="21-07-2026"/>
    <s v="FG"/>
    <s v="FIBC Bags"/>
    <s v="FIBC Bags"/>
    <x v="0"/>
    <s v="FIBC Bags With UV With Liner"/>
    <n v="2904"/>
    <n v="321734.1599999999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904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18.3"/>
    <n v="12344.61"/>
    <s v="MANUFACTURER OF PP WOVEN BIG BAGS/SACKS"/>
    <n v="5608427.0899999999"/>
    <n v="0"/>
    <n v="0"/>
    <n v="0"/>
    <n v="0"/>
    <n v="0"/>
    <n v="0"/>
    <n v="0"/>
    <n v="0"/>
    <n v="0"/>
    <s v="24AAECK6307M2ZE"/>
    <s v="KGS"/>
    <n v="998852"/>
    <s v="Rs."/>
    <n v="1"/>
    <n v="118.3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19"/>
    <n v="12417.6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19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565"/>
    <n v="58957.7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65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27"/>
    <n v="23687.4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27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23.2"/>
    <n v="12855.9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3.2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446.3"/>
    <n v="46571.4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46.3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4994"/>
    <n v="521123.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994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4140.17"/>
    <n v="432026.7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140.17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250"/>
    <n v="130437.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50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000"/>
    <n v="208700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000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550"/>
    <n v="161742.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550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58.1"/>
    <n v="6062.7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8.1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9.7"/>
    <n v="3099.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9.7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56.3"/>
    <n v="26744.9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56.3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651.1"/>
    <n v="276642.2899999999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651.1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3300.6"/>
    <n v="344417.6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300.6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068"/>
    <n v="111445.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68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480"/>
    <n v="15443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480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761.1"/>
    <n v="183770.7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761.1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55.7"/>
    <n v="5812.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5.7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00"/>
    <n v="1043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0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4075"/>
    <n v="425226.2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075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653.5"/>
    <n v="276892.7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653.5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474"/>
    <n v="258161.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474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716.1"/>
    <n v="74725.03999999999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16.1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060"/>
    <n v="21496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060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78"/>
    <n v="18574.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78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414"/>
    <n v="147550.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414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943"/>
    <n v="202752.0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943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3543"/>
    <n v="369712.0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543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564"/>
    <n v="58853.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564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207"/>
    <n v="125950.4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07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772"/>
    <n v="289258.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772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343"/>
    <n v="244492.0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343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267"/>
    <n v="27861.45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67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726"/>
    <n v="75758.10000000000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726"/>
  </r>
  <r>
    <s v="25-07-2026"/>
    <s v="K.P. Woven Pvt Ltd - Unit 3 -Sales"/>
    <s v="Job Invoice"/>
    <s v="OEL1/D/27"/>
    <s v="Job Work Income"/>
    <s v="OEL1/D/27"/>
    <s v="25-07-2026"/>
    <s v="FG"/>
    <s v="FIBC Bags"/>
    <s v="FIBC Bags"/>
    <x v="0"/>
    <s v="FIBC Bags With UV With Liner"/>
    <n v="1614"/>
    <n v="168420.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614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215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15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335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35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12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12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87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87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5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4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317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17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8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84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61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61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337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37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16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16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223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23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242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42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58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58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87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87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35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35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83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83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9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94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96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96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507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07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8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8"/>
  </r>
  <r>
    <s v="25-07-2026"/>
    <s v="K.P. Woven Pvt Ltd - Unit 3 -Sales"/>
    <s v="Job Invoice"/>
    <s v="OEL1/D/28"/>
    <s v="Job Work Income"/>
    <s v="OEL1/D/28"/>
    <s v="25-07-2026"/>
    <s v="SF"/>
    <s v="Flexitank"/>
    <s v="Flexitank Accessories"/>
    <x v="1"/>
    <s v="3&quot; Ball Valve-Accessories"/>
    <n v="116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16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6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64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21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21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42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42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940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940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239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239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20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20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5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4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554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54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458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458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345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45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301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01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389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89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27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27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566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566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31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31"/>
  </r>
  <r>
    <s v="25-07-2026"/>
    <s v="K.P. Woven Pvt Ltd - Unit 3 -Sales"/>
    <s v="Job Invoice"/>
    <s v="OEL1/D/28"/>
    <s v="Job Work Income"/>
    <s v="OEL1/D/28"/>
    <s v="25-07-2026"/>
    <s v="SF"/>
    <s v="Wastage/Scrap"/>
    <s v="Wastage/Scrap"/>
    <x v="1"/>
    <s v="PP/HD Wastage/Scrap"/>
    <n v="115"/>
    <n v="0"/>
    <s v="MANUFACTURER of PP/WASTA/SCRAPS"/>
    <n v="0"/>
    <n v="0"/>
    <n v="0"/>
    <n v="0"/>
    <n v="0"/>
    <n v="0"/>
    <n v="0"/>
    <n v="0"/>
    <n v="0"/>
    <n v="0"/>
    <s v="24AAECK6307M2ZE"/>
    <s v="KGS"/>
    <n v="998852"/>
    <s v="Rs."/>
    <n v="1"/>
    <n v="115"/>
  </r>
  <r>
    <s v="30-07-2026"/>
    <s v="Plastene India ltd - Unit 1-Sales"/>
    <s v="Job Invoice"/>
    <s v="OEL1/D/29"/>
    <s v="Job Work Income"/>
    <s v="OEL1/D/29"/>
    <s v="30-07-2026"/>
    <s v="FG"/>
    <s v="FIBC Bags"/>
    <s v="FIBC Bags"/>
    <x v="0"/>
    <s v="FIBC Bags With UV Without Liner"/>
    <n v="1370.7"/>
    <n v="163757.53"/>
    <s v="MANUFACTURER OF PP WOVEN BIG BAGS/SACKS"/>
    <n v="2745372.82"/>
    <n v="0"/>
    <n v="0"/>
    <n v="0"/>
    <n v="0"/>
    <n v="18"/>
    <n v="29476.36"/>
    <n v="0"/>
    <n v="29476.36"/>
    <n v="0"/>
    <s v="24AAACO3087C1ZT"/>
    <s v="KGS"/>
    <n v="998852"/>
    <s v="Rs."/>
    <n v="1"/>
    <n v="1370.7"/>
  </r>
  <r>
    <s v="30-07-2026"/>
    <s v="Plastene India ltd - Unit 1-Sales"/>
    <s v="Job Invoice"/>
    <s v="OEL1/D/29"/>
    <s v="Job Work Income"/>
    <s v="OEL1/D/29"/>
    <s v="30-07-2026"/>
    <s v="FG"/>
    <s v="FIBC Bags"/>
    <s v="FIBC Bags"/>
    <x v="0"/>
    <s v="FIBC Bags With UV Without Liner"/>
    <n v="9600"/>
    <n v="1146912"/>
    <s v="MANUFACTURER OF PP WOVEN BIG BAGS/SACKS"/>
    <n v="0"/>
    <n v="0"/>
    <n v="0"/>
    <n v="0"/>
    <n v="0"/>
    <n v="18"/>
    <n v="206444.16"/>
    <n v="0"/>
    <n v="206444.16"/>
    <n v="0"/>
    <s v="24AAACO3087C1ZT"/>
    <s v="KGS"/>
    <n v="998852"/>
    <s v="Rs."/>
    <n v="1"/>
    <n v="9600"/>
  </r>
  <r>
    <s v="30-07-2026"/>
    <s v="Plastene India ltd - Unit 1-Sales"/>
    <s v="Job Invoice"/>
    <s v="OEL1/D/29"/>
    <s v="Job Work Income"/>
    <s v="OEL1/D/29"/>
    <s v="30-07-2026"/>
    <s v="FG"/>
    <s v="FIBC Bags"/>
    <s v="FIBC Bags"/>
    <x v="0"/>
    <s v="FIBC Bags With UV Without Liner"/>
    <n v="7539.3"/>
    <n v="900720.17"/>
    <s v="MANUFACTURER OF PP WOVEN BIG BAGS/SACKS"/>
    <n v="0"/>
    <n v="0"/>
    <n v="0"/>
    <n v="0"/>
    <n v="0"/>
    <n v="18"/>
    <n v="162129.63"/>
    <n v="0"/>
    <n v="162129.63"/>
    <n v="0"/>
    <s v="24AAACO3087C1ZT"/>
    <s v="KGS"/>
    <n v="998852"/>
    <s v="Rs."/>
    <n v="1"/>
    <n v="7539.3"/>
  </r>
  <r>
    <s v="30-07-2026"/>
    <s v="Plastene India ltd - Unit 1-Sales"/>
    <s v="Job Invoice"/>
    <s v="OEL1/D/29"/>
    <s v="Job Work Income"/>
    <s v="OEL1/D/29"/>
    <s v="30-07-2026"/>
    <s v="FG"/>
    <s v="FIBC Bags"/>
    <s v="FIBC Bags"/>
    <x v="0"/>
    <s v="FIBC Bags With UV Without Liner"/>
    <n v="200"/>
    <n v="23894"/>
    <s v="MANUFACTURER OF PP WOVEN BIG BAGS/SACKS"/>
    <n v="0"/>
    <n v="0"/>
    <n v="0"/>
    <n v="0"/>
    <n v="0"/>
    <n v="18"/>
    <n v="4300.92"/>
    <n v="0"/>
    <n v="4300.92"/>
    <n v="0"/>
    <s v="24AAACO3087C1ZT"/>
    <s v="KGS"/>
    <n v="998852"/>
    <s v="Rs."/>
    <n v="1"/>
    <n v="200"/>
  </r>
  <r>
    <s v="30-07-2026"/>
    <s v="Plastene India ltd - Unit 1-Sales"/>
    <s v="Job Invoice"/>
    <s v="OEL1/D/29"/>
    <s v="Job Work Income"/>
    <s v="OEL1/D/29"/>
    <s v="30-07-2026"/>
    <s v="FG"/>
    <s v="FIBC Bags"/>
    <s v="FIBC Bags"/>
    <x v="0"/>
    <s v="FIBC Bags With UV Without Liner"/>
    <n v="1100"/>
    <n v="131417"/>
    <s v="MANUFACTURER OF PP WOVEN BIG BAGS/SACKS"/>
    <n v="0"/>
    <n v="0"/>
    <n v="0"/>
    <n v="0"/>
    <n v="0"/>
    <n v="18"/>
    <n v="23655.06"/>
    <n v="0"/>
    <n v="23655.06"/>
    <n v="0"/>
    <s v="24AAACO3087C1ZT"/>
    <s v="KGS"/>
    <n v="998852"/>
    <s v="Rs."/>
    <n v="1"/>
    <n v="1100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2365"/>
    <n v="304470.09999999998"/>
    <s v="MANUFACTURER OF PP WOVEN BIG BAGS/SACKS"/>
    <n v="4537480.95"/>
    <n v="0"/>
    <n v="0"/>
    <n v="0"/>
    <n v="0"/>
    <n v="0"/>
    <n v="0"/>
    <n v="0"/>
    <n v="0"/>
    <n v="0"/>
    <s v="24AAECK6307M2ZE"/>
    <s v="KGS"/>
    <n v="998852"/>
    <s v="Rs."/>
    <n v="1"/>
    <n v="2365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1885"/>
    <n v="242674.9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885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10.7"/>
    <n v="1377.5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.7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201.1"/>
    <n v="25889.61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01.1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123"/>
    <n v="15835.0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23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6952"/>
    <n v="895000.4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6952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303"/>
    <n v="39008.2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03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3485.5"/>
    <n v="448723.27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485.5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382"/>
    <n v="49178.6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82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444"/>
    <n v="57160.5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444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2188.3000000000002"/>
    <n v="281721.7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188.3000000000002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1845"/>
    <n v="237525.3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845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1058.7"/>
    <n v="136297.04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058.7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1373"/>
    <n v="176760.0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373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2870"/>
    <n v="369483.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870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2207"/>
    <n v="284129.1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2207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3639"/>
    <n v="468484.86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639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1157"/>
    <n v="148952.18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1157"/>
  </r>
  <r>
    <s v="31-07-2026"/>
    <s v="K.P. Woven Pvt Ltd - Unit 3 -Sales"/>
    <s v="Job Invoice"/>
    <s v="OEL1/D/31"/>
    <s v="Job Work Income"/>
    <s v="OEL1/D/31"/>
    <s v="31-07-2026"/>
    <s v="FG"/>
    <s v="FIBC Bags"/>
    <s v="FIBC Bags"/>
    <x v="0"/>
    <s v="FIBC Bags With UV With Liner"/>
    <n v="3475.3"/>
    <n v="447410.12"/>
    <s v="MANUFACTURER OF PP WOVEN BIG BAGS/SACKS"/>
    <n v="0"/>
    <n v="0"/>
    <n v="0"/>
    <n v="0"/>
    <n v="0"/>
    <n v="0"/>
    <n v="0"/>
    <n v="0"/>
    <n v="0"/>
    <n v="0"/>
    <s v="24AAECK6307M2ZE"/>
    <s v="KGS"/>
    <n v="998852"/>
    <s v="Rs."/>
    <n v="1"/>
    <n v="3475.3"/>
  </r>
  <r>
    <s v="31-07-2026"/>
    <s v="Plastene India ltd - Unit 1-Sales"/>
    <s v="Job Invoice"/>
    <s v="OEL1/D/30"/>
    <s v="Job Work Income"/>
    <s v="OEL1/D/30"/>
    <s v="31-07-2026"/>
    <s v="FG"/>
    <s v="FIBC Bags"/>
    <s v="FIBC Bags"/>
    <x v="0"/>
    <s v="FIBC Bags With UV Without Liner"/>
    <n v="16292.7"/>
    <n v="2034632.38"/>
    <s v="MANUFACTURER OF PP WOVEN BIG BAGS/SACKS"/>
    <n v="5767053.3099999996"/>
    <n v="0"/>
    <n v="0"/>
    <n v="0"/>
    <n v="0"/>
    <n v="18"/>
    <n v="366233.83"/>
    <n v="0"/>
    <n v="366233.83"/>
    <n v="0"/>
    <s v="24AAACO3087C1ZT"/>
    <s v="KGS"/>
    <n v="998852"/>
    <s v="Rs."/>
    <n v="1"/>
    <n v="16292.7"/>
  </r>
  <r>
    <s v="31-07-2026"/>
    <s v="Plastene India ltd - Unit 1-Sales"/>
    <s v="Job Invoice"/>
    <s v="OEL1/D/30"/>
    <s v="Job Work Income"/>
    <s v="OEL1/D/30"/>
    <s v="31-07-2026"/>
    <s v="FG"/>
    <s v="FIBC Bags"/>
    <s v="FIBC Bags"/>
    <x v="0"/>
    <s v="FIBC Bags With UV Without Liner"/>
    <n v="23518.3"/>
    <n v="2936965.3"/>
    <s v="MANUFACTURER OF PP WOVEN BIG BAGS/SACKS"/>
    <n v="0"/>
    <n v="0"/>
    <n v="0"/>
    <n v="0"/>
    <n v="0"/>
    <n v="18"/>
    <n v="528653.75"/>
    <n v="0"/>
    <n v="528653.75"/>
    <n v="0"/>
    <s v="24AAACO3087C1ZT"/>
    <s v="KGS"/>
    <n v="998852"/>
    <s v="Rs."/>
    <n v="1"/>
    <n v="23518.3"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">
  <r>
    <s v="Oswal Extrusion Limited"/>
    <d v="2026-02-07T00:00:00"/>
    <s v="OEL/26-27/SII00487"/>
    <s v="WIP00022"/>
    <x v="0"/>
    <m/>
    <s v="OEL/RAW/26-27/17"/>
    <n v="6000"/>
    <n v="6000"/>
    <s v="Kgs"/>
    <n v="6000"/>
    <n v="0"/>
    <n v="6000"/>
    <s v="GJ12BZ8686"/>
    <s v="Plastene India ltd - Unit 2-Purchase"/>
    <s v="Plastene India ltd - Unit 2-Purchase"/>
    <s v="PIL2/E/79"/>
    <d v="2026-01-07T00:00:00"/>
    <s v="RAW MATERIAL"/>
    <s v="INDIGENOUS"/>
    <s v="RM 13"/>
    <n v="120.1"/>
    <n v="120.1"/>
    <s v="PIL2/E/79"/>
    <d v="2026-01-07T00:00:00"/>
    <m/>
    <m/>
    <m/>
    <s v="PARTY SELF"/>
    <s v="-"/>
    <n v="0"/>
    <n v="0"/>
    <n v="0"/>
    <n v="0"/>
    <n v="0"/>
    <s v="VAT"/>
    <n v="0"/>
    <n v="0"/>
    <n v="0"/>
    <n v="0"/>
    <n v="0"/>
    <m/>
    <n v="0"/>
    <n v="0"/>
    <n v="720600"/>
    <s v="SF"/>
    <s v="Yarn All"/>
    <s v="PP Yarn"/>
    <s v="RM"/>
    <s v="erp"/>
    <n v="0"/>
    <n v="720600"/>
    <n v="524"/>
    <d v="2026-02-07T00:00:00"/>
    <s v="24AAACO3087C1ZT"/>
    <s v="bharatd"/>
    <s v="bharatd"/>
    <n v="0"/>
    <n v="0"/>
    <n v="0"/>
    <n v="0"/>
    <n v="0"/>
    <n v="0"/>
    <n v="720600"/>
    <n v="682138252973"/>
    <d v="2026-07-01T00:00:00"/>
    <n v="0"/>
  </r>
  <r>
    <s v="Oswal Extrusion Limited"/>
    <d v="2026-08-07T00:00:00"/>
    <s v="OEL/26-27/SII00519"/>
    <s v="FIB10766"/>
    <x v="1"/>
    <s v="OEL/26-27/STR00097/01"/>
    <s v="OEL/RAW/26-27/10"/>
    <n v="2000"/>
    <n v="2000.1"/>
    <s v="Kgs"/>
    <n v="2000.1"/>
    <n v="-9.9999999999909106E-2"/>
    <n v="2000.1"/>
    <s v="RJ47GA4382"/>
    <s v="Dynamic Wooltex"/>
    <s v="Dynamic Wooltex"/>
    <n v="13526"/>
    <d v="2026-01-07T00:00:00"/>
    <s v="RAW MATERIAL"/>
    <s v="INDIGENOUS"/>
    <s v="RM 14"/>
    <n v="150"/>
    <n v="160.99945002749899"/>
    <n v="13526"/>
    <d v="2026-01-07T00:00:00"/>
    <m/>
    <m/>
    <m/>
    <s v="PARTY SELF"/>
    <s v="-"/>
    <n v="0"/>
    <n v="0"/>
    <n v="0"/>
    <n v="0"/>
    <n v="0"/>
    <s v="VAT"/>
    <n v="0"/>
    <n v="0"/>
    <n v="22000"/>
    <n v="0"/>
    <n v="0"/>
    <m/>
    <n v="0"/>
    <n v="0"/>
    <n v="322015"/>
    <s v="RM"/>
    <s v="FIBC Accessories"/>
    <s v="FIBC Accessories"/>
    <s v="Consumables"/>
    <s v="erp"/>
    <n v="0"/>
    <n v="322015"/>
    <n v="555"/>
    <d v="2026-07-07T00:00:00"/>
    <s v="08ABFPB2251A1ZI"/>
    <s v="bharatd"/>
    <s v="shyam"/>
    <n v="0"/>
    <n v="0"/>
    <n v="0"/>
    <n v="0"/>
    <n v="0"/>
    <n v="0"/>
    <n v="322015"/>
    <n v="721647716182"/>
    <d v="2026-07-01T00:00:00"/>
    <n v="2000.1"/>
  </r>
  <r>
    <s v="Oswal Extrusion Limited"/>
    <s v="14-07-2026"/>
    <s v="OEL/26-27/SII00554"/>
    <s v="RAW05065"/>
    <x v="2"/>
    <m/>
    <s v="OEL/RAW/26-27/18"/>
    <n v="50"/>
    <n v="50"/>
    <s v="Kgs"/>
    <n v="50"/>
    <n v="0"/>
    <n v="50"/>
    <s v="GJ12BY1595"/>
    <s v="Plastene India ltd - Unit 1-Purchase"/>
    <s v="Plastene India ltd - Unit 1-Purchase"/>
    <s v="PIL1/E/367"/>
    <d v="2026-12-07T00:00:00"/>
    <s v="RAW MATERIAL"/>
    <s v="INDIGENOUS"/>
    <s v="RM 17"/>
    <n v="216"/>
    <n v="216"/>
    <s v="PIL1/E/367"/>
    <d v="2026-12-07T00:00:00"/>
    <m/>
    <m/>
    <m/>
    <s v="-"/>
    <s v="-"/>
    <n v="0"/>
    <n v="0"/>
    <n v="0"/>
    <n v="0"/>
    <n v="0"/>
    <s v="VAT"/>
    <n v="0"/>
    <n v="0"/>
    <n v="0"/>
    <n v="0"/>
    <n v="0"/>
    <m/>
    <n v="0"/>
    <n v="0"/>
    <n v="660474"/>
    <s v="RM"/>
    <s v="Granules"/>
    <s v="Masterbatch"/>
    <s v="RM"/>
    <s v="erp"/>
    <n v="0"/>
    <n v="10800"/>
    <n v="591"/>
    <s v="13-07-2026"/>
    <s v="24AAACO3087C1ZT"/>
    <s v="bharatd"/>
    <s v="bharatd"/>
    <n v="0"/>
    <n v="0"/>
    <n v="0"/>
    <n v="0"/>
    <n v="0"/>
    <n v="0"/>
    <n v="660474"/>
    <n v="642143935223"/>
    <d v="2026-07-12T00:00:00"/>
    <n v="50"/>
  </r>
  <r>
    <s v="Oswal Extrusion Limited"/>
    <s v="14-07-2026"/>
    <s v="OEL/26-27/SII00554"/>
    <s v="RAW05067"/>
    <x v="2"/>
    <m/>
    <s v="OEL/RAW/26-27/18"/>
    <n v="50"/>
    <n v="50"/>
    <s v="Kgs"/>
    <n v="50"/>
    <n v="0"/>
    <n v="50"/>
    <s v="GJ12BY1595"/>
    <s v="Plastene India ltd - Unit 1-Purchase"/>
    <s v="Plastene India ltd - Unit 1-Purchase"/>
    <s v="PIL1/E/367"/>
    <d v="2026-12-07T00:00:00"/>
    <s v="RAW MATERIAL"/>
    <s v="INDIGENOUS"/>
    <s v="RM 17"/>
    <n v="236"/>
    <n v="236"/>
    <s v="PIL1/E/367"/>
    <d v="2026-12-07T00:00:00"/>
    <m/>
    <m/>
    <m/>
    <s v="-"/>
    <s v="-"/>
    <n v="0"/>
    <n v="0"/>
    <n v="0"/>
    <n v="0"/>
    <n v="0"/>
    <s v="VAT"/>
    <n v="0"/>
    <n v="0"/>
    <n v="0"/>
    <n v="0"/>
    <n v="0"/>
    <m/>
    <n v="0"/>
    <n v="0"/>
    <n v="660474"/>
    <s v="RM"/>
    <s v="Granules"/>
    <s v="Masterbatch"/>
    <s v="RM"/>
    <s v="erp"/>
    <n v="0"/>
    <n v="11800"/>
    <n v="591"/>
    <s v="13-07-2026"/>
    <s v="24AAACO3087C1ZT"/>
    <s v="bharatd"/>
    <s v="bharatd"/>
    <n v="0"/>
    <n v="0"/>
    <n v="0"/>
    <n v="0"/>
    <n v="0"/>
    <n v="0"/>
    <n v="0"/>
    <n v="642143935223"/>
    <d v="2026-07-12T00:00:00"/>
    <n v="50"/>
  </r>
  <r>
    <s v="Oswal Extrusion Limited"/>
    <s v="14-07-2026"/>
    <s v="OEL/26-27/SII00554"/>
    <s v="RAW05075"/>
    <x v="2"/>
    <m/>
    <s v="OEL/RAW/26-27/18"/>
    <n v="200"/>
    <n v="200"/>
    <s v="Kgs"/>
    <n v="200"/>
    <n v="0"/>
    <n v="200"/>
    <s v="GJ12BY1595"/>
    <s v="Plastene India ltd - Unit 1-Purchase"/>
    <s v="Plastene India ltd - Unit 1-Purchase"/>
    <s v="PIL1/E/367"/>
    <d v="2026-12-07T00:00:00"/>
    <s v="RAW MATERIAL"/>
    <s v="INDIGENOUS"/>
    <s v="RM 17"/>
    <n v="264"/>
    <n v="264"/>
    <s v="PIL1/E/367"/>
    <d v="2026-12-07T00:00:00"/>
    <m/>
    <m/>
    <m/>
    <s v="-"/>
    <s v="-"/>
    <n v="0"/>
    <n v="0"/>
    <n v="0"/>
    <n v="0"/>
    <n v="0"/>
    <s v="VAT"/>
    <n v="0"/>
    <n v="0"/>
    <n v="0"/>
    <n v="0"/>
    <n v="0"/>
    <m/>
    <n v="0"/>
    <n v="0"/>
    <n v="660474"/>
    <s v="RM"/>
    <s v="Granules"/>
    <s v="Masterbatch"/>
    <s v="RM"/>
    <s v="erp"/>
    <n v="0"/>
    <n v="52800"/>
    <n v="591"/>
    <s v="13-07-2026"/>
    <s v="24AAACO3087C1ZT"/>
    <s v="bharatd"/>
    <s v="bharatd"/>
    <n v="0"/>
    <n v="0"/>
    <n v="0"/>
    <n v="0"/>
    <n v="0"/>
    <n v="0"/>
    <n v="0"/>
    <n v="642143935223"/>
    <d v="2026-07-12T00:00:00"/>
    <n v="200"/>
  </r>
  <r>
    <s v="Oswal Extrusion Limited"/>
    <s v="14-07-2026"/>
    <s v="OEL/26-27/SII00554"/>
    <s v="RAW06258"/>
    <x v="3"/>
    <m/>
    <s v="OEL/RAW/26-27/18"/>
    <n v="4000"/>
    <n v="4000"/>
    <s v="Kgs"/>
    <n v="4000"/>
    <n v="0"/>
    <n v="4000"/>
    <s v="GJ12BY1595"/>
    <s v="Plastene India ltd - Unit 1-Purchase"/>
    <s v="Plastene India ltd - Unit 1-Purchase"/>
    <s v="PIL1/E/367"/>
    <d v="2026-12-07T00:00:00"/>
    <s v="RAW MATERIAL"/>
    <s v="INDIGENOUS"/>
    <s v="RM 17"/>
    <n v="136.33099999999999"/>
    <n v="136.33099999999999"/>
    <s v="PIL1/E/367"/>
    <d v="2026-12-07T00:00:00"/>
    <m/>
    <m/>
    <m/>
    <s v="-"/>
    <s v="-"/>
    <n v="0"/>
    <n v="0"/>
    <n v="0"/>
    <n v="0"/>
    <n v="0"/>
    <s v="VAT"/>
    <n v="0"/>
    <n v="0"/>
    <n v="0"/>
    <n v="0"/>
    <n v="0"/>
    <m/>
    <n v="0"/>
    <n v="0"/>
    <n v="660474"/>
    <s v="RM"/>
    <s v="Granules"/>
    <s v="PP Granules"/>
    <s v="RM"/>
    <s v="mani"/>
    <n v="0"/>
    <n v="545324"/>
    <n v="591"/>
    <s v="13-07-2026"/>
    <s v="24AAACO3087C1ZT"/>
    <s v="bharatd"/>
    <s v="bharatd"/>
    <n v="0"/>
    <n v="0"/>
    <n v="0"/>
    <n v="0"/>
    <n v="0"/>
    <n v="0"/>
    <n v="0"/>
    <n v="642143935223"/>
    <d v="2026-07-12T00:00:00"/>
    <n v="4000"/>
  </r>
  <r>
    <s v="Oswal Extrusion Limited"/>
    <s v="14-07-2026"/>
    <s v="OEL/26-27/SII00554"/>
    <s v="RAW06279"/>
    <x v="2"/>
    <m/>
    <s v="OEL/RAW/26-27/18"/>
    <n v="250"/>
    <n v="250"/>
    <s v="Kgs"/>
    <n v="250"/>
    <n v="0"/>
    <n v="250"/>
    <s v="GJ12BY1595"/>
    <s v="Plastene India ltd - Unit 1-Purchase"/>
    <s v="Plastene India ltd - Unit 1-Purchase"/>
    <s v="PIL1/E/367"/>
    <d v="2026-12-07T00:00:00"/>
    <s v="RAW MATERIAL"/>
    <s v="INDIGENOUS"/>
    <s v="RM 17"/>
    <n v="159"/>
    <n v="159"/>
    <s v="PIL1/E/367"/>
    <d v="2026-12-07T00:00:00"/>
    <m/>
    <m/>
    <m/>
    <s v="-"/>
    <s v="-"/>
    <n v="0"/>
    <n v="0"/>
    <n v="0"/>
    <n v="0"/>
    <n v="0"/>
    <s v="VAT"/>
    <n v="0"/>
    <n v="0"/>
    <n v="0"/>
    <n v="0"/>
    <n v="0"/>
    <m/>
    <n v="0"/>
    <n v="0"/>
    <n v="660474"/>
    <s v="RM"/>
    <s v="Granules"/>
    <s v="Masterbatch"/>
    <s v="RM"/>
    <m/>
    <n v="0"/>
    <n v="39750"/>
    <n v="591"/>
    <s v="13-07-2026"/>
    <s v="24AAACO3087C1ZT"/>
    <s v="bharatd"/>
    <s v="bharatd"/>
    <n v="0"/>
    <n v="0"/>
    <n v="0"/>
    <n v="0"/>
    <n v="0"/>
    <n v="0"/>
    <n v="0"/>
    <n v="642143935223"/>
    <d v="2026-07-12T00:00:00"/>
    <n v="250"/>
  </r>
  <r>
    <s v="Oswal Extrusion Limited"/>
    <s v="14-07-2026"/>
    <s v="OEL/26-27/SII00555"/>
    <s v="RAW06223"/>
    <x v="3"/>
    <m/>
    <s v="OEL/RAW/26-27/18"/>
    <n v="14000"/>
    <n v="14000"/>
    <s v="Kgs"/>
    <n v="14000"/>
    <n v="0"/>
    <n v="14000"/>
    <s v="GJ12BY1595"/>
    <s v="Plastene India ltd - Unit 1-Purchase"/>
    <s v="Plastene India ltd - Unit 1-Purchase"/>
    <s v="PIL1/E/372"/>
    <d v="2026-12-07T00:00:00"/>
    <s v="RAW MATERIAL"/>
    <s v="INDIGENOUS"/>
    <s v="RM 18"/>
    <n v="115"/>
    <n v="115"/>
    <s v="PIL1/E/372"/>
    <d v="2026-12-07T00:00:00"/>
    <m/>
    <m/>
    <m/>
    <s v="-"/>
    <s v="-"/>
    <n v="0"/>
    <n v="0"/>
    <n v="0"/>
    <n v="0"/>
    <n v="0"/>
    <s v="VAT"/>
    <n v="0"/>
    <n v="0"/>
    <n v="0"/>
    <n v="0"/>
    <n v="0"/>
    <m/>
    <n v="0"/>
    <n v="0"/>
    <n v="1610000"/>
    <s v="RM"/>
    <s v="Granules"/>
    <s v="PP Granules"/>
    <s v="RM"/>
    <s v="mani"/>
    <n v="0"/>
    <n v="1610000"/>
    <n v="597"/>
    <s v="13-07-2026"/>
    <s v="24AAACO3087C1ZT"/>
    <s v="bharatd"/>
    <s v="bharatd"/>
    <n v="0"/>
    <n v="0"/>
    <n v="0"/>
    <n v="0"/>
    <n v="0"/>
    <n v="0"/>
    <n v="1610000"/>
    <n v="602144460805"/>
    <d v="2026-07-12T00:00:00"/>
    <n v="14000"/>
  </r>
  <r>
    <s v="Oswal Extrusion Limited"/>
    <s v="15-07-2026"/>
    <s v="OEL/26-27/SII00558"/>
    <s v="RAW06348"/>
    <x v="3"/>
    <m/>
    <s v="OEL/RAW/26-27/19"/>
    <n v="15500"/>
    <n v="15500"/>
    <s v="Kgs"/>
    <n v="15500"/>
    <n v="0"/>
    <n v="15500"/>
    <s v="GJ14Z0334"/>
    <s v="Plastene India ltd - Unit 1-Purchase"/>
    <s v="Plastene India ltd - Unit 1-Purchase"/>
    <s v="PIL1/E/375"/>
    <s v="14-07-2026"/>
    <s v="RAW MATERIAL"/>
    <s v="INDIGENOUS"/>
    <s v="RM 19"/>
    <n v="82.8"/>
    <n v="82.8"/>
    <s v="PIL1/E/375"/>
    <s v="14-07-2026"/>
    <m/>
    <m/>
    <m/>
    <s v="-"/>
    <s v="-"/>
    <n v="0"/>
    <n v="0"/>
    <n v="0"/>
    <n v="0"/>
    <n v="0"/>
    <s v="VAT"/>
    <n v="0"/>
    <n v="0"/>
    <n v="0"/>
    <n v="0"/>
    <n v="0"/>
    <m/>
    <n v="0"/>
    <n v="0"/>
    <n v="1896200"/>
    <s v="RM"/>
    <s v="Granules"/>
    <s v="PP Granules"/>
    <s v="RM"/>
    <m/>
    <n v="0"/>
    <n v="1283400"/>
    <n v="599"/>
    <s v="14-07-2026"/>
    <s v="24AAACO3087C1ZT"/>
    <s v="bharatd"/>
    <s v="bharatd"/>
    <n v="0"/>
    <n v="0"/>
    <n v="0"/>
    <n v="0"/>
    <n v="0"/>
    <n v="0"/>
    <n v="1896200"/>
    <n v="672144908278"/>
    <d v="2026-07-14T00:00:00"/>
    <n v="15500"/>
  </r>
  <r>
    <s v="Oswal Extrusion Limited"/>
    <s v="15-07-2026"/>
    <s v="OEL/26-27/SII00558"/>
    <s v="RAW06011"/>
    <x v="3"/>
    <m/>
    <s v="OEL/RAW/26-27/19"/>
    <n v="8000"/>
    <n v="8000"/>
    <s v="Kgs"/>
    <n v="8000"/>
    <n v="0"/>
    <n v="8000"/>
    <s v="GJ14Z0334"/>
    <s v="Plastene India ltd - Unit 1-Purchase"/>
    <s v="Plastene India ltd - Unit 1-Purchase"/>
    <s v="PIL1/E/375"/>
    <s v="14-07-2026"/>
    <s v="RAW MATERIAL"/>
    <s v="INDIGENOUS"/>
    <s v="RM 19"/>
    <n v="76.599999999999994"/>
    <n v="76.599999999999994"/>
    <s v="PIL1/E/375"/>
    <s v="14-07-2026"/>
    <m/>
    <m/>
    <m/>
    <s v="-"/>
    <s v="-"/>
    <n v="0"/>
    <n v="0"/>
    <n v="0"/>
    <n v="0"/>
    <n v="0"/>
    <s v="VAT"/>
    <n v="0"/>
    <n v="0"/>
    <n v="0"/>
    <n v="0"/>
    <n v="0"/>
    <m/>
    <n v="0"/>
    <n v="0"/>
    <n v="1896200"/>
    <s v="RM"/>
    <s v="Granules"/>
    <s v="PP Granules"/>
    <s v="RM"/>
    <s v="anil"/>
    <n v="0"/>
    <n v="612800"/>
    <n v="599"/>
    <s v="14-07-2026"/>
    <s v="24AAACO3087C1ZT"/>
    <s v="bharatd"/>
    <s v="bharatd"/>
    <n v="0"/>
    <n v="0"/>
    <n v="0"/>
    <n v="0"/>
    <n v="0"/>
    <n v="0"/>
    <n v="0"/>
    <n v="672144908278"/>
    <d v="2026-07-14T00:00:00"/>
    <n v="8000"/>
  </r>
  <r>
    <s v="Oswal Extrusion Limited"/>
    <s v="15-07-2026"/>
    <s v="OEL/26-27/SII00560"/>
    <s v="FIB21881"/>
    <x v="1"/>
    <s v="OEL/26-27/RWM00002/01"/>
    <s v="OEL/RAW/26-27/15"/>
    <n v="1000"/>
    <n v="1006.6"/>
    <s v="Kgs"/>
    <n v="1006.6"/>
    <n v="-6.6000000000000201"/>
    <n v="1006.6"/>
    <s v="GJ12BT4481"/>
    <s v="Dynamic Wooltex"/>
    <s v="Dynamic Wooltex"/>
    <n v="13552"/>
    <d v="2026-09-07T00:00:00"/>
    <s v="RAW MATERIAL"/>
    <s v="INDIGENOUS"/>
    <s v="RM 20"/>
    <n v="150"/>
    <n v="162.07033578382701"/>
    <n v="13552"/>
    <d v="2026-09-07T00:00:00"/>
    <m/>
    <m/>
    <m/>
    <s v="PARTY SELF"/>
    <s v="88/25293"/>
    <n v="0"/>
    <n v="0"/>
    <n v="0"/>
    <n v="0"/>
    <n v="0"/>
    <s v="VAT"/>
    <n v="0"/>
    <n v="0"/>
    <n v="12150"/>
    <n v="0"/>
    <n v="0"/>
    <m/>
    <n v="0"/>
    <n v="0"/>
    <n v="163140"/>
    <s v="RM"/>
    <s v="FIBC Accessories"/>
    <s v="FIBC Accessories"/>
    <s v="RM"/>
    <s v="erp"/>
    <n v="0"/>
    <n v="163140"/>
    <n v="593"/>
    <s v="13-07-2026"/>
    <s v="08ABFPB2251A1ZI"/>
    <s v="bharatd"/>
    <s v="shyam"/>
    <n v="0"/>
    <n v="0"/>
    <n v="0"/>
    <n v="0"/>
    <n v="0"/>
    <n v="0"/>
    <n v="163140"/>
    <n v="701649864777"/>
    <d v="2026-07-09T00:00:00"/>
    <n v="1006.6"/>
  </r>
  <r>
    <s v="Oswal Extrusion Limited"/>
    <s v="18-07-2026"/>
    <s v="OEL/26-27/SII00582"/>
    <s v="RAW06398"/>
    <x v="4"/>
    <m/>
    <s v="OEL/RAW/26-27/20"/>
    <n v="1000"/>
    <n v="1000"/>
    <s v="Kgs"/>
    <n v="1000"/>
    <n v="0"/>
    <n v="1000"/>
    <s v="GJ09Z0572"/>
    <s v="Plastene India ltd - Unit 1-Purchase"/>
    <s v="Plastene India ltd - Unit 1-Purchase"/>
    <s v="PIL1/E/385"/>
    <s v="17-07-2026"/>
    <s v="RAW MATERIAL"/>
    <s v="INDIGENOUS"/>
    <s v="RM 21"/>
    <n v="145"/>
    <n v="145"/>
    <s v="PIL1/E/385"/>
    <s v="17-07-2026"/>
    <m/>
    <m/>
    <m/>
    <s v="-"/>
    <s v="-"/>
    <n v="0"/>
    <n v="0"/>
    <n v="0"/>
    <n v="0"/>
    <n v="0"/>
    <s v="VAT"/>
    <n v="0"/>
    <n v="0"/>
    <n v="0"/>
    <n v="0"/>
    <n v="0"/>
    <m/>
    <n v="0"/>
    <n v="0"/>
    <n v="145000"/>
    <s v="RM"/>
    <s v="Granules"/>
    <s v="LDPE Granules"/>
    <s v="RM"/>
    <m/>
    <n v="0"/>
    <n v="145000"/>
    <n v="622"/>
    <s v="17-07-2026"/>
    <s v="24AAACO3087C1ZT"/>
    <s v="bharatd"/>
    <s v="bharatd"/>
    <n v="0"/>
    <n v="0"/>
    <n v="0"/>
    <n v="0"/>
    <n v="0"/>
    <n v="0"/>
    <n v="145000"/>
    <n v="682146825150"/>
    <d v="2026-07-17T00:00:00"/>
    <n v="1000"/>
  </r>
  <r>
    <s v="Oswal Extrusion Limited"/>
    <s v="18-07-2026"/>
    <s v="OEL/26-27/SII00583"/>
    <s v="RAW06251"/>
    <x v="3"/>
    <m/>
    <s v="OEL/26-27/IMP/2"/>
    <n v="135000"/>
    <n v="135000"/>
    <s v="Kgs"/>
    <n v="135000"/>
    <n v="0"/>
    <n v="135000"/>
    <s v="GJ14Z6310/ GJ39TA0541/ GJ14Z0613/ GJ39TA3007/ GJ14Z0406"/>
    <s v="HCP Enterprise Ltd-Purchase"/>
    <s v="HCP Enterprise Ltd-Purchase"/>
    <s v="HCP/26-27/25"/>
    <s v="30-06-2026"/>
    <s v="RAW MATERIAL"/>
    <s v="IMPORT/HIGH SEA SALES"/>
    <s v="RMIMP 2"/>
    <n v="121.55"/>
    <n v="121.55"/>
    <s v="HCP/26-27/25"/>
    <s v="30-06-2026"/>
    <m/>
    <m/>
    <m/>
    <s v="SELF"/>
    <s v="-"/>
    <n v="0"/>
    <n v="0"/>
    <n v="0"/>
    <n v="0"/>
    <n v="0"/>
    <s v="VAT"/>
    <n v="0"/>
    <n v="0"/>
    <n v="0"/>
    <n v="0"/>
    <n v="0"/>
    <m/>
    <n v="0"/>
    <n v="0"/>
    <n v="16409250"/>
    <s v="RM"/>
    <s v="Granules"/>
    <s v="PP Granules"/>
    <s v="RM"/>
    <m/>
    <n v="0"/>
    <n v="16409250"/>
    <n v="620"/>
    <s v="17-07-2026"/>
    <s v="24AAACC7815N1ZI"/>
    <s v="bharatd"/>
    <m/>
    <n v="0"/>
    <n v="0"/>
    <n v="0"/>
    <n v="0"/>
    <n v="0"/>
    <n v="0"/>
    <n v="16409250"/>
    <s v="-"/>
    <d v="2026-07-17T10:22:00"/>
    <n v="135000"/>
  </r>
  <r>
    <s v="Oswal Extrusion Limited"/>
    <s v="18-07-2026"/>
    <s v="OEL/26-27/SII00585"/>
    <s v="WIP00017"/>
    <x v="0"/>
    <m/>
    <s v="OEL/RAW/26-27/21"/>
    <n v="1077.01"/>
    <n v="1077.01"/>
    <s v="Kgs"/>
    <n v="1077.01"/>
    <n v="0"/>
    <n v="1077.01"/>
    <s v="GJ12CT6064"/>
    <s v="Plastene India ltd - Unit 2-Purchase"/>
    <s v="Plastene India ltd - Unit 2-Purchase"/>
    <s v="PIL2/E/97"/>
    <s v="18-07-2026"/>
    <s v="RAW MATERIAL"/>
    <s v="INDIGENOUS"/>
    <s v="RM 22"/>
    <n v="132"/>
    <n v="131.999951853906"/>
    <s v="PIL2/E/97"/>
    <s v="18-07-2026"/>
    <m/>
    <m/>
    <m/>
    <s v="PARTY SELF"/>
    <s v="-"/>
    <n v="0"/>
    <n v="0"/>
    <n v="0"/>
    <n v="0"/>
    <n v="0"/>
    <s v="VAT"/>
    <n v="0"/>
    <n v="0"/>
    <n v="0"/>
    <n v="0"/>
    <n v="0"/>
    <m/>
    <n v="0"/>
    <n v="0"/>
    <n v="745730"/>
    <s v="SF"/>
    <s v="Yarn All"/>
    <s v="Polyester Yarn"/>
    <s v="RM"/>
    <s v="erp"/>
    <n v="0"/>
    <n v="142165.26999999999"/>
    <n v="629"/>
    <s v="18-07-2026"/>
    <s v="24AAACO3087C1ZT"/>
    <s v="bharatd"/>
    <s v="bharatd"/>
    <n v="0"/>
    <n v="0"/>
    <n v="0"/>
    <n v="0"/>
    <n v="0"/>
    <n v="0"/>
    <n v="745730"/>
    <n v="692147548655"/>
    <d v="2026-07-18T00:00:00"/>
    <n v="1077.01"/>
  </r>
  <r>
    <s v="Oswal Extrusion Limited"/>
    <s v="18-07-2026"/>
    <s v="OEL/26-27/SII00585"/>
    <s v="WIP00022"/>
    <x v="0"/>
    <m/>
    <s v="OEL/RAW/26-27/21"/>
    <n v="5025.5200000000004"/>
    <n v="5025.5200000000004"/>
    <s v="Kgs"/>
    <n v="5025.5200000000004"/>
    <n v="0"/>
    <n v="5025.5200000000004"/>
    <s v="GJ12CT6064"/>
    <s v="Plastene India ltd - Unit 2-Purchase"/>
    <s v="Plastene India ltd - Unit 2-Purchase"/>
    <s v="PIL2/E/97"/>
    <s v="18-07-2026"/>
    <s v="RAW MATERIAL"/>
    <s v="INDIGENOUS"/>
    <s v="RM 22"/>
    <n v="120.1"/>
    <n v="120.09995619434901"/>
    <s v="PIL2/E/97"/>
    <s v="18-07-2026"/>
    <m/>
    <m/>
    <m/>
    <s v="PARTY SELF"/>
    <s v="-"/>
    <n v="0"/>
    <n v="0"/>
    <n v="0"/>
    <n v="0"/>
    <n v="0"/>
    <s v="VAT"/>
    <n v="0"/>
    <n v="0"/>
    <n v="0"/>
    <n v="0"/>
    <n v="0"/>
    <m/>
    <n v="0"/>
    <n v="0"/>
    <n v="745730"/>
    <s v="SF"/>
    <s v="Yarn All"/>
    <s v="PP Yarn"/>
    <s v="RM"/>
    <s v="erp"/>
    <n v="0"/>
    <n v="603564.73"/>
    <n v="629"/>
    <s v="18-07-2026"/>
    <s v="24AAACO3087C1ZT"/>
    <s v="bharatd"/>
    <s v="bharatd"/>
    <n v="0"/>
    <n v="0"/>
    <n v="0"/>
    <n v="0"/>
    <n v="0"/>
    <n v="0"/>
    <n v="0"/>
    <n v="692147548655"/>
    <d v="2026-07-18T00:00:00"/>
    <n v="5025.5200000000004"/>
  </r>
  <r>
    <s v="Oswal Extrusion Limited"/>
    <s v="22-07-2026"/>
    <s v="OEL/26-27/SII00598"/>
    <s v="RAW06279"/>
    <x v="2"/>
    <m/>
    <s v="OEL/RAW/26-27/23"/>
    <n v="275"/>
    <n v="275"/>
    <s v="Kgs"/>
    <n v="275"/>
    <n v="0"/>
    <n v="275"/>
    <s v="GJ12BY1595"/>
    <s v="Plastene India ltd - Unit 1-Purchase"/>
    <s v="Plastene India ltd - Unit 1-Purchase"/>
    <s v="PIL1/E/399"/>
    <s v="21-07-2026"/>
    <s v="RAW MATERIAL"/>
    <s v="INDIGENOUS"/>
    <s v="RM 23"/>
    <n v="155"/>
    <n v="155"/>
    <s v="PIL1/E/399"/>
    <s v="21-07-2026"/>
    <m/>
    <m/>
    <m/>
    <s v="-"/>
    <m/>
    <n v="0"/>
    <n v="0"/>
    <n v="0"/>
    <n v="0"/>
    <n v="0"/>
    <s v="VAT"/>
    <n v="0"/>
    <n v="0"/>
    <n v="0"/>
    <n v="0"/>
    <n v="0"/>
    <m/>
    <n v="0"/>
    <n v="0"/>
    <n v="635725"/>
    <s v="RM"/>
    <s v="Granules"/>
    <s v="Masterbatch"/>
    <s v="RM"/>
    <m/>
    <n v="0"/>
    <n v="42625"/>
    <n v="651"/>
    <s v="21-07-2026"/>
    <s v="24AAACO3087C1ZT"/>
    <s v="bharatd"/>
    <s v="bharatd"/>
    <n v="0"/>
    <n v="0"/>
    <n v="0"/>
    <n v="0"/>
    <n v="0"/>
    <n v="0"/>
    <n v="635725"/>
    <s v="-"/>
    <d v="2026-07-21T00:00:00"/>
    <n v="275"/>
  </r>
  <r>
    <s v="Oswal Extrusion Limited"/>
    <s v="22-07-2026"/>
    <s v="OEL/26-27/SII00598"/>
    <s v="RAW05527"/>
    <x v="2"/>
    <m/>
    <s v="OEL/RAW/26-27/23"/>
    <n v="100"/>
    <n v="100"/>
    <s v="Kgs"/>
    <n v="100"/>
    <n v="0"/>
    <n v="100"/>
    <s v="GJ12BY1595"/>
    <s v="Plastene India ltd - Unit 1-Purchase"/>
    <s v="Plastene India ltd - Unit 1-Purchase"/>
    <s v="PIL1/E/399"/>
    <s v="21-07-2026"/>
    <s v="RAW MATERIAL"/>
    <s v="INDIGENOUS"/>
    <s v="RM 23"/>
    <n v="181"/>
    <n v="181"/>
    <s v="PIL1/E/399"/>
    <s v="21-07-2026"/>
    <m/>
    <m/>
    <m/>
    <s v="-"/>
    <m/>
    <n v="0"/>
    <n v="0"/>
    <n v="0"/>
    <n v="0"/>
    <n v="0"/>
    <s v="VAT"/>
    <n v="0"/>
    <n v="0"/>
    <n v="0"/>
    <n v="0"/>
    <n v="0"/>
    <m/>
    <n v="0"/>
    <n v="0"/>
    <n v="635725"/>
    <s v="RM"/>
    <s v="Granules"/>
    <s v="Masterbatch"/>
    <s v="RM"/>
    <s v="erp"/>
    <n v="0"/>
    <n v="18100"/>
    <n v="651"/>
    <s v="21-07-2026"/>
    <s v="24AAACO3087C1ZT"/>
    <s v="bharatd"/>
    <s v="bharatd"/>
    <n v="0"/>
    <n v="0"/>
    <n v="0"/>
    <n v="0"/>
    <n v="0"/>
    <n v="0"/>
    <n v="0"/>
    <s v="-"/>
    <d v="2026-07-21T00:00:00"/>
    <n v="100"/>
  </r>
  <r>
    <s v="Oswal Extrusion Limited"/>
    <s v="22-07-2026"/>
    <s v="OEL/26-27/SII00598"/>
    <s v="RAW05187"/>
    <x v="3"/>
    <m/>
    <s v="OEL/RAW/26-27/23"/>
    <n v="5000"/>
    <n v="5000"/>
    <s v="Kgs"/>
    <n v="5000"/>
    <n v="0"/>
    <n v="5000"/>
    <s v="GJ12BY1595"/>
    <s v="Plastene India ltd - Unit 1-Purchase"/>
    <s v="Plastene India ltd - Unit 1-Purchase"/>
    <s v="PIL1/E/399"/>
    <s v="21-07-2026"/>
    <s v="RAW MATERIAL"/>
    <s v="INDIGENOUS"/>
    <s v="RM 23"/>
    <n v="115"/>
    <n v="115"/>
    <s v="PIL1/E/399"/>
    <s v="21-07-2026"/>
    <m/>
    <m/>
    <m/>
    <s v="-"/>
    <m/>
    <n v="0"/>
    <n v="0"/>
    <n v="0"/>
    <n v="0"/>
    <n v="0"/>
    <s v="VAT"/>
    <n v="0"/>
    <n v="0"/>
    <n v="0"/>
    <n v="0"/>
    <n v="0"/>
    <m/>
    <n v="0"/>
    <n v="0"/>
    <n v="635725"/>
    <s v="RM"/>
    <s v="Granules"/>
    <s v="PP Granules"/>
    <s v="RM"/>
    <s v="erp"/>
    <n v="0"/>
    <n v="575000"/>
    <n v="651"/>
    <s v="21-07-2026"/>
    <s v="24AAACO3087C1ZT"/>
    <s v="bharatd"/>
    <s v="bharatd"/>
    <n v="0"/>
    <n v="0"/>
    <n v="0"/>
    <n v="0"/>
    <n v="0"/>
    <n v="0"/>
    <n v="0"/>
    <s v="-"/>
    <d v="2026-07-21T00:00:00"/>
    <n v="5000"/>
  </r>
  <r>
    <s v="Oswal Extrusion Limited"/>
    <s v="23-07-2026"/>
    <s v="OEL/26-27/SII00603"/>
    <s v="RAW05187"/>
    <x v="3"/>
    <m/>
    <s v="OEL/RAW/26-27/24"/>
    <n v="400"/>
    <n v="400"/>
    <s v="Kgs"/>
    <n v="400"/>
    <n v="0"/>
    <n v="400"/>
    <s v="GJ12BY0479"/>
    <s v="Plastene India ltd - Unit 1-Purchase"/>
    <s v="Plastene India ltd - Unit 1-Purchase"/>
    <s v="PIL1/E/405"/>
    <s v="22-07-2026"/>
    <s v="RAW MATERIAL"/>
    <s v="INDIGENOUS"/>
    <s v="RM 24"/>
    <n v="136.33099999999999"/>
    <n v="136.33000000000001"/>
    <s v="PIL1/E/405"/>
    <s v="22-07-2026"/>
    <m/>
    <m/>
    <m/>
    <s v="-"/>
    <m/>
    <n v="0"/>
    <n v="0"/>
    <n v="0"/>
    <n v="0"/>
    <n v="0"/>
    <s v="VAT"/>
    <n v="0"/>
    <n v="0"/>
    <n v="0"/>
    <n v="0"/>
    <n v="0"/>
    <m/>
    <n v="0"/>
    <n v="0"/>
    <n v="54532"/>
    <s v="RM"/>
    <s v="Granules"/>
    <s v="PP Granules"/>
    <s v="RM"/>
    <s v="erp"/>
    <n v="0"/>
    <n v="54532"/>
    <s v="-"/>
    <s v="22-07-2026"/>
    <s v="24AAACO3087C1ZT"/>
    <s v="bharatd"/>
    <s v="bharatd"/>
    <n v="0"/>
    <n v="0"/>
    <n v="0"/>
    <n v="0"/>
    <n v="0"/>
    <n v="0"/>
    <n v="54532"/>
    <s v="-"/>
    <d v="2026-07-22T00:00:00"/>
    <n v="400"/>
  </r>
  <r>
    <s v="Oswal Extrusion Limited"/>
    <s v="24-07-2026"/>
    <s v="OEL/26-27/SII00605"/>
    <s v="RAW05187"/>
    <x v="3"/>
    <m/>
    <s v="OEL/RAW/26-27/25"/>
    <n v="1000"/>
    <n v="1000"/>
    <s v="Kgs"/>
    <n v="1000"/>
    <n v="0"/>
    <n v="1000"/>
    <s v="GJ27T3559"/>
    <s v="Plastene India ltd - Unit 1-Purchase"/>
    <s v="Plastene India ltd - Unit 1-Purchase"/>
    <s v="PIL1/E/408"/>
    <s v="23-07-2026"/>
    <s v="RAW MATERIAL"/>
    <s v="INDIGENOUS"/>
    <s v="RM 25"/>
    <n v="136.33099999999999"/>
    <n v="136.33099999999999"/>
    <s v="PIL1/E/408"/>
    <s v="23-07-2026"/>
    <m/>
    <m/>
    <m/>
    <s v="-"/>
    <m/>
    <n v="0"/>
    <n v="0"/>
    <n v="0"/>
    <n v="0"/>
    <n v="0"/>
    <s v="VAT"/>
    <n v="0"/>
    <n v="0"/>
    <n v="0"/>
    <n v="0"/>
    <n v="0"/>
    <m/>
    <n v="0"/>
    <n v="0"/>
    <n v="136331"/>
    <s v="RM"/>
    <s v="Granules"/>
    <s v="PP Granules"/>
    <s v="RM"/>
    <s v="erp"/>
    <n v="0"/>
    <n v="136331"/>
    <n v="661"/>
    <s v="23-07-2026"/>
    <s v="24AAACO3087C1ZT"/>
    <s v="bharatd"/>
    <s v="bharatd"/>
    <n v="0"/>
    <n v="0"/>
    <n v="0"/>
    <n v="0"/>
    <n v="0"/>
    <n v="0"/>
    <n v="136331"/>
    <s v="-"/>
    <d v="2026-07-23T00:00:00"/>
    <n v="1000"/>
  </r>
  <r>
    <s v="Oswal Extrusion Limited"/>
    <s v="26-07-2026"/>
    <s v="OEL/26-27/SII00619"/>
    <s v="WIP00031"/>
    <x v="5"/>
    <m/>
    <s v="OEL/RAW/26-27/26"/>
    <n v="10643"/>
    <n v="10643"/>
    <s v="Kgs"/>
    <n v="10643"/>
    <n v="0"/>
    <n v="10643"/>
    <s v="GJ02Z4078"/>
    <s v="K.P. Woven Pvt Ltd - Unit 3 -Purchase"/>
    <s v="K.P. Woven Pvt Ltd - Unit 3 -Purchase"/>
    <s v="KPW3/IZS/26-27/04"/>
    <s v="25-07-2026"/>
    <s v="RAW MATERIAL"/>
    <s v="INDIGENOUS"/>
    <s v="RM 26"/>
    <n v="10"/>
    <n v="10"/>
    <s v="KPW3/IZS/26-27/04"/>
    <s v="25-07-2026"/>
    <m/>
    <m/>
    <m/>
    <s v="-"/>
    <m/>
    <n v="0"/>
    <n v="0"/>
    <n v="0"/>
    <n v="0"/>
    <n v="0"/>
    <s v="VAT"/>
    <n v="0"/>
    <n v="0"/>
    <n v="0"/>
    <n v="0"/>
    <n v="0"/>
    <m/>
    <n v="0"/>
    <n v="0"/>
    <n v="106430"/>
    <s v="SF"/>
    <s v="Wastage/Scrap"/>
    <s v="Wastage/Scrap"/>
    <s v="RM"/>
    <s v="erp"/>
    <n v="0"/>
    <n v="106430"/>
    <n v="671"/>
    <s v="25-07-2026"/>
    <s v="24AAECK6307M2ZE"/>
    <s v="bharatd"/>
    <s v="bharatd"/>
    <n v="0"/>
    <n v="0"/>
    <n v="0"/>
    <n v="0"/>
    <n v="0"/>
    <n v="0"/>
    <n v="106430"/>
    <s v="-"/>
    <d v="2026-07-25T00:00:00"/>
    <n v="0"/>
  </r>
  <r>
    <s v="Oswal Extrusion Limited"/>
    <s v="31-07-2026"/>
    <s v="OEL/26-27/SII00663"/>
    <s v="SMF00147"/>
    <x v="6"/>
    <m/>
    <s v="OEL/RAW/26-27/27"/>
    <n v="136"/>
    <n v="136"/>
    <s v="Kgs"/>
    <n v="136"/>
    <n v="0"/>
    <n v="136"/>
    <s v="GJ09Z0572"/>
    <s v="Plastene Polyfilms Ltd-Purchase"/>
    <s v="Plastene Polyfilms Ltd-Purchase"/>
    <s v="PPL/E/60"/>
    <s v="25-07-2026"/>
    <s v="RAW MATERIAL"/>
    <s v="INDIGENOUS"/>
    <s v="RM 28"/>
    <n v="271"/>
    <n v="271"/>
    <s v="PPL/E/60"/>
    <s v="25-07-2026"/>
    <m/>
    <m/>
    <m/>
    <s v="-"/>
    <m/>
    <n v="0"/>
    <n v="0"/>
    <n v="0"/>
    <n v="0"/>
    <n v="0"/>
    <s v="VAT"/>
    <n v="0"/>
    <n v="0"/>
    <n v="0"/>
    <n v="0"/>
    <n v="0"/>
    <m/>
    <n v="0"/>
    <n v="0"/>
    <n v="36856"/>
    <s v="SF"/>
    <s v="Liners"/>
    <s v="LDPE/LLDPE Bags"/>
    <s v="RM"/>
    <s v="erp"/>
    <n v="0"/>
    <n v="36856"/>
    <n v="668"/>
    <s v="25-08-2026"/>
    <s v="24AAFCP2956A1ZR"/>
    <s v="bharatd"/>
    <s v="bharatd"/>
    <n v="0"/>
    <n v="0"/>
    <n v="0"/>
    <n v="0"/>
    <n v="0"/>
    <n v="0"/>
    <n v="36856"/>
    <s v="-"/>
    <d v="2026-07-25T00:00:00"/>
    <n v="0"/>
  </r>
  <r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76">
  <r>
    <s v="Oswal Extrusion Limited"/>
    <d v="2026-02-07T00:00:00"/>
    <s v="OEL/26-27/SII00482"/>
    <s v="WIP00013"/>
    <x v="0"/>
    <n v="3"/>
    <s v="No PO"/>
    <n v="0"/>
    <n v="227"/>
    <s v="Kgs"/>
    <n v="227"/>
    <n v="0"/>
    <n v="227"/>
    <s v="GJ12BT4781, GJ12BY1595"/>
    <s v="K.P. Woven Pvt Ltd - Unit 3 -Purchase"/>
    <s v="K.P. Woven Pvt Ltd - Unit 3 -Purchase"/>
    <s v="KPW/JW/072"/>
    <d v="2026-01-07T00:00:00"/>
    <s v="JOB IN"/>
    <s v="OTHER"/>
    <s v="JBIN-OT 77"/>
    <n v="173.99290748898699"/>
    <n v="0"/>
    <s v="KPW/JW/072"/>
    <d v="2026-01-07T00:00:00"/>
    <m/>
    <m/>
    <m/>
    <s v="by Truck"/>
    <d v="2026-01-07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522"/>
    <d v="2026-01-07T00:00:00"/>
    <s v="24AAECK6307M2ZE"/>
    <s v="bharatd"/>
    <m/>
    <n v="0"/>
    <n v="0"/>
    <n v="0"/>
    <n v="0"/>
    <n v="0"/>
    <n v="0"/>
    <n v="0"/>
    <s v="-"/>
    <d v="2026-07-01T11:36:00"/>
    <n v="227"/>
  </r>
  <r>
    <s v="Oswal Extrusion Limited"/>
    <d v="2026-02-07T00:00:00"/>
    <s v="OEL/26-27/SII00482"/>
    <s v="WIP00015"/>
    <x v="1"/>
    <n v="5"/>
    <s v="No PO"/>
    <n v="0"/>
    <n v="256.3"/>
    <s v="Kgs"/>
    <n v="256.3"/>
    <n v="0"/>
    <n v="256.3"/>
    <s v="GJ12BT4781, GJ12BY1595"/>
    <s v="K.P. Woven Pvt Ltd - Unit 3 -Purchase"/>
    <s v="K.P. Woven Pvt Ltd - Unit 3 -Purchase"/>
    <s v="KPW/JW/072"/>
    <d v="2026-01-07T00:00:00"/>
    <s v="JOB IN"/>
    <s v="OTHER"/>
    <s v="JBIN-OT 77"/>
    <n v="155.065909090909"/>
    <n v="0"/>
    <s v="KPW/JW/072"/>
    <d v="2026-01-07T00:00:00"/>
    <m/>
    <m/>
    <m/>
    <s v="by Truck"/>
    <d v="2026-01-07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522"/>
    <d v="2026-01-07T00:00:00"/>
    <s v="24AAECK6307M2ZE"/>
    <s v="bharatd"/>
    <m/>
    <n v="0"/>
    <n v="0"/>
    <n v="0"/>
    <n v="0"/>
    <n v="0"/>
    <n v="0"/>
    <n v="0"/>
    <s v="-"/>
    <d v="2026-07-01T11:36:00"/>
    <n v="256.3"/>
  </r>
  <r>
    <s v="Oswal Extrusion Limited"/>
    <d v="2026-02-07T00:00:00"/>
    <s v="OEL/26-27/SII00482"/>
    <s v="WIP00025"/>
    <x v="2"/>
    <n v="4"/>
    <s v="No PO"/>
    <n v="0"/>
    <n v="595"/>
    <s v="Kgs"/>
    <n v="595"/>
    <n v="0"/>
    <n v="595"/>
    <s v="GJ12BT4781, GJ12BY1595"/>
    <s v="K.P. Woven Pvt Ltd - Unit 3 -Purchase"/>
    <s v="K.P. Woven Pvt Ltd - Unit 3 -Purchase"/>
    <s v="KPW/JW/072"/>
    <d v="2026-01-07T00:00:00"/>
    <s v="JOB IN"/>
    <s v="OTHER"/>
    <s v="JBIN-OT 77"/>
    <n v="178.03006722689099"/>
    <n v="0"/>
    <s v="KPW/JW/072"/>
    <d v="2026-01-07T00:00:00"/>
    <m/>
    <m/>
    <m/>
    <s v="by Truck"/>
    <d v="2026-01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522"/>
    <d v="2026-01-07T00:00:00"/>
    <s v="24AAECK6307M2ZE"/>
    <s v="bharatd"/>
    <m/>
    <n v="0"/>
    <n v="0"/>
    <n v="0"/>
    <n v="0"/>
    <n v="0"/>
    <n v="0"/>
    <n v="0"/>
    <s v="-"/>
    <d v="2026-07-01T11:36:00"/>
    <n v="595"/>
  </r>
  <r>
    <s v="Oswal Extrusion Limited"/>
    <d v="2026-02-07T00:00:00"/>
    <s v="OEL/26-27/SII00482"/>
    <s v="WIP00032"/>
    <x v="3"/>
    <n v="1"/>
    <s v="No PO"/>
    <n v="0"/>
    <n v="100"/>
    <s v="Kgs"/>
    <n v="100"/>
    <n v="0"/>
    <n v="100"/>
    <s v="GJ12BT4781, GJ12BY1595"/>
    <s v="K.P. Woven Pvt Ltd - Unit 3 -Purchase"/>
    <s v="K.P. Woven Pvt Ltd - Unit 3 -Purchase"/>
    <s v="KPW/JW/072"/>
    <d v="2026-01-07T00:00:00"/>
    <s v="JOB IN"/>
    <s v="OTHER"/>
    <s v="JBIN-OT 77"/>
    <n v="158.4"/>
    <n v="0"/>
    <s v="KPW/JW/072"/>
    <d v="2026-01-07T00:00:00"/>
    <m/>
    <m/>
    <m/>
    <s v="by Truck"/>
    <d v="2026-01-07T00:00:00"/>
    <n v="0"/>
    <n v="0"/>
    <n v="0"/>
    <n v="0"/>
    <n v="0"/>
    <s v="VAT"/>
    <n v="0"/>
    <n v="0"/>
    <n v="0"/>
    <n v="0"/>
    <n v="0"/>
    <m/>
    <n v="0"/>
    <n v="0"/>
    <n v="0"/>
    <s v="SF"/>
    <s v="Webbing"/>
    <s v="PP Webbing"/>
    <s v="RM"/>
    <s v="erp"/>
    <n v="0"/>
    <n v="0"/>
    <n v="522"/>
    <d v="2026-01-07T00:00:00"/>
    <s v="24AAECK6307M2ZE"/>
    <s v="bharatd"/>
    <m/>
    <n v="0"/>
    <n v="0"/>
    <n v="0"/>
    <n v="0"/>
    <n v="0"/>
    <n v="0"/>
    <n v="0"/>
    <s v="-"/>
    <d v="2026-07-01T11:36:00"/>
    <n v="100"/>
  </r>
  <r>
    <s v="Oswal Extrusion Limited"/>
    <d v="2026-02-07T00:00:00"/>
    <s v="OEL/26-27/SII00482"/>
    <s v="WIP00236"/>
    <x v="1"/>
    <n v="2"/>
    <s v="No PO"/>
    <n v="0"/>
    <n v="29.7"/>
    <s v="Kgs"/>
    <n v="29.7"/>
    <n v="0"/>
    <n v="29.7"/>
    <s v="GJ12BT4781, GJ12BY1595"/>
    <s v="K.P. Woven Pvt Ltd - Unit 3 -Purchase"/>
    <s v="K.P. Woven Pvt Ltd - Unit 3 -Purchase"/>
    <s v="KPW/JW/072"/>
    <d v="2026-01-07T00:00:00"/>
    <s v="JOB IN"/>
    <s v="OTHER"/>
    <s v="JBIN-OT 77"/>
    <n v="155.065909090909"/>
    <n v="0"/>
    <s v="KPW/JW/072"/>
    <d v="2026-01-07T00:00:00"/>
    <m/>
    <m/>
    <m/>
    <s v="by Truck"/>
    <d v="2026-01-07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522"/>
    <d v="2026-01-07T00:00:00"/>
    <s v="24AAECK6307M2ZE"/>
    <s v="bharatd"/>
    <m/>
    <n v="0"/>
    <n v="0"/>
    <n v="0"/>
    <n v="0"/>
    <n v="0"/>
    <n v="0"/>
    <n v="0"/>
    <s v="-"/>
    <d v="2026-07-01T11:36:00"/>
    <n v="29.7"/>
  </r>
  <r>
    <s v="Oswal Extrusion Limited"/>
    <d v="2026-03-07T00:00:00"/>
    <s v="OEL/26-27/SII00497"/>
    <s v="WIP00017"/>
    <x v="1"/>
    <n v="2"/>
    <s v="No PO"/>
    <n v="0"/>
    <n v="2651.1"/>
    <s v="Kgs"/>
    <n v="2651.1"/>
    <n v="0"/>
    <n v="2651.1"/>
    <s v="GJ16Z8614, GJ09Z0572"/>
    <s v="K.P. Woven Pvt Ltd - Unit 3 -Purchase"/>
    <s v="K.P. Woven Pvt Ltd - Unit 3 -Purchase"/>
    <s v="KPW/JW/073"/>
    <d v="2026-02-07T00:00:00"/>
    <s v="JOB IN"/>
    <s v="OTHER"/>
    <s v="JBIN-OT 78"/>
    <n v="132"/>
    <n v="0"/>
    <s v="KPW/JW/073"/>
    <d v="2026-02-07T00:00:00"/>
    <m/>
    <m/>
    <m/>
    <s v="by Truck"/>
    <d v="2026-02-07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olyester Yarn"/>
    <s v="RM"/>
    <s v="erp"/>
    <n v="0"/>
    <n v="0"/>
    <n v="532"/>
    <d v="2026-02-07T00:00:00"/>
    <s v="24AAECK6307M2ZE"/>
    <s v="bharatd"/>
    <m/>
    <n v="0"/>
    <n v="0"/>
    <n v="0"/>
    <n v="0"/>
    <n v="0"/>
    <n v="0"/>
    <n v="0"/>
    <s v="-"/>
    <d v="2026-07-02T17:50:00"/>
    <n v="2651.1"/>
  </r>
  <r>
    <s v="Oswal Extrusion Limited"/>
    <d v="2026-03-07T00:00:00"/>
    <s v="OEL/26-27/SII00497"/>
    <s v="RAW05951"/>
    <x v="4"/>
    <n v="1"/>
    <s v="No PO"/>
    <n v="0"/>
    <n v="1210"/>
    <s v="Kgs"/>
    <n v="1210"/>
    <n v="0"/>
    <n v="1210"/>
    <s v="GJ16Z8614, GJ09Z0572"/>
    <s v="K.P. Woven Pvt Ltd - Unit 3 -Purchase"/>
    <s v="K.P. Woven Pvt Ltd - Unit 3 -Purchase"/>
    <s v="KPW/JW/073"/>
    <d v="2026-02-07T00:00:00"/>
    <s v="JOB IN"/>
    <s v="OTHER"/>
    <s v="JBIN-OT 78"/>
    <n v="137.50068595041299"/>
    <n v="0"/>
    <s v="KPW/JW/073"/>
    <d v="2026-02-07T00:00:00"/>
    <m/>
    <m/>
    <m/>
    <s v="by Truck"/>
    <d v="2026-02-07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532"/>
    <d v="2026-02-07T00:00:00"/>
    <s v="24AAECK6307M2ZE"/>
    <s v="bharatd"/>
    <m/>
    <n v="0"/>
    <n v="0"/>
    <n v="0"/>
    <n v="0"/>
    <n v="0"/>
    <n v="0"/>
    <n v="0"/>
    <s v="-"/>
    <d v="2026-07-02T17:50:00"/>
    <n v="1210"/>
  </r>
  <r>
    <s v="Oswal Extrusion Limited"/>
    <d v="2026-06-07T00:00:00"/>
    <s v="OEL/26-27/SII00505"/>
    <s v="WIP00025"/>
    <x v="2"/>
    <n v="4"/>
    <s v="No PO"/>
    <n v="0"/>
    <n v="1207"/>
    <s v="Kgs"/>
    <n v="1207"/>
    <n v="0"/>
    <n v="1207"/>
    <s v="GJ12BV1841, GJ12BY0479"/>
    <s v="K.P. Woven Pvt Ltd - Unit 3 -Purchase"/>
    <s v="K.P. Woven Pvt Ltd - Unit 3 -Purchase"/>
    <s v="KPW/JW/074"/>
    <d v="2026-04-07T00:00:00"/>
    <s v="JOB IN"/>
    <s v="OTHER"/>
    <s v="JBIN-OT 79"/>
    <n v="178.02922120961099"/>
    <n v="0"/>
    <s v="KPW/JW/074"/>
    <d v="2026-04-07T00:00:00"/>
    <m/>
    <m/>
    <m/>
    <s v="by Truck"/>
    <d v="2026-05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543"/>
    <d v="2026-04-07T00:00:00"/>
    <s v="24AAECK6307M2ZE"/>
    <s v="bharatd"/>
    <m/>
    <n v="0"/>
    <n v="0"/>
    <n v="0"/>
    <n v="0"/>
    <n v="0"/>
    <n v="0"/>
    <n v="0"/>
    <s v="-"/>
    <d v="2026-07-04T11:09:00"/>
    <n v="1207"/>
  </r>
  <r>
    <s v="Oswal Extrusion Limited"/>
    <d v="2026-06-07T00:00:00"/>
    <s v="OEL/26-27/SII00505"/>
    <s v="RAW05130"/>
    <x v="5"/>
    <n v="3"/>
    <s v="No PO"/>
    <n v="0"/>
    <n v="2000"/>
    <s v="Kgs"/>
    <n v="2000"/>
    <n v="0"/>
    <n v="2000"/>
    <s v="GJ12BV1841, GJ12BY0479"/>
    <s v="K.P. Woven Pvt Ltd - Unit 3 -Purchase"/>
    <s v="K.P. Woven Pvt Ltd - Unit 3 -Purchase"/>
    <s v="KPW/JW/074"/>
    <d v="2026-04-07T00:00:00"/>
    <s v="JOB IN"/>
    <s v="OTHER"/>
    <s v="JBIN-OT 79"/>
    <n v="150"/>
    <n v="0"/>
    <s v="KPW/JW/074"/>
    <d v="2026-04-07T00:00:00"/>
    <m/>
    <m/>
    <m/>
    <s v="by Truck"/>
    <d v="2026-05-07T00:00:00"/>
    <n v="0"/>
    <n v="0"/>
    <n v="0"/>
    <n v="0"/>
    <n v="0"/>
    <s v="VAT"/>
    <n v="0"/>
    <n v="0"/>
    <n v="0"/>
    <n v="0"/>
    <n v="0"/>
    <m/>
    <n v="0"/>
    <n v="0"/>
    <n v="0"/>
    <s v="RM"/>
    <s v="Granules"/>
    <s v="PP Granules"/>
    <s v="RM"/>
    <s v="erp"/>
    <n v="0"/>
    <n v="0"/>
    <n v="543"/>
    <d v="2026-04-07T00:00:00"/>
    <s v="24AAECK6307M2ZE"/>
    <s v="bharatd"/>
    <m/>
    <n v="0"/>
    <n v="0"/>
    <n v="0"/>
    <n v="0"/>
    <n v="0"/>
    <n v="0"/>
    <n v="0"/>
    <s v="-"/>
    <d v="2026-07-04T11:09:00"/>
    <n v="2000"/>
  </r>
  <r>
    <s v="Oswal Extrusion Limited"/>
    <d v="2026-06-07T00:00:00"/>
    <s v="OEL/26-27/SII00505"/>
    <s v="RAW05951"/>
    <x v="4"/>
    <n v="2"/>
    <s v="No PO"/>
    <n v="0"/>
    <n v="1480"/>
    <s v="Kgs"/>
    <n v="1480"/>
    <n v="0"/>
    <n v="1480"/>
    <s v="GJ12BV1841, GJ12BY0479"/>
    <s v="K.P. Woven Pvt Ltd - Unit 3 -Purchase"/>
    <s v="K.P. Woven Pvt Ltd - Unit 3 -Purchase"/>
    <s v="KPW/JW/074"/>
    <d v="2026-04-07T00:00:00"/>
    <s v="JOB IN"/>
    <s v="OTHER"/>
    <s v="JBIN-OT 79"/>
    <n v="137.50047972972999"/>
    <n v="0"/>
    <s v="KPW/JW/074"/>
    <d v="2026-04-07T00:00:00"/>
    <m/>
    <m/>
    <m/>
    <s v="by Truck"/>
    <d v="2026-05-07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543"/>
    <d v="2026-04-07T00:00:00"/>
    <s v="24AAECK6307M2ZE"/>
    <s v="bharatd"/>
    <m/>
    <n v="0"/>
    <n v="0"/>
    <n v="0"/>
    <n v="0"/>
    <n v="0"/>
    <n v="0"/>
    <n v="0"/>
    <s v="-"/>
    <d v="2026-07-04T11:09:00"/>
    <n v="1480"/>
  </r>
  <r>
    <s v="Oswal Extrusion Limited"/>
    <d v="2026-06-07T00:00:00"/>
    <s v="OEL/26-27/SII00505"/>
    <s v="WIP00023"/>
    <x v="6"/>
    <n v="1"/>
    <s v="No PO"/>
    <n v="0"/>
    <n v="2836.5"/>
    <s v="Kgs"/>
    <n v="2836.5"/>
    <n v="0"/>
    <n v="2836.5"/>
    <s v="GJ12BV1841, GJ12BY0479"/>
    <s v="K.P. Woven Pvt Ltd - Unit 3 -Purchase"/>
    <s v="K.P. Woven Pvt Ltd - Unit 3 -Purchase"/>
    <s v="KPW/JW/074"/>
    <d v="2026-04-07T00:00:00"/>
    <s v="JOB IN"/>
    <s v="OTHER"/>
    <s v="JBIN-OT 79"/>
    <n v="138.99591750396601"/>
    <n v="0"/>
    <s v="KPW/JW/074"/>
    <d v="2026-04-07T00:00:00"/>
    <m/>
    <m/>
    <m/>
    <s v="by Truck"/>
    <d v="2026-05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543"/>
    <d v="2026-04-07T00:00:00"/>
    <s v="24AAECK6307M2ZE"/>
    <s v="bharatd"/>
    <m/>
    <n v="0"/>
    <n v="0"/>
    <n v="0"/>
    <n v="0"/>
    <n v="0"/>
    <n v="0"/>
    <n v="0"/>
    <s v="-"/>
    <d v="2026-07-04T11:09:00"/>
    <n v="2836.5"/>
  </r>
  <r>
    <s v="Oswal Extrusion Limited"/>
    <d v="2026-07-07T00:00:00"/>
    <s v="OEL/26-27/SII00514"/>
    <s v="WIP00023"/>
    <x v="6"/>
    <n v="1"/>
    <s v="No PO"/>
    <n v="0"/>
    <n v="2568"/>
    <s v="Kgs"/>
    <n v="2568"/>
    <n v="0"/>
    <n v="2568"/>
    <s v="GJ17XX0310"/>
    <s v="K.P. Woven Pvt Ltd - Unit 3 -Purchase"/>
    <s v="K.P. Woven Pvt Ltd - Unit 3 -Purchase"/>
    <s v="KPW/JW/075"/>
    <d v="2026-06-07T00:00:00"/>
    <s v="JOB IN"/>
    <s v="OTHER"/>
    <s v="JBIN-OT 80"/>
    <n v="138.99600077881601"/>
    <n v="0"/>
    <s v="KPW/JW/075"/>
    <d v="2026-06-07T00:00:00"/>
    <m/>
    <m/>
    <m/>
    <s v="by Truck"/>
    <d v="2026-06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554"/>
    <d v="2026-06-07T00:00:00"/>
    <s v="24AAECK6307M2ZE"/>
    <s v="bharatd"/>
    <m/>
    <n v="0"/>
    <n v="0"/>
    <n v="0"/>
    <n v="0"/>
    <n v="0"/>
    <n v="0"/>
    <n v="0"/>
    <s v="-"/>
    <d v="2026-07-06T12:03:00"/>
    <n v="2568"/>
  </r>
  <r>
    <s v="Oswal Extrusion Limited"/>
    <d v="2026-08-07T00:00:00"/>
    <s v="OEL/26-27/SII00522"/>
    <s v="WIP00013"/>
    <x v="0"/>
    <n v="1"/>
    <s v="No PO"/>
    <n v="0"/>
    <n v="123.2"/>
    <s v="Kgs"/>
    <n v="123.2"/>
    <n v="0"/>
    <n v="123.2"/>
    <s v="GJ39T9710"/>
    <s v="K.P. Woven Pvt Ltd - Unit 3 -Purchase"/>
    <s v="K.P. Woven Pvt Ltd - Unit 3 -Purchase"/>
    <s v="KPW/JW/076"/>
    <d v="2026-07-07T00:00:00"/>
    <s v="JOB IN"/>
    <s v="OTHER"/>
    <s v="JBIN-OT 81"/>
    <n v="173.99569805194801"/>
    <n v="0"/>
    <s v="KPW/JW/076"/>
    <d v="2026-07-07T00:00:00"/>
    <m/>
    <m/>
    <m/>
    <s v="by Truck"/>
    <d v="2026-07-07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562"/>
    <d v="2026-07-07T00:00:00"/>
    <s v="24AAECK6307M2ZE"/>
    <s v="bharatd"/>
    <m/>
    <n v="0"/>
    <n v="0"/>
    <n v="0"/>
    <n v="0"/>
    <n v="0"/>
    <n v="0"/>
    <n v="0"/>
    <s v="-"/>
    <d v="2026-07-07T09:52:00"/>
    <n v="123.2"/>
  </r>
  <r>
    <s v="Oswal Extrusion Limited"/>
    <d v="2026-08-07T00:00:00"/>
    <s v="OEL/26-27/SII00524"/>
    <s v="RAW06279"/>
    <x v="7"/>
    <n v="2"/>
    <s v="No PO"/>
    <n v="0"/>
    <n v="150"/>
    <s v="Kgs"/>
    <n v="150"/>
    <n v="0"/>
    <n v="150"/>
    <s v="GJ39T9710"/>
    <s v="Plastene India ltd - Unit 1-Purchase"/>
    <s v="Plastene India ltd - Unit 1-Purchase"/>
    <s v="PIL1/JW/44"/>
    <d v="2026-07-07T00:00:00"/>
    <s v="JOB IN"/>
    <s v="OTHER"/>
    <s v="JBIN-OT 82"/>
    <n v="139"/>
    <n v="0"/>
    <s v="PIL1/JW/44"/>
    <d v="2026-07-07T00:00:00"/>
    <m/>
    <m/>
    <m/>
    <s v="LAXMAN B BAKUTRA"/>
    <s v="181 07-07-2026"/>
    <n v="0"/>
    <n v="0"/>
    <n v="0"/>
    <n v="0"/>
    <n v="0"/>
    <s v="VAT"/>
    <n v="0"/>
    <n v="0"/>
    <n v="0"/>
    <n v="0"/>
    <n v="0"/>
    <m/>
    <n v="0"/>
    <n v="0"/>
    <n v="0"/>
    <s v="RM"/>
    <s v="Granules"/>
    <s v="Masterbatch"/>
    <s v="RM"/>
    <m/>
    <n v="0"/>
    <n v="0"/>
    <n v="561"/>
    <d v="2026-07-07T00:00:00"/>
    <s v="24AAACO3087C1ZT"/>
    <s v="bharatd"/>
    <m/>
    <n v="9"/>
    <n v="1876.5"/>
    <n v="9"/>
    <n v="1876.5"/>
    <n v="0"/>
    <n v="0"/>
    <n v="0"/>
    <n v="652141134416"/>
    <d v="2026-07-07T16:24:00"/>
    <n v="150"/>
  </r>
  <r>
    <s v="Oswal Extrusion Limited"/>
    <d v="2026-08-07T00:00:00"/>
    <s v="OEL/26-27/SII00524"/>
    <s v="RAW05130"/>
    <x v="5"/>
    <n v="1"/>
    <s v="No PO"/>
    <n v="0"/>
    <n v="2000"/>
    <s v="Kgs"/>
    <n v="2000"/>
    <n v="0"/>
    <n v="2000"/>
    <s v="GJ39T9710"/>
    <s v="Plastene India ltd - Unit 1-Purchase"/>
    <s v="Plastene India ltd - Unit 1-Purchase"/>
    <s v="PIL1/JW/44"/>
    <d v="2026-07-07T00:00:00"/>
    <s v="JOB IN"/>
    <s v="OTHER"/>
    <s v="JBIN-OT 82"/>
    <n v="115"/>
    <n v="0"/>
    <s v="PIL1/JW/44"/>
    <d v="2026-07-07T00:00:00"/>
    <m/>
    <m/>
    <m/>
    <s v="LAXMAN B BAKUTRA"/>
    <s v="181 07-07-2026"/>
    <n v="0"/>
    <n v="0"/>
    <n v="0"/>
    <n v="0"/>
    <n v="0"/>
    <s v="VAT"/>
    <n v="0"/>
    <n v="0"/>
    <n v="0"/>
    <n v="0"/>
    <n v="0"/>
    <m/>
    <n v="0"/>
    <n v="0"/>
    <n v="0"/>
    <s v="RM"/>
    <s v="Granules"/>
    <s v="PP Granules"/>
    <s v="RM"/>
    <s v="erp"/>
    <n v="0"/>
    <n v="0"/>
    <n v="561"/>
    <d v="2026-07-07T00:00:00"/>
    <s v="24AAACO3087C1ZT"/>
    <s v="bharatd"/>
    <m/>
    <n v="9"/>
    <n v="20700"/>
    <n v="9"/>
    <n v="20700"/>
    <n v="0"/>
    <n v="0"/>
    <n v="0"/>
    <n v="652141134416"/>
    <d v="2026-07-07T16:24:00"/>
    <n v="2000"/>
  </r>
  <r>
    <s v="Oswal Extrusion Limited"/>
    <d v="2026-09-07T00:00:00"/>
    <s v="OEL/26-27/SII00525"/>
    <s v="RAW05124"/>
    <x v="0"/>
    <n v="2"/>
    <s v="No PO"/>
    <n v="0"/>
    <n v="119"/>
    <s v="Kgs"/>
    <n v="119"/>
    <n v="0"/>
    <n v="119"/>
    <s v="GJ12BY0479"/>
    <s v="K.P. Woven Pvt Ltd - Unit 3 -Purchase"/>
    <s v="K.P. Woven Pvt Ltd - Unit 3 -Purchase"/>
    <s v="KPW/JW/077"/>
    <d v="2026-08-07T00:00:00"/>
    <s v="JOB IN"/>
    <s v="OTHER"/>
    <s v="JBIN-OT 83"/>
    <n v="172.78"/>
    <n v="0"/>
    <s v="KPW/JW/077"/>
    <d v="2026-08-07T00:00:00"/>
    <m/>
    <m/>
    <m/>
    <s v="by Truck"/>
    <d v="2026-08-07T00:00:00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568"/>
    <d v="2026-08-07T00:00:00"/>
    <s v="24AAECK6307M2ZE"/>
    <s v="bharatd"/>
    <m/>
    <n v="0"/>
    <n v="0"/>
    <n v="0"/>
    <n v="0"/>
    <n v="0"/>
    <n v="0"/>
    <n v="0"/>
    <s v="-"/>
    <d v="2026-07-08T10:18:00"/>
    <n v="119"/>
  </r>
  <r>
    <s v="Oswal Extrusion Limited"/>
    <d v="2026-09-07T00:00:00"/>
    <s v="OEL/26-27/SII00525"/>
    <s v="WIP00013"/>
    <x v="0"/>
    <n v="3"/>
    <s v="No PO"/>
    <n v="0"/>
    <n v="446.3"/>
    <s v="Kgs"/>
    <n v="446.3"/>
    <n v="0"/>
    <n v="446.3"/>
    <s v="GJ12BY0479"/>
    <s v="K.P. Woven Pvt Ltd - Unit 3 -Purchase"/>
    <s v="K.P. Woven Pvt Ltd - Unit 3 -Purchase"/>
    <s v="KPW/JW/077"/>
    <d v="2026-08-07T00:00:00"/>
    <s v="JOB IN"/>
    <s v="OTHER"/>
    <s v="JBIN-OT 83"/>
    <n v="173.99365897378399"/>
    <n v="0"/>
    <s v="KPW/JW/077"/>
    <d v="2026-08-07T00:00:00"/>
    <m/>
    <m/>
    <m/>
    <s v="by Truck"/>
    <d v="2026-08-07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568"/>
    <d v="2026-08-07T00:00:00"/>
    <s v="24AAECK6307M2ZE"/>
    <s v="bharatd"/>
    <m/>
    <n v="0"/>
    <n v="0"/>
    <n v="0"/>
    <n v="0"/>
    <n v="0"/>
    <n v="0"/>
    <n v="0"/>
    <s v="-"/>
    <d v="2026-07-08T10:18:00"/>
    <n v="446.3"/>
  </r>
  <r>
    <s v="Oswal Extrusion Limited"/>
    <d v="2026-09-07T00:00:00"/>
    <s v="OEL/26-27/SII00525"/>
    <s v="WIP00025"/>
    <x v="2"/>
    <n v="1"/>
    <s v="No PO"/>
    <n v="0"/>
    <n v="2887"/>
    <s v="Kgs"/>
    <n v="2887"/>
    <n v="0"/>
    <n v="2887"/>
    <s v="GJ12BY0479"/>
    <s v="K.P. Woven Pvt Ltd - Unit 3 -Purchase"/>
    <s v="K.P. Woven Pvt Ltd - Unit 3 -Purchase"/>
    <s v="KPW/JW/077"/>
    <d v="2026-08-07T00:00:00"/>
    <s v="JOB IN"/>
    <s v="OTHER"/>
    <s v="JBIN-OT 83"/>
    <n v="178.02926913751301"/>
    <n v="0"/>
    <s v="KPW/JW/077"/>
    <d v="2026-08-07T00:00:00"/>
    <m/>
    <m/>
    <m/>
    <s v="by Truck"/>
    <d v="2026-08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568"/>
    <d v="2026-08-07T00:00:00"/>
    <s v="24AAECK6307M2ZE"/>
    <s v="bharatd"/>
    <m/>
    <n v="0"/>
    <n v="0"/>
    <n v="0"/>
    <n v="0"/>
    <n v="0"/>
    <n v="0"/>
    <n v="0"/>
    <s v="-"/>
    <d v="2026-07-08T10:18:00"/>
    <n v="2887"/>
  </r>
  <r>
    <s v="Oswal Extrusion Limited"/>
    <d v="2026-10-07T00:00:00"/>
    <s v="OEL/26-27/SII00528"/>
    <s v="WIP00023"/>
    <x v="6"/>
    <n v="2"/>
    <s v="No PO"/>
    <n v="0"/>
    <n v="812.1"/>
    <s v="Kgs"/>
    <n v="812.1"/>
    <n v="0"/>
    <n v="812.1"/>
    <s v="GJ24X8795"/>
    <s v="K.P. Woven Pvt Ltd - Unit 3 -Purchase"/>
    <s v="K.P. Woven Pvt Ltd - Unit 3 -Purchase"/>
    <s v="KPW/JW/078"/>
    <d v="2026-09-07T00:00:00"/>
    <s v="JOB IN"/>
    <s v="OTHER"/>
    <s v="JBIN-OT 84"/>
    <n v="138.99617042236201"/>
    <n v="0"/>
    <s v="KPW/JW/078"/>
    <d v="2026-09-07T00:00:00"/>
    <m/>
    <m/>
    <m/>
    <s v="by Truck"/>
    <d v="2026-09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578"/>
    <d v="2026-09-07T00:00:00"/>
    <s v="24AAECK6307M2ZE"/>
    <s v="bharatd"/>
    <m/>
    <n v="0"/>
    <n v="0"/>
    <n v="0"/>
    <n v="0"/>
    <n v="0"/>
    <n v="0"/>
    <n v="0"/>
    <s v="-"/>
    <d v="2026-07-09T11:53:00"/>
    <n v="812.1"/>
  </r>
  <r>
    <s v="Oswal Extrusion Limited"/>
    <d v="2026-10-07T00:00:00"/>
    <s v="OEL/26-27/SII00528"/>
    <s v="RAW05951"/>
    <x v="4"/>
    <n v="1"/>
    <s v="No PO"/>
    <n v="0"/>
    <n v="1761.1"/>
    <s v="Kgs"/>
    <n v="1761.1"/>
    <n v="0"/>
    <n v="1761.1"/>
    <s v="GJ24X8795"/>
    <s v="K.P. Woven Pvt Ltd - Unit 3 -Purchase"/>
    <s v="K.P. Woven Pvt Ltd - Unit 3 -Purchase"/>
    <s v="KPW/JW/078"/>
    <d v="2026-09-07T00:00:00"/>
    <s v="JOB IN"/>
    <s v="OTHER"/>
    <s v="JBIN-OT 84"/>
    <n v="135.608551473511"/>
    <n v="0"/>
    <s v="KPW/JW/078"/>
    <d v="2026-09-07T00:00:00"/>
    <m/>
    <m/>
    <m/>
    <s v="by Truck"/>
    <d v="2026-09-07T00:00:00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578"/>
    <d v="2026-09-07T00:00:00"/>
    <s v="24AAECK6307M2ZE"/>
    <s v="bharatd"/>
    <m/>
    <n v="0"/>
    <n v="0"/>
    <n v="0"/>
    <n v="0"/>
    <n v="0"/>
    <n v="0"/>
    <n v="0"/>
    <s v="-"/>
    <d v="2026-07-09T11:53:00"/>
    <n v="1761.1"/>
  </r>
  <r>
    <s v="Oswal Extrusion Limited"/>
    <d v="2026-11-07T00:00:00"/>
    <s v="OEL/26-27/SII00530"/>
    <s v="WIP00025"/>
    <x v="2"/>
    <n v="3"/>
    <s v="No PO"/>
    <n v="0"/>
    <n v="2850"/>
    <s v="Kgs"/>
    <n v="2850"/>
    <n v="0"/>
    <n v="2850"/>
    <s v="GJ12BV1841, GJ12BY0479..."/>
    <s v="K.P. Woven Pvt Ltd - Unit 3 -Purchase"/>
    <s v="K.P. Woven Pvt Ltd - Unit 3 -Purchase"/>
    <s v="KPW/JW/079"/>
    <d v="2026-10-07T00:00:00"/>
    <s v="JOB IN"/>
    <s v="OTHER"/>
    <s v="JBIN-OT 85"/>
    <n v="172.82564912280699"/>
    <n v="0"/>
    <s v="KPW/JW/079"/>
    <d v="2026-10-07T00:00:00"/>
    <m/>
    <m/>
    <m/>
    <s v="by Truck"/>
    <d v="2026-10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584"/>
    <d v="2026-10-07T00:00:00"/>
    <s v="24AAECK6307M2ZE"/>
    <s v="bharatd"/>
    <m/>
    <n v="0"/>
    <n v="0"/>
    <n v="0"/>
    <n v="0"/>
    <n v="0"/>
    <n v="0"/>
    <n v="0"/>
    <s v="-"/>
    <d v="2026-07-10T12:17:00"/>
    <n v="2850"/>
  </r>
  <r>
    <s v="Oswal Extrusion Limited"/>
    <d v="2026-11-07T00:00:00"/>
    <s v="OEL/26-27/SII00530"/>
    <s v="WIP00013"/>
    <x v="0"/>
    <n v="2"/>
    <s v="No PO"/>
    <n v="0"/>
    <n v="4994"/>
    <s v="Kgs"/>
    <n v="4994"/>
    <n v="0"/>
    <n v="4994"/>
    <s v="GJ12BV1841, GJ12BY0479..."/>
    <s v="K.P. Woven Pvt Ltd - Unit 3 -Purchase"/>
    <s v="K.P. Woven Pvt Ltd - Unit 3 -Purchase"/>
    <s v="KPW/JW/079"/>
    <d v="2026-10-07T00:00:00"/>
    <s v="JOB IN"/>
    <s v="OTHER"/>
    <s v="JBIN-OT 85"/>
    <n v="174.193344012815"/>
    <n v="0"/>
    <s v="KPW/JW/079"/>
    <d v="2026-10-07T00:00:00"/>
    <m/>
    <m/>
    <m/>
    <s v="by Truck"/>
    <d v="2026-10-07T00:00:00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584"/>
    <d v="2026-10-07T00:00:00"/>
    <s v="24AAECK6307M2ZE"/>
    <s v="bharatd"/>
    <m/>
    <n v="0"/>
    <n v="0"/>
    <n v="0"/>
    <n v="0"/>
    <n v="0"/>
    <n v="0"/>
    <n v="0"/>
    <s v="-"/>
    <d v="2026-07-10T12:17:00"/>
    <n v="4994"/>
  </r>
  <r>
    <s v="Oswal Extrusion Limited"/>
    <d v="2026-11-07T00:00:00"/>
    <s v="OEL/26-27/SII00530"/>
    <s v="WIP00015"/>
    <x v="1"/>
    <n v="4"/>
    <s v="No PO"/>
    <n v="0"/>
    <n v="3300.6"/>
    <s v="Kgs"/>
    <n v="3300.6"/>
    <n v="0"/>
    <n v="3300.6"/>
    <s v="GJ12BV1841, GJ12BY0479..."/>
    <s v="K.P. Woven Pvt Ltd - Unit 3 -Purchase"/>
    <s v="K.P. Woven Pvt Ltd - Unit 3 -Purchase"/>
    <s v="KPW/JW/079"/>
    <d v="2026-10-07T00:00:00"/>
    <s v="JOB IN"/>
    <s v="OTHER"/>
    <s v="JBIN-OT 85"/>
    <n v="148.13231836635799"/>
    <n v="0"/>
    <s v="KPW/JW/079"/>
    <d v="2026-10-07T00:00:00"/>
    <m/>
    <m/>
    <m/>
    <s v="by Truck"/>
    <d v="2026-10-07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584"/>
    <d v="2026-10-07T00:00:00"/>
    <s v="24AAECK6307M2ZE"/>
    <s v="bharatd"/>
    <m/>
    <n v="0"/>
    <n v="0"/>
    <n v="0"/>
    <n v="0"/>
    <n v="0"/>
    <n v="0"/>
    <n v="0"/>
    <s v="-"/>
    <d v="2026-07-10T12:17:00"/>
    <n v="3300.6"/>
  </r>
  <r>
    <s v="Oswal Extrusion Limited"/>
    <d v="2026-11-07T00:00:00"/>
    <s v="OEL/26-27/SII00530"/>
    <s v="WIP00023"/>
    <x v="6"/>
    <n v="1"/>
    <s v="No PO"/>
    <n v="0"/>
    <n v="2060"/>
    <s v="Kgs"/>
    <n v="2060"/>
    <n v="0"/>
    <n v="2060"/>
    <s v="GJ12BV1841, GJ12BY0479..."/>
    <s v="K.P. Woven Pvt Ltd - Unit 3 -Purchase"/>
    <s v="K.P. Woven Pvt Ltd - Unit 3 -Purchase"/>
    <s v="KPW/JW/079"/>
    <d v="2026-10-07T00:00:00"/>
    <s v="JOB IN"/>
    <s v="OTHER"/>
    <s v="JBIN-OT 85"/>
    <n v="138.99600000000001"/>
    <n v="0"/>
    <s v="KPW/JW/079"/>
    <d v="2026-10-07T00:00:00"/>
    <m/>
    <m/>
    <m/>
    <s v="by Truck"/>
    <d v="2026-10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584"/>
    <d v="2026-10-07T00:00:00"/>
    <s v="24AAECK6307M2ZE"/>
    <s v="bharatd"/>
    <m/>
    <n v="0"/>
    <n v="0"/>
    <n v="0"/>
    <n v="0"/>
    <n v="0"/>
    <n v="0"/>
    <n v="0"/>
    <s v="-"/>
    <d v="2026-07-10T12:17:00"/>
    <n v="2060"/>
  </r>
  <r>
    <s v="Oswal Extrusion Limited"/>
    <s v="14-07-2026"/>
    <s v="OEL/26-27/SII00553"/>
    <s v="WIP00013"/>
    <x v="0"/>
    <n v="3"/>
    <s v="No PO"/>
    <n v="0"/>
    <n v="4140.17"/>
    <s v="Kgs"/>
    <n v="4140.17"/>
    <n v="0"/>
    <n v="4140.17"/>
    <s v="GJ08AW4250, GJ12BY1595"/>
    <s v="K.P. Woven Pvt Ltd - Unit 3 -Purchase"/>
    <s v="K.P. Woven Pvt Ltd - Unit 3 -Purchase"/>
    <s v="KPW/JW/081"/>
    <s v="13-07-2026"/>
    <s v="JOB IN"/>
    <s v="OTHER"/>
    <s v="JBIN-OT 86"/>
    <n v="174.50979066076999"/>
    <n v="0"/>
    <s v="KPW/JW/081"/>
    <s v="13-07-2026"/>
    <m/>
    <m/>
    <m/>
    <s v="by Truck"/>
    <s v="13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596"/>
    <s v="13-07-2026"/>
    <s v="24AAECK6307M2ZE"/>
    <s v="bharatd"/>
    <m/>
    <n v="0"/>
    <n v="0"/>
    <n v="0"/>
    <n v="0"/>
    <n v="0"/>
    <n v="0"/>
    <n v="0"/>
    <s v="-"/>
    <d v="2026-07-13T15:38:00"/>
    <n v="4140.17"/>
  </r>
  <r>
    <s v="Oswal Extrusion Limited"/>
    <s v="14-07-2026"/>
    <s v="OEL/26-27/SII00553"/>
    <s v="WIP00025"/>
    <x v="2"/>
    <n v="2"/>
    <s v="No PO"/>
    <n v="0"/>
    <n v="726"/>
    <s v="Kgs"/>
    <n v="726"/>
    <n v="0"/>
    <n v="726"/>
    <s v="GJ08AW4250, GJ12BY1595"/>
    <s v="K.P. Woven Pvt Ltd - Unit 3 -Purchase"/>
    <s v="K.P. Woven Pvt Ltd - Unit 3 -Purchase"/>
    <s v="KPW/JW/081"/>
    <s v="13-07-2026"/>
    <s v="JOB IN"/>
    <s v="OTHER"/>
    <s v="JBIN-OT 86"/>
    <n v="142.00796143250699"/>
    <n v="0"/>
    <s v="KPW/JW/081"/>
    <s v="13-07-2026"/>
    <m/>
    <m/>
    <m/>
    <s v="by Truck"/>
    <s v="13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596"/>
    <s v="13-07-2026"/>
    <s v="24AAECK6307M2ZE"/>
    <s v="bharatd"/>
    <m/>
    <n v="0"/>
    <n v="0"/>
    <n v="0"/>
    <n v="0"/>
    <n v="0"/>
    <n v="0"/>
    <n v="0"/>
    <s v="-"/>
    <d v="2026-07-13T15:38:00"/>
    <n v="726"/>
  </r>
  <r>
    <s v="Oswal Extrusion Limited"/>
    <s v="14-07-2026"/>
    <s v="OEL/26-27/SII00553"/>
    <s v="WIP00023"/>
    <x v="6"/>
    <n v="1"/>
    <s v="No PO"/>
    <n v="0"/>
    <n v="1653"/>
    <s v="Kgs"/>
    <n v="1653"/>
    <n v="0"/>
    <n v="1653"/>
    <s v="GJ08AW4250, GJ12BY1595"/>
    <s v="K.P. Woven Pvt Ltd - Unit 3 -Purchase"/>
    <s v="K.P. Woven Pvt Ltd - Unit 3 -Purchase"/>
    <s v="KPW/JW/081"/>
    <s v="13-07-2026"/>
    <s v="JOB IN"/>
    <s v="OTHER"/>
    <s v="JBIN-OT 86"/>
    <n v="102.85"/>
    <n v="0"/>
    <s v="KPW/JW/081"/>
    <s v="13-07-2026"/>
    <m/>
    <m/>
    <m/>
    <s v="by Truck"/>
    <s v="13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596"/>
    <s v="13-07-2026"/>
    <s v="24AAECK6307M2ZE"/>
    <s v="bharatd"/>
    <m/>
    <n v="0"/>
    <n v="0"/>
    <n v="0"/>
    <n v="0"/>
    <n v="0"/>
    <n v="0"/>
    <n v="0"/>
    <s v="-"/>
    <d v="2026-07-13T15:38:00"/>
    <n v="1653"/>
  </r>
  <r>
    <s v="Oswal Extrusion Limited"/>
    <s v="14-07-2026"/>
    <s v="OEL/26-27/SII00556"/>
    <s v="WIP00023"/>
    <x v="6"/>
    <n v="1"/>
    <s v="No PO"/>
    <n v="0"/>
    <n v="178"/>
    <s v="Kgs"/>
    <n v="178"/>
    <n v="0"/>
    <n v="178"/>
    <s v="GJ12BY1595"/>
    <s v="K.P. Woven Pvt Ltd - Unit 3 -Purchase"/>
    <s v="K.P. Woven Pvt Ltd - Unit 3 -Purchase"/>
    <s v="KPW/JW/080"/>
    <d v="2026-11-07T00:00:00"/>
    <s v="JOB IN"/>
    <s v="OTHER"/>
    <s v="JBIN-OT 87"/>
    <n v="103.097528089888"/>
    <n v="0"/>
    <s v="KPW/JW/080"/>
    <d v="2026-11-07T00:00:00"/>
    <m/>
    <m/>
    <m/>
    <s v="by Truck"/>
    <d v="2026-11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589"/>
    <d v="2026-11-07T00:00:00"/>
    <s v="24AAECK6307M2ZE"/>
    <s v="bharatd"/>
    <m/>
    <n v="0"/>
    <n v="0"/>
    <n v="0"/>
    <n v="0"/>
    <n v="0"/>
    <n v="0"/>
    <n v="0"/>
    <s v="-"/>
    <d v="2026-07-11T16:26:00"/>
    <n v="178"/>
  </r>
  <r>
    <s v="Oswal Extrusion Limited"/>
    <s v="14-07-2026"/>
    <s v="OEL/26-27/SII00556"/>
    <s v="WIP00025"/>
    <x v="2"/>
    <n v="2"/>
    <s v="No PO"/>
    <n v="0"/>
    <n v="285"/>
    <s v="Kgs"/>
    <n v="285"/>
    <n v="0"/>
    <n v="285"/>
    <s v="GJ12BY1595"/>
    <s v="K.P. Woven Pvt Ltd - Unit 3 -Purchase"/>
    <s v="K.P. Woven Pvt Ltd - Unit 3 -Purchase"/>
    <s v="KPW/JW/080"/>
    <d v="2026-11-07T00:00:00"/>
    <s v="JOB IN"/>
    <s v="OTHER"/>
    <s v="JBIN-OT 87"/>
    <n v="148.47"/>
    <n v="0"/>
    <s v="KPW/JW/080"/>
    <d v="2026-11-07T00:00:00"/>
    <m/>
    <m/>
    <m/>
    <s v="by Truck"/>
    <d v="2026-11-07T00:00:00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589"/>
    <d v="2026-11-07T00:00:00"/>
    <s v="24AAECK6307M2ZE"/>
    <s v="bharatd"/>
    <m/>
    <n v="0"/>
    <n v="0"/>
    <n v="0"/>
    <n v="0"/>
    <n v="0"/>
    <n v="0"/>
    <n v="0"/>
    <s v="-"/>
    <d v="2026-07-11T16:26:00"/>
    <n v="285"/>
  </r>
  <r>
    <s v="Oswal Extrusion Limited"/>
    <s v="14-07-2026"/>
    <s v="OEL/26-27/SII00556"/>
    <s v="SMF00240"/>
    <x v="1"/>
    <n v="3"/>
    <s v="No PO"/>
    <n v="0"/>
    <n v="118.3"/>
    <s v="Kgs"/>
    <n v="118.3"/>
    <n v="0"/>
    <n v="118.3"/>
    <s v="GJ12BY1595"/>
    <s v="K.P. Woven Pvt Ltd - Unit 3 -Purchase"/>
    <s v="K.P. Woven Pvt Ltd - Unit 3 -Purchase"/>
    <s v="KPW/JW/080"/>
    <d v="2026-11-07T00:00:00"/>
    <s v="JOB IN"/>
    <s v="OTHER"/>
    <s v="JBIN-OT 87"/>
    <n v="160"/>
    <n v="0"/>
    <s v="KPW/JW/080"/>
    <d v="2026-11-07T00:00:00"/>
    <m/>
    <m/>
    <m/>
    <s v="by Truck"/>
    <d v="2026-11-07T00:00:00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589"/>
    <d v="2026-11-07T00:00:00"/>
    <s v="24AAECK6307M2ZE"/>
    <s v="bharatd"/>
    <m/>
    <n v="0"/>
    <n v="0"/>
    <n v="0"/>
    <n v="0"/>
    <n v="0"/>
    <n v="0"/>
    <n v="0"/>
    <s v="-"/>
    <d v="2026-07-11T16:26:00"/>
    <n v="118.3"/>
  </r>
  <r>
    <s v="Oswal Extrusion Limited"/>
    <s v="15-07-2026"/>
    <s v="OEL/26-27/SII00559"/>
    <s v="WIP00023"/>
    <x v="6"/>
    <n v="1"/>
    <s v="No PO"/>
    <n v="0"/>
    <n v="2063"/>
    <s v="Kgs"/>
    <n v="2063"/>
    <n v="0"/>
    <n v="2063"/>
    <s v="GJ01LT7680, GJ12BY0479"/>
    <s v="K.P. Woven Pvt Ltd - Unit 3 -Purchase"/>
    <s v="K.P. Woven Pvt Ltd - Unit 3 -Purchase"/>
    <s v="KPW/JW/082"/>
    <s v="14-07-2026"/>
    <s v="JOB IN"/>
    <s v="OTHER"/>
    <s v="JBIN-OT 88"/>
    <n v="138.99622879302001"/>
    <n v="0"/>
    <s v="KPW/JW/082"/>
    <s v="14-07-2026"/>
    <m/>
    <m/>
    <m/>
    <s v="by Truck"/>
    <s v="14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01"/>
    <s v="14-07-2026"/>
    <s v="24AAECK6307M2ZE"/>
    <s v="bharatd"/>
    <m/>
    <n v="0"/>
    <n v="0"/>
    <n v="0"/>
    <n v="0"/>
    <n v="0"/>
    <n v="0"/>
    <n v="0"/>
    <s v="-"/>
    <d v="2026-07-14T14:54:00"/>
    <n v="2063"/>
  </r>
  <r>
    <s v="Oswal Extrusion Limited"/>
    <s v="15-07-2026"/>
    <s v="OEL/26-27/SII00559"/>
    <s v="WIP00025"/>
    <x v="2"/>
    <n v="2"/>
    <s v="No PO"/>
    <n v="0"/>
    <n v="1614"/>
    <s v="Kgs"/>
    <n v="1614"/>
    <n v="0"/>
    <n v="1614"/>
    <s v="GJ01LT7680, GJ12BY0479"/>
    <s v="K.P. Woven Pvt Ltd - Unit 3 -Purchase"/>
    <s v="K.P. Woven Pvt Ltd - Unit 3 -Purchase"/>
    <s v="KPW/JW/082"/>
    <s v="14-07-2026"/>
    <s v="JOB IN"/>
    <s v="OTHER"/>
    <s v="JBIN-OT 88"/>
    <n v="142.00761462205699"/>
    <n v="0"/>
    <s v="KPW/JW/082"/>
    <s v="14-07-2026"/>
    <m/>
    <m/>
    <m/>
    <s v="by Truck"/>
    <s v="14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01"/>
    <s v="14-07-2026"/>
    <s v="24AAECK6307M2ZE"/>
    <s v="bharatd"/>
    <m/>
    <n v="0"/>
    <n v="0"/>
    <n v="0"/>
    <n v="0"/>
    <n v="0"/>
    <n v="0"/>
    <n v="0"/>
    <s v="-"/>
    <d v="2026-07-14T14:54:00"/>
    <n v="1614"/>
  </r>
  <r>
    <s v="Oswal Extrusion Limited"/>
    <s v="16-07-2026"/>
    <s v="OEL/26-27/SII00573"/>
    <s v="WIP00022"/>
    <x v="1"/>
    <n v="1"/>
    <s v="No PO"/>
    <n v="0"/>
    <n v="1963"/>
    <s v="Kgs"/>
    <n v="1963"/>
    <n v="0"/>
    <n v="1963"/>
    <s v="GJ09Z0572"/>
    <s v="K.P. Woven Pvt Ltd - Unit 3 -Purchase"/>
    <s v="K.P. Woven Pvt Ltd - Unit 3 -Purchase"/>
    <s v="KPW/JW/083"/>
    <s v="15-07-2026"/>
    <s v="JOB IN"/>
    <s v="OTHER"/>
    <s v="JBIN-OT 89"/>
    <n v="177"/>
    <n v="0"/>
    <s v="KPW/JW/083"/>
    <s v="15-07-2026"/>
    <m/>
    <m/>
    <m/>
    <s v="by Truck"/>
    <s v="15-07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614"/>
    <s v="15-07-2026"/>
    <s v="24AAECK6307M2ZE"/>
    <s v="bharatd"/>
    <m/>
    <n v="0"/>
    <n v="0"/>
    <n v="0"/>
    <n v="0"/>
    <n v="0"/>
    <n v="0"/>
    <n v="0"/>
    <s v="-"/>
    <d v="2026-07-15T10:33:00"/>
    <n v="1963"/>
  </r>
  <r>
    <s v="Oswal Extrusion Limited"/>
    <s v="17-07-2026"/>
    <s v="OEL/26-27/SII00577"/>
    <s v="WIP00023"/>
    <x v="6"/>
    <n v="4"/>
    <s v="No PO"/>
    <n v="0"/>
    <n v="1058.7"/>
    <s v="Kgs"/>
    <n v="1058.7"/>
    <n v="0"/>
    <n v="1058.7"/>
    <s v="GJ12BY0479, GJ16Z8614"/>
    <s v="K.P. Woven Pvt Ltd - Unit 3 -Purchase"/>
    <s v="K.P. Woven Pvt Ltd - Unit 3 -Purchase"/>
    <s v="KPW/JW/84"/>
    <s v="16-07-2026"/>
    <s v="JOB IN"/>
    <s v="OTHER"/>
    <s v="JBIN-OT 90"/>
    <n v="138.996042316048"/>
    <n v="0"/>
    <s v="KPW/JW/84"/>
    <s v="16-07-2026"/>
    <m/>
    <m/>
    <m/>
    <s v="by Truck"/>
    <s v="16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19"/>
    <s v="16-07-2026"/>
    <s v="24AAECK6307M2ZE"/>
    <s v="bharatd"/>
    <m/>
    <n v="0"/>
    <n v="0"/>
    <n v="0"/>
    <n v="0"/>
    <n v="0"/>
    <n v="0"/>
    <n v="0"/>
    <s v="-"/>
    <d v="2026-07-16T14:39:00"/>
    <n v="1058.7"/>
  </r>
  <r>
    <s v="Oswal Extrusion Limited"/>
    <s v="17-07-2026"/>
    <s v="OEL/26-27/SII00577"/>
    <s v="WIP00013"/>
    <x v="0"/>
    <n v="2"/>
    <s v="No PO"/>
    <n v="0"/>
    <n v="201.1"/>
    <s v="Kgs"/>
    <n v="201.1"/>
    <n v="0"/>
    <n v="201.1"/>
    <s v="GJ12BY0479, GJ16Z8614"/>
    <s v="K.P. Woven Pvt Ltd - Unit 3 -Purchase"/>
    <s v="K.P. Woven Pvt Ltd - Unit 3 -Purchase"/>
    <s v="KPW/JW/84"/>
    <s v="16-07-2026"/>
    <s v="JOB IN"/>
    <s v="OTHER"/>
    <s v="JBIN-OT 90"/>
    <n v="174.6"/>
    <n v="0"/>
    <s v="KPW/JW/84"/>
    <s v="16-07-2026"/>
    <m/>
    <m/>
    <m/>
    <s v="by Truck"/>
    <s v="16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19"/>
    <s v="16-07-2026"/>
    <s v="24AAECK6307M2ZE"/>
    <s v="bharatd"/>
    <m/>
    <n v="0"/>
    <n v="0"/>
    <n v="0"/>
    <n v="0"/>
    <n v="0"/>
    <n v="0"/>
    <n v="0"/>
    <s v="-"/>
    <d v="2026-07-16T14:39:00"/>
    <n v="201.1"/>
  </r>
  <r>
    <s v="Oswal Extrusion Limited"/>
    <s v="17-07-2026"/>
    <s v="OEL/26-27/SII00577"/>
    <s v="WIP00025"/>
    <x v="2"/>
    <n v="1"/>
    <s v="No PO"/>
    <n v="0"/>
    <n v="2369"/>
    <s v="Kgs"/>
    <n v="2369"/>
    <n v="0"/>
    <n v="2369"/>
    <s v="GJ12BY0479, GJ16Z8614"/>
    <s v="K.P. Woven Pvt Ltd - Unit 3 -Purchase"/>
    <s v="K.P. Woven Pvt Ltd - Unit 3 -Purchase"/>
    <s v="KPW/JW/84"/>
    <s v="16-07-2026"/>
    <s v="JOB IN"/>
    <s v="OTHER"/>
    <s v="JBIN-OT 90"/>
    <n v="142.00791051076399"/>
    <n v="0"/>
    <s v="KPW/JW/84"/>
    <s v="16-07-2026"/>
    <m/>
    <m/>
    <m/>
    <s v="by Truck"/>
    <s v="16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19"/>
    <s v="16-07-2026"/>
    <s v="24AAECK6307M2ZE"/>
    <s v="bharatd"/>
    <m/>
    <n v="0"/>
    <n v="0"/>
    <n v="0"/>
    <n v="0"/>
    <n v="0"/>
    <n v="0"/>
    <n v="0"/>
    <s v="-"/>
    <d v="2026-07-16T14:39:00"/>
    <n v="2369"/>
  </r>
  <r>
    <s v="Oswal Extrusion Limited"/>
    <s v="17-07-2026"/>
    <s v="OEL/26-27/SII00577"/>
    <s v="RAW05124"/>
    <x v="0"/>
    <n v="3"/>
    <s v="No PO"/>
    <n v="0"/>
    <n v="444"/>
    <s v="Kgs"/>
    <n v="444"/>
    <n v="0"/>
    <n v="444"/>
    <s v="GJ12BY0479, GJ16Z8614"/>
    <s v="K.P. Woven Pvt Ltd - Unit 3 -Purchase"/>
    <s v="K.P. Woven Pvt Ltd - Unit 3 -Purchase"/>
    <s v="KPW/JW/84"/>
    <s v="16-07-2026"/>
    <s v="JOB IN"/>
    <s v="OTHER"/>
    <s v="JBIN-OT 90"/>
    <n v="160.59468468468501"/>
    <n v="0"/>
    <s v="KPW/JW/84"/>
    <s v="16-07-2026"/>
    <m/>
    <m/>
    <m/>
    <s v="by Truck"/>
    <s v="16-07-2026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619"/>
    <s v="16-07-2026"/>
    <s v="24AAECK6307M2ZE"/>
    <s v="bharatd"/>
    <m/>
    <n v="0"/>
    <n v="0"/>
    <n v="0"/>
    <n v="0"/>
    <n v="0"/>
    <n v="0"/>
    <n v="0"/>
    <s v="-"/>
    <d v="2026-07-16T14:39:00"/>
    <n v="444"/>
  </r>
  <r>
    <s v="Oswal Extrusion Limited"/>
    <s v="18-07-2026"/>
    <s v="OEL/26-27/SII00581"/>
    <s v="RAW05516"/>
    <x v="8"/>
    <n v="1"/>
    <s v="No PO"/>
    <n v="0"/>
    <n v="1500"/>
    <s v="Kgs"/>
    <n v="1500"/>
    <n v="0"/>
    <n v="1500"/>
    <s v="GJ09Z0572"/>
    <s v="Plastene India ltd - Unit 1-Purchase"/>
    <s v="Plastene India ltd - Unit 1-Purchase"/>
    <s v="PIL1/JW/49"/>
    <s v="17-07-2026"/>
    <s v="JOB IN"/>
    <s v="OTHER"/>
    <s v="JBIN-OT 91"/>
    <n v="194.99"/>
    <n v="0"/>
    <s v="PIL1/JW/49"/>
    <s v="17-07-2026"/>
    <m/>
    <m/>
    <m/>
    <s v="LAXMAN B BAKUTRA"/>
    <s v="200 17-07-2026"/>
    <n v="0"/>
    <n v="0"/>
    <n v="0"/>
    <n v="0"/>
    <n v="0"/>
    <s v="VAT"/>
    <n v="0"/>
    <n v="0"/>
    <n v="0"/>
    <n v="0"/>
    <n v="0"/>
    <m/>
    <n v="0"/>
    <n v="0"/>
    <n v="0"/>
    <s v="RM"/>
    <s v="Granules"/>
    <s v="UV MB"/>
    <s v="RM"/>
    <s v="erp"/>
    <n v="0"/>
    <n v="0"/>
    <n v="623"/>
    <s v="17-07-2026"/>
    <s v="24AAACO3087C1ZT"/>
    <s v="bharatd"/>
    <m/>
    <n v="0"/>
    <n v="0"/>
    <n v="0"/>
    <n v="0"/>
    <n v="0"/>
    <n v="0"/>
    <n v="0"/>
    <s v="-"/>
    <d v="2026-07-17T09:19:00"/>
    <n v="1500"/>
  </r>
  <r>
    <s v="Oswal Extrusion Limited"/>
    <s v="18-07-2026"/>
    <s v="OEL/26-27/SII00584"/>
    <s v="WIP00025"/>
    <x v="2"/>
    <n v="3"/>
    <s v="No PO"/>
    <n v="0"/>
    <n v="3887"/>
    <s v="Kgs"/>
    <n v="3887"/>
    <n v="0"/>
    <n v="3887"/>
    <s v="GJ09Z0572"/>
    <s v="K.P. Woven Pvt Ltd - Unit 3 -Purchase"/>
    <s v="K.P. Woven Pvt Ltd - Unit 3 -Purchase"/>
    <s v="KPW/JW/85"/>
    <s v="17-07-2026"/>
    <s v="JOB IN"/>
    <s v="OTHER"/>
    <s v="JBIN-OT 92"/>
    <n v="142.007905839979"/>
    <n v="0"/>
    <s v="KPW/JW/85"/>
    <s v="17-07-2026"/>
    <m/>
    <m/>
    <m/>
    <s v="by Truck"/>
    <s v="17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24"/>
    <s v="17-07-2026"/>
    <s v="24AAECK6307M2ZE"/>
    <s v="bharatd"/>
    <m/>
    <n v="0"/>
    <n v="0"/>
    <n v="0"/>
    <n v="0"/>
    <n v="0"/>
    <n v="0"/>
    <n v="0"/>
    <s v="-"/>
    <d v="2026-07-17T11:53:00"/>
    <n v="3887"/>
  </r>
  <r>
    <s v="Oswal Extrusion Limited"/>
    <s v="18-07-2026"/>
    <s v="OEL/26-27/SII00584"/>
    <s v="WIP00013"/>
    <x v="0"/>
    <n v="2"/>
    <s v="No PO"/>
    <n v="0"/>
    <n v="123"/>
    <s v="Kgs"/>
    <n v="123"/>
    <n v="0"/>
    <n v="123"/>
    <s v="GJ09Z0572"/>
    <s v="K.P. Woven Pvt Ltd - Unit 3 -Purchase"/>
    <s v="K.P. Woven Pvt Ltd - Unit 3 -Purchase"/>
    <s v="KPW/JW/85"/>
    <s v="17-07-2026"/>
    <s v="JOB IN"/>
    <s v="OTHER"/>
    <s v="JBIN-OT 92"/>
    <n v="174.601788617886"/>
    <n v="0"/>
    <s v="KPW/JW/85"/>
    <s v="17-07-2026"/>
    <m/>
    <m/>
    <m/>
    <s v="by Truck"/>
    <s v="17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24"/>
    <s v="17-07-2026"/>
    <s v="24AAECK6307M2ZE"/>
    <s v="bharatd"/>
    <m/>
    <n v="0"/>
    <n v="0"/>
    <n v="0"/>
    <n v="0"/>
    <n v="0"/>
    <n v="0"/>
    <n v="0"/>
    <s v="-"/>
    <d v="2026-07-17T11:53:00"/>
    <n v="123"/>
  </r>
  <r>
    <s v="Oswal Extrusion Limited"/>
    <s v="18-07-2026"/>
    <s v="OEL/26-27/SII00584"/>
    <s v="WIP00015"/>
    <x v="1"/>
    <n v="1"/>
    <s v="No PO"/>
    <n v="0"/>
    <n v="2188.3000000000002"/>
    <s v="Kgs"/>
    <n v="2188.3000000000002"/>
    <n v="0"/>
    <n v="2188.3000000000002"/>
    <s v="GJ09Z0572"/>
    <s v="K.P. Woven Pvt Ltd - Unit 3 -Purchase"/>
    <s v="K.P. Woven Pvt Ltd - Unit 3 -Purchase"/>
    <s v="KPW/JW/85"/>
    <s v="17-07-2026"/>
    <s v="JOB IN"/>
    <s v="OTHER"/>
    <s v="JBIN-OT 92"/>
    <n v="148.64430379746801"/>
    <n v="0"/>
    <s v="KPW/JW/85"/>
    <s v="17-07-2026"/>
    <m/>
    <m/>
    <m/>
    <s v="by Truck"/>
    <s v="17-07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624"/>
    <s v="17-07-2026"/>
    <s v="24AAECK6307M2ZE"/>
    <s v="bharatd"/>
    <m/>
    <n v="0"/>
    <n v="0"/>
    <n v="0"/>
    <n v="0"/>
    <n v="0"/>
    <n v="0"/>
    <n v="0"/>
    <s v="-"/>
    <d v="2026-07-17T11:53:00"/>
    <n v="2188.3000000000002"/>
  </r>
  <r>
    <s v="Oswal Extrusion Limited"/>
    <s v="20-07-2026"/>
    <s v="OEL/26-27/SII00586"/>
    <s v="WIP00023"/>
    <x v="6"/>
    <n v="1"/>
    <s v="No PO"/>
    <n v="0"/>
    <n v="1763"/>
    <s v="Kgs"/>
    <n v="1763"/>
    <n v="0"/>
    <n v="1763"/>
    <s v="GJ06AX2024, GJ12BY0479"/>
    <s v="K.P. Woven Pvt Ltd - Unit 3 -Purchase"/>
    <s v="K.P. Woven Pvt Ltd - Unit 3 -Purchase"/>
    <s v="KPW/JW/86"/>
    <s v="18-07-2026"/>
    <s v="JOB IN"/>
    <s v="OTHER"/>
    <s v="JBIN-OT 93"/>
    <n v="138.99626772546799"/>
    <n v="0"/>
    <s v="KPW/JW/86"/>
    <s v="18-07-2026"/>
    <m/>
    <m/>
    <m/>
    <s v="by Truck"/>
    <s v="18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30"/>
    <s v="18-07-2026"/>
    <s v="24AAECK6307M2ZE"/>
    <s v="bharatd"/>
    <m/>
    <n v="0"/>
    <n v="0"/>
    <n v="0"/>
    <n v="0"/>
    <n v="0"/>
    <n v="0"/>
    <n v="0"/>
    <s v="-"/>
    <d v="2026-07-18T11:51:00"/>
    <n v="1763"/>
  </r>
  <r>
    <s v="Oswal Extrusion Limited"/>
    <s v="20-07-2026"/>
    <s v="OEL/26-27/SII00586"/>
    <s v="WIP00013"/>
    <x v="0"/>
    <n v="2"/>
    <s v="No PO"/>
    <n v="0"/>
    <n v="6952"/>
    <s v="Kgs"/>
    <n v="6952"/>
    <n v="0"/>
    <n v="6952"/>
    <s v="GJ06AX2024, GJ12BY0479"/>
    <s v="K.P. Woven Pvt Ltd - Unit 3 -Purchase"/>
    <s v="K.P. Woven Pvt Ltd - Unit 3 -Purchase"/>
    <s v="KPW/JW/86"/>
    <s v="18-07-2026"/>
    <s v="JOB IN"/>
    <s v="OTHER"/>
    <s v="JBIN-OT 93"/>
    <n v="174.60197065592601"/>
    <n v="0"/>
    <s v="KPW/JW/86"/>
    <s v="18-07-2026"/>
    <m/>
    <m/>
    <m/>
    <s v="by Truck"/>
    <s v="18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30"/>
    <s v="18-07-2026"/>
    <s v="24AAECK6307M2ZE"/>
    <s v="bharatd"/>
    <m/>
    <n v="0"/>
    <n v="0"/>
    <n v="0"/>
    <n v="0"/>
    <n v="0"/>
    <n v="0"/>
    <n v="0"/>
    <s v="-"/>
    <d v="2026-07-18T11:51:00"/>
    <n v="6952"/>
  </r>
  <r>
    <s v="Oswal Extrusion Limited"/>
    <s v="20-07-2026"/>
    <s v="OEL/26-27/SII00586"/>
    <s v="RAW05124"/>
    <x v="0"/>
    <n v="4"/>
    <s v="No PO"/>
    <n v="0"/>
    <n v="10.7"/>
    <s v="Kgs"/>
    <n v="10.7"/>
    <n v="0"/>
    <n v="10.7"/>
    <s v="GJ06AX2024, GJ12BY0479"/>
    <s v="K.P. Woven Pvt Ltd - Unit 3 -Purchase"/>
    <s v="K.P. Woven Pvt Ltd - Unit 3 -Purchase"/>
    <s v="KPW/JW/86"/>
    <s v="18-07-2026"/>
    <s v="JOB IN"/>
    <s v="OTHER"/>
    <s v="JBIN-OT 93"/>
    <n v="350"/>
    <n v="0"/>
    <s v="KPW/JW/86"/>
    <s v="18-07-2026"/>
    <m/>
    <m/>
    <m/>
    <s v="by Truck"/>
    <s v="18-07-2026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630"/>
    <s v="18-07-2026"/>
    <s v="24AAECK6307M2ZE"/>
    <s v="bharatd"/>
    <m/>
    <n v="0"/>
    <n v="0"/>
    <n v="0"/>
    <n v="0"/>
    <n v="0"/>
    <n v="0"/>
    <n v="0"/>
    <s v="-"/>
    <d v="2026-07-18T11:51:00"/>
    <n v="10.7"/>
  </r>
  <r>
    <s v="Oswal Extrusion Limited"/>
    <s v="20-07-2026"/>
    <s v="OEL/26-27/SII00586"/>
    <s v="WIP00025"/>
    <x v="2"/>
    <n v="3"/>
    <s v="No PO"/>
    <n v="0"/>
    <n v="1157"/>
    <s v="Kgs"/>
    <n v="1157"/>
    <n v="0"/>
    <n v="1157"/>
    <s v="GJ06AX2024, GJ12BY0479"/>
    <s v="K.P. Woven Pvt Ltd - Unit 3 -Purchase"/>
    <s v="K.P. Woven Pvt Ltd - Unit 3 -Purchase"/>
    <s v="KPW/JW/86"/>
    <s v="18-07-2026"/>
    <s v="JOB IN"/>
    <s v="OTHER"/>
    <s v="JBIN-OT 93"/>
    <n v="142.00767502160801"/>
    <n v="0"/>
    <s v="KPW/JW/86"/>
    <s v="18-07-2026"/>
    <m/>
    <m/>
    <m/>
    <s v="by Truck"/>
    <s v="18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30"/>
    <s v="18-07-2026"/>
    <s v="24AAECK6307M2ZE"/>
    <s v="bharatd"/>
    <m/>
    <n v="0"/>
    <n v="0"/>
    <n v="0"/>
    <n v="0"/>
    <n v="0"/>
    <n v="0"/>
    <n v="0"/>
    <s v="-"/>
    <d v="2026-07-18T11:51:00"/>
    <n v="1157"/>
  </r>
  <r>
    <s v="Oswal Extrusion Limited"/>
    <s v="21-07-2026"/>
    <s v="OEL/26-27/SII00590"/>
    <s v="WIP00013"/>
    <x v="0"/>
    <n v="3"/>
    <s v="No PO"/>
    <n v="0"/>
    <n v="303"/>
    <s v="Kgs"/>
    <n v="303"/>
    <n v="0"/>
    <n v="303"/>
    <s v="GJ16Z8614, GJ12BY0479"/>
    <s v="K.P. Woven Pvt Ltd - Unit 3 -Purchase"/>
    <s v="K.P. Woven Pvt Ltd - Unit 3 -Purchase"/>
    <s v="KPW/JW/87"/>
    <s v="20-07-2026"/>
    <s v="JOB IN"/>
    <s v="OTHER"/>
    <s v="JBIN-OT 94"/>
    <n v="174.60122112211201"/>
    <n v="0"/>
    <s v="KPW/JW/87"/>
    <s v="20-07-2026"/>
    <m/>
    <m/>
    <m/>
    <s v="by Truck"/>
    <s v="20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39"/>
    <s v="20-07-2026"/>
    <s v="24AAECK6307M2ZE"/>
    <s v="bharatd"/>
    <m/>
    <n v="0"/>
    <n v="0"/>
    <n v="0"/>
    <n v="0"/>
    <n v="0"/>
    <n v="0"/>
    <n v="0"/>
    <s v="-"/>
    <d v="2026-07-20T11:07:00"/>
    <n v="303"/>
  </r>
  <r>
    <s v="Oswal Extrusion Limited"/>
    <s v="21-07-2026"/>
    <s v="OEL/26-27/SII00590"/>
    <s v="WIP00025"/>
    <x v="2"/>
    <n v="2"/>
    <s v="No PO"/>
    <n v="0"/>
    <n v="3710.3"/>
    <s v="Kgs"/>
    <n v="3710.3"/>
    <n v="0"/>
    <n v="3710.3"/>
    <s v="GJ16Z8614, GJ12BY0479"/>
    <s v="K.P. Woven Pvt Ltd - Unit 3 -Purchase"/>
    <s v="K.P. Woven Pvt Ltd - Unit 3 -Purchase"/>
    <s v="KPW/JW/87"/>
    <s v="20-07-2026"/>
    <s v="JOB IN"/>
    <s v="OTHER"/>
    <s v="JBIN-OT 94"/>
    <n v="142.00770827156799"/>
    <n v="0"/>
    <s v="KPW/JW/87"/>
    <s v="20-07-2026"/>
    <m/>
    <m/>
    <m/>
    <s v="by Truck"/>
    <s v="20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39"/>
    <s v="20-07-2026"/>
    <s v="24AAECK6307M2ZE"/>
    <s v="bharatd"/>
    <m/>
    <n v="0"/>
    <n v="0"/>
    <n v="0"/>
    <n v="0"/>
    <n v="0"/>
    <n v="0"/>
    <n v="0"/>
    <s v="-"/>
    <d v="2026-07-20T11:07:00"/>
    <n v="3710.3"/>
  </r>
  <r>
    <s v="Oswal Extrusion Limited"/>
    <s v="21-07-2026"/>
    <s v="OEL/26-27/SII00590"/>
    <s v="RAW05951"/>
    <x v="4"/>
    <n v="1"/>
    <s v="No PO"/>
    <n v="0"/>
    <n v="1845"/>
    <s v="Kgs"/>
    <n v="1845"/>
    <n v="0"/>
    <n v="1845"/>
    <s v="GJ16Z8614, GJ12BY0479"/>
    <s v="K.P. Woven Pvt Ltd - Unit 3 -Purchase"/>
    <s v="K.P. Woven Pvt Ltd - Unit 3 -Purchase"/>
    <s v="KPW/JW/87"/>
    <s v="20-07-2026"/>
    <s v="JOB IN"/>
    <s v="OTHER"/>
    <s v="JBIN-OT 94"/>
    <n v="134.49962601626001"/>
    <n v="0"/>
    <s v="KPW/JW/87"/>
    <s v="20-07-2026"/>
    <m/>
    <m/>
    <m/>
    <s v="by Truck"/>
    <s v="20-07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639"/>
    <s v="20-07-2026"/>
    <s v="24AAECK6307M2ZE"/>
    <s v="bharatd"/>
    <m/>
    <n v="0"/>
    <n v="0"/>
    <n v="0"/>
    <n v="0"/>
    <n v="0"/>
    <n v="0"/>
    <n v="0"/>
    <s v="-"/>
    <d v="2026-07-20T11:07:00"/>
    <n v="1845"/>
  </r>
  <r>
    <s v="Oswal Extrusion Limited"/>
    <s v="22-07-2026"/>
    <s v="OEL/26-27/SII00599"/>
    <s v="WIP00013"/>
    <x v="0"/>
    <n v="2"/>
    <s v="No PO"/>
    <n v="0"/>
    <n v="3485.5"/>
    <s v="Kgs"/>
    <n v="3485.5"/>
    <n v="0"/>
    <n v="3485.5"/>
    <s v="GJ01LT7680, GJ12BY1595"/>
    <s v="K.P. Woven Pvt Ltd - Unit 3 -Purchase"/>
    <s v="K.P. Woven Pvt Ltd - Unit 3 -Purchase"/>
    <s v="KPW/JW/88"/>
    <s v="21-07-2026"/>
    <s v="JOB IN"/>
    <s v="OTHER"/>
    <s v="JBIN-OT 95"/>
    <n v="174.60183044039599"/>
    <n v="0"/>
    <s v="KPW/JW/88"/>
    <s v="21-07-2026"/>
    <m/>
    <m/>
    <m/>
    <s v="by Truck"/>
    <s v="21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52"/>
    <s v="21-07-2026"/>
    <s v="24AAECK6307M2ZE"/>
    <s v="bharatd"/>
    <m/>
    <n v="0"/>
    <n v="0"/>
    <n v="0"/>
    <n v="0"/>
    <n v="0"/>
    <n v="0"/>
    <n v="0"/>
    <s v="-"/>
    <d v="2026-07-21T11:31:00"/>
    <n v="3485.5"/>
  </r>
  <r>
    <s v="Oswal Extrusion Limited"/>
    <s v="22-07-2026"/>
    <s v="OEL/26-27/SII00599"/>
    <s v="WIP00023"/>
    <x v="6"/>
    <n v="1"/>
    <s v="No PO"/>
    <n v="0"/>
    <n v="3134"/>
    <s v="Kgs"/>
    <n v="3134"/>
    <n v="0"/>
    <n v="3134"/>
    <s v="GJ01LT7680, GJ12BY1595"/>
    <s v="K.P. Woven Pvt Ltd - Unit 3 -Purchase"/>
    <s v="K.P. Woven Pvt Ltd - Unit 3 -Purchase"/>
    <s v="KPW/JW/88"/>
    <s v="21-07-2026"/>
    <s v="JOB IN"/>
    <s v="OTHER"/>
    <s v="JBIN-OT 95"/>
    <n v="138.97536694320399"/>
    <n v="0"/>
    <s v="KPW/JW/88"/>
    <s v="21-07-2026"/>
    <m/>
    <m/>
    <m/>
    <s v="by Truck"/>
    <s v="21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52"/>
    <s v="21-07-2026"/>
    <s v="24AAECK6307M2ZE"/>
    <s v="bharatd"/>
    <m/>
    <n v="0"/>
    <n v="0"/>
    <n v="0"/>
    <n v="0"/>
    <n v="0"/>
    <n v="0"/>
    <n v="0"/>
    <s v="-"/>
    <d v="2026-07-21T11:31:00"/>
    <n v="3134"/>
  </r>
  <r>
    <s v="Oswal Extrusion Limited"/>
    <s v="23-07-2026"/>
    <s v="OEL/26-27/SII00604"/>
    <s v="WIP00013"/>
    <x v="0"/>
    <n v="1"/>
    <s v="No PO"/>
    <n v="0"/>
    <n v="382"/>
    <s v="Kgs"/>
    <n v="382"/>
    <n v="0"/>
    <n v="382"/>
    <s v="GJ34W1096, GJ12BY0479"/>
    <s v="K.P. Woven Pvt Ltd - Unit 3 -Purchase"/>
    <s v="K.P. Woven Pvt Ltd - Unit 3 -Purchase"/>
    <s v="KPW/JW/89"/>
    <s v="22-07-2026"/>
    <s v="JOB IN"/>
    <s v="OTHER"/>
    <s v="JBIN-OT 96"/>
    <n v="174.602696335079"/>
    <n v="0"/>
    <s v="KPW/JW/89"/>
    <s v="22-07-2026"/>
    <m/>
    <m/>
    <m/>
    <s v="by Truck"/>
    <s v="22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56"/>
    <s v="22-07-2026"/>
    <s v="24AAECK6307M2ZE"/>
    <s v="bharatd"/>
    <m/>
    <n v="0"/>
    <n v="0"/>
    <n v="0"/>
    <n v="0"/>
    <n v="0"/>
    <n v="0"/>
    <n v="0"/>
    <s v="-"/>
    <d v="2026-07-22T11:02:00"/>
    <n v="382"/>
  </r>
  <r>
    <s v="Oswal Extrusion Limited"/>
    <s v="23-07-2026"/>
    <s v="OEL/26-27/SII00604"/>
    <s v="WIP00025"/>
    <x v="2"/>
    <n v="2"/>
    <s v="No PO"/>
    <n v="0"/>
    <n v="2479"/>
    <s v="Kgs"/>
    <n v="2479"/>
    <n v="0"/>
    <n v="2479"/>
    <s v="GJ34W1096, GJ12BY0479"/>
    <s v="K.P. Woven Pvt Ltd - Unit 3 -Purchase"/>
    <s v="K.P. Woven Pvt Ltd - Unit 3 -Purchase"/>
    <s v="KPW/JW/89"/>
    <s v="22-07-2026"/>
    <s v="JOB IN"/>
    <s v="OTHER"/>
    <s v="JBIN-OT 96"/>
    <n v="142.00798305768501"/>
    <n v="0"/>
    <s v="KPW/JW/89"/>
    <s v="22-07-2026"/>
    <m/>
    <m/>
    <m/>
    <s v="by Truck"/>
    <s v="22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56"/>
    <s v="22-07-2026"/>
    <s v="24AAECK6307M2ZE"/>
    <s v="bharatd"/>
    <m/>
    <n v="0"/>
    <n v="0"/>
    <n v="0"/>
    <n v="0"/>
    <n v="0"/>
    <n v="0"/>
    <n v="0"/>
    <s v="-"/>
    <d v="2026-07-22T11:02:00"/>
    <n v="2479"/>
  </r>
  <r>
    <s v="Oswal Extrusion Limited"/>
    <s v="25-07-2026"/>
    <s v="OEL/26-27/SII00615"/>
    <s v="WIP00013"/>
    <x v="0"/>
    <n v="5"/>
    <s v="No PO"/>
    <n v="0"/>
    <n v="6980.4"/>
    <s v="Kgs"/>
    <n v="6980.4"/>
    <n v="0"/>
    <n v="6980.4"/>
    <s v="GJ12BV1841, GJ12BY0479"/>
    <s v="Oswal Extrusion Ltd- KASEZ-Purchase"/>
    <s v="Oswal Extrusion Ltd- KASEZ-Purchase"/>
    <s v="KPW/JW/90"/>
    <s v="24-07-2026"/>
    <s v="JOB IN"/>
    <s v="OTHER"/>
    <s v="JBIN-OT 97"/>
    <n v="174.601780700246"/>
    <n v="0"/>
    <s v="KPW/JW/90"/>
    <s v="24-07-2026"/>
    <m/>
    <m/>
    <m/>
    <s v="by Truck"/>
    <s v="24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64"/>
    <s v="24-07-2026"/>
    <s v="24AAACO7290H4ZB"/>
    <s v="bharatd"/>
    <m/>
    <n v="0"/>
    <n v="0"/>
    <n v="0"/>
    <n v="0"/>
    <n v="0"/>
    <n v="0"/>
    <n v="0"/>
    <s v="-"/>
    <d v="2026-07-24T11:52:00"/>
    <n v="6980.4"/>
  </r>
  <r>
    <s v="Oswal Extrusion Limited"/>
    <s v="25-07-2026"/>
    <s v="OEL/26-27/SII00615"/>
    <s v="WIP00025"/>
    <x v="2"/>
    <n v="3"/>
    <s v="No PO"/>
    <n v="0"/>
    <n v="4164"/>
    <s v="Kgs"/>
    <n v="4164"/>
    <n v="0"/>
    <n v="4164"/>
    <s v="GJ12BV1841, GJ12BY0479"/>
    <s v="Oswal Extrusion Ltd- KASEZ-Purchase"/>
    <s v="Oswal Extrusion Ltd- KASEZ-Purchase"/>
    <s v="KPW/JW/90"/>
    <s v="24-07-2026"/>
    <s v="JOB IN"/>
    <s v="OTHER"/>
    <s v="JBIN-OT 97"/>
    <n v="142.00772814601299"/>
    <n v="0"/>
    <s v="KPW/JW/90"/>
    <s v="24-07-2026"/>
    <m/>
    <m/>
    <m/>
    <s v="by Truck"/>
    <s v="24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64"/>
    <s v="24-07-2026"/>
    <s v="24AAACO7290H4ZB"/>
    <s v="bharatd"/>
    <m/>
    <n v="0"/>
    <n v="0"/>
    <n v="0"/>
    <n v="0"/>
    <n v="0"/>
    <n v="0"/>
    <n v="0"/>
    <s v="-"/>
    <d v="2026-07-24T11:52:00"/>
    <n v="4164"/>
  </r>
  <r>
    <s v="Oswal Extrusion Limited"/>
    <s v="25-07-2026"/>
    <s v="OEL/26-27/SII00615"/>
    <s v="WIP00023"/>
    <x v="6"/>
    <n v="2"/>
    <s v="No PO"/>
    <n v="0"/>
    <n v="2698"/>
    <s v="Kgs"/>
    <n v="2698"/>
    <n v="0"/>
    <n v="2698"/>
    <s v="GJ12BV1841, GJ12BY0479"/>
    <s v="Oswal Extrusion Ltd- KASEZ-Purchase"/>
    <s v="Oswal Extrusion Ltd- KASEZ-Purchase"/>
    <s v="KPW/JW/90"/>
    <s v="24-07-2026"/>
    <s v="JOB IN"/>
    <s v="OTHER"/>
    <s v="JBIN-OT 97"/>
    <n v="138.941071163825"/>
    <n v="0"/>
    <s v="KPW/JW/90"/>
    <s v="24-07-2026"/>
    <m/>
    <m/>
    <m/>
    <s v="by Truck"/>
    <s v="24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64"/>
    <s v="24-07-2026"/>
    <s v="24AAACO7290H4ZB"/>
    <s v="bharatd"/>
    <m/>
    <n v="0"/>
    <n v="0"/>
    <n v="0"/>
    <n v="0"/>
    <n v="0"/>
    <n v="0"/>
    <n v="0"/>
    <s v="-"/>
    <d v="2026-07-24T11:52:00"/>
    <n v="2698"/>
  </r>
  <r>
    <s v="Oswal Extrusion Limited"/>
    <s v="25-07-2026"/>
    <s v="OEL/26-27/SII00615"/>
    <s v="WIP00015"/>
    <x v="1"/>
    <n v="4"/>
    <s v="No PO"/>
    <n v="0"/>
    <n v="2166.1999999999998"/>
    <s v="Kgs"/>
    <n v="2166.1999999999998"/>
    <n v="0"/>
    <n v="2166.1999999999998"/>
    <s v="GJ12BV1841, GJ12BY0479"/>
    <s v="Oswal Extrusion Ltd- KASEZ-Purchase"/>
    <s v="Oswal Extrusion Ltd- KASEZ-Purchase"/>
    <s v="KPW/JW/90"/>
    <s v="24-07-2026"/>
    <s v="JOB IN"/>
    <s v="OTHER"/>
    <s v="JBIN-OT 97"/>
    <n v="148.73006647585601"/>
    <n v="0"/>
    <s v="KPW/JW/90"/>
    <s v="24-07-2026"/>
    <m/>
    <m/>
    <m/>
    <s v="by Truck"/>
    <s v="24-07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664"/>
    <s v="24-07-2026"/>
    <s v="24AAACO7290H4ZB"/>
    <s v="bharatd"/>
    <m/>
    <n v="0"/>
    <n v="0"/>
    <n v="0"/>
    <n v="0"/>
    <n v="0"/>
    <n v="0"/>
    <n v="0"/>
    <s v="-"/>
    <d v="2026-07-24T11:52:00"/>
    <n v="2166.1999999999998"/>
  </r>
  <r>
    <s v="Oswal Extrusion Limited"/>
    <s v="25-07-2026"/>
    <s v="OEL/26-27/SII00615"/>
    <s v="RAW05124"/>
    <x v="0"/>
    <n v="1"/>
    <s v="No PO"/>
    <n v="0"/>
    <n v="104"/>
    <s v="Kgs"/>
    <n v="104"/>
    <n v="0"/>
    <n v="104"/>
    <s v="GJ12BV1841, GJ12BY0479"/>
    <s v="Oswal Extrusion Ltd- KASEZ-Purchase"/>
    <s v="Oswal Extrusion Ltd- KASEZ-Purchase"/>
    <s v="KPW/JW/90"/>
    <s v="24-07-2026"/>
    <s v="JOB IN"/>
    <s v="OTHER"/>
    <s v="JBIN-OT 97"/>
    <n v="160.59528846153799"/>
    <n v="0"/>
    <s v="KPW/JW/90"/>
    <s v="24-07-2026"/>
    <m/>
    <m/>
    <m/>
    <s v="by Truck"/>
    <s v="24-07-2026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664"/>
    <s v="24-07-2026"/>
    <s v="24AAACO7290H4ZB"/>
    <s v="bharatd"/>
    <m/>
    <n v="0"/>
    <n v="0"/>
    <n v="0"/>
    <n v="0"/>
    <n v="0"/>
    <n v="0"/>
    <n v="0"/>
    <s v="-"/>
    <d v="2026-07-24T11:52:00"/>
    <n v="104"/>
  </r>
  <r>
    <s v="Oswal Extrusion Limited"/>
    <s v="27-07-2026"/>
    <s v="OEL/26-27/SII00620"/>
    <s v="RAW05089"/>
    <x v="8"/>
    <n v="1"/>
    <s v="No PO"/>
    <n v="0"/>
    <n v="2475"/>
    <s v="Kgs"/>
    <n v="2475"/>
    <n v="0"/>
    <n v="2475"/>
    <s v="GJ12BY0479"/>
    <s v="Plastene India ltd - Unit 1-Purchase"/>
    <s v="Plastene India ltd - Unit 1-Purchase"/>
    <s v="PIL1/JW/65"/>
    <s v="25-07-2026"/>
    <s v="JOB IN"/>
    <s v="OTHER"/>
    <s v="JBIN-OT 98"/>
    <n v="195"/>
    <n v="0"/>
    <s v="PIL1/JW/65"/>
    <s v="25-07-2026"/>
    <m/>
    <m/>
    <m/>
    <s v="LAXMAN B BAKUTRA"/>
    <s v="219 25-07-2026"/>
    <n v="0"/>
    <n v="0"/>
    <n v="0"/>
    <n v="0"/>
    <n v="0"/>
    <s v="VAT"/>
    <n v="0"/>
    <n v="0"/>
    <n v="0"/>
    <n v="0"/>
    <n v="0"/>
    <m/>
    <n v="0"/>
    <n v="0"/>
    <n v="0"/>
    <s v="RM"/>
    <s v="Granules"/>
    <s v="UV MB"/>
    <s v="RM"/>
    <s v="erp"/>
    <n v="0"/>
    <n v="0"/>
    <n v="669"/>
    <s v="25-07-2026"/>
    <s v="24AAACO3087C1ZT"/>
    <s v="bharatd"/>
    <m/>
    <n v="0"/>
    <n v="0"/>
    <n v="0"/>
    <n v="0"/>
    <n v="0"/>
    <n v="0"/>
    <n v="0"/>
    <s v="-"/>
    <d v="2026-07-25T10:15:00"/>
    <n v="2475"/>
  </r>
  <r>
    <s v="Oswal Extrusion Limited"/>
    <s v="27-07-2026"/>
    <s v="OEL/26-27/SII00620"/>
    <s v="RAW06268"/>
    <x v="5"/>
    <n v="2"/>
    <s v="No PO"/>
    <n v="0"/>
    <n v="5000"/>
    <s v="Kgs"/>
    <n v="5000"/>
    <n v="0"/>
    <n v="5000"/>
    <s v="GJ12BY0479"/>
    <s v="Plastene India ltd - Unit 1-Purchase"/>
    <s v="Plastene India ltd - Unit 1-Purchase"/>
    <s v="PIL1/JW/65"/>
    <s v="25-07-2026"/>
    <s v="JOB IN"/>
    <s v="OTHER"/>
    <s v="JBIN-OT 98"/>
    <n v="115"/>
    <n v="0"/>
    <s v="PIL1/JW/65"/>
    <s v="25-07-2026"/>
    <m/>
    <m/>
    <m/>
    <s v="LAXMAN B BAKUTRA"/>
    <s v="219 25-07-2026"/>
    <n v="0"/>
    <n v="0"/>
    <n v="0"/>
    <n v="0"/>
    <n v="0"/>
    <s v="VAT"/>
    <n v="0"/>
    <n v="0"/>
    <n v="0"/>
    <n v="0"/>
    <n v="0"/>
    <m/>
    <n v="0"/>
    <n v="0"/>
    <n v="0"/>
    <s v="RM"/>
    <s v="Granules"/>
    <s v="PP Granules"/>
    <s v="RM"/>
    <m/>
    <n v="0"/>
    <n v="0"/>
    <n v="669"/>
    <s v="25-07-2026"/>
    <s v="24AAACO3087C1ZT"/>
    <s v="bharatd"/>
    <m/>
    <n v="0"/>
    <n v="0"/>
    <n v="0"/>
    <n v="0"/>
    <n v="0"/>
    <n v="0"/>
    <n v="0"/>
    <s v="-"/>
    <d v="2026-07-25T10:15:00"/>
    <n v="5000"/>
  </r>
  <r>
    <s v="Oswal Extrusion Limited"/>
    <s v="27-07-2026"/>
    <s v="OEL/26-27/SII00621"/>
    <s v="RAW05124"/>
    <x v="0"/>
    <n v="1"/>
    <s v="No PO"/>
    <n v="0"/>
    <n v="311.8"/>
    <s v="Kgs"/>
    <n v="311.8"/>
    <n v="0"/>
    <n v="311.8"/>
    <s v="GJ09Z0572, GJ12BY0479"/>
    <s v="K.P. Woven Pvt Ltd - Unit 3 -Purchase"/>
    <s v="K.P. Woven Pvt Ltd - Unit 3 -Purchase"/>
    <s v="KPW/JW/91"/>
    <s v="25-07-2026"/>
    <s v="JOB IN"/>
    <s v="OTHER"/>
    <s v="JBIN-OT 99"/>
    <n v="160.59631173829399"/>
    <n v="0"/>
    <s v="KPW/JW/91"/>
    <s v="25-07-2026"/>
    <m/>
    <m/>
    <m/>
    <s v="by Truck"/>
    <s v="25-07-2026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670"/>
    <s v="25-07-2026"/>
    <s v="24AAECK6307M2ZE"/>
    <s v="bharatd"/>
    <m/>
    <n v="0"/>
    <n v="0"/>
    <n v="0"/>
    <n v="0"/>
    <n v="0"/>
    <n v="0"/>
    <n v="0"/>
    <s v="-"/>
    <d v="2026-07-25T10:26:00"/>
    <n v="311.8"/>
  </r>
  <r>
    <s v="Oswal Extrusion Limited"/>
    <s v="27-07-2026"/>
    <s v="OEL/26-27/SII00621"/>
    <s v="RAW05951"/>
    <x v="4"/>
    <n v="3"/>
    <s v="No PO"/>
    <n v="0"/>
    <n v="495.8"/>
    <s v="Kgs"/>
    <n v="495.8"/>
    <n v="0"/>
    <n v="495.8"/>
    <s v="GJ09Z0572, GJ12BY0479"/>
    <s v="K.P. Woven Pvt Ltd - Unit 3 -Purchase"/>
    <s v="K.P. Woven Pvt Ltd - Unit 3 -Purchase"/>
    <s v="KPW/JW/91"/>
    <s v="25-07-2026"/>
    <s v="JOB IN"/>
    <s v="OTHER"/>
    <s v="JBIN-OT 99"/>
    <n v="134.50008067769301"/>
    <n v="0"/>
    <s v="KPW/JW/91"/>
    <s v="25-07-2026"/>
    <m/>
    <m/>
    <m/>
    <s v="by Truck"/>
    <s v="25-07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670"/>
    <s v="25-07-2026"/>
    <s v="24AAECK6307M2ZE"/>
    <s v="bharatd"/>
    <m/>
    <n v="0"/>
    <n v="0"/>
    <n v="0"/>
    <n v="0"/>
    <n v="0"/>
    <n v="0"/>
    <n v="0"/>
    <s v="-"/>
    <d v="2026-07-25T10:26:00"/>
    <n v="495.8"/>
  </r>
  <r>
    <s v="Oswal Extrusion Limited"/>
    <s v="27-07-2026"/>
    <s v="OEL/26-27/SII00621"/>
    <s v="WIP00023"/>
    <x v="6"/>
    <n v="4"/>
    <s v="No PO"/>
    <n v="0"/>
    <n v="268"/>
    <s v="Kgs"/>
    <n v="268"/>
    <n v="0"/>
    <n v="268"/>
    <s v="GJ09Z0572, GJ12BY0479"/>
    <s v="K.P. Woven Pvt Ltd - Unit 3 -Purchase"/>
    <s v="K.P. Woven Pvt Ltd - Unit 3 -Purchase"/>
    <s v="KPW/JW/91"/>
    <s v="25-07-2026"/>
    <s v="JOB IN"/>
    <s v="OTHER"/>
    <s v="JBIN-OT 99"/>
    <n v="103.04"/>
    <n v="0"/>
    <s v="KPW/JW/91"/>
    <s v="25-07-2026"/>
    <m/>
    <m/>
    <m/>
    <s v="by Truck"/>
    <s v="25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70"/>
    <s v="25-07-2026"/>
    <s v="24AAECK6307M2ZE"/>
    <s v="bharatd"/>
    <m/>
    <n v="0"/>
    <n v="0"/>
    <n v="0"/>
    <n v="0"/>
    <n v="0"/>
    <n v="0"/>
    <n v="0"/>
    <s v="-"/>
    <d v="2026-07-25T10:26:00"/>
    <n v="268"/>
  </r>
  <r>
    <s v="Oswal Extrusion Limited"/>
    <s v="27-07-2026"/>
    <s v="OEL/26-27/SII00621"/>
    <s v="WIP00025"/>
    <x v="2"/>
    <n v="2"/>
    <s v="No PO"/>
    <n v="0"/>
    <n v="3592.8"/>
    <s v="Kgs"/>
    <n v="3592.8"/>
    <n v="0"/>
    <n v="3592.8"/>
    <s v="GJ09Z0572, GJ12BY0479"/>
    <s v="K.P. Woven Pvt Ltd - Unit 3 -Purchase"/>
    <s v="K.P. Woven Pvt Ltd - Unit 3 -Purchase"/>
    <s v="KPW/JW/91"/>
    <s v="25-07-2026"/>
    <s v="JOB IN"/>
    <s v="OTHER"/>
    <s v="JBIN-OT 99"/>
    <n v="142.746646069918"/>
    <n v="0"/>
    <s v="KPW/JW/91"/>
    <s v="25-07-2026"/>
    <m/>
    <m/>
    <m/>
    <s v="by Truck"/>
    <s v="25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70"/>
    <s v="25-07-2026"/>
    <s v="24AAECK6307M2ZE"/>
    <s v="bharatd"/>
    <m/>
    <n v="0"/>
    <n v="0"/>
    <n v="0"/>
    <n v="0"/>
    <n v="0"/>
    <n v="0"/>
    <n v="0"/>
    <s v="-"/>
    <d v="2026-07-25T10:26:00"/>
    <n v="3592.8"/>
  </r>
  <r>
    <s v="Oswal Extrusion Limited"/>
    <s v="28-07-2026"/>
    <s v="OEL/26-27/SII00626"/>
    <s v="WIP00023"/>
    <x v="6"/>
    <n v="4"/>
    <s v="No PO"/>
    <n v="0"/>
    <n v="5258"/>
    <s v="Kgs"/>
    <n v="5258"/>
    <n v="0"/>
    <n v="5258"/>
    <s v="GJ24X5687, GJ12BY0479"/>
    <s v="K.P. Woven Pvt Ltd - Unit 3 -Purchase"/>
    <s v="K.P. Woven Pvt Ltd - Unit 3 -Purchase"/>
    <s v="KPW/JW/92"/>
    <s v="27-07-2026"/>
    <s v="JOB IN"/>
    <s v="OTHER"/>
    <s v="JBIN-OT 100"/>
    <n v="138.941000380373"/>
    <n v="0"/>
    <s v="KPW/JW/92"/>
    <s v="27-07-2026"/>
    <m/>
    <m/>
    <m/>
    <s v="by Truck"/>
    <s v="27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83"/>
    <s v="27-07-2026"/>
    <s v="24AAECK6307M2ZE"/>
    <s v="bharatd"/>
    <m/>
    <n v="0"/>
    <n v="0"/>
    <n v="0"/>
    <n v="0"/>
    <n v="0"/>
    <n v="0"/>
    <n v="0"/>
    <s v="-"/>
    <d v="2026-07-27T14:34:00"/>
    <n v="5258"/>
  </r>
  <r>
    <s v="Oswal Extrusion Limited"/>
    <s v="28-07-2026"/>
    <s v="OEL/26-27/SII00626"/>
    <s v="WIP00024"/>
    <x v="6"/>
    <n v="6"/>
    <s v="No PO"/>
    <n v="0"/>
    <n v="30"/>
    <s v="Kgs"/>
    <n v="30"/>
    <n v="0"/>
    <n v="30"/>
    <s v="GJ24X5687, GJ12BY0479"/>
    <s v="K.P. Woven Pvt Ltd - Unit 3 -Purchase"/>
    <s v="K.P. Woven Pvt Ltd - Unit 3 -Purchase"/>
    <s v="KPW/JW/92"/>
    <s v="27-07-2026"/>
    <s v="JOB IN"/>
    <s v="OTHER"/>
    <s v="JBIN-OT 100"/>
    <n v="138.941"/>
    <n v="0"/>
    <s v="KPW/JW/92"/>
    <s v="27-07-2026"/>
    <m/>
    <m/>
    <m/>
    <s v="by Truck"/>
    <s v="27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683"/>
    <s v="27-07-2026"/>
    <s v="24AAECK6307M2ZE"/>
    <s v="bharatd"/>
    <m/>
    <n v="0"/>
    <n v="0"/>
    <n v="0"/>
    <n v="0"/>
    <n v="0"/>
    <n v="0"/>
    <n v="0"/>
    <s v="-"/>
    <d v="2026-07-27T14:34:00"/>
    <n v="30"/>
  </r>
  <r>
    <s v="Oswal Extrusion Limited"/>
    <s v="28-07-2026"/>
    <s v="OEL/26-27/SII00626"/>
    <s v="WIP00025"/>
    <x v="2"/>
    <n v="5"/>
    <s v="No PO"/>
    <n v="0"/>
    <n v="6551"/>
    <s v="Kgs"/>
    <n v="6551"/>
    <n v="0"/>
    <n v="6551"/>
    <s v="GJ24X5687, GJ12BY0479"/>
    <s v="K.P. Woven Pvt Ltd - Unit 3 -Purchase"/>
    <s v="K.P. Woven Pvt Ltd - Unit 3 -Purchase"/>
    <s v="KPW/JW/92"/>
    <s v="27-07-2026"/>
    <s v="JOB IN"/>
    <s v="OTHER"/>
    <s v="JBIN-OT 100"/>
    <n v="142.007499618379"/>
    <n v="0"/>
    <s v="KPW/JW/92"/>
    <s v="27-07-2026"/>
    <m/>
    <m/>
    <m/>
    <s v="by Truck"/>
    <s v="27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83"/>
    <s v="27-07-2026"/>
    <s v="24AAECK6307M2ZE"/>
    <s v="bharatd"/>
    <m/>
    <n v="0"/>
    <n v="0"/>
    <n v="0"/>
    <n v="0"/>
    <n v="0"/>
    <n v="0"/>
    <n v="0"/>
    <s v="-"/>
    <d v="2026-07-27T14:34:00"/>
    <n v="6551"/>
  </r>
  <r>
    <s v="Oswal Extrusion Limited"/>
    <s v="28-07-2026"/>
    <s v="OEL/26-27/SII00626"/>
    <s v="WIP00013"/>
    <x v="0"/>
    <n v="1"/>
    <s v="No PO"/>
    <n v="0"/>
    <n v="3545.5"/>
    <s v="Kgs"/>
    <n v="3545.5"/>
    <n v="0"/>
    <n v="3545.5"/>
    <s v="GJ24X5687, GJ12BY0479"/>
    <s v="K.P. Woven Pvt Ltd - Unit 3 -Purchase"/>
    <s v="K.P. Woven Pvt Ltd - Unit 3 -Purchase"/>
    <s v="KPW/JW/92"/>
    <s v="27-07-2026"/>
    <s v="JOB IN"/>
    <s v="OTHER"/>
    <s v="JBIN-OT 100"/>
    <n v="174.60170074742601"/>
    <n v="0"/>
    <s v="KPW/JW/92"/>
    <s v="27-07-2026"/>
    <m/>
    <m/>
    <m/>
    <s v="by Truck"/>
    <s v="27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83"/>
    <s v="27-07-2026"/>
    <s v="24AAECK6307M2ZE"/>
    <s v="bharatd"/>
    <m/>
    <n v="0"/>
    <n v="0"/>
    <n v="0"/>
    <n v="0"/>
    <n v="0"/>
    <n v="0"/>
    <n v="0"/>
    <s v="-"/>
    <d v="2026-07-27T14:34:00"/>
    <n v="3545.5"/>
  </r>
  <r>
    <s v="Oswal Extrusion Limited"/>
    <s v="28-07-2026"/>
    <s v="OEL/26-27/SII00626"/>
    <s v="RAW05951"/>
    <x v="4"/>
    <n v="3"/>
    <s v="No PO"/>
    <n v="0"/>
    <n v="1092"/>
    <s v="Kgs"/>
    <n v="1092"/>
    <n v="0"/>
    <n v="1092"/>
    <s v="GJ24X5687, GJ12BY0479"/>
    <s v="K.P. Woven Pvt Ltd - Unit 3 -Purchase"/>
    <s v="K.P. Woven Pvt Ltd - Unit 3 -Purchase"/>
    <s v="KPW/JW/92"/>
    <s v="27-07-2026"/>
    <s v="JOB IN"/>
    <s v="OTHER"/>
    <s v="JBIN-OT 100"/>
    <n v="134.499597069597"/>
    <n v="0"/>
    <s v="KPW/JW/92"/>
    <s v="27-07-2026"/>
    <m/>
    <m/>
    <m/>
    <s v="by Truck"/>
    <s v="27-07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683"/>
    <s v="27-07-2026"/>
    <s v="24AAECK6307M2ZE"/>
    <s v="bharatd"/>
    <m/>
    <n v="0"/>
    <n v="0"/>
    <n v="0"/>
    <n v="0"/>
    <n v="0"/>
    <n v="0"/>
    <n v="0"/>
    <s v="-"/>
    <d v="2026-07-27T14:34:00"/>
    <n v="1092"/>
  </r>
  <r>
    <s v="Oswal Extrusion Limited"/>
    <s v="28-07-2026"/>
    <s v="OEL/26-27/SII00626"/>
    <s v="RAW05124"/>
    <x v="0"/>
    <n v="2"/>
    <s v="No PO"/>
    <n v="0"/>
    <n v="187"/>
    <s v="Kgs"/>
    <n v="187"/>
    <n v="0"/>
    <n v="187"/>
    <s v="GJ24X5687, GJ12BY0479"/>
    <s v="K.P. Woven Pvt Ltd - Unit 3 -Purchase"/>
    <s v="K.P. Woven Pvt Ltd - Unit 3 -Purchase"/>
    <s v="KPW/JW/92"/>
    <s v="27-07-2026"/>
    <s v="JOB IN"/>
    <s v="OTHER"/>
    <s v="JBIN-OT 100"/>
    <n v="160.595026737968"/>
    <n v="0"/>
    <s v="KPW/JW/92"/>
    <s v="27-07-2026"/>
    <m/>
    <m/>
    <m/>
    <s v="by Truck"/>
    <s v="27-07-2026"/>
    <n v="0"/>
    <n v="0"/>
    <n v="0"/>
    <n v="0"/>
    <n v="0"/>
    <s v="VAT"/>
    <n v="0"/>
    <n v="0"/>
    <n v="0"/>
    <n v="0"/>
    <n v="0"/>
    <m/>
    <n v="0"/>
    <n v="0"/>
    <n v="0"/>
    <s v="SF"/>
    <s v="Films All (SF)"/>
    <s v="PE Film"/>
    <s v="RM"/>
    <s v="erp"/>
    <n v="0"/>
    <n v="0"/>
    <n v="683"/>
    <s v="27-07-2026"/>
    <s v="24AAECK6307M2ZE"/>
    <s v="bharatd"/>
    <m/>
    <n v="0"/>
    <n v="0"/>
    <n v="0"/>
    <n v="0"/>
    <n v="0"/>
    <n v="0"/>
    <n v="0"/>
    <s v="-"/>
    <d v="2026-07-27T14:34:00"/>
    <n v="187"/>
  </r>
  <r>
    <s v="Oswal Extrusion Limited"/>
    <s v="29-07-2026"/>
    <s v="OEL/26-27/SII00632"/>
    <s v="RAW05270"/>
    <x v="9"/>
    <n v="1"/>
    <s v="No PO"/>
    <n v="0"/>
    <n v="2000"/>
    <s v="Kgs"/>
    <n v="2000"/>
    <n v="0"/>
    <n v="2000"/>
    <s v="GJ09Z0572"/>
    <s v="Plastene India ltd - Unit 1-Purchase"/>
    <s v="Plastene India ltd - Unit 1-Purchase"/>
    <s v="PIL1/JW/71"/>
    <s v="28-07-2026"/>
    <s v="JOB IN"/>
    <s v="OTHER"/>
    <s v="JBIN-OT 101"/>
    <n v="163.72"/>
    <n v="0"/>
    <s v="PIL1/JW/71"/>
    <s v="28-07-2026"/>
    <m/>
    <m/>
    <m/>
    <s v="LAXMAN B BAKUTRA"/>
    <s v="225 28-07-2026"/>
    <n v="0"/>
    <n v="0"/>
    <n v="0"/>
    <n v="0"/>
    <n v="0"/>
    <s v="VAT"/>
    <n v="0"/>
    <n v="0"/>
    <n v="0"/>
    <n v="0"/>
    <n v="0"/>
    <m/>
    <n v="0"/>
    <n v="0"/>
    <n v="0"/>
    <s v="RM"/>
    <s v="Granules"/>
    <s v="LDPE Granules"/>
    <s v="RM"/>
    <s v="erp"/>
    <n v="0"/>
    <n v="0"/>
    <n v="686"/>
    <s v="28-07-2026"/>
    <s v="24AAACO3087C1ZT"/>
    <s v="bharatd"/>
    <m/>
    <n v="0"/>
    <n v="0"/>
    <n v="0"/>
    <n v="0"/>
    <n v="0"/>
    <n v="0"/>
    <n v="0"/>
    <s v="-"/>
    <d v="2026-07-28T10:51:00"/>
    <n v="2000"/>
  </r>
  <r>
    <s v="Oswal Extrusion Limited"/>
    <s v="29-07-2026"/>
    <s v="OEL/26-27/SII00633"/>
    <s v="WIP00015"/>
    <x v="1"/>
    <n v="1"/>
    <s v="No PO"/>
    <n v="0"/>
    <n v="1185.23"/>
    <s v="Kgs"/>
    <n v="1185.23"/>
    <n v="0"/>
    <n v="1185.23"/>
    <s v="GJ12BY0479, GJ09Z0572"/>
    <s v="K.P. Woven Pvt Ltd - Unit 3 -Purchase"/>
    <s v="K.P. Woven Pvt Ltd - Unit 3 -Purchase"/>
    <s v="KPW/JW/93"/>
    <s v="28-07-2026"/>
    <s v="JOB IN"/>
    <s v="OTHER"/>
    <s v="JBIN-OT 102"/>
    <n v="146.99265965255699"/>
    <n v="0"/>
    <s v="KPW/JW/93"/>
    <s v="28-07-2026"/>
    <m/>
    <m/>
    <m/>
    <s v="by Truck"/>
    <s v="28-07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687"/>
    <s v="28-07-2026"/>
    <s v="24AAECK6307M2ZE"/>
    <s v="bharatd"/>
    <m/>
    <n v="0"/>
    <n v="0"/>
    <n v="0"/>
    <n v="0"/>
    <n v="0"/>
    <n v="0"/>
    <n v="0"/>
    <s v="-"/>
    <d v="2026-07-28T11:20:00"/>
    <n v="1185.23"/>
  </r>
  <r>
    <s v="Oswal Extrusion Limited"/>
    <s v="29-07-2026"/>
    <s v="OEL/26-27/SII00633"/>
    <s v="WIP00013"/>
    <x v="0"/>
    <n v="2"/>
    <s v="No PO"/>
    <n v="0"/>
    <n v="930"/>
    <s v="Kgs"/>
    <n v="930"/>
    <n v="0"/>
    <n v="930"/>
    <s v="GJ12BY0479, GJ09Z0572"/>
    <s v="K.P. Woven Pvt Ltd - Unit 3 -Purchase"/>
    <s v="K.P. Woven Pvt Ltd - Unit 3 -Purchase"/>
    <s v="KPW/JW/93"/>
    <s v="28-07-2026"/>
    <s v="JOB IN"/>
    <s v="OTHER"/>
    <s v="JBIN-OT 102"/>
    <n v="174.60164516129001"/>
    <n v="0"/>
    <s v="KPW/JW/93"/>
    <s v="28-07-2026"/>
    <m/>
    <m/>
    <m/>
    <s v="by Truck"/>
    <s v="28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687"/>
    <s v="28-07-2026"/>
    <s v="24AAECK6307M2ZE"/>
    <s v="bharatd"/>
    <m/>
    <n v="0"/>
    <n v="0"/>
    <n v="0"/>
    <n v="0"/>
    <n v="0"/>
    <n v="0"/>
    <n v="0"/>
    <s v="-"/>
    <d v="2026-07-28T11:20:00"/>
    <n v="930"/>
  </r>
  <r>
    <s v="Oswal Extrusion Limited"/>
    <s v="29-07-2026"/>
    <s v="OEL/26-27/SII00633"/>
    <s v="WIP00025"/>
    <x v="2"/>
    <n v="3"/>
    <s v="No PO"/>
    <n v="0"/>
    <n v="2382"/>
    <s v="Kgs"/>
    <n v="2382"/>
    <n v="0"/>
    <n v="2382"/>
    <s v="GJ12BY0479, GJ09Z0572"/>
    <s v="K.P. Woven Pvt Ltd - Unit 3 -Purchase"/>
    <s v="K.P. Woven Pvt Ltd - Unit 3 -Purchase"/>
    <s v="KPW/JW/93"/>
    <s v="28-07-2026"/>
    <s v="JOB IN"/>
    <s v="OTHER"/>
    <s v="JBIN-OT 102"/>
    <n v="142.00091099916"/>
    <n v="0"/>
    <s v="KPW/JW/93"/>
    <s v="28-07-2026"/>
    <m/>
    <m/>
    <m/>
    <s v="by Truck"/>
    <s v="28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687"/>
    <s v="28-07-2026"/>
    <s v="24AAECK6307M2ZE"/>
    <s v="bharatd"/>
    <m/>
    <n v="0"/>
    <n v="0"/>
    <n v="0"/>
    <n v="0"/>
    <n v="0"/>
    <n v="0"/>
    <n v="0"/>
    <s v="-"/>
    <d v="2026-07-28T11:20:00"/>
    <n v="2382"/>
  </r>
  <r>
    <s v="Oswal Extrusion Limited"/>
    <s v="29-07-2026"/>
    <s v="OEL/26-27/SII00633"/>
    <s v="WIP00022"/>
    <x v="1"/>
    <n v="4"/>
    <s v="No PO"/>
    <n v="0"/>
    <n v="2019.7"/>
    <s v="Kgs"/>
    <n v="2019.7"/>
    <n v="0"/>
    <n v="2019.7"/>
    <s v="GJ12BY0479, GJ09Z0572"/>
    <s v="K.P. Woven Pvt Ltd - Unit 3 -Purchase"/>
    <s v="K.P. Woven Pvt Ltd - Unit 3 -Purchase"/>
    <s v="KPW/JW/93"/>
    <s v="28-07-2026"/>
    <s v="JOB IN"/>
    <s v="OTHER"/>
    <s v="JBIN-OT 102"/>
    <n v="137"/>
    <n v="0"/>
    <s v="KPW/JW/93"/>
    <s v="28-07-2026"/>
    <m/>
    <m/>
    <m/>
    <s v="by Truck"/>
    <s v="28-07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687"/>
    <s v="28-07-2026"/>
    <s v="24AAECK6307M2ZE"/>
    <s v="bharatd"/>
    <m/>
    <n v="0"/>
    <n v="0"/>
    <n v="0"/>
    <n v="0"/>
    <n v="0"/>
    <n v="0"/>
    <n v="0"/>
    <s v="-"/>
    <d v="2026-07-28T11:20:00"/>
    <n v="2019.7"/>
  </r>
  <r>
    <s v="Oswal Extrusion Limited"/>
    <s v="30-07-2026"/>
    <s v="OEL/26-27/SII00638"/>
    <s v="WIP00025"/>
    <x v="2"/>
    <n v="1"/>
    <s v="No PO"/>
    <n v="0"/>
    <n v="4404"/>
    <s v="Kgs"/>
    <n v="4404"/>
    <n v="0"/>
    <n v="4404"/>
    <s v="GJ12BT2409"/>
    <s v="K.P. Woven Pvt Ltd - Unit 3 -Purchase"/>
    <s v="K.P. Woven Pvt Ltd - Unit 3 -Purchase"/>
    <s v="KPW/JW/94"/>
    <s v="29-07-2026"/>
    <s v="JOB IN"/>
    <s v="OTHER"/>
    <s v="JBIN-OT 103"/>
    <n v="142.00094686648501"/>
    <n v="0"/>
    <s v="KPW/JW/94"/>
    <s v="29-07-2026"/>
    <m/>
    <m/>
    <m/>
    <s v="by Truck"/>
    <s v="29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706"/>
    <s v="29-07-2026"/>
    <s v="24AAECK6307M2ZE"/>
    <s v="bharatd"/>
    <m/>
    <n v="0"/>
    <n v="0"/>
    <n v="0"/>
    <n v="0"/>
    <n v="0"/>
    <n v="0"/>
    <n v="0"/>
    <s v="-"/>
    <d v="2026-07-29T10:42:00"/>
    <n v="4404"/>
  </r>
  <r>
    <s v="Oswal Extrusion Limited"/>
    <s v="31-07-2026"/>
    <s v="OEL/26-27/SII00649"/>
    <s v="WIP00023"/>
    <x v="6"/>
    <n v="1"/>
    <s v="No PO"/>
    <n v="0"/>
    <n v="966"/>
    <s v="Kgs"/>
    <n v="966"/>
    <n v="0"/>
    <n v="966"/>
    <s v="GJ39T9710"/>
    <s v="K.P. Woven Pvt Ltd - Unit 3 -Purchase"/>
    <s v="K.P. Woven Pvt Ltd - Unit 3 -Purchase"/>
    <s v="KPW/JW/95"/>
    <s v="30-07-2026"/>
    <s v="JOB IN"/>
    <s v="OTHER"/>
    <s v="JBIN-OT 104"/>
    <n v="103.04"/>
    <n v="0"/>
    <s v="KPW/JW/95"/>
    <s v="30-07-2026"/>
    <m/>
    <m/>
    <m/>
    <s v="by Truck"/>
    <s v="30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718"/>
    <s v="30-07-2026"/>
    <s v="24AAECK6307M2ZE"/>
    <s v="bharatd"/>
    <m/>
    <n v="0"/>
    <n v="0"/>
    <n v="0"/>
    <n v="0"/>
    <n v="0"/>
    <n v="0"/>
    <n v="0"/>
    <s v="-"/>
    <d v="2026-07-30T12:07:00"/>
    <n v="966"/>
  </r>
  <r>
    <s v="Oswal Extrusion Limited"/>
    <s v="31-07-2026"/>
    <s v="OEL/26-27/SII00661"/>
    <s v="RAW06251"/>
    <x v="5"/>
    <n v="1"/>
    <s v="No PO"/>
    <n v="0"/>
    <n v="108000"/>
    <s v="Kgs"/>
    <n v="108000"/>
    <n v="0"/>
    <n v="108000"/>
    <s v="GJ02Z4078"/>
    <s v="K.P. Woven Pvt Ltd - Unit 3 -Purchase"/>
    <s v="K.P. Woven Pvt Ltd - Unit 3 -Purchase"/>
    <s v="KPW/JW/97"/>
    <s v="31-07-2026"/>
    <s v="JOB IN"/>
    <s v="OTHER"/>
    <s v="JBIN-OT 105"/>
    <n v="123.81319444444399"/>
    <n v="0"/>
    <s v="KPW/JW/97"/>
    <s v="31-07-2026"/>
    <m/>
    <m/>
    <m/>
    <s v="by Truck"/>
    <s v="31-07-2026"/>
    <n v="0"/>
    <n v="0"/>
    <n v="0"/>
    <n v="0"/>
    <n v="0"/>
    <s v="VAT"/>
    <n v="0"/>
    <n v="0"/>
    <n v="0"/>
    <n v="0"/>
    <n v="0"/>
    <m/>
    <n v="0"/>
    <n v="0"/>
    <n v="0"/>
    <s v="RM"/>
    <s v="Granules"/>
    <s v="PP Granules"/>
    <s v="RM"/>
    <m/>
    <n v="0"/>
    <n v="0"/>
    <n v="727"/>
    <s v="31-07-2026"/>
    <s v="24AAECK6307M2ZE"/>
    <s v="bharatd"/>
    <m/>
    <n v="0"/>
    <n v="0"/>
    <n v="0"/>
    <n v="0"/>
    <n v="0"/>
    <n v="0"/>
    <n v="0"/>
    <s v="-"/>
    <d v="2026-07-31T16:12:00"/>
    <n v="108000"/>
  </r>
  <r>
    <s v="Oswal Extrusion Limited"/>
    <s v="31-07-2026"/>
    <s v="OEL/26-27/SII00662"/>
    <s v="RAW05951"/>
    <x v="4"/>
    <n v="2"/>
    <s v="No PO"/>
    <n v="0"/>
    <n v="930.5"/>
    <s v="Kgs"/>
    <n v="930.5"/>
    <n v="0"/>
    <n v="930.5"/>
    <s v="GJ03CU3638, GJ03AX2024..."/>
    <s v="K.P. Woven Pvt Ltd - Unit 3 -Purchase"/>
    <s v="K.P. Woven Pvt Ltd - Unit 3 -Purchase"/>
    <s v="KPW/JW/96"/>
    <s v="31-07-2026"/>
    <s v="JOB IN"/>
    <s v="OTHER"/>
    <s v="JBIN-OT 106"/>
    <n v="134.49932294465299"/>
    <n v="0"/>
    <s v="KPW/JW/96"/>
    <s v="31-07-2026"/>
    <m/>
    <m/>
    <m/>
    <s v="by Truck"/>
    <s v="31-07-2026"/>
    <n v="0"/>
    <n v="0"/>
    <n v="0"/>
    <n v="0"/>
    <n v="0"/>
    <s v="VAT"/>
    <n v="0"/>
    <n v="0"/>
    <n v="0"/>
    <n v="0"/>
    <n v="0"/>
    <m/>
    <n v="0"/>
    <n v="0"/>
    <n v="0"/>
    <s v="SF"/>
    <s v="Tape Stock"/>
    <s v="PP Tapes"/>
    <s v="RM"/>
    <s v="erp"/>
    <n v="0"/>
    <n v="0"/>
    <n v="726"/>
    <s v="31-07-2026"/>
    <s v="24AAECK6307M2ZE"/>
    <s v="bharatd"/>
    <m/>
    <n v="0"/>
    <n v="0"/>
    <n v="0"/>
    <n v="0"/>
    <n v="0"/>
    <n v="0"/>
    <n v="0"/>
    <s v="-"/>
    <d v="2026-07-31T16:20:00"/>
    <n v="930.5"/>
  </r>
  <r>
    <s v="Oswal Extrusion Limited"/>
    <s v="31-07-2026"/>
    <s v="OEL/26-27/SII00662"/>
    <s v="WIP00025"/>
    <x v="2"/>
    <n v="3"/>
    <s v="No PO"/>
    <n v="0"/>
    <n v="5252"/>
    <s v="Kgs"/>
    <n v="5252"/>
    <n v="0"/>
    <n v="5252"/>
    <s v="GJ03CU3638, GJ03AX2024..."/>
    <s v="K.P. Woven Pvt Ltd - Unit 3 -Purchase"/>
    <s v="K.P. Woven Pvt Ltd - Unit 3 -Purchase"/>
    <s v="KPW/JW/96"/>
    <s v="31-07-2026"/>
    <s v="JOB IN"/>
    <s v="OTHER"/>
    <s v="JBIN-OT 106"/>
    <n v="142.000957730388"/>
    <n v="0"/>
    <s v="KPW/JW/96"/>
    <s v="31-07-2026"/>
    <m/>
    <m/>
    <m/>
    <s v="by Truck"/>
    <s v="31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Lam Fabric"/>
    <s v="RM"/>
    <s v="erp"/>
    <n v="0"/>
    <n v="0"/>
    <n v="726"/>
    <s v="31-07-2026"/>
    <s v="24AAECK6307M2ZE"/>
    <s v="bharatd"/>
    <m/>
    <n v="0"/>
    <n v="0"/>
    <n v="0"/>
    <n v="0"/>
    <n v="0"/>
    <n v="0"/>
    <n v="0"/>
    <s v="-"/>
    <d v="2026-07-31T16:20:00"/>
    <n v="5252"/>
  </r>
  <r>
    <s v="Oswal Extrusion Limited"/>
    <s v="31-07-2026"/>
    <s v="OEL/26-27/SII00662"/>
    <s v="WIP00023"/>
    <x v="6"/>
    <n v="1"/>
    <s v="No PO"/>
    <n v="0"/>
    <n v="3403"/>
    <s v="Kgs"/>
    <n v="3403"/>
    <n v="0"/>
    <n v="3403"/>
    <s v="GJ03CU3638, GJ03AX2024..."/>
    <s v="K.P. Woven Pvt Ltd - Unit 3 -Purchase"/>
    <s v="K.P. Woven Pvt Ltd - Unit 3 -Purchase"/>
    <s v="KPW/JW/96"/>
    <s v="31-07-2026"/>
    <s v="JOB IN"/>
    <s v="OTHER"/>
    <s v="JBIN-OT 106"/>
    <n v="138.941054951513"/>
    <n v="0"/>
    <s v="KPW/JW/96"/>
    <s v="31-07-2026"/>
    <m/>
    <m/>
    <m/>
    <s v="by Truck"/>
    <s v="31-07-2026"/>
    <n v="0"/>
    <n v="0"/>
    <n v="0"/>
    <n v="0"/>
    <n v="0"/>
    <s v="VAT"/>
    <n v="0"/>
    <n v="0"/>
    <n v="0"/>
    <n v="0"/>
    <n v="0"/>
    <m/>
    <n v="0"/>
    <n v="0"/>
    <n v="0"/>
    <s v="SF"/>
    <s v="PP/PE Fabric"/>
    <s v="PP UL Fabric"/>
    <s v="RM"/>
    <s v="erp"/>
    <n v="0"/>
    <n v="0"/>
    <n v="726"/>
    <s v="31-07-2026"/>
    <s v="24AAECK6307M2ZE"/>
    <s v="bharatd"/>
    <m/>
    <n v="0"/>
    <n v="0"/>
    <n v="0"/>
    <n v="0"/>
    <n v="0"/>
    <n v="0"/>
    <n v="0"/>
    <s v="-"/>
    <d v="2026-07-31T16:20:00"/>
    <n v="3403"/>
  </r>
  <r>
    <s v="Oswal Extrusion Limited"/>
    <s v="31-07-2026"/>
    <s v="OEL/26-27/SII00662"/>
    <s v="WIP00015"/>
    <x v="1"/>
    <n v="5"/>
    <s v="No PO"/>
    <n v="0"/>
    <n v="1128.8"/>
    <s v="Kgs"/>
    <n v="1128.8"/>
    <n v="0"/>
    <n v="1128.8"/>
    <s v="GJ03CU3638, GJ03AX2024..."/>
    <s v="K.P. Woven Pvt Ltd - Unit 3 -Purchase"/>
    <s v="K.P. Woven Pvt Ltd - Unit 3 -Purchase"/>
    <s v="KPW/JW/96"/>
    <s v="31-07-2026"/>
    <s v="JOB IN"/>
    <s v="OTHER"/>
    <s v="JBIN-OT 106"/>
    <n v="148.55801736357199"/>
    <n v="0"/>
    <s v="KPW/JW/96"/>
    <s v="31-07-2026"/>
    <m/>
    <m/>
    <m/>
    <s v="by Truck"/>
    <s v="31-07-2026"/>
    <n v="0"/>
    <n v="0"/>
    <n v="0"/>
    <n v="0"/>
    <n v="0"/>
    <s v="VAT"/>
    <n v="0"/>
    <n v="0"/>
    <n v="0"/>
    <n v="0"/>
    <n v="0"/>
    <m/>
    <n v="0"/>
    <n v="0"/>
    <n v="0"/>
    <s v="SF"/>
    <s v="Yarn All"/>
    <s v="PP Yarn"/>
    <s v="RM"/>
    <s v="erp"/>
    <n v="0"/>
    <n v="0"/>
    <n v="726"/>
    <s v="31-07-2026"/>
    <s v="24AAECK6307M2ZE"/>
    <s v="bharatd"/>
    <m/>
    <n v="0"/>
    <n v="0"/>
    <n v="0"/>
    <n v="0"/>
    <n v="0"/>
    <n v="0"/>
    <n v="0"/>
    <s v="-"/>
    <d v="2026-07-31T16:20:00"/>
    <n v="1128.8"/>
  </r>
  <r>
    <s v="Oswal Extrusion Limited"/>
    <s v="31-07-2026"/>
    <s v="OEL/26-27/SII00662"/>
    <s v="WIP00013"/>
    <x v="0"/>
    <n v="4"/>
    <s v="No PO"/>
    <n v="0"/>
    <n v="2594"/>
    <s v="Kgs"/>
    <n v="2594"/>
    <n v="0"/>
    <n v="2594"/>
    <s v="GJ03CU3638, GJ03AX2024..."/>
    <s v="K.P. Woven Pvt Ltd - Unit 3 -Purchase"/>
    <s v="K.P. Woven Pvt Ltd - Unit 3 -Purchase"/>
    <s v="KPW/JW/96"/>
    <s v="31-07-2026"/>
    <s v="JOB IN"/>
    <s v="OTHER"/>
    <s v="JBIN-OT 106"/>
    <n v="174.60205859676199"/>
    <n v="0"/>
    <s v="KPW/JW/96"/>
    <s v="31-07-2026"/>
    <m/>
    <m/>
    <m/>
    <s v="by Truck"/>
    <s v="31-07-2026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RM"/>
    <s v="erp"/>
    <n v="0"/>
    <n v="0"/>
    <n v="726"/>
    <s v="31-07-2026"/>
    <s v="24AAECK6307M2ZE"/>
    <s v="bharatd"/>
    <m/>
    <n v="0"/>
    <n v="0"/>
    <n v="0"/>
    <n v="0"/>
    <n v="0"/>
    <n v="0"/>
    <n v="0"/>
    <s v="-"/>
    <d v="2026-07-31T16:20:00"/>
    <n v="2594"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5">
  <r>
    <s v="26-27"/>
    <s v="Oswal Extrusion Limited"/>
    <x v="0"/>
    <n v="96"/>
    <d v="2026-07-31T00:00:00"/>
    <s v="PP Woven Fabrics"/>
    <n v="39269080"/>
    <n v="3403"/>
    <s v="Kgs"/>
    <n v="3403"/>
    <n v="14113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096-2"/>
    <d v="2026-07-31T00:00:00"/>
    <s v="PP TAPE"/>
    <n v="39199090"/>
    <n v="930.5"/>
    <s v="Kgs"/>
    <n v="930.5"/>
    <n v="14113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1"/>
    <b v="0"/>
  </r>
  <r>
    <s v="26-27"/>
    <s v="Oswal Extrusion Limited"/>
    <x v="0"/>
    <s v="096-3"/>
    <d v="2026-07-31T00:00:00"/>
    <s v="PP Woven Fabrics Laminated / Coated"/>
    <n v="39269080"/>
    <n v="5252"/>
    <s v="Kgs"/>
    <n v="5252"/>
    <n v="14113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s v="096-4"/>
    <d v="2026-07-31T00:00:00"/>
    <s v="LD/LLDPE BAGS"/>
    <n v="39232100"/>
    <n v="2594"/>
    <s v="Kgs"/>
    <n v="2594"/>
    <n v="14113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3"/>
    <b v="0"/>
  </r>
  <r>
    <s v="26-27"/>
    <s v="Oswal Extrusion Limited"/>
    <x v="0"/>
    <s v="096-5"/>
    <d v="2026-07-31T00:00:00"/>
    <s v="Polypropylene Multifilament Yarn"/>
    <n v="54026930"/>
    <n v="1128.8"/>
    <s v="Kgs"/>
    <n v="1128.8"/>
    <n v="14113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n v="97"/>
    <d v="2026-07-31T00:00:00"/>
    <s v="Polypropylene Granuals"/>
    <n v="39021000"/>
    <n v="108000"/>
    <s v="Kgs"/>
    <n v="108000"/>
    <n v="14113"/>
    <s v="Sector - 2,  KASEZ,  Plot No. 73/74/75 - A &amp; A,             Gandhidham - 370 230 Kutch"/>
    <s v="PLOT NO. 27 TO 30,, SECTOR-1,, ,KANDLA SPECIAL ECONOMIC,,GANDHIDHAM,"/>
    <s v="PP WOVEN BAGS/SACK"/>
    <s v="RAW06251"/>
    <s v="RM"/>
    <s v="Granules"/>
    <s v="PP Granules"/>
    <x v="5"/>
    <b v="0"/>
  </r>
  <r>
    <s v="26-27"/>
    <s v="Oswal Extrusion Limited"/>
    <x v="0"/>
    <n v="95"/>
    <d v="2026-07-30T00:00:00"/>
    <s v="PP Woven Fabrics"/>
    <n v="39269080"/>
    <n v="966"/>
    <s v="Kgs"/>
    <n v="966"/>
    <n v="14112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n v="94"/>
    <d v="2026-07-29T00:00:00"/>
    <s v="PP Woven Fabrics Laminated / Coated"/>
    <n v="39269080"/>
    <n v="4404"/>
    <s v="Kgs"/>
    <n v="4404"/>
    <n v="14111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1"/>
    <n v="71"/>
    <d v="2026-07-28T00:00:00"/>
    <s v="LDPE GRANULE"/>
    <n v="39011090"/>
    <n v="2000"/>
    <s v="Kgs"/>
    <n v="2000"/>
    <n v="14110"/>
    <s v="Sector - 2,  KASEZ,  Plot No. 73/74/75 - A &amp; A,             Gandhidham - 370 230 Kutch"/>
    <s v="Survey No 315/1,315/2,316 &amp; 317,Nani Chirai Nr.Softel Company ,Taluka-Bhachau"/>
    <s v="PP WOVEN BAGS/SACK"/>
    <s v="RAW05270"/>
    <s v="RM"/>
    <s v="Granules"/>
    <s v="LDPE Granules"/>
    <x v="6"/>
    <b v="0"/>
  </r>
  <r>
    <s v="26-27"/>
    <s v="Oswal Extrusion Limited"/>
    <x v="0"/>
    <n v="93"/>
    <d v="2026-07-28T00:00:00"/>
    <s v="Polypropylene Multifilament Yarn"/>
    <n v="54026930"/>
    <n v="1185.23"/>
    <s v="Kgs"/>
    <n v="1185.23"/>
    <n v="14109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s v="093-2"/>
    <d v="2026-07-28T00:00:00"/>
    <s v="LD/LLDPE BAGS"/>
    <n v="39232100"/>
    <n v="930"/>
    <s v="Kgs"/>
    <n v="930"/>
    <n v="14109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3"/>
    <b v="0"/>
  </r>
  <r>
    <s v="26-27"/>
    <s v="Oswal Extrusion Limited"/>
    <x v="0"/>
    <s v="093-3"/>
    <d v="2026-07-28T00:00:00"/>
    <s v="PP Woven Fabrics Laminated / Coated"/>
    <n v="39269080"/>
    <n v="2382"/>
    <s v="Kgs"/>
    <n v="2382"/>
    <n v="14109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s v="093-4"/>
    <d v="2026-07-28T00:00:00"/>
    <s v="FILLER CORD"/>
    <n v="54026300"/>
    <n v="2019.7"/>
    <s v="Kgs"/>
    <n v="2019.7"/>
    <n v="14109"/>
    <s v="Sector - 2,  KASEZ,  Plot No. 73/74/75 - A &amp; A,             Gandhidham - 370 230 Kutch"/>
    <s v="PLOT NO. 27 TO 30,, SECTOR-1,, ,KANDLA SPECIAL ECONOMIC,,GANDHIDHAM,"/>
    <s v="PP WOVEN BAGS/SACK"/>
    <s v="WIP00022"/>
    <s v="SF"/>
    <s v="Yarn All"/>
    <s v="PP Yarn"/>
    <x v="7"/>
    <b v="0"/>
  </r>
  <r>
    <s v="26-27"/>
    <s v="Oswal Extrusion Limited"/>
    <x v="1"/>
    <n v="65"/>
    <d v="2026-07-25T00:00:00"/>
    <s v="Polypropylene Granuals"/>
    <n v="39021000"/>
    <n v="5000"/>
    <s v="Kgs"/>
    <n v="5000"/>
    <n v="14108"/>
    <s v="Sector - 2,  KASEZ,  Plot No. 73/74/75 - A &amp; A,             Gandhidham - 370 230 Kutch"/>
    <s v="Survey No 315/1,315/2,316 &amp; 317,Nani Chirai Nr.Softel Company ,Taluka-Bhachau"/>
    <s v="PP WOVEN BAGS/SACK"/>
    <s v="RAW06268"/>
    <s v="RM"/>
    <s v="Granules"/>
    <s v="PP Granules"/>
    <x v="5"/>
    <b v="0"/>
  </r>
  <r>
    <s v="26-27"/>
    <s v="Oswal Extrusion Limited"/>
    <x v="1"/>
    <s v="65-2"/>
    <d v="2026-07-25T00:00:00"/>
    <s v="U.V. STABILIZER MASTER BATCH"/>
    <n v="38123990"/>
    <n v="2475"/>
    <s v="Kgs"/>
    <n v="2475"/>
    <n v="14108"/>
    <s v="Sector - 2,  KASEZ,  Plot No. 73/74/75 - A &amp; A,             Gandhidham - 370 230 Kutch"/>
    <s v="Survey No 315/1,315/2,316 &amp; 317,Nani Chirai Nr.Softel Company ,Taluka-Bhachau"/>
    <s v="PP WOVEN BAGS/SACK"/>
    <s v="RAW05089"/>
    <s v="RM"/>
    <s v="Granules"/>
    <s v="UV MB"/>
    <x v="8"/>
    <b v="0"/>
  </r>
  <r>
    <s v="26-27"/>
    <s v="Oswal Extrusion Limited"/>
    <x v="0"/>
    <n v="92"/>
    <d v="2026-07-27T00:00:00"/>
    <s v="PP Woven Fabrics"/>
    <n v="39269080"/>
    <n v="5288"/>
    <s v="Kgs"/>
    <n v="5288"/>
    <n v="14107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092-2"/>
    <d v="2026-07-27T00:00:00"/>
    <s v="LD/LLDPE BAGS"/>
    <n v="39232100"/>
    <n v="3545.5"/>
    <s v="Kgs"/>
    <n v="3545.5"/>
    <n v="14107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3"/>
    <b v="0"/>
  </r>
  <r>
    <s v="26-27"/>
    <s v="Oswal Extrusion Limited"/>
    <x v="0"/>
    <s v="092-3"/>
    <d v="2026-07-27T00:00:00"/>
    <s v="LLDPE BLENDED FILM IN TUBULAR ROLLS"/>
    <n v="39201019"/>
    <n v="187"/>
    <s v="Kgs"/>
    <n v="187"/>
    <n v="14107"/>
    <s v="Sector - 2,  KASEZ,  Plot No. 73/74/75 - A &amp; A,             Gandhidham - 370 230 Kutch"/>
    <s v="PLOT NO. 27 TO 30,, SECTOR-1,, ,KANDLA SPECIAL ECONOMIC,,GANDHIDHAM,"/>
    <s v="PP WOVEN BAGS/SACK"/>
    <s v="RAW05124"/>
    <s v="SF"/>
    <s v="Films All (SF)"/>
    <s v="PE Film"/>
    <x v="9"/>
    <b v="0"/>
  </r>
  <r>
    <s v="26-27"/>
    <s v="Oswal Extrusion Limited"/>
    <x v="0"/>
    <s v="092-4"/>
    <d v="2026-07-27T00:00:00"/>
    <s v="PP TAPE"/>
    <n v="39199090"/>
    <n v="1092"/>
    <s v="Kgs"/>
    <n v="1092"/>
    <n v="14107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1"/>
    <b v="0"/>
  </r>
  <r>
    <s v="26-27"/>
    <s v="Oswal Extrusion Limited"/>
    <x v="0"/>
    <s v="092-5"/>
    <d v="2026-07-27T00:00:00"/>
    <s v="PP woven fabrics laminated/ coated"/>
    <n v="39269080"/>
    <n v="6551"/>
    <s v="Kgs"/>
    <n v="6551"/>
    <n v="14107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n v="91"/>
    <d v="2026-07-25T00:00:00"/>
    <s v="LLDPE BLENDED FILM IN TUBULAR ROLLS"/>
    <n v="39201019"/>
    <n v="311.8"/>
    <s v="Kgs"/>
    <n v="311.8"/>
    <n v="14105"/>
    <s v="Sector - 2,  KASEZ,  Plot No. 73/74/75 - A &amp; A,             Gandhidham - 370 230 Kutch"/>
    <s v="PLOT NO. 27 TO 30,, SECTOR-1,, ,KANDLA SPECIAL ECONOMIC,,GANDHIDHAM,"/>
    <s v="PP WOVEN BAGS/SACK"/>
    <s v="RAW05124"/>
    <s v="SF"/>
    <s v="Films All (SF)"/>
    <s v="PE Film"/>
    <x v="9"/>
    <b v="0"/>
  </r>
  <r>
    <s v="26-27"/>
    <s v="Oswal Extrusion Limited"/>
    <x v="0"/>
    <s v="091-2"/>
    <d v="2026-07-25T00:00:00"/>
    <s v="PP woven fabrics laminated/ coated"/>
    <n v="39269080"/>
    <n v="3592.8"/>
    <s v="Kgs"/>
    <n v="3592.8"/>
    <n v="14105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s v="091-3"/>
    <d v="2026-07-25T00:00:00"/>
    <s v="PP TAPE"/>
    <n v="39199090"/>
    <n v="495.8"/>
    <s v="Kgs"/>
    <n v="495.8"/>
    <n v="14105"/>
    <s v="Sector - 2,  KASEZ,  Plot No. 73/74/75 - A &amp; A,             Gandhidham - 370 230 Kutch"/>
    <s v="PLOT NO. 27 TO 30,, SECTOR-1,, ,KANDLA SPECIAL ECONOMIC,,GANDHIDHAM,"/>
    <s v="PP WOVEN BAGS/SACK"/>
    <s v="RAW05951"/>
    <s v="SF"/>
    <s v="Tape Stock"/>
    <s v="PP Tapes"/>
    <x v="1"/>
    <b v="0"/>
  </r>
  <r>
    <s v="26-27"/>
    <s v="Oswal Extrusion Limited"/>
    <x v="0"/>
    <s v="091-4"/>
    <d v="2026-07-25T00:00:00"/>
    <s v="PP Woven Fabrics"/>
    <n v="39269080"/>
    <n v="268"/>
    <s v="Kgs"/>
    <n v="268"/>
    <n v="14105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n v="90"/>
    <d v="2026-07-24T00:00:00"/>
    <s v="LLDPE BLENDED FILM IN TUBULAR ROLLS"/>
    <n v="39201019"/>
    <n v="104"/>
    <s v="Kgs"/>
    <n v="104"/>
    <n v="14103"/>
    <s v="Sector - 2,  KASEZ,  Plot No. 73/74/75 - A &amp; A,             Gandhidham - 370 230 Kutch"/>
    <s v="PLOT NO. 27 TO 30,, SECTOR-1,, ,KANDLA SPECIAL ECONOMIC,,GANDHIDHAM,"/>
    <s v="PP WOVEN BAGS/SACK"/>
    <s v="RAW05124"/>
    <s v="SF"/>
    <s v="Films All (SF)"/>
    <s v="PE Film"/>
    <x v="9"/>
    <b v="0"/>
  </r>
  <r>
    <s v="26-27"/>
    <s v="Oswal Extrusion Limited"/>
    <x v="0"/>
    <s v="090-2"/>
    <d v="2026-07-24T00:00:00"/>
    <s v="PP Woven Fabrics"/>
    <n v="39269080"/>
    <n v="2698"/>
    <s v="Kgs"/>
    <n v="2698"/>
    <n v="14103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090-3"/>
    <d v="2026-07-24T00:00:00"/>
    <s v="PP woven fabrics laminated/ coated"/>
    <n v="39269080"/>
    <n v="4164"/>
    <s v="Kgs"/>
    <n v="4164"/>
    <n v="14103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s v="090-4"/>
    <d v="2026-07-24T00:00:00"/>
    <s v="Polypropylene Multifilament Yarn"/>
    <n v="54026930"/>
    <n v="2166.1999999999998"/>
    <s v="Kgs"/>
    <n v="2166.1999999999998"/>
    <n v="14103"/>
    <s v="Sector - 2,  KASEZ,  Plot No. 73/74/75 - A &amp; A,             Gandhidham - 370 230 Kutch"/>
    <s v="PLOT NO. 27 TO 30,, SECTOR-1,, ,KANDLA SPECIAL ECONOMIC,,GANDHIDHAM,"/>
    <s v="PP WOVEN BAGS/SACK"/>
    <s v="WIP00015"/>
    <s v="SF"/>
    <s v="Yarn All"/>
    <s v="PP Yarn"/>
    <x v="4"/>
    <b v="0"/>
  </r>
  <r>
    <s v="26-27"/>
    <s v="Oswal Extrusion Limited"/>
    <x v="0"/>
    <s v="090-5"/>
    <d v="2026-07-24T00:00:00"/>
    <s v="LD/LLDPE BAGS"/>
    <n v="39232100"/>
    <n v="6980.4"/>
    <s v="Kgs"/>
    <n v="6980.4"/>
    <n v="14103"/>
    <s v="Sector - 2,  KASEZ,  Plot No. 73/74/75 - A &amp; A,             Gandhidham - 370 230 Kutch"/>
    <s v="PLOT NO. 27 TO 30,, SECTOR-1,, ,KANDLA SPECIAL ECONOMIC,,GANDHIDHAM,"/>
    <s v="PP WOVEN BAGS/SACK"/>
    <s v="WIP00013"/>
    <s v="SF"/>
    <s v="Liners"/>
    <s v="LDPE/LLDPE Bags"/>
    <x v="3"/>
    <b v="0"/>
  </r>
  <r>
    <s v="26-27"/>
    <s v="Oswal Extrusion Limited"/>
    <x v="0"/>
    <s v="089-2"/>
    <d v="2026-07-22T00:00:00"/>
    <s v="PP woven fabrics laminated/ coated"/>
    <n v="39269080"/>
    <n v="2479"/>
    <s v="Kgs"/>
    <n v="114"/>
    <n v="14102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n v="88"/>
    <d v="2026-07-21T00:00:00"/>
    <s v="PP Woven Fabrics"/>
    <n v="39269080"/>
    <n v="3134"/>
    <s v="Kgs"/>
    <n v="264"/>
    <n v="14101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0"/>
    <s v="087-2"/>
    <d v="2026-07-20T00:00:00"/>
    <s v="PP woven fabrics laminated/ coated"/>
    <n v="39269080"/>
    <n v="3710.3"/>
    <s v="Kgs"/>
    <n v="235"/>
    <n v="14100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n v="86"/>
    <d v="2026-07-18T00:00:00"/>
    <s v="PP Woven Fabrics"/>
    <n v="39269080"/>
    <n v="1763"/>
    <s v="Kgs"/>
    <n v="390"/>
    <n v="14099"/>
    <s v="Sector - 2,  KASEZ,  Plot No. 73/74/75 - A &amp; A,             Gandhidham - 370 230 Kutch"/>
    <s v="PLOT NO. 27 TO 30,, SECTOR-1,, ,KANDLA SPECIAL ECONOMIC,,GANDHIDHAM,"/>
    <s v="PP WOVEN BAGS/SACK"/>
    <s v="WIP00023"/>
    <s v="SF"/>
    <s v="PP/PE Fabric"/>
    <s v="PP UL Fabric"/>
    <x v="0"/>
    <b v="0"/>
  </r>
  <r>
    <s v="26-27"/>
    <s v="Oswal Extrusion Limited"/>
    <x v="1"/>
    <n v="49"/>
    <d v="2026-07-17T00:00:00"/>
    <s v="MASTERBATCH/UV"/>
    <n v="32061190"/>
    <n v="1500"/>
    <s v="Kgs"/>
    <n v="1500"/>
    <n v="14098"/>
    <s v="Sector - 2,  KASEZ,  Plot No. 73/74/75 - A &amp; A,             Gandhidham - 370 230 Kutch"/>
    <s v="Survey No 315/1,315/2,316 &amp; 317,Nani Chirai Nr.Softel Company ,Taluka-Bhachau"/>
    <s v="PP WOVEN BAGS/SACK"/>
    <s v="RAW05516"/>
    <s v="RM"/>
    <s v="Granules"/>
    <s v="UV MB"/>
    <x v="8"/>
    <b v="0"/>
  </r>
  <r>
    <s v="26-27"/>
    <s v="Oswal Extrusion Limited"/>
    <x v="0"/>
    <s v="085-3"/>
    <d v="2026-07-17T00:00:00"/>
    <s v="PP woven fabrics laminated/ coated"/>
    <n v="39269080"/>
    <n v="3887"/>
    <s v="Kgs"/>
    <n v="248"/>
    <n v="14097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n v="84"/>
    <d v="2026-07-16T00:00:00"/>
    <s v="PP woven fabrics laminated/ coated"/>
    <n v="39269080"/>
    <n v="2369"/>
    <s v="Kgs"/>
    <n v="162"/>
    <n v="14095"/>
    <s v="Sector - 2,  KASEZ,  Plot No. 73/74/75 - A &amp; A,             Gandhidham - 370 230 Kutch"/>
    <s v="PLOT NO. 27 TO 30,, SECTOR-1,, ,KANDLA SPECIAL ECONOMIC,,GANDHIDHAM,"/>
    <s v="PP WOVEN BAGS/SACK"/>
    <s v="WIP00025"/>
    <s v="SF"/>
    <s v="PP/PE Fabric"/>
    <s v="PP Lam Fabric"/>
    <x v="2"/>
    <b v="0"/>
  </r>
  <r>
    <s v="26-27"/>
    <s v="Oswal Extrusion Limited"/>
    <x v="0"/>
    <n v="83"/>
    <d v="2026-07-15T00:00:00"/>
    <s v="FILLERCORD"/>
    <n v="54026300"/>
    <n v="1963"/>
    <s v="Kgs"/>
    <n v="78"/>
    <n v="14094"/>
    <s v="Sector - 2,  KASEZ,  Plot No. 73/74/75 - A &amp; A,             Gandhidham - 370 230 Kutch"/>
    <s v="PLOT NO. 27 TO 30,, SECTOR-1,, ,KANDLA SPECIAL ECONOMIC,,GANDHIDHAM,"/>
    <s v="PP WOVEN BAGS/SACK"/>
    <s v="WIP00022"/>
    <s v="SF"/>
    <s v="Yarn All"/>
    <s v="PP Yarn"/>
    <x v="7"/>
    <b v="0"/>
  </r>
  <r>
    <s v="26-27"/>
    <s v="Oswal Extrusion Limited"/>
    <x v="1"/>
    <n v="44"/>
    <d v="2026-07-08T00:00:00"/>
    <s v="MASTERBATCH"/>
    <n v="32064990"/>
    <n v="150"/>
    <s v="Kgs"/>
    <n v="150"/>
    <n v="14076"/>
    <s v="Sector - 2,  KASEZ,  Plot No. 73/74/75 - A &amp; A,             Gandhidham - 370 230 Kutch"/>
    <s v="Survey No 315/1,315/2,316 &amp; 317,Nani Chirai Nr.Softel Company ,Taluka-Bhachau"/>
    <s v="PP WOVEN BAGS/SACK"/>
    <s v="RAW06279"/>
    <s v="RM"/>
    <s v="Granules"/>
    <s v="Masterbatch"/>
    <x v="10"/>
    <b v="0"/>
  </r>
  <r>
    <s v="26-27"/>
    <s v="Oswal Extrusion Limited"/>
    <x v="1"/>
    <s v="44-2"/>
    <d v="2026-07-08T00:00:00"/>
    <s v="Polypropylene Granuals"/>
    <n v="39021000"/>
    <n v="2000"/>
    <s v="Kgs"/>
    <n v="2000"/>
    <n v="14076"/>
    <s v="Sector - 2,  KASEZ,  Plot No. 73/74/75 - A &amp; A,             Gandhidham - 370 230 Kutch"/>
    <s v="Survey No 315/1,315/2,316 &amp; 317,Nani Chirai Nr.Softel Company ,Taluka-Bhachau"/>
    <s v="PP WOVEN BAGS/SACK"/>
    <s v="RAW05130"/>
    <s v="RM"/>
    <s v="Granules"/>
    <s v="PP Granules"/>
    <x v="5"/>
    <b v="0"/>
  </r>
  <r>
    <s v="26-27"/>
    <s v="Oswal Extrusion Limited"/>
    <x v="1"/>
    <n v="36"/>
    <d v="2026-06-24T00:00:00"/>
    <s v="PP WEBBING"/>
    <n v="39269080"/>
    <n v="115.7"/>
    <s v="Kgs"/>
    <n v="115.7"/>
    <n v="14059"/>
    <s v="Sector - 2,  KASEZ,  Plot No. 73/74/75 - A &amp; A,             Gandhidham - 370 230 Kutch"/>
    <s v="Survey No 315/1,315/2,316 &amp; 317,Nani Chirai Nr.Softel Company ,Taluka-Bhachau"/>
    <s v="PP WOVEN BAGS/SACK"/>
    <s v="WIP00032"/>
    <s v="SF"/>
    <s v="Webbing"/>
    <s v="PP Webbing"/>
    <x v="11"/>
    <b v="0"/>
  </r>
  <r>
    <s v="26-27"/>
    <s v="Oswal Extrusion Limited"/>
    <x v="1"/>
    <n v="34"/>
    <d v="2026-06-22T00:00:00"/>
    <s v="U.V. STABILIZER MASTER BATCH"/>
    <n v="38123990"/>
    <n v="2000"/>
    <s v="Kgs"/>
    <n v="2000"/>
    <n v="14051"/>
    <s v="Sector - 2,  KASEZ,  Plot No. 73/74/75 - A &amp; A,             Gandhidham - 370 230 Kutch"/>
    <s v="Survey No 315/1,315/2,316 &amp; 317,Nani Chirai Nr.Softel Company ,Taluka-Bhachau"/>
    <s v="PP WOVEN BIG BAGS/SACKS"/>
    <s v="RAW05516"/>
    <s v="RM"/>
    <s v="Granules"/>
    <s v="UV MB"/>
    <x v="8"/>
    <b v="0"/>
  </r>
  <r>
    <s v="26-27"/>
    <s v="Oswal Extrusion Limited"/>
    <x v="1"/>
    <n v="33"/>
    <d v="2026-06-19T00:00:00"/>
    <s v="U.V. STABILIZER MASTER BATCH"/>
    <n v="38123990"/>
    <n v="3000"/>
    <s v="Kgs"/>
    <n v="3000"/>
    <n v="14051"/>
    <s v="Sector - 2,  KASEZ,  Plot No. 73/74/75 - A &amp; A,             Gandhidham - 370 230 Kutch"/>
    <s v="Survey No 315/1,315/2,316 &amp; 317,Nani Chirai Nr.Softel Company ,Taluka-Bhachau"/>
    <s v="PP WOVEN BIG BAGS/SACKS"/>
    <s v="RAW05516"/>
    <s v="RM"/>
    <s v="Granules"/>
    <s v="UV MB"/>
    <x v="8"/>
    <b v="0"/>
  </r>
  <r>
    <s v="26-27"/>
    <s v="Oswal Extrusion Limited"/>
    <x v="1"/>
    <n v="31"/>
    <d v="2026-06-08T00:00:00"/>
    <s v="U.V. STABILIZER MASTER BATCH"/>
    <n v="38123990"/>
    <n v="3000"/>
    <s v="Kgs"/>
    <n v="3000"/>
    <n v="14037"/>
    <s v="Sector - 2,  KASEZ,  Plot No. 73/74/75 - A &amp; A,             Gandhidham - 370 230 Kutch"/>
    <s v="Survey No 315/1,315/2,316 &amp; 317,Nani Chirai Nr.Softel Company ,Taluka-Bhachau"/>
    <s v="PP WOVEN BIG BAGS/SACKS"/>
    <s v="RAW05516"/>
    <s v="RM"/>
    <s v="Granules"/>
    <s v="UV MB"/>
    <x v="8"/>
    <b v="0"/>
  </r>
  <r>
    <s v="26-27"/>
    <s v="Oswal Extrusion Limited"/>
    <x v="1"/>
    <n v="1"/>
    <d v="2026-04-02T00:00:00"/>
    <s v="MASTERBATCH/UV"/>
    <n v="32061190"/>
    <n v="6575"/>
    <s v="Kgs"/>
    <n v="6575"/>
    <n v="13942"/>
    <s v="Sector - 2,  KASEZ,  Plot No. 73/74/75 - A &amp; A,             Gandhidham - 370 230 Kutch"/>
    <s v="Survey No 315/1,315/2,316 &amp; 317,Nani Chirai Nr.Softel Company ,Taluka-Bhachau"/>
    <s v="PP WOVEN BAGS/SACK"/>
    <s v="RAW05516"/>
    <s v="RM"/>
    <s v="Granules"/>
    <s v="UV MB"/>
    <x v="8"/>
    <b v="0"/>
  </r>
  <r>
    <s v="25-26"/>
    <s v="Oswal Extrusion Limited"/>
    <x v="1"/>
    <n v="246"/>
    <d v="2026-03-22T00:00:00"/>
    <s v="LDPE Granuals"/>
    <n v="39011090"/>
    <n v="3000"/>
    <s v="Kgs"/>
    <n v="3000"/>
    <n v="13919"/>
    <s v="Sector - 2,  KASEZ,  Plot No. 73/74/75 - A &amp; A,             Gandhidham - 370 230 Kutch"/>
    <s v="Survey No 315/1,315/2,316 &amp; 317,Nani Chirai Nr.Softel Company ,Taluka-Bhachau"/>
    <s v="PP WOVEN BIG BAGS/SACKS"/>
    <s v="RAW05810"/>
    <s v="RM"/>
    <s v="Granules"/>
    <s v="LDPE Granules"/>
    <x v="6"/>
    <b v="0"/>
  </r>
  <r>
    <s v="25-26"/>
    <s v="Oswal Extrusion Limited"/>
    <x v="1"/>
    <n v="244"/>
    <d v="2026-03-20T00:00:00"/>
    <s v="PP WEBBING"/>
    <n v="39269080"/>
    <n v="198.3"/>
    <s v="Kgs"/>
    <n v="198.3"/>
    <n v="13916"/>
    <s v="Sector - 2,  KASEZ,  Plot No. 73/74/75 - A &amp; A,             Gandhidham - 370 230 Kutch"/>
    <s v="Survey No 315/1,315/2,316 &amp; 317,Nani Chirai Nr.Softel Company ,Taluka-Bhachau"/>
    <s v="PP WOVEN BIG BAGS/SACKS"/>
    <s v="WIP00032"/>
    <s v="SF"/>
    <s v="Webbing"/>
    <s v="PP Webbing"/>
    <x v="11"/>
    <b v="0"/>
  </r>
  <r>
    <s v="25-26"/>
    <s v="Oswal Extrusion Limited"/>
    <x v="1"/>
    <n v="242"/>
    <d v="2026-03-19T00:00:00"/>
    <s v="PP WEBBING"/>
    <n v="39269080"/>
    <n v="525"/>
    <s v="Kgs"/>
    <n v="525"/>
    <n v="13914"/>
    <s v="Sector - 2,  KASEZ,  Plot No. 73/74/75 - A &amp; A,             Gandhidham - 370 230 Kutch"/>
    <s v="Survey No 315/1,315/2,316 &amp; 317,Nani Chirai Nr.Softel Company ,Taluka-Bhachau"/>
    <s v="PP WOVEN BIG BAGS/SACKS"/>
    <s v="WIP00032"/>
    <s v="SF"/>
    <s v="Webbing"/>
    <s v="PP Webbing"/>
    <x v="11"/>
    <b v="0"/>
  </r>
  <r>
    <s v="25-26"/>
    <s v="Oswal Extrusion Limited"/>
    <x v="1"/>
    <n v="243"/>
    <d v="2026-03-19T00:00:00"/>
    <s v="PP WEBBING"/>
    <n v="39269080"/>
    <n v="932.8"/>
    <s v="Kgs"/>
    <n v="932.8"/>
    <n v="13914"/>
    <s v="Sector - 2,  KASEZ,  Plot No. 73/74/75 - A &amp; A,             Gandhidham - 370 230 Kutch"/>
    <s v="Survey No 315/1,315/2,316 &amp; 317,Nani Chirai Nr.Softel Company ,Taluka-Bhachau"/>
    <s v="PP WOVEN BIG BAGS/SACKS"/>
    <s v="WIP00032"/>
    <s v="SF"/>
    <s v="Webbing"/>
    <s v="PP Webbing"/>
    <x v="11"/>
    <b v="0"/>
  </r>
  <r>
    <s v="25-26"/>
    <s v="Oswal Extrusion Limited"/>
    <x v="1"/>
    <n v="232"/>
    <d v="2026-03-06T00:00:00"/>
    <s v="Polypropylene Granuals"/>
    <n v="39021000"/>
    <n v="24750"/>
    <s v="Kgs"/>
    <n v="24750"/>
    <n v="13887"/>
    <s v="Sector - 2,  KASEZ,  Plot No. 73/74/75 - A &amp; A,             Gandhidham - 370 230 Kutch"/>
    <s v="Survey No 315/1,315/2,316 &amp; 317,Nani Chirai Nr.Softel Company ,Taluka-Bhachau"/>
    <s v="PP WOVEN BIG BAGS/SACKS"/>
    <s v="RAW05127"/>
    <s v="RM"/>
    <s v="Granules"/>
    <s v="PP Granules"/>
    <x v="5"/>
    <b v="0"/>
  </r>
  <r>
    <s v="25-26"/>
    <s v="Oswal Extrusion Limited"/>
    <x v="1"/>
    <n v="233"/>
    <d v="2026-03-06T00:00:00"/>
    <s v="Polypropylene Granuals"/>
    <n v="39021000"/>
    <n v="24750"/>
    <s v="Kgs"/>
    <n v="24750"/>
    <n v="13887"/>
    <s v="Sector - 2,  KASEZ,  Plot No. 73/74/75 - A &amp; A,             Gandhidham - 370 230 Kutch"/>
    <s v="Survey No 315/1,315/2,316 &amp; 317,Nani Chirai Nr.Softel Company ,Taluka-Bhachau"/>
    <s v="PP WOVEN BIG BAGS/SACKS"/>
    <s v="RAW05127"/>
    <s v="RM"/>
    <s v="Granules"/>
    <s v="PP Granules"/>
    <x v="5"/>
    <b v="0"/>
  </r>
  <r>
    <s v="25-26"/>
    <s v="Oswal Extrusion Limited"/>
    <x v="1"/>
    <n v="234"/>
    <d v="2026-03-06T00:00:00"/>
    <s v="Polypropylene Granuals"/>
    <n v="39021000"/>
    <n v="24750"/>
    <s v="Kgs"/>
    <n v="24750"/>
    <n v="13887"/>
    <s v="Sector - 2,  KASEZ,  Plot No. 73/74/75 - A &amp; A,             Gandhidham - 370 230 Kutch"/>
    <s v="Survey No 315/1,315/2,316 &amp; 317,Nani Chirai Nr.Softel Company ,Taluka-Bhachau"/>
    <s v="PP WOVEN BIG BAGS/SACKS"/>
    <s v="RAW05127"/>
    <s v="RM"/>
    <s v="Granules"/>
    <s v="PP Granules"/>
    <x v="5"/>
    <b v="0"/>
  </r>
  <r>
    <s v="25-26"/>
    <s v="Oswal Extrusion Limited"/>
    <x v="1"/>
    <n v="229"/>
    <d v="2026-03-03T00:00:00"/>
    <s v="Polypropylene Granuals"/>
    <n v="39021000"/>
    <n v="27000"/>
    <s v="Kgs"/>
    <n v="27000"/>
    <n v="13880"/>
    <s v="Sector - 2,  KASEZ,  Plot No. 73/74/75 - A &amp; A,             Gandhidham - 370 230 Kutch"/>
    <s v="Survey No 315/1,315/2,316 &amp; 317,Nani Chirai Nr.Softel Company ,Taluka-Bhachau"/>
    <s v="PP WOVEN BAGS/SACK"/>
    <s v="RAW06375"/>
    <s v="RM"/>
    <s v="Granules"/>
    <s v="PP Granules"/>
    <x v="5"/>
    <b v="0"/>
  </r>
  <r>
    <s v="25-26"/>
    <s v="Oswal Extrusion Limited"/>
    <x v="1"/>
    <n v="225"/>
    <d v="2026-02-28T00:00:00"/>
    <s v="LDPE Granuals"/>
    <n v="39011090"/>
    <n v="850"/>
    <s v="Kgs"/>
    <n v="850"/>
    <n v="13866"/>
    <s v="Sector - 2,  KASEZ,  Plot No. 73/74/75 - A &amp; A,             Gandhidham - 370 230 Kutch"/>
    <s v="Survey No 315/1,315/2,316 &amp; 317,Nani Chirai Nr.Softel Company ,Taluka-Bhachau"/>
    <s v="PP WOVEN BIG BAGS/SACKS"/>
    <s v="RAW05270"/>
    <s v="RM"/>
    <s v="Granules"/>
    <s v="LDPE Granules"/>
    <x v="6"/>
    <b v="0"/>
  </r>
  <r>
    <s v="25-26"/>
    <s v="Oswal Extrusion Limited"/>
    <x v="1"/>
    <n v="222"/>
    <d v="2026-02-27T00:00:00"/>
    <s v="LDPE GRANULE"/>
    <n v="39011090"/>
    <n v="9150"/>
    <s v="Kgs"/>
    <n v="9150"/>
    <n v="13864"/>
    <s v="Sector - 2,  KASEZ,  Plot No. 73/74/75 - A &amp; A,             Gandhidham - 370 230 Kutch"/>
    <s v="Survey No 315/1,315/2,316 &amp; 317,Nani Chirai Nr.Softel Company ,Taluka-Bhachau"/>
    <s v="PP WOVEN BIG BAGS/SACKS"/>
    <s v="RAW05270"/>
    <s v="RM"/>
    <s v="Granules"/>
    <s v="LDPE Granules"/>
    <x v="6"/>
    <b v="0"/>
  </r>
  <r>
    <s v="25-26"/>
    <s v="Oswal Extrusion Limited"/>
    <x v="1"/>
    <n v="219"/>
    <d v="2026-02-26T00:00:00"/>
    <s v="Polypropylene Granuals"/>
    <n v="39021000"/>
    <n v="24750"/>
    <s v="Kgs"/>
    <n v="24750"/>
    <n v="13860"/>
    <s v="Sector - 2,  KASEZ,  Plot No. 73/74/75 - A &amp; A,             Gandhidham - 370 230 Kutch"/>
    <s v="Survey No 315/1,315/2,316 &amp; 317,Nani Chirai Nr.Softel Company ,Taluka-Bhachau"/>
    <s v="PP WOVEN BAGS/SACK"/>
    <s v="RAW05182"/>
    <s v="RM"/>
    <s v="Granules"/>
    <s v="PP Granules"/>
    <x v="5"/>
    <b v="0"/>
  </r>
  <r>
    <s v="25-26"/>
    <s v="Oswal Extrusion Limited"/>
    <x v="1"/>
    <n v="218"/>
    <d v="2026-02-25T00:00:00"/>
    <s v="Polypropylene Granuals"/>
    <n v="39021000"/>
    <n v="24750"/>
    <s v="Kgs"/>
    <n v="24750"/>
    <n v="13854"/>
    <s v="Sector - 2,  KASEZ,  Plot No. 73/74/75 - A &amp; A,             Gandhidham - 370 230 Kutch"/>
    <s v="Survey No 315/1,315/2,316 &amp; 317,Nani Chirai Nr.Softel Company ,Taluka-Bhachau"/>
    <s v="PP WOVEN BAGS/SACK"/>
    <s v="RAW06223"/>
    <s v="RM"/>
    <s v="Granules"/>
    <s v="PP Granules"/>
    <x v="5"/>
    <b v="0"/>
  </r>
  <r>
    <s v="25-26"/>
    <s v="Oswal Extrusion Limited"/>
    <x v="1"/>
    <n v="217"/>
    <d v="2026-02-24T00:00:00"/>
    <s v="Polypropylene Granuals"/>
    <n v="39021000"/>
    <n v="10000"/>
    <s v="Kgs"/>
    <n v="10000"/>
    <n v="13851"/>
    <s v="Sector - 2,  KASEZ,  Plot No. 73/74/75 - A &amp; A,             Gandhidham - 370 230 Kutch"/>
    <s v="Survey No 315/1,315/2,316 &amp; 317,Nani Chirai Nr.Softel Company ,Taluka-Bhachau"/>
    <s v="PP WOVEN BAGS/SACK"/>
    <s v="RAW06364"/>
    <s v="RM"/>
    <s v="Granules"/>
    <s v="PP Granules"/>
    <x v="5"/>
    <b v="0"/>
  </r>
  <r>
    <s v="25-26"/>
    <s v="Oswal Extrusion Limited"/>
    <x v="1"/>
    <n v="214"/>
    <d v="2026-02-21T00:00:00"/>
    <s v="Polypropylene Granuals"/>
    <n v="39021000"/>
    <n v="16000"/>
    <s v="Kgs"/>
    <n v="16000"/>
    <n v="13839"/>
    <s v="Sector - 2,  KASEZ,  Plot No. 73/74/75 - A &amp; A,             Gandhidham - 370 230 Kutch"/>
    <s v="Survey No 315/1,315/2,316 &amp; 317,Nani Chirai Nr.Softel Company ,Taluka-Bhachau"/>
    <s v="PP WOVEN BAGS/SACK"/>
    <s v="RAW05173"/>
    <s v="RM"/>
    <s v="Granules"/>
    <s v="PP Granules"/>
    <x v="5"/>
    <b v="0"/>
  </r>
  <r>
    <s v="25-26"/>
    <s v="Oswal Extrusion Limited"/>
    <x v="1"/>
    <n v="212"/>
    <d v="2026-02-20T00:00:00"/>
    <s v="Polypropylene Granuals"/>
    <n v="39021000"/>
    <n v="16000"/>
    <s v="Kgs"/>
    <n v="16000"/>
    <n v="13833"/>
    <s v="Sector - 2,  KASEZ,  Plot No. 73/74/75 - A &amp; A,             Gandhidham - 370 230 Kutch"/>
    <s v="Survey No 315/1,315/2,316 &amp; 317,Nani Chirai Nr.Softel Company ,Taluka-Bhachau"/>
    <s v="PP WOVEN BAGS/SACK"/>
    <s v="RAW06364"/>
    <s v="RM"/>
    <s v="Granules"/>
    <s v="PP Granules"/>
    <x v="5"/>
    <b v="0"/>
  </r>
  <r>
    <s v="25-26"/>
    <s v="Oswal Extrusion Limited"/>
    <x v="1"/>
    <n v="211"/>
    <d v="2026-02-19T00:00:00"/>
    <s v="Polypropylene Granuals"/>
    <n v="39021000"/>
    <n v="16000"/>
    <s v="Kgs"/>
    <n v="16000"/>
    <n v="13831"/>
    <s v="Sector - 2,  KASEZ,  Plot No. 73/74/75 - A &amp; A,             Gandhidham - 370 230 Kutch"/>
    <s v="Survey No 315/1,315/2,316 &amp; 317,Nani Chirai Nr.Softel Company ,Taluka-Bhachau"/>
    <s v="PP WOVEN BAGS/SACK"/>
    <s v="RAW06364"/>
    <s v="RM"/>
    <s v="Granules"/>
    <s v="PP Granules"/>
    <x v="5"/>
    <b v="0"/>
  </r>
  <r>
    <s v="25-26"/>
    <s v="Oswal Extrusion Limited"/>
    <x v="1"/>
    <n v="209"/>
    <d v="2026-02-19T00:00:00"/>
    <s v="PP Yarn"/>
    <n v="54026300"/>
    <n v="1707.9"/>
    <s v="Kgs"/>
    <n v="1707.9"/>
    <n v="13830"/>
    <s v="Sector - 2,  KASEZ,  Plot No. 73/74/75 - A &amp; A,             Gandhidham - 370 230 Kutch"/>
    <s v="Survey No 315/1,315/2,316 &amp; 317,Nani Chirai Nr.Softel Company ,Taluka-Bhachau"/>
    <s v="PP WOVEN BAGS/SACK"/>
    <s v="WIP00151"/>
    <s v="SF"/>
    <s v="Yarn All"/>
    <s v="PP Yarn"/>
    <x v="4"/>
    <b v="0"/>
  </r>
  <r>
    <s v="25-26"/>
    <s v="Oswal Extrusion Limited"/>
    <x v="1"/>
    <n v="207"/>
    <d v="2026-02-18T00:00:00"/>
    <s v="MASTERBATCH"/>
    <n v="32064990"/>
    <n v="50"/>
    <s v="Kgs"/>
    <n v="50"/>
    <n v="13827"/>
    <s v="Sector - 2,  KASEZ,  Plot No. 73/74/75 - A &amp; A,             Gandhidham - 370 230 Kutch"/>
    <s v="Survey No 315/1,315/2,316 &amp; 317,Nani Chirai Nr.Softel Company ,Taluka-Bhachau"/>
    <s v="PP WOVEN BAGS/SACK"/>
    <s v="RAW05067"/>
    <s v="RM"/>
    <s v="Granules"/>
    <s v="Masterbatch"/>
    <x v="10"/>
    <b v="0"/>
  </r>
  <r>
    <s v="25-26"/>
    <s v="Oswal Extrusion Limited"/>
    <x v="1"/>
    <s v="207-2"/>
    <d v="2026-02-18T00:00:00"/>
    <s v="Polypropylene Granuals"/>
    <n v="39021000"/>
    <n v="6000"/>
    <s v="Kgs"/>
    <n v="6000"/>
    <n v="13827"/>
    <s v="Sector - 2,  KASEZ,  Plot No. 73/74/75 - A &amp; A,             Gandhidham - 370 230 Kutch"/>
    <s v="Survey No 315/1,315/2,316 &amp; 317,Nani Chirai Nr.Softel Company ,Taluka-Bhachau"/>
    <s v="PP WOVEN BAGS/SACK"/>
    <s v="RAW05130"/>
    <s v="RM"/>
    <s v="Granules"/>
    <s v="PP Granules"/>
    <x v="5"/>
    <b v="0"/>
  </r>
  <r>
    <s v="25-26"/>
    <s v="Oswal Extrusion Limited"/>
    <x v="1"/>
    <n v="206"/>
    <d v="2026-02-17T00:00:00"/>
    <s v="Polypropylene Granuals"/>
    <n v="39021000"/>
    <n v="9000"/>
    <s v="Kgs"/>
    <n v="9000"/>
    <n v="13826"/>
    <s v="Sector - 2,  KASEZ,  Plot No. 73/74/75 - A &amp; A,             Gandhidham - 370 230 Kutch"/>
    <s v="Survey No 315/1,315/2,316 &amp; 317,Nani Chirai Nr.Softel Company ,Taluka-Bhachau"/>
    <s v="PP WOVEN BAGS/SACK"/>
    <s v="RAW05130"/>
    <s v="RM"/>
    <s v="Granules"/>
    <s v="PP Granules"/>
    <x v="5"/>
    <b v="0"/>
  </r>
  <r>
    <s v="25-26"/>
    <s v="Oswal Extrusion Limited"/>
    <x v="1"/>
    <s v="206-2"/>
    <d v="2026-02-17T00:00:00"/>
    <s v="U.V. STABILIZER MASTER BATCH"/>
    <n v="38123990"/>
    <n v="7000"/>
    <s v="Kgs"/>
    <n v="7000"/>
    <n v="13826"/>
    <s v="Sector - 2,  KASEZ,  Plot No. 73/74/75 - A &amp; A,             Gandhidham - 370 230 Kutch"/>
    <s v="Survey No 315/1,315/2,316 &amp; 317,Nani Chirai Nr.Softel Company ,Taluka-Bhachau"/>
    <s v="PP WOVEN BAGS/SACK"/>
    <s v="RAW05089"/>
    <s v="RM"/>
    <s v="Granules"/>
    <s v="UV MB"/>
    <x v="8"/>
    <b v="0"/>
  </r>
  <r>
    <s v="25-26"/>
    <s v="Oswal Extrusion Limited"/>
    <x v="1"/>
    <n v="195"/>
    <d v="2026-02-03T00:00:00"/>
    <s v="Polypropylene Granuals"/>
    <n v="39021000"/>
    <n v="24750"/>
    <s v="Kgs"/>
    <n v="1231.7"/>
    <n v="13795"/>
    <s v="Sector - 2,  KASEZ,  Plot No. 73/74/75 - A &amp; A,             Gandhidham - 370 230 Kutch"/>
    <s v="Survey No 315/1,315/2,316 &amp; 317,Nani Chirai Nr.Softel Company ,Taluka-Bhachau"/>
    <s v="PP WOVEN BAGS/SACK"/>
    <s v="RAW06278"/>
    <s v="RM"/>
    <s v="Granules"/>
    <s v="PP Granules"/>
    <x v="5"/>
    <b v="0"/>
  </r>
  <r>
    <s v="25-26"/>
    <s v="Oswal Extrusion Limited"/>
    <x v="1"/>
    <n v="194"/>
    <d v="2026-02-03T00:00:00"/>
    <s v="Polypropylene Granuals"/>
    <n v="39021000"/>
    <n v="24750"/>
    <s v="Kgs"/>
    <n v="918"/>
    <n v="13794"/>
    <s v="Sector - 2,  KASEZ,  Plot No. 73/74/75 - A &amp; A,             Gandhidham - 370 230 Kutch"/>
    <s v="Survey No 315/1,315/2,316 &amp; 317,Nani Chirai Nr.Softel Company ,Taluka-Bhachau"/>
    <s v="PP WOVEN BAGS/SACK"/>
    <s v="RAW06278"/>
    <s v="RM"/>
    <s v="Granules"/>
    <s v="PP Granules"/>
    <x v="5"/>
    <b v="0"/>
  </r>
  <r>
    <s v="25-26"/>
    <s v="Oswal Extrusion Limited"/>
    <x v="1"/>
    <s v="191-3"/>
    <d v="2026-01-28T00:00:00"/>
    <s v="Polypropylene Granuals"/>
    <n v="39021000"/>
    <n v="10000"/>
    <s v="Kgs"/>
    <n v="400"/>
    <n v="13777"/>
    <s v="Sector - 2,  KASEZ,  Plot No. 73/74/75 - A &amp; A,             Gandhidham - 370 230 Kutch"/>
    <s v="Survey No 315/1,315/2,316 &amp; 317,Nani Chirai Nr.Softel Company ,Taluka-Bhachau"/>
    <s v="PP WOVEN BAGS/SACK"/>
    <s v="RAW06049"/>
    <s v="RM"/>
    <s v="Granules"/>
    <s v="PP Granules"/>
    <x v="5"/>
    <b v="0"/>
  </r>
  <r>
    <m/>
    <m/>
    <x v="2"/>
    <m/>
    <m/>
    <m/>
    <m/>
    <m/>
    <m/>
    <m/>
    <m/>
    <m/>
    <m/>
    <m/>
    <m/>
    <m/>
    <m/>
    <m/>
    <x v="7"/>
    <m/>
  </r>
  <r>
    <m/>
    <m/>
    <x v="2"/>
    <m/>
    <m/>
    <m/>
    <m/>
    <m/>
    <m/>
    <m/>
    <m/>
    <m/>
    <m/>
    <m/>
    <m/>
    <m/>
    <m/>
    <m/>
    <x v="12"/>
    <m/>
  </r>
  <r>
    <m/>
    <m/>
    <x v="2"/>
    <m/>
    <m/>
    <m/>
    <m/>
    <m/>
    <m/>
    <m/>
    <m/>
    <m/>
    <m/>
    <m/>
    <m/>
    <m/>
    <m/>
    <m/>
    <x v="13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  <r>
    <m/>
    <m/>
    <x v="2"/>
    <m/>
    <m/>
    <m/>
    <m/>
    <m/>
    <m/>
    <m/>
    <m/>
    <m/>
    <m/>
    <m/>
    <m/>
    <m/>
    <m/>
    <m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7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3"/>
        <item x="4"/>
        <item x="0"/>
        <item x="2"/>
        <item m="1" x="11"/>
        <item h="1" x="5"/>
        <item x="1"/>
        <item m="1" x="10"/>
        <item m="1" x="9"/>
        <item m="1" x="14"/>
        <item m="1" x="12"/>
        <item m="1" x="7"/>
        <item m="1" x="15"/>
        <item m="1" x="6"/>
        <item m="1" x="8"/>
        <item m="1" x="1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2" baseField="10" baseItem="0"/>
    <dataField name="Sum of Amount" fld="13" baseField="10" baseItem="0"/>
  </dataFields>
  <formats count="2">
    <format dxfId="35">
      <pivotArea collapsedLevelsAreSubtotals="1" fieldPosition="0">
        <references count="2">
          <reference field="4294967294" count="1" selected="0">
            <x v="0"/>
          </reference>
          <reference field="10" count="1">
            <x v="6"/>
          </reference>
        </references>
      </pivotArea>
    </format>
    <format dxfId="34">
      <pivotArea collapsedLevelsAreSubtotals="1" fieldPosition="0">
        <references count="1">
          <reference field="10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9" firstHeaderRow="0" firstDataRow="1" firstDataCol="1"/>
  <pivotFields count="67">
    <pivotField showAll="0"/>
    <pivotField showAll="0"/>
    <pivotField showAll="0"/>
    <pivotField showAll="0"/>
    <pivotField axis="axisRow" showAll="0" defaultSubtotal="0">
      <items count="40">
        <item m="1" x="32"/>
        <item m="1" x="29"/>
        <item m="1" x="25"/>
        <item m="1" x="35"/>
        <item h="1" x="7"/>
        <item x="3"/>
        <item x="0"/>
        <item x="5"/>
        <item m="1" x="26"/>
        <item x="2"/>
        <item m="1" x="39"/>
        <item m="1" x="33"/>
        <item m="1" x="11"/>
        <item m="1" x="16"/>
        <item m="1" x="27"/>
        <item x="1"/>
        <item m="1" x="36"/>
        <item m="1" x="20"/>
        <item m="1" x="14"/>
        <item m="1" x="30"/>
        <item h="1" m="1" x="23"/>
        <item m="1" x="37"/>
        <item m="1" x="38"/>
        <item m="1" x="13"/>
        <item m="1" x="21"/>
        <item m="1" x="22"/>
        <item x="6"/>
        <item m="1" x="9"/>
        <item m="1" x="18"/>
        <item m="1" x="12"/>
        <item m="1" x="31"/>
        <item m="1" x="34"/>
        <item m="1" x="28"/>
        <item m="1" x="17"/>
        <item m="1" x="8"/>
        <item m="1" x="24"/>
        <item m="1" x="15"/>
        <item m="1" x="10"/>
        <item m="1" x="19"/>
        <item x="4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 v="5"/>
    </i>
    <i>
      <x v="6"/>
    </i>
    <i>
      <x v="7"/>
    </i>
    <i>
      <x v="9"/>
    </i>
    <i>
      <x v="15"/>
    </i>
    <i>
      <x v="26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ceptedqty" fld="12" baseField="4" baseItem="0"/>
    <dataField name="Sum of Basic Amount" fld="51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4" firstHeaderRow="0" firstDataRow="1" firstDataCol="1"/>
  <pivotFields count="31"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8">
        <item x="0"/>
        <item x="1"/>
        <item h="1" x="2"/>
        <item m="1" x="6"/>
        <item m="1" x="5"/>
        <item m="1" x="3"/>
        <item h="1" m="1"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2" baseField="0" baseItem="0"/>
    <dataField name="Sum of Amount" fld="13" baseField="0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0" type="button" dataOnly="0" labelOnly="1" outline="0" axis="axisRow" fieldPosition="0"/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12" firstHeaderRow="1" firstDataRow="1" firstDataCol="1"/>
  <pivotFields count="67">
    <pivotField showAll="0"/>
    <pivotField numFmtId="14" showAll="0"/>
    <pivotField showAll="0"/>
    <pivotField showAll="0"/>
    <pivotField axis="axisRow" showAll="0">
      <items count="33">
        <item x="0"/>
        <item x="2"/>
        <item x="1"/>
        <item x="4"/>
        <item x="6"/>
        <item h="1" x="10"/>
        <item x="8"/>
        <item x="3"/>
        <item m="1" x="11"/>
        <item x="7"/>
        <item m="1" x="26"/>
        <item m="1" x="27"/>
        <item m="1" x="29"/>
        <item x="5"/>
        <item m="1" x="31"/>
        <item h="1" m="1" x="22"/>
        <item m="1" x="25"/>
        <item m="1" x="23"/>
        <item m="1" x="13"/>
        <item m="1" x="19"/>
        <item m="1" x="18"/>
        <item m="1" x="17"/>
        <item m="1" x="30"/>
        <item x="9"/>
        <item m="1" x="16"/>
        <item m="1" x="21"/>
        <item m="1" x="12"/>
        <item m="1" x="24"/>
        <item m="1" x="20"/>
        <item m="1" x="28"/>
        <item h="1" m="1" x="15"/>
        <item h="1" m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6"/>
    </i>
    <i>
      <x v="7"/>
    </i>
    <i>
      <x v="9"/>
    </i>
    <i>
      <x v="13"/>
    </i>
    <i>
      <x v="23"/>
    </i>
    <i t="grand">
      <x/>
    </i>
  </rowItems>
  <colItems count="1">
    <i/>
  </colItems>
  <dataFields count="1">
    <dataField name="Sum of Acceptedqty" fld="1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D15" firstHeaderRow="1" firstDataRow="2" firstDataCol="1"/>
  <pivotFields count="20"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7"/>
        <item m="1" x="24"/>
        <item x="3"/>
        <item x="9"/>
        <item m="1" x="32"/>
        <item m="1" x="30"/>
        <item m="1" x="31"/>
        <item x="2"/>
        <item m="1" x="21"/>
        <item x="4"/>
        <item m="1" x="29"/>
        <item m="1" x="35"/>
        <item m="1" x="15"/>
        <item x="1"/>
        <item x="0"/>
        <item m="1" x="23"/>
        <item x="11"/>
        <item x="14"/>
        <item x="5"/>
        <item x="12"/>
        <item x="8"/>
        <item m="1" x="22"/>
        <item x="6"/>
        <item m="1" x="36"/>
        <item m="1" x="28"/>
        <item x="13"/>
        <item m="1" x="20"/>
        <item m="1" x="17"/>
        <item x="10"/>
        <item m="1" x="16"/>
        <item m="1" x="18"/>
        <item m="1" x="26"/>
        <item m="1" x="19"/>
        <item m="1" x="33"/>
        <item m="1" x="27"/>
        <item m="1" x="25"/>
        <item m="1" x="34"/>
        <item t="default"/>
      </items>
    </pivotField>
    <pivotField showAll="0"/>
  </pivotFields>
  <rowFields count="1">
    <field x="18"/>
  </rowFields>
  <rowItems count="13">
    <i>
      <x/>
    </i>
    <i>
      <x v="2"/>
    </i>
    <i>
      <x v="3"/>
    </i>
    <i>
      <x v="7"/>
    </i>
    <i>
      <x v="9"/>
    </i>
    <i>
      <x v="13"/>
    </i>
    <i>
      <x v="14"/>
    </i>
    <i>
      <x v="16"/>
    </i>
    <i>
      <x v="18"/>
    </i>
    <i>
      <x v="20"/>
    </i>
    <i>
      <x v="22"/>
    </i>
    <i>
      <x v="2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Balanced Qty" fld="9" baseField="18" baseItem="0"/>
  </dataFields>
  <formats count="28">
    <format dxfId="27">
      <pivotArea type="all" dataOnly="0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Col="1" outline="0" fieldPosition="0"/>
    </format>
    <format dxfId="20">
      <pivotArea field="18" grandCol="1" collapsedLevelsAreSubtotals="1" axis="axisRow" fieldPosition="0">
        <references count="1"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9">
      <pivotArea collapsedLevelsAreSubtotals="1" fieldPosition="0">
        <references count="2">
          <reference field="2" count="0" selected="0"/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8">
      <pivotArea collapsedLevelsAreSubtotals="1" fieldPosition="0">
        <references count="2">
          <reference field="2" count="0" selected="0"/>
          <reference field="18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7">
      <pivotArea dataOnly="0" labelOnly="1" fieldPosition="0">
        <references count="1">
          <reference field="18" count="1">
            <x v="14"/>
          </reference>
        </references>
      </pivotArea>
    </format>
    <format dxfId="16">
      <pivotArea field="18" grandCol="1" collapsedLevelsAreSubtotals="1" axis="axisRow" fieldPosition="0">
        <references count="1">
          <reference field="18" count="1">
            <x v="18"/>
          </reference>
        </references>
      </pivotArea>
    </format>
    <format dxfId="15">
      <pivotArea field="2" type="button" dataOnly="0" labelOnly="1" outline="0" axis="axisCol" fieldPosition="0"/>
    </format>
    <format dxfId="14">
      <pivotArea dataOnly="0" labelOnly="1" fieldPosition="0">
        <references count="1">
          <reference field="2" count="1">
            <x v="1"/>
          </reference>
        </references>
      </pivotArea>
    </format>
    <format dxfId="13">
      <pivotArea field="18" grandCol="1" collapsedLevelsAreSubtotals="1" axis="axisRow" fieldPosition="0">
        <references count="1">
          <reference field="18" count="1">
            <x v="20"/>
          </reference>
        </references>
      </pivotArea>
    </format>
    <format dxfId="12">
      <pivotArea field="18" grandCol="1" collapsedLevelsAreSubtotals="1" axis="axisRow" fieldPosition="0">
        <references count="1">
          <reference field="18" count="1">
            <x v="21"/>
          </reference>
        </references>
      </pivotArea>
    </format>
    <format dxfId="11">
      <pivotArea field="18" grandCol="1" collapsedLevelsAreSubtotals="1" axis="axisRow" fieldPosition="0">
        <references count="1">
          <reference field="18" count="1">
            <x v="22"/>
          </reference>
        </references>
      </pivotArea>
    </format>
    <format dxfId="10">
      <pivotArea field="18" grandCol="1" collapsedLevelsAreSubtotals="1" axis="axisRow" fieldPosition="0">
        <references count="1">
          <reference field="18" count="1">
            <x v="27"/>
          </reference>
        </references>
      </pivotArea>
    </format>
    <format dxfId="9">
      <pivotArea field="18" grandCol="1" collapsedLevelsAreSubtotals="1" axis="axisRow" fieldPosition="0">
        <references count="1">
          <reference field="18" count="1">
            <x v="28"/>
          </reference>
        </references>
      </pivotArea>
    </format>
    <format dxfId="8">
      <pivotArea field="18" grandCol="1" collapsedLevelsAreSubtotals="1" axis="axisRow" fieldPosition="0">
        <references count="1">
          <reference field="18" count="1">
            <x v="19"/>
          </reference>
        </references>
      </pivotArea>
    </format>
    <format dxfId="7">
      <pivotArea field="18" grandCol="1" collapsedLevelsAreSubtotals="1" axis="axisRow" fieldPosition="0">
        <references count="1">
          <reference field="18" count="1">
            <x v="25"/>
          </reference>
        </references>
      </pivotArea>
    </format>
    <format dxfId="6">
      <pivotArea field="18" grandCol="1" collapsedLevelsAreSubtotals="1" axis="axisRow" fieldPosition="0">
        <references count="1">
          <reference field="18" count="1">
            <x v="3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8" count="14">
            <x v="2"/>
            <x v="3"/>
            <x v="7"/>
            <x v="9"/>
            <x v="13"/>
            <x v="14"/>
            <x v="16"/>
            <x v="18"/>
            <x v="19"/>
            <x v="20"/>
            <x v="22"/>
            <x v="28"/>
            <x v="30"/>
            <x v="33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28"/>
  <sheetViews>
    <sheetView topLeftCell="A699" workbookViewId="0">
      <selection activeCell="B701" sqref="B701"/>
    </sheetView>
  </sheetViews>
  <sheetFormatPr defaultColWidth="8.7265625" defaultRowHeight="13" x14ac:dyDescent="0.3"/>
  <cols>
    <col min="1" max="1" width="19.26953125" style="31" bestFit="1" customWidth="1"/>
    <col min="2" max="2" width="64.54296875" style="31" bestFit="1" customWidth="1"/>
    <col min="3" max="3" width="16.7265625" style="31" bestFit="1" customWidth="1"/>
    <col min="4" max="4" width="20.7265625" style="31" bestFit="1" customWidth="1"/>
    <col min="5" max="5" width="19.26953125" style="31" bestFit="1" customWidth="1"/>
    <col min="6" max="6" width="12.453125" style="31" bestFit="1" customWidth="1"/>
    <col min="7" max="7" width="10.7265625" style="31" bestFit="1" customWidth="1"/>
    <col min="8" max="16384" width="8.7265625" style="31"/>
  </cols>
  <sheetData>
    <row r="2" spans="1:7" ht="14.5" x14ac:dyDescent="0.35">
      <c r="A2" s="30" t="s">
        <v>28</v>
      </c>
      <c r="B2" s="30" t="s">
        <v>25</v>
      </c>
      <c r="C2" s="30" t="s">
        <v>26</v>
      </c>
      <c r="D2" s="30" t="s">
        <v>27</v>
      </c>
      <c r="E2" s="30" t="s">
        <v>28</v>
      </c>
      <c r="F2" s="30" t="s">
        <v>925</v>
      </c>
      <c r="G2" s="30" t="s">
        <v>926</v>
      </c>
    </row>
    <row r="3" spans="1:7" x14ac:dyDescent="0.3">
      <c r="A3" s="32" t="s">
        <v>772</v>
      </c>
      <c r="B3" s="32" t="s">
        <v>770</v>
      </c>
      <c r="C3" s="32" t="s">
        <v>771</v>
      </c>
      <c r="D3" s="32" t="s">
        <v>628</v>
      </c>
      <c r="E3" s="32" t="s">
        <v>772</v>
      </c>
      <c r="F3" s="33">
        <v>0</v>
      </c>
      <c r="G3" s="33">
        <v>0</v>
      </c>
    </row>
    <row r="4" spans="1:7" x14ac:dyDescent="0.3">
      <c r="A4" s="32" t="s">
        <v>398</v>
      </c>
      <c r="B4" s="32" t="s">
        <v>398</v>
      </c>
      <c r="C4" s="32" t="s">
        <v>72</v>
      </c>
      <c r="D4" s="32" t="s">
        <v>31</v>
      </c>
      <c r="E4" s="32" t="s">
        <v>398</v>
      </c>
      <c r="F4" s="33">
        <v>0</v>
      </c>
      <c r="G4" s="33">
        <v>0</v>
      </c>
    </row>
    <row r="5" spans="1:7" x14ac:dyDescent="0.3">
      <c r="A5" s="32" t="s">
        <v>398</v>
      </c>
      <c r="B5" s="32" t="s">
        <v>435</v>
      </c>
      <c r="C5" s="32" t="s">
        <v>72</v>
      </c>
      <c r="D5" s="32" t="s">
        <v>31</v>
      </c>
      <c r="E5" s="32" t="s">
        <v>398</v>
      </c>
      <c r="F5" s="33">
        <v>0</v>
      </c>
      <c r="G5" s="33">
        <v>0</v>
      </c>
    </row>
    <row r="6" spans="1:7" x14ac:dyDescent="0.3">
      <c r="A6" s="32" t="s">
        <v>417</v>
      </c>
      <c r="B6" s="32" t="s">
        <v>416</v>
      </c>
      <c r="C6" s="32" t="s">
        <v>30</v>
      </c>
      <c r="D6" s="32" t="s">
        <v>31</v>
      </c>
      <c r="E6" s="32" t="s">
        <v>417</v>
      </c>
      <c r="F6" s="33">
        <v>0</v>
      </c>
      <c r="G6" s="33">
        <v>0</v>
      </c>
    </row>
    <row r="7" spans="1:7" x14ac:dyDescent="0.3">
      <c r="A7" s="32" t="s">
        <v>417</v>
      </c>
      <c r="B7" s="32" t="s">
        <v>491</v>
      </c>
      <c r="C7" s="32" t="s">
        <v>30</v>
      </c>
      <c r="D7" s="32" t="s">
        <v>31</v>
      </c>
      <c r="E7" s="32" t="s">
        <v>417</v>
      </c>
      <c r="F7" s="33">
        <v>0</v>
      </c>
      <c r="G7" s="33">
        <v>0</v>
      </c>
    </row>
    <row r="8" spans="1:7" x14ac:dyDescent="0.3">
      <c r="A8" s="32" t="s">
        <v>277</v>
      </c>
      <c r="B8" s="32" t="s">
        <v>277</v>
      </c>
      <c r="C8" s="32" t="s">
        <v>30</v>
      </c>
      <c r="D8" s="32" t="s">
        <v>31</v>
      </c>
      <c r="E8" s="32" t="s">
        <v>277</v>
      </c>
      <c r="F8" s="33">
        <v>0</v>
      </c>
      <c r="G8" s="33">
        <v>0</v>
      </c>
    </row>
    <row r="9" spans="1:7" x14ac:dyDescent="0.3">
      <c r="A9" s="32" t="s">
        <v>69</v>
      </c>
      <c r="B9" s="32" t="s">
        <v>68</v>
      </c>
      <c r="C9" s="32" t="s">
        <v>69</v>
      </c>
      <c r="D9" s="32" t="s">
        <v>31</v>
      </c>
      <c r="E9" s="32" t="s">
        <v>69</v>
      </c>
      <c r="F9" s="33">
        <v>0</v>
      </c>
      <c r="G9" s="33">
        <v>0</v>
      </c>
    </row>
    <row r="10" spans="1:7" x14ac:dyDescent="0.3">
      <c r="A10" s="32" t="s">
        <v>69</v>
      </c>
      <c r="B10" s="32" t="s">
        <v>70</v>
      </c>
      <c r="C10" s="32" t="s">
        <v>69</v>
      </c>
      <c r="D10" s="32" t="s">
        <v>31</v>
      </c>
      <c r="E10" s="32" t="s">
        <v>69</v>
      </c>
      <c r="F10" s="33">
        <v>0</v>
      </c>
      <c r="G10" s="33">
        <v>0</v>
      </c>
    </row>
    <row r="11" spans="1:7" x14ac:dyDescent="0.3">
      <c r="A11" s="32" t="s">
        <v>69</v>
      </c>
      <c r="B11" s="32" t="s">
        <v>105</v>
      </c>
      <c r="C11" s="32" t="s">
        <v>69</v>
      </c>
      <c r="D11" s="32" t="s">
        <v>31</v>
      </c>
      <c r="E11" s="32" t="s">
        <v>69</v>
      </c>
      <c r="F11" s="33">
        <v>0</v>
      </c>
      <c r="G11" s="33">
        <v>0</v>
      </c>
    </row>
    <row r="12" spans="1:7" x14ac:dyDescent="0.3">
      <c r="A12" s="32" t="s">
        <v>69</v>
      </c>
      <c r="B12" s="32" t="s">
        <v>256</v>
      </c>
      <c r="C12" s="32" t="s">
        <v>69</v>
      </c>
      <c r="D12" s="32" t="s">
        <v>31</v>
      </c>
      <c r="E12" s="32" t="s">
        <v>69</v>
      </c>
      <c r="F12" s="33">
        <v>0</v>
      </c>
      <c r="G12" s="33">
        <v>0</v>
      </c>
    </row>
    <row r="13" spans="1:7" x14ac:dyDescent="0.3">
      <c r="A13" s="32" t="s">
        <v>69</v>
      </c>
      <c r="B13" s="32" t="s">
        <v>472</v>
      </c>
      <c r="C13" s="32" t="s">
        <v>69</v>
      </c>
      <c r="D13" s="32" t="s">
        <v>31</v>
      </c>
      <c r="E13" s="32" t="s">
        <v>69</v>
      </c>
      <c r="F13" s="33">
        <v>0</v>
      </c>
      <c r="G13" s="33">
        <v>0</v>
      </c>
    </row>
    <row r="14" spans="1:7" x14ac:dyDescent="0.3">
      <c r="A14" s="32" t="s">
        <v>69</v>
      </c>
      <c r="B14" s="32" t="s">
        <v>516</v>
      </c>
      <c r="C14" s="32" t="s">
        <v>69</v>
      </c>
      <c r="D14" s="32" t="s">
        <v>31</v>
      </c>
      <c r="E14" s="32" t="s">
        <v>69</v>
      </c>
      <c r="F14" s="33">
        <v>0</v>
      </c>
      <c r="G14" s="33">
        <v>0</v>
      </c>
    </row>
    <row r="15" spans="1:7" x14ac:dyDescent="0.3">
      <c r="A15" s="32" t="s">
        <v>897</v>
      </c>
      <c r="B15" s="32" t="s">
        <v>896</v>
      </c>
      <c r="C15" s="32" t="s">
        <v>897</v>
      </c>
      <c r="D15" s="32" t="s">
        <v>893</v>
      </c>
      <c r="E15" s="32" t="s">
        <v>897</v>
      </c>
      <c r="F15" s="33">
        <v>0</v>
      </c>
      <c r="G15" s="33">
        <v>0</v>
      </c>
    </row>
    <row r="16" spans="1:7" x14ac:dyDescent="0.3">
      <c r="A16" s="32" t="s">
        <v>897</v>
      </c>
      <c r="B16" s="32" t="s">
        <v>911</v>
      </c>
      <c r="C16" s="32" t="s">
        <v>897</v>
      </c>
      <c r="D16" s="32" t="s">
        <v>893</v>
      </c>
      <c r="E16" s="32" t="s">
        <v>897</v>
      </c>
      <c r="F16" s="33">
        <v>0</v>
      </c>
      <c r="G16" s="33">
        <v>0</v>
      </c>
    </row>
    <row r="17" spans="1:7" x14ac:dyDescent="0.3">
      <c r="A17" s="32" t="s">
        <v>892</v>
      </c>
      <c r="B17" s="32" t="s">
        <v>892</v>
      </c>
      <c r="C17" s="32" t="s">
        <v>892</v>
      </c>
      <c r="D17" s="32" t="s">
        <v>893</v>
      </c>
      <c r="E17" s="32" t="s">
        <v>892</v>
      </c>
      <c r="F17" s="33">
        <v>0</v>
      </c>
      <c r="G17" s="33">
        <v>0</v>
      </c>
    </row>
    <row r="18" spans="1:7" x14ac:dyDescent="0.3">
      <c r="A18" s="32" t="s">
        <v>892</v>
      </c>
      <c r="B18" s="32" t="s">
        <v>892</v>
      </c>
      <c r="C18" s="32" t="s">
        <v>892</v>
      </c>
      <c r="D18" s="32" t="s">
        <v>893</v>
      </c>
      <c r="E18" s="32" t="s">
        <v>892</v>
      </c>
      <c r="F18" s="33">
        <v>0</v>
      </c>
      <c r="G18" s="33">
        <v>0</v>
      </c>
    </row>
    <row r="19" spans="1:7" x14ac:dyDescent="0.3">
      <c r="A19" s="32" t="s">
        <v>85</v>
      </c>
      <c r="B19" s="32" t="s">
        <v>84</v>
      </c>
      <c r="C19" s="32" t="s">
        <v>30</v>
      </c>
      <c r="D19" s="32" t="s">
        <v>31</v>
      </c>
      <c r="E19" s="32" t="s">
        <v>85</v>
      </c>
      <c r="F19" s="33">
        <v>0</v>
      </c>
      <c r="G19" s="33">
        <v>0</v>
      </c>
    </row>
    <row r="20" spans="1:7" x14ac:dyDescent="0.3">
      <c r="A20" s="32" t="s">
        <v>85</v>
      </c>
      <c r="B20" s="32" t="s">
        <v>103</v>
      </c>
      <c r="C20" s="32" t="s">
        <v>30</v>
      </c>
      <c r="D20" s="32" t="s">
        <v>31</v>
      </c>
      <c r="E20" s="32" t="s">
        <v>85</v>
      </c>
      <c r="F20" s="33">
        <v>0</v>
      </c>
      <c r="G20" s="33">
        <v>0</v>
      </c>
    </row>
    <row r="21" spans="1:7" x14ac:dyDescent="0.3">
      <c r="A21" s="32" t="s">
        <v>85</v>
      </c>
      <c r="B21" s="32" t="s">
        <v>104</v>
      </c>
      <c r="C21" s="32" t="s">
        <v>30</v>
      </c>
      <c r="D21" s="32" t="s">
        <v>31</v>
      </c>
      <c r="E21" s="32" t="s">
        <v>85</v>
      </c>
      <c r="F21" s="33">
        <v>0</v>
      </c>
      <c r="G21" s="33">
        <v>0</v>
      </c>
    </row>
    <row r="22" spans="1:7" x14ac:dyDescent="0.3">
      <c r="A22" s="32" t="s">
        <v>85</v>
      </c>
      <c r="B22" s="32" t="s">
        <v>118</v>
      </c>
      <c r="C22" s="32" t="s">
        <v>30</v>
      </c>
      <c r="D22" s="32" t="s">
        <v>31</v>
      </c>
      <c r="E22" s="32" t="s">
        <v>85</v>
      </c>
      <c r="F22" s="33">
        <v>0</v>
      </c>
      <c r="G22" s="33">
        <v>0</v>
      </c>
    </row>
    <row r="23" spans="1:7" x14ac:dyDescent="0.3">
      <c r="A23" s="32" t="s">
        <v>85</v>
      </c>
      <c r="B23" s="32" t="s">
        <v>138</v>
      </c>
      <c r="C23" s="32" t="s">
        <v>30</v>
      </c>
      <c r="D23" s="32" t="s">
        <v>31</v>
      </c>
      <c r="E23" s="32" t="s">
        <v>85</v>
      </c>
      <c r="F23" s="33">
        <v>0</v>
      </c>
      <c r="G23" s="33">
        <v>0</v>
      </c>
    </row>
    <row r="24" spans="1:7" x14ac:dyDescent="0.3">
      <c r="A24" s="32" t="s">
        <v>85</v>
      </c>
      <c r="B24" s="32" t="s">
        <v>159</v>
      </c>
      <c r="C24" s="32" t="s">
        <v>30</v>
      </c>
      <c r="D24" s="32" t="s">
        <v>31</v>
      </c>
      <c r="E24" s="32" t="s">
        <v>85</v>
      </c>
      <c r="F24" s="33">
        <v>0</v>
      </c>
      <c r="G24" s="33">
        <v>0</v>
      </c>
    </row>
    <row r="25" spans="1:7" x14ac:dyDescent="0.3">
      <c r="A25" s="32" t="s">
        <v>85</v>
      </c>
      <c r="B25" s="32" t="s">
        <v>160</v>
      </c>
      <c r="C25" s="32" t="s">
        <v>30</v>
      </c>
      <c r="D25" s="32" t="s">
        <v>31</v>
      </c>
      <c r="E25" s="32" t="s">
        <v>85</v>
      </c>
      <c r="F25" s="33">
        <v>0</v>
      </c>
      <c r="G25" s="33">
        <v>0</v>
      </c>
    </row>
    <row r="26" spans="1:7" x14ac:dyDescent="0.3">
      <c r="A26" s="32" t="s">
        <v>85</v>
      </c>
      <c r="B26" s="32" t="s">
        <v>171</v>
      </c>
      <c r="C26" s="32" t="s">
        <v>30</v>
      </c>
      <c r="D26" s="32" t="s">
        <v>31</v>
      </c>
      <c r="E26" s="32" t="s">
        <v>85</v>
      </c>
      <c r="F26" s="33">
        <v>0</v>
      </c>
      <c r="G26" s="33">
        <v>0</v>
      </c>
    </row>
    <row r="27" spans="1:7" x14ac:dyDescent="0.3">
      <c r="A27" s="32" t="s">
        <v>85</v>
      </c>
      <c r="B27" s="32" t="s">
        <v>172</v>
      </c>
      <c r="C27" s="32" t="s">
        <v>30</v>
      </c>
      <c r="D27" s="32" t="s">
        <v>31</v>
      </c>
      <c r="E27" s="32" t="s">
        <v>85</v>
      </c>
      <c r="F27" s="33">
        <v>0</v>
      </c>
      <c r="G27" s="33">
        <v>0</v>
      </c>
    </row>
    <row r="28" spans="1:7" x14ac:dyDescent="0.3">
      <c r="A28" s="32" t="s">
        <v>85</v>
      </c>
      <c r="B28" s="32" t="s">
        <v>200</v>
      </c>
      <c r="C28" s="32" t="s">
        <v>30</v>
      </c>
      <c r="D28" s="32" t="s">
        <v>31</v>
      </c>
      <c r="E28" s="32" t="s">
        <v>85</v>
      </c>
      <c r="F28" s="33">
        <v>0</v>
      </c>
      <c r="G28" s="33">
        <v>0</v>
      </c>
    </row>
    <row r="29" spans="1:7" x14ac:dyDescent="0.3">
      <c r="A29" s="32" t="s">
        <v>85</v>
      </c>
      <c r="B29" s="32" t="s">
        <v>244</v>
      </c>
      <c r="C29" s="32" t="s">
        <v>30</v>
      </c>
      <c r="D29" s="32" t="s">
        <v>31</v>
      </c>
      <c r="E29" s="32" t="s">
        <v>85</v>
      </c>
      <c r="F29" s="33">
        <v>0</v>
      </c>
      <c r="G29" s="33">
        <v>0</v>
      </c>
    </row>
    <row r="30" spans="1:7" x14ac:dyDescent="0.3">
      <c r="A30" s="32" t="s">
        <v>85</v>
      </c>
      <c r="B30" s="32" t="s">
        <v>309</v>
      </c>
      <c r="C30" s="32" t="s">
        <v>30</v>
      </c>
      <c r="D30" s="32" t="s">
        <v>31</v>
      </c>
      <c r="E30" s="32" t="s">
        <v>85</v>
      </c>
      <c r="F30" s="33">
        <v>0</v>
      </c>
      <c r="G30" s="33">
        <v>0</v>
      </c>
    </row>
    <row r="31" spans="1:7" x14ac:dyDescent="0.3">
      <c r="A31" s="32" t="s">
        <v>85</v>
      </c>
      <c r="B31" s="32" t="s">
        <v>311</v>
      </c>
      <c r="C31" s="32" t="s">
        <v>30</v>
      </c>
      <c r="D31" s="32" t="s">
        <v>31</v>
      </c>
      <c r="E31" s="32" t="s">
        <v>85</v>
      </c>
      <c r="F31" s="33">
        <v>0</v>
      </c>
      <c r="G31" s="33">
        <v>0</v>
      </c>
    </row>
    <row r="32" spans="1:7" x14ac:dyDescent="0.3">
      <c r="A32" s="32" t="s">
        <v>85</v>
      </c>
      <c r="B32" s="32" t="s">
        <v>314</v>
      </c>
      <c r="C32" s="32" t="s">
        <v>30</v>
      </c>
      <c r="D32" s="32" t="s">
        <v>31</v>
      </c>
      <c r="E32" s="32" t="s">
        <v>85</v>
      </c>
      <c r="F32" s="33">
        <v>0</v>
      </c>
      <c r="G32" s="33">
        <v>0</v>
      </c>
    </row>
    <row r="33" spans="1:7" x14ac:dyDescent="0.3">
      <c r="A33" s="32" t="s">
        <v>85</v>
      </c>
      <c r="B33" s="32" t="s">
        <v>318</v>
      </c>
      <c r="C33" s="32" t="s">
        <v>30</v>
      </c>
      <c r="D33" s="32" t="s">
        <v>31</v>
      </c>
      <c r="E33" s="32" t="s">
        <v>85</v>
      </c>
      <c r="F33" s="33">
        <v>0</v>
      </c>
      <c r="G33" s="33">
        <v>0</v>
      </c>
    </row>
    <row r="34" spans="1:7" x14ac:dyDescent="0.3">
      <c r="A34" s="32" t="s">
        <v>85</v>
      </c>
      <c r="B34" s="32" t="s">
        <v>324</v>
      </c>
      <c r="C34" s="32" t="s">
        <v>30</v>
      </c>
      <c r="D34" s="32" t="s">
        <v>31</v>
      </c>
      <c r="E34" s="32" t="s">
        <v>85</v>
      </c>
      <c r="F34" s="33">
        <v>0</v>
      </c>
      <c r="G34" s="33">
        <v>0</v>
      </c>
    </row>
    <row r="35" spans="1:7" x14ac:dyDescent="0.3">
      <c r="A35" s="32" t="s">
        <v>85</v>
      </c>
      <c r="B35" s="32" t="s">
        <v>341</v>
      </c>
      <c r="C35" s="32" t="s">
        <v>30</v>
      </c>
      <c r="D35" s="32" t="s">
        <v>31</v>
      </c>
      <c r="E35" s="32" t="s">
        <v>85</v>
      </c>
      <c r="F35" s="33">
        <v>0</v>
      </c>
      <c r="G35" s="33">
        <v>0</v>
      </c>
    </row>
    <row r="36" spans="1:7" x14ac:dyDescent="0.3">
      <c r="A36" s="32" t="s">
        <v>85</v>
      </c>
      <c r="B36" s="32" t="s">
        <v>344</v>
      </c>
      <c r="C36" s="32" t="s">
        <v>30</v>
      </c>
      <c r="D36" s="32" t="s">
        <v>31</v>
      </c>
      <c r="E36" s="32" t="s">
        <v>85</v>
      </c>
      <c r="F36" s="33">
        <v>0</v>
      </c>
      <c r="G36" s="33">
        <v>0</v>
      </c>
    </row>
    <row r="37" spans="1:7" x14ac:dyDescent="0.3">
      <c r="A37" s="32" t="s">
        <v>85</v>
      </c>
      <c r="B37" s="32" t="s">
        <v>345</v>
      </c>
      <c r="C37" s="32" t="s">
        <v>30</v>
      </c>
      <c r="D37" s="32" t="s">
        <v>31</v>
      </c>
      <c r="E37" s="32" t="s">
        <v>85</v>
      </c>
      <c r="F37" s="33">
        <v>0</v>
      </c>
      <c r="G37" s="33">
        <v>0</v>
      </c>
    </row>
    <row r="38" spans="1:7" x14ac:dyDescent="0.3">
      <c r="A38" s="32" t="s">
        <v>85</v>
      </c>
      <c r="B38" s="32" t="s">
        <v>346</v>
      </c>
      <c r="C38" s="32" t="s">
        <v>30</v>
      </c>
      <c r="D38" s="32" t="s">
        <v>31</v>
      </c>
      <c r="E38" s="32" t="s">
        <v>85</v>
      </c>
      <c r="F38" s="33">
        <v>0</v>
      </c>
      <c r="G38" s="33">
        <v>0</v>
      </c>
    </row>
    <row r="39" spans="1:7" x14ac:dyDescent="0.3">
      <c r="A39" s="32" t="s">
        <v>85</v>
      </c>
      <c r="B39" s="32" t="s">
        <v>390</v>
      </c>
      <c r="C39" s="32" t="s">
        <v>30</v>
      </c>
      <c r="D39" s="32" t="s">
        <v>31</v>
      </c>
      <c r="E39" s="32" t="s">
        <v>85</v>
      </c>
      <c r="F39" s="33">
        <v>0</v>
      </c>
      <c r="G39" s="33">
        <v>0</v>
      </c>
    </row>
    <row r="40" spans="1:7" x14ac:dyDescent="0.3">
      <c r="A40" s="32" t="s">
        <v>85</v>
      </c>
      <c r="B40" s="32" t="s">
        <v>418</v>
      </c>
      <c r="C40" s="32" t="s">
        <v>30</v>
      </c>
      <c r="D40" s="32" t="s">
        <v>31</v>
      </c>
      <c r="E40" s="32" t="s">
        <v>85</v>
      </c>
      <c r="F40" s="33">
        <v>0</v>
      </c>
      <c r="G40" s="33">
        <v>0</v>
      </c>
    </row>
    <row r="41" spans="1:7" x14ac:dyDescent="0.3">
      <c r="A41" s="32" t="s">
        <v>85</v>
      </c>
      <c r="B41" s="32" t="s">
        <v>433</v>
      </c>
      <c r="C41" s="32" t="s">
        <v>30</v>
      </c>
      <c r="D41" s="32" t="s">
        <v>31</v>
      </c>
      <c r="E41" s="32" t="s">
        <v>85</v>
      </c>
      <c r="F41" s="33">
        <v>0</v>
      </c>
      <c r="G41" s="33">
        <v>0</v>
      </c>
    </row>
    <row r="42" spans="1:7" x14ac:dyDescent="0.3">
      <c r="A42" s="32" t="s">
        <v>85</v>
      </c>
      <c r="B42" s="32" t="s">
        <v>464</v>
      </c>
      <c r="C42" s="32" t="s">
        <v>30</v>
      </c>
      <c r="D42" s="32" t="s">
        <v>31</v>
      </c>
      <c r="E42" s="32" t="s">
        <v>85</v>
      </c>
      <c r="F42" s="33">
        <v>0</v>
      </c>
      <c r="G42" s="33">
        <v>0</v>
      </c>
    </row>
    <row r="43" spans="1:7" x14ac:dyDescent="0.3">
      <c r="A43" s="32" t="s">
        <v>85</v>
      </c>
      <c r="B43" s="32" t="s">
        <v>507</v>
      </c>
      <c r="C43" s="32" t="s">
        <v>30</v>
      </c>
      <c r="D43" s="32" t="s">
        <v>31</v>
      </c>
      <c r="E43" s="32" t="s">
        <v>85</v>
      </c>
      <c r="F43" s="33">
        <v>0</v>
      </c>
      <c r="G43" s="33">
        <v>0</v>
      </c>
    </row>
    <row r="44" spans="1:7" x14ac:dyDescent="0.3">
      <c r="A44" s="32" t="s">
        <v>85</v>
      </c>
      <c r="B44" s="32" t="s">
        <v>510</v>
      </c>
      <c r="C44" s="32" t="s">
        <v>30</v>
      </c>
      <c r="D44" s="32" t="s">
        <v>31</v>
      </c>
      <c r="E44" s="32" t="s">
        <v>85</v>
      </c>
      <c r="F44" s="33">
        <v>0</v>
      </c>
      <c r="G44" s="33">
        <v>0</v>
      </c>
    </row>
    <row r="45" spans="1:7" x14ac:dyDescent="0.3">
      <c r="A45" s="32" t="s">
        <v>85</v>
      </c>
      <c r="B45" s="32" t="s">
        <v>531</v>
      </c>
      <c r="C45" s="32" t="s">
        <v>30</v>
      </c>
      <c r="D45" s="32" t="s">
        <v>31</v>
      </c>
      <c r="E45" s="32" t="s">
        <v>85</v>
      </c>
      <c r="F45" s="33">
        <v>0</v>
      </c>
      <c r="G45" s="33">
        <v>0</v>
      </c>
    </row>
    <row r="46" spans="1:7" x14ac:dyDescent="0.3">
      <c r="A46" s="32" t="s">
        <v>85</v>
      </c>
      <c r="B46" s="32" t="s">
        <v>542</v>
      </c>
      <c r="C46" s="32" t="s">
        <v>30</v>
      </c>
      <c r="D46" s="32" t="s">
        <v>31</v>
      </c>
      <c r="E46" s="32" t="s">
        <v>85</v>
      </c>
      <c r="F46" s="33">
        <v>0</v>
      </c>
      <c r="G46" s="33">
        <v>0</v>
      </c>
    </row>
    <row r="47" spans="1:7" x14ac:dyDescent="0.3">
      <c r="A47" s="32" t="s">
        <v>85</v>
      </c>
      <c r="B47" s="32" t="s">
        <v>546</v>
      </c>
      <c r="C47" s="32" t="s">
        <v>30</v>
      </c>
      <c r="D47" s="32" t="s">
        <v>31</v>
      </c>
      <c r="E47" s="32" t="s">
        <v>85</v>
      </c>
      <c r="F47" s="33">
        <v>0</v>
      </c>
      <c r="G47" s="33">
        <v>0</v>
      </c>
    </row>
    <row r="48" spans="1:7" x14ac:dyDescent="0.3">
      <c r="A48" s="32" t="s">
        <v>85</v>
      </c>
      <c r="B48" s="32" t="s">
        <v>572</v>
      </c>
      <c r="C48" s="32" t="s">
        <v>30</v>
      </c>
      <c r="D48" s="32" t="s">
        <v>31</v>
      </c>
      <c r="E48" s="32" t="s">
        <v>85</v>
      </c>
      <c r="F48" s="33">
        <v>0</v>
      </c>
      <c r="G48" s="33">
        <v>0</v>
      </c>
    </row>
    <row r="49" spans="1:7" x14ac:dyDescent="0.3">
      <c r="A49" s="32" t="s">
        <v>85</v>
      </c>
      <c r="B49" s="32" t="s">
        <v>433</v>
      </c>
      <c r="C49" s="32" t="s">
        <v>30</v>
      </c>
      <c r="D49" s="32" t="s">
        <v>31</v>
      </c>
      <c r="E49" s="32" t="s">
        <v>85</v>
      </c>
      <c r="F49" s="33">
        <v>0</v>
      </c>
      <c r="G49" s="33">
        <v>0</v>
      </c>
    </row>
    <row r="50" spans="1:7" x14ac:dyDescent="0.3">
      <c r="A50" s="32" t="s">
        <v>85</v>
      </c>
      <c r="B50" s="32" t="s">
        <v>318</v>
      </c>
      <c r="C50" s="32" t="s">
        <v>30</v>
      </c>
      <c r="D50" s="32" t="s">
        <v>31</v>
      </c>
      <c r="E50" s="32" t="s">
        <v>85</v>
      </c>
      <c r="F50" s="33">
        <v>0</v>
      </c>
      <c r="G50" s="33">
        <v>0</v>
      </c>
    </row>
    <row r="51" spans="1:7" x14ac:dyDescent="0.3">
      <c r="A51" s="32" t="s">
        <v>85</v>
      </c>
      <c r="B51" s="32" t="s">
        <v>618</v>
      </c>
      <c r="C51" s="32" t="s">
        <v>30</v>
      </c>
      <c r="D51" s="32" t="s">
        <v>31</v>
      </c>
      <c r="E51" s="32" t="s">
        <v>85</v>
      </c>
      <c r="F51" s="33">
        <v>0</v>
      </c>
      <c r="G51" s="33">
        <v>0</v>
      </c>
    </row>
    <row r="52" spans="1:7" x14ac:dyDescent="0.3">
      <c r="A52" s="32" t="s">
        <v>85</v>
      </c>
      <c r="B52" s="32" t="s">
        <v>621</v>
      </c>
      <c r="C52" s="32" t="s">
        <v>30</v>
      </c>
      <c r="D52" s="32" t="s">
        <v>31</v>
      </c>
      <c r="E52" s="32" t="s">
        <v>85</v>
      </c>
      <c r="F52" s="33">
        <v>0</v>
      </c>
      <c r="G52" s="33">
        <v>0</v>
      </c>
    </row>
    <row r="53" spans="1:7" x14ac:dyDescent="0.3">
      <c r="A53" s="32" t="s">
        <v>718</v>
      </c>
      <c r="B53" s="32" t="s">
        <v>718</v>
      </c>
      <c r="C53" s="32" t="s">
        <v>718</v>
      </c>
      <c r="D53" s="32" t="s">
        <v>893</v>
      </c>
      <c r="E53" s="32" t="s">
        <v>718</v>
      </c>
      <c r="F53" s="33">
        <v>0</v>
      </c>
      <c r="G53" s="33">
        <v>0</v>
      </c>
    </row>
    <row r="54" spans="1:7" x14ac:dyDescent="0.3">
      <c r="A54" s="32" t="s">
        <v>641</v>
      </c>
      <c r="B54" s="32" t="s">
        <v>640</v>
      </c>
      <c r="C54" s="32" t="s">
        <v>641</v>
      </c>
      <c r="D54" s="32" t="s">
        <v>628</v>
      </c>
      <c r="E54" s="32" t="s">
        <v>641</v>
      </c>
      <c r="F54" s="33">
        <v>0</v>
      </c>
      <c r="G54" s="33">
        <v>0</v>
      </c>
    </row>
    <row r="55" spans="1:7" x14ac:dyDescent="0.3">
      <c r="A55" s="32" t="s">
        <v>641</v>
      </c>
      <c r="B55" s="32" t="s">
        <v>693</v>
      </c>
      <c r="C55" s="32" t="s">
        <v>641</v>
      </c>
      <c r="D55" s="32" t="s">
        <v>628</v>
      </c>
      <c r="E55" s="32" t="s">
        <v>641</v>
      </c>
      <c r="F55" s="33">
        <v>0</v>
      </c>
      <c r="G55" s="33">
        <v>0</v>
      </c>
    </row>
    <row r="56" spans="1:7" x14ac:dyDescent="0.3">
      <c r="A56" s="32" t="s">
        <v>641</v>
      </c>
      <c r="B56" s="32" t="s">
        <v>716</v>
      </c>
      <c r="C56" s="32" t="s">
        <v>641</v>
      </c>
      <c r="D56" s="32" t="s">
        <v>628</v>
      </c>
      <c r="E56" s="32" t="s">
        <v>641</v>
      </c>
      <c r="F56" s="33">
        <v>0</v>
      </c>
      <c r="G56" s="33">
        <v>0</v>
      </c>
    </row>
    <row r="57" spans="1:7" x14ac:dyDescent="0.3">
      <c r="A57" s="32" t="s">
        <v>641</v>
      </c>
      <c r="B57" s="32" t="s">
        <v>717</v>
      </c>
      <c r="C57" s="32" t="s">
        <v>718</v>
      </c>
      <c r="D57" s="32" t="s">
        <v>628</v>
      </c>
      <c r="E57" s="32" t="s">
        <v>641</v>
      </c>
      <c r="F57" s="33">
        <v>0</v>
      </c>
      <c r="G57" s="33">
        <v>0</v>
      </c>
    </row>
    <row r="58" spans="1:7" x14ac:dyDescent="0.3">
      <c r="A58" s="32" t="s">
        <v>641</v>
      </c>
      <c r="B58" s="32" t="s">
        <v>745</v>
      </c>
      <c r="C58" s="32" t="s">
        <v>641</v>
      </c>
      <c r="D58" s="32" t="s">
        <v>628</v>
      </c>
      <c r="E58" s="32" t="s">
        <v>641</v>
      </c>
      <c r="F58" s="33">
        <v>0</v>
      </c>
      <c r="G58" s="33">
        <v>0</v>
      </c>
    </row>
    <row r="59" spans="1:7" x14ac:dyDescent="0.3">
      <c r="A59" s="32" t="s">
        <v>641</v>
      </c>
      <c r="B59" s="32" t="s">
        <v>795</v>
      </c>
      <c r="C59" s="32" t="s">
        <v>641</v>
      </c>
      <c r="D59" s="32" t="s">
        <v>628</v>
      </c>
      <c r="E59" s="32" t="s">
        <v>641</v>
      </c>
      <c r="F59" s="33">
        <v>0</v>
      </c>
      <c r="G59" s="33">
        <v>0</v>
      </c>
    </row>
    <row r="60" spans="1:7" x14ac:dyDescent="0.3">
      <c r="A60" s="32" t="s">
        <v>641</v>
      </c>
      <c r="B60" s="32" t="s">
        <v>863</v>
      </c>
      <c r="C60" s="32" t="s">
        <v>641</v>
      </c>
      <c r="D60" s="32" t="s">
        <v>628</v>
      </c>
      <c r="E60" s="32" t="s">
        <v>641</v>
      </c>
      <c r="F60" s="33">
        <v>0</v>
      </c>
      <c r="G60" s="33">
        <v>0</v>
      </c>
    </row>
    <row r="61" spans="1:7" x14ac:dyDescent="0.3">
      <c r="A61" s="32" t="s">
        <v>675</v>
      </c>
      <c r="B61" s="32" t="s">
        <v>674</v>
      </c>
      <c r="C61" s="32" t="s">
        <v>638</v>
      </c>
      <c r="D61" s="32" t="s">
        <v>628</v>
      </c>
      <c r="E61" s="32" t="s">
        <v>675</v>
      </c>
      <c r="F61" s="33">
        <v>0</v>
      </c>
      <c r="G61" s="33">
        <v>0</v>
      </c>
    </row>
    <row r="62" spans="1:7" x14ac:dyDescent="0.3">
      <c r="A62" s="32" t="s">
        <v>675</v>
      </c>
      <c r="B62" s="32" t="s">
        <v>676</v>
      </c>
      <c r="C62" s="32" t="s">
        <v>638</v>
      </c>
      <c r="D62" s="32" t="s">
        <v>628</v>
      </c>
      <c r="E62" s="32" t="s">
        <v>675</v>
      </c>
      <c r="F62" s="33">
        <v>0</v>
      </c>
      <c r="G62" s="33">
        <v>0</v>
      </c>
    </row>
    <row r="63" spans="1:7" x14ac:dyDescent="0.3">
      <c r="A63" s="32" t="s">
        <v>675</v>
      </c>
      <c r="B63" s="32" t="s">
        <v>676</v>
      </c>
      <c r="C63" s="32" t="s">
        <v>638</v>
      </c>
      <c r="D63" s="32" t="s">
        <v>628</v>
      </c>
      <c r="E63" s="32" t="s">
        <v>675</v>
      </c>
      <c r="F63" s="33">
        <v>0</v>
      </c>
      <c r="G63" s="33">
        <v>0</v>
      </c>
    </row>
    <row r="64" spans="1:7" x14ac:dyDescent="0.3">
      <c r="A64" s="32" t="s">
        <v>664</v>
      </c>
      <c r="B64" s="32" t="s">
        <v>663</v>
      </c>
      <c r="C64" s="32" t="s">
        <v>638</v>
      </c>
      <c r="D64" s="32" t="s">
        <v>628</v>
      </c>
      <c r="E64" s="32" t="s">
        <v>664</v>
      </c>
      <c r="F64" s="33">
        <v>0</v>
      </c>
      <c r="G64" s="33">
        <v>0</v>
      </c>
    </row>
    <row r="65" spans="1:7" x14ac:dyDescent="0.3">
      <c r="A65" s="32" t="s">
        <v>664</v>
      </c>
      <c r="B65" s="32" t="s">
        <v>823</v>
      </c>
      <c r="C65" s="32" t="s">
        <v>638</v>
      </c>
      <c r="D65" s="32" t="s">
        <v>628</v>
      </c>
      <c r="E65" s="32" t="s">
        <v>664</v>
      </c>
      <c r="F65" s="33">
        <v>0</v>
      </c>
      <c r="G65" s="33">
        <v>0</v>
      </c>
    </row>
    <row r="66" spans="1:7" x14ac:dyDescent="0.3">
      <c r="A66" s="32" t="s">
        <v>664</v>
      </c>
      <c r="B66" s="32" t="s">
        <v>663</v>
      </c>
      <c r="C66" s="32" t="s">
        <v>638</v>
      </c>
      <c r="D66" s="32" t="s">
        <v>628</v>
      </c>
      <c r="E66" s="32" t="s">
        <v>664</v>
      </c>
      <c r="F66" s="33">
        <v>0</v>
      </c>
      <c r="G66" s="33">
        <v>0</v>
      </c>
    </row>
    <row r="67" spans="1:7" x14ac:dyDescent="0.3">
      <c r="A67" s="32" t="s">
        <v>664</v>
      </c>
      <c r="B67" s="32" t="s">
        <v>862</v>
      </c>
      <c r="C67" s="32" t="s">
        <v>638</v>
      </c>
      <c r="D67" s="32" t="s">
        <v>628</v>
      </c>
      <c r="E67" s="32" t="s">
        <v>664</v>
      </c>
      <c r="F67" s="33">
        <v>0</v>
      </c>
      <c r="G67" s="33">
        <v>0</v>
      </c>
    </row>
    <row r="68" spans="1:7" x14ac:dyDescent="0.3">
      <c r="A68" s="32" t="s">
        <v>664</v>
      </c>
      <c r="B68" s="32" t="s">
        <v>879</v>
      </c>
      <c r="C68" s="32" t="s">
        <v>638</v>
      </c>
      <c r="D68" s="32" t="s">
        <v>628</v>
      </c>
      <c r="E68" s="32" t="s">
        <v>664</v>
      </c>
      <c r="F68" s="33">
        <v>0</v>
      </c>
      <c r="G68" s="33">
        <v>0</v>
      </c>
    </row>
    <row r="69" spans="1:7" x14ac:dyDescent="0.3">
      <c r="A69" s="32" t="s">
        <v>900</v>
      </c>
      <c r="B69" s="32" t="s">
        <v>898</v>
      </c>
      <c r="C69" s="32" t="s">
        <v>899</v>
      </c>
      <c r="D69" s="32" t="s">
        <v>893</v>
      </c>
      <c r="E69" s="32" t="s">
        <v>900</v>
      </c>
      <c r="F69" s="33">
        <v>0</v>
      </c>
      <c r="G69" s="33">
        <v>0</v>
      </c>
    </row>
    <row r="70" spans="1:7" x14ac:dyDescent="0.3">
      <c r="A70" s="32" t="s">
        <v>900</v>
      </c>
      <c r="B70" s="32" t="s">
        <v>909</v>
      </c>
      <c r="C70" s="32" t="s">
        <v>899</v>
      </c>
      <c r="D70" s="32" t="s">
        <v>893</v>
      </c>
      <c r="E70" s="32" t="s">
        <v>900</v>
      </c>
      <c r="F70" s="33">
        <v>0</v>
      </c>
      <c r="G70" s="33">
        <v>0</v>
      </c>
    </row>
    <row r="71" spans="1:7" x14ac:dyDescent="0.3">
      <c r="A71" s="32" t="s">
        <v>900</v>
      </c>
      <c r="B71" s="32" t="s">
        <v>912</v>
      </c>
      <c r="C71" s="32" t="s">
        <v>899</v>
      </c>
      <c r="D71" s="32" t="s">
        <v>893</v>
      </c>
      <c r="E71" s="32" t="s">
        <v>900</v>
      </c>
      <c r="F71" s="33">
        <v>0</v>
      </c>
      <c r="G71" s="33">
        <v>0</v>
      </c>
    </row>
    <row r="72" spans="1:7" x14ac:dyDescent="0.3">
      <c r="A72" s="32" t="s">
        <v>900</v>
      </c>
      <c r="B72" s="32" t="s">
        <v>914</v>
      </c>
      <c r="C72" s="32" t="s">
        <v>899</v>
      </c>
      <c r="D72" s="32" t="s">
        <v>893</v>
      </c>
      <c r="E72" s="32" t="s">
        <v>900</v>
      </c>
      <c r="F72" s="33">
        <v>0</v>
      </c>
      <c r="G72" s="33">
        <v>0</v>
      </c>
    </row>
    <row r="73" spans="1:7" x14ac:dyDescent="0.3">
      <c r="A73" s="32" t="s">
        <v>40</v>
      </c>
      <c r="B73" s="32" t="s">
        <v>39</v>
      </c>
      <c r="C73" s="32" t="s">
        <v>30</v>
      </c>
      <c r="D73" s="32" t="s">
        <v>31</v>
      </c>
      <c r="E73" s="32" t="s">
        <v>40</v>
      </c>
      <c r="F73" s="33">
        <v>0</v>
      </c>
      <c r="G73" s="33">
        <v>0</v>
      </c>
    </row>
    <row r="74" spans="1:7" x14ac:dyDescent="0.3">
      <c r="A74" s="32" t="s">
        <v>40</v>
      </c>
      <c r="B74" s="32" t="s">
        <v>41</v>
      </c>
      <c r="C74" s="32" t="s">
        <v>30</v>
      </c>
      <c r="D74" s="32" t="s">
        <v>31</v>
      </c>
      <c r="E74" s="32" t="s">
        <v>40</v>
      </c>
      <c r="F74" s="33">
        <v>0</v>
      </c>
      <c r="G74" s="33">
        <v>0</v>
      </c>
    </row>
    <row r="75" spans="1:7" x14ac:dyDescent="0.3">
      <c r="A75" s="32" t="s">
        <v>40</v>
      </c>
      <c r="B75" s="32" t="s">
        <v>42</v>
      </c>
      <c r="C75" s="32" t="s">
        <v>30</v>
      </c>
      <c r="D75" s="32" t="s">
        <v>31</v>
      </c>
      <c r="E75" s="32" t="s">
        <v>40</v>
      </c>
      <c r="F75" s="33">
        <v>0</v>
      </c>
      <c r="G75" s="33">
        <v>0</v>
      </c>
    </row>
    <row r="76" spans="1:7" x14ac:dyDescent="0.3">
      <c r="A76" s="32" t="s">
        <v>40</v>
      </c>
      <c r="B76" s="32" t="s">
        <v>43</v>
      </c>
      <c r="C76" s="32" t="s">
        <v>30</v>
      </c>
      <c r="D76" s="32" t="s">
        <v>31</v>
      </c>
      <c r="E76" s="32" t="s">
        <v>40</v>
      </c>
      <c r="F76" s="33">
        <v>0</v>
      </c>
      <c r="G76" s="33">
        <v>0</v>
      </c>
    </row>
    <row r="77" spans="1:7" x14ac:dyDescent="0.3">
      <c r="A77" s="32" t="s">
        <v>40</v>
      </c>
      <c r="B77" s="32" t="s">
        <v>44</v>
      </c>
      <c r="C77" s="32" t="s">
        <v>30</v>
      </c>
      <c r="D77" s="32" t="s">
        <v>31</v>
      </c>
      <c r="E77" s="32" t="s">
        <v>40</v>
      </c>
      <c r="F77" s="33">
        <v>0</v>
      </c>
      <c r="G77" s="33">
        <v>0</v>
      </c>
    </row>
    <row r="78" spans="1:7" x14ac:dyDescent="0.3">
      <c r="A78" s="32" t="s">
        <v>40</v>
      </c>
      <c r="B78" s="32" t="s">
        <v>80</v>
      </c>
      <c r="C78" s="32" t="s">
        <v>30</v>
      </c>
      <c r="D78" s="32" t="s">
        <v>31</v>
      </c>
      <c r="E78" s="32" t="s">
        <v>40</v>
      </c>
      <c r="F78" s="33">
        <v>0</v>
      </c>
      <c r="G78" s="33">
        <v>0</v>
      </c>
    </row>
    <row r="79" spans="1:7" x14ac:dyDescent="0.3">
      <c r="A79" s="32" t="s">
        <v>40</v>
      </c>
      <c r="B79" s="32" t="s">
        <v>93</v>
      </c>
      <c r="C79" s="32" t="s">
        <v>30</v>
      </c>
      <c r="D79" s="32" t="s">
        <v>31</v>
      </c>
      <c r="E79" s="32" t="s">
        <v>40</v>
      </c>
      <c r="F79" s="33">
        <v>0</v>
      </c>
      <c r="G79" s="33">
        <v>0</v>
      </c>
    </row>
    <row r="80" spans="1:7" x14ac:dyDescent="0.3">
      <c r="A80" s="32" t="s">
        <v>40</v>
      </c>
      <c r="B80" s="32" t="s">
        <v>121</v>
      </c>
      <c r="C80" s="32" t="s">
        <v>30</v>
      </c>
      <c r="D80" s="32" t="s">
        <v>31</v>
      </c>
      <c r="E80" s="32" t="s">
        <v>40</v>
      </c>
      <c r="F80" s="33">
        <v>0</v>
      </c>
      <c r="G80" s="33">
        <v>0</v>
      </c>
    </row>
    <row r="81" spans="1:7" x14ac:dyDescent="0.3">
      <c r="A81" s="32" t="s">
        <v>40</v>
      </c>
      <c r="B81" s="32" t="s">
        <v>128</v>
      </c>
      <c r="C81" s="32" t="s">
        <v>30</v>
      </c>
      <c r="D81" s="32" t="s">
        <v>31</v>
      </c>
      <c r="E81" s="32" t="s">
        <v>40</v>
      </c>
      <c r="F81" s="33">
        <v>0</v>
      </c>
      <c r="G81" s="33">
        <v>0</v>
      </c>
    </row>
    <row r="82" spans="1:7" x14ac:dyDescent="0.3">
      <c r="A82" s="32" t="s">
        <v>40</v>
      </c>
      <c r="B82" s="32" t="s">
        <v>135</v>
      </c>
      <c r="C82" s="32" t="s">
        <v>30</v>
      </c>
      <c r="D82" s="32" t="s">
        <v>31</v>
      </c>
      <c r="E82" s="32" t="s">
        <v>40</v>
      </c>
      <c r="F82" s="33">
        <v>0</v>
      </c>
      <c r="G82" s="33">
        <v>0</v>
      </c>
    </row>
    <row r="83" spans="1:7" x14ac:dyDescent="0.3">
      <c r="A83" s="32" t="s">
        <v>40</v>
      </c>
      <c r="B83" s="32" t="s">
        <v>147</v>
      </c>
      <c r="C83" s="32" t="s">
        <v>30</v>
      </c>
      <c r="D83" s="32" t="s">
        <v>31</v>
      </c>
      <c r="E83" s="32" t="s">
        <v>40</v>
      </c>
      <c r="F83" s="33">
        <v>0</v>
      </c>
      <c r="G83" s="33">
        <v>0</v>
      </c>
    </row>
    <row r="84" spans="1:7" x14ac:dyDescent="0.3">
      <c r="A84" s="32" t="s">
        <v>40</v>
      </c>
      <c r="B84" s="32" t="s">
        <v>148</v>
      </c>
      <c r="C84" s="32" t="s">
        <v>30</v>
      </c>
      <c r="D84" s="32" t="s">
        <v>31</v>
      </c>
      <c r="E84" s="32" t="s">
        <v>40</v>
      </c>
      <c r="F84" s="33">
        <v>0</v>
      </c>
      <c r="G84" s="33">
        <v>0</v>
      </c>
    </row>
    <row r="85" spans="1:7" x14ac:dyDescent="0.3">
      <c r="A85" s="32" t="s">
        <v>40</v>
      </c>
      <c r="B85" s="32" t="s">
        <v>149</v>
      </c>
      <c r="C85" s="32" t="s">
        <v>30</v>
      </c>
      <c r="D85" s="32" t="s">
        <v>31</v>
      </c>
      <c r="E85" s="32" t="s">
        <v>40</v>
      </c>
      <c r="F85" s="33">
        <v>0</v>
      </c>
      <c r="G85" s="33">
        <v>0</v>
      </c>
    </row>
    <row r="86" spans="1:7" x14ac:dyDescent="0.3">
      <c r="A86" s="32" t="s">
        <v>40</v>
      </c>
      <c r="B86" s="32" t="s">
        <v>170</v>
      </c>
      <c r="C86" s="32" t="s">
        <v>30</v>
      </c>
      <c r="D86" s="32" t="s">
        <v>31</v>
      </c>
      <c r="E86" s="32" t="s">
        <v>40</v>
      </c>
      <c r="F86" s="33">
        <v>0</v>
      </c>
      <c r="G86" s="33">
        <v>0</v>
      </c>
    </row>
    <row r="87" spans="1:7" x14ac:dyDescent="0.3">
      <c r="A87" s="32" t="s">
        <v>40</v>
      </c>
      <c r="B87" s="32" t="s">
        <v>174</v>
      </c>
      <c r="C87" s="32" t="s">
        <v>30</v>
      </c>
      <c r="D87" s="32" t="s">
        <v>31</v>
      </c>
      <c r="E87" s="32" t="s">
        <v>40</v>
      </c>
      <c r="F87" s="33">
        <v>0</v>
      </c>
      <c r="G87" s="33">
        <v>0</v>
      </c>
    </row>
    <row r="88" spans="1:7" x14ac:dyDescent="0.3">
      <c r="A88" s="32" t="s">
        <v>40</v>
      </c>
      <c r="B88" s="32" t="s">
        <v>188</v>
      </c>
      <c r="C88" s="32" t="s">
        <v>30</v>
      </c>
      <c r="D88" s="32" t="s">
        <v>31</v>
      </c>
      <c r="E88" s="32" t="s">
        <v>40</v>
      </c>
      <c r="F88" s="33">
        <v>0</v>
      </c>
      <c r="G88" s="33">
        <v>0</v>
      </c>
    </row>
    <row r="89" spans="1:7" x14ac:dyDescent="0.3">
      <c r="A89" s="32" t="s">
        <v>40</v>
      </c>
      <c r="B89" s="32" t="s">
        <v>189</v>
      </c>
      <c r="C89" s="32" t="s">
        <v>30</v>
      </c>
      <c r="D89" s="32" t="s">
        <v>31</v>
      </c>
      <c r="E89" s="32" t="s">
        <v>40</v>
      </c>
      <c r="F89" s="33">
        <v>0</v>
      </c>
      <c r="G89" s="33">
        <v>0</v>
      </c>
    </row>
    <row r="90" spans="1:7" x14ac:dyDescent="0.3">
      <c r="A90" s="32" t="s">
        <v>40</v>
      </c>
      <c r="B90" s="32" t="s">
        <v>190</v>
      </c>
      <c r="C90" s="32" t="s">
        <v>30</v>
      </c>
      <c r="D90" s="32" t="s">
        <v>31</v>
      </c>
      <c r="E90" s="32" t="s">
        <v>40</v>
      </c>
      <c r="F90" s="33">
        <v>0</v>
      </c>
      <c r="G90" s="33">
        <v>0</v>
      </c>
    </row>
    <row r="91" spans="1:7" x14ac:dyDescent="0.3">
      <c r="A91" s="32" t="s">
        <v>40</v>
      </c>
      <c r="B91" s="32" t="s">
        <v>207</v>
      </c>
      <c r="C91" s="32" t="s">
        <v>30</v>
      </c>
      <c r="D91" s="32" t="s">
        <v>31</v>
      </c>
      <c r="E91" s="32" t="s">
        <v>40</v>
      </c>
      <c r="F91" s="33">
        <v>0</v>
      </c>
      <c r="G91" s="33">
        <v>0</v>
      </c>
    </row>
    <row r="92" spans="1:7" x14ac:dyDescent="0.3">
      <c r="A92" s="32" t="s">
        <v>40</v>
      </c>
      <c r="B92" s="32" t="s">
        <v>210</v>
      </c>
      <c r="C92" s="32" t="s">
        <v>30</v>
      </c>
      <c r="D92" s="32" t="s">
        <v>31</v>
      </c>
      <c r="E92" s="32" t="s">
        <v>40</v>
      </c>
      <c r="F92" s="33">
        <v>0</v>
      </c>
      <c r="G92" s="33">
        <v>0</v>
      </c>
    </row>
    <row r="93" spans="1:7" x14ac:dyDescent="0.3">
      <c r="A93" s="32" t="s">
        <v>40</v>
      </c>
      <c r="B93" s="32" t="s">
        <v>221</v>
      </c>
      <c r="C93" s="32" t="s">
        <v>30</v>
      </c>
      <c r="D93" s="32" t="s">
        <v>31</v>
      </c>
      <c r="E93" s="32" t="s">
        <v>40</v>
      </c>
      <c r="F93" s="33">
        <v>0</v>
      </c>
      <c r="G93" s="33">
        <v>0</v>
      </c>
    </row>
    <row r="94" spans="1:7" x14ac:dyDescent="0.3">
      <c r="A94" s="32" t="s">
        <v>40</v>
      </c>
      <c r="B94" s="32" t="s">
        <v>222</v>
      </c>
      <c r="C94" s="32" t="s">
        <v>30</v>
      </c>
      <c r="D94" s="32" t="s">
        <v>31</v>
      </c>
      <c r="E94" s="32" t="s">
        <v>40</v>
      </c>
      <c r="F94" s="33">
        <v>0</v>
      </c>
      <c r="G94" s="33">
        <v>0</v>
      </c>
    </row>
    <row r="95" spans="1:7" x14ac:dyDescent="0.3">
      <c r="A95" s="32" t="s">
        <v>40</v>
      </c>
      <c r="B95" s="32" t="s">
        <v>223</v>
      </c>
      <c r="C95" s="32" t="s">
        <v>30</v>
      </c>
      <c r="D95" s="32" t="s">
        <v>31</v>
      </c>
      <c r="E95" s="32" t="s">
        <v>40</v>
      </c>
      <c r="F95" s="33">
        <v>0</v>
      </c>
      <c r="G95" s="33">
        <v>0</v>
      </c>
    </row>
    <row r="96" spans="1:7" x14ac:dyDescent="0.3">
      <c r="A96" s="32" t="s">
        <v>40</v>
      </c>
      <c r="B96" s="32" t="s">
        <v>239</v>
      </c>
      <c r="C96" s="32" t="s">
        <v>30</v>
      </c>
      <c r="D96" s="32" t="s">
        <v>31</v>
      </c>
      <c r="E96" s="32" t="s">
        <v>40</v>
      </c>
      <c r="F96" s="33">
        <v>0</v>
      </c>
      <c r="G96" s="33">
        <v>0</v>
      </c>
    </row>
    <row r="97" spans="1:7" x14ac:dyDescent="0.3">
      <c r="A97" s="32" t="s">
        <v>40</v>
      </c>
      <c r="B97" s="32" t="s">
        <v>248</v>
      </c>
      <c r="C97" s="32" t="s">
        <v>30</v>
      </c>
      <c r="D97" s="32" t="s">
        <v>31</v>
      </c>
      <c r="E97" s="32" t="s">
        <v>40</v>
      </c>
      <c r="F97" s="33">
        <v>0</v>
      </c>
      <c r="G97" s="33">
        <v>0</v>
      </c>
    </row>
    <row r="98" spans="1:7" x14ac:dyDescent="0.3">
      <c r="A98" s="32" t="s">
        <v>40</v>
      </c>
      <c r="B98" s="32" t="s">
        <v>250</v>
      </c>
      <c r="C98" s="32" t="s">
        <v>30</v>
      </c>
      <c r="D98" s="32" t="s">
        <v>31</v>
      </c>
      <c r="E98" s="32" t="s">
        <v>40</v>
      </c>
      <c r="F98" s="33">
        <v>0</v>
      </c>
      <c r="G98" s="33">
        <v>0</v>
      </c>
    </row>
    <row r="99" spans="1:7" x14ac:dyDescent="0.3">
      <c r="A99" s="32" t="s">
        <v>40</v>
      </c>
      <c r="B99" s="32" t="s">
        <v>253</v>
      </c>
      <c r="C99" s="32" t="s">
        <v>30</v>
      </c>
      <c r="D99" s="32" t="s">
        <v>31</v>
      </c>
      <c r="E99" s="32" t="s">
        <v>40</v>
      </c>
      <c r="F99" s="33">
        <v>0</v>
      </c>
      <c r="G99" s="33">
        <v>0</v>
      </c>
    </row>
    <row r="100" spans="1:7" x14ac:dyDescent="0.3">
      <c r="A100" s="32" t="s">
        <v>40</v>
      </c>
      <c r="B100" s="32" t="s">
        <v>255</v>
      </c>
      <c r="C100" s="32" t="s">
        <v>30</v>
      </c>
      <c r="D100" s="32" t="s">
        <v>31</v>
      </c>
      <c r="E100" s="32" t="s">
        <v>40</v>
      </c>
      <c r="F100" s="33">
        <v>0</v>
      </c>
      <c r="G100" s="33">
        <v>0</v>
      </c>
    </row>
    <row r="101" spans="1:7" x14ac:dyDescent="0.3">
      <c r="A101" s="32" t="s">
        <v>40</v>
      </c>
      <c r="B101" s="32" t="s">
        <v>264</v>
      </c>
      <c r="C101" s="32" t="s">
        <v>30</v>
      </c>
      <c r="D101" s="32" t="s">
        <v>31</v>
      </c>
      <c r="E101" s="32" t="s">
        <v>40</v>
      </c>
      <c r="F101" s="33">
        <v>0</v>
      </c>
      <c r="G101" s="33">
        <v>0</v>
      </c>
    </row>
    <row r="102" spans="1:7" x14ac:dyDescent="0.3">
      <c r="A102" s="32" t="s">
        <v>40</v>
      </c>
      <c r="B102" s="32" t="s">
        <v>265</v>
      </c>
      <c r="C102" s="32" t="s">
        <v>30</v>
      </c>
      <c r="D102" s="32" t="s">
        <v>31</v>
      </c>
      <c r="E102" s="32" t="s">
        <v>40</v>
      </c>
      <c r="F102" s="33">
        <v>0</v>
      </c>
      <c r="G102" s="33">
        <v>0</v>
      </c>
    </row>
    <row r="103" spans="1:7" x14ac:dyDescent="0.3">
      <c r="A103" s="32" t="s">
        <v>40</v>
      </c>
      <c r="B103" s="32" t="s">
        <v>128</v>
      </c>
      <c r="C103" s="32" t="s">
        <v>30</v>
      </c>
      <c r="D103" s="32" t="s">
        <v>31</v>
      </c>
      <c r="E103" s="32" t="s">
        <v>40</v>
      </c>
      <c r="F103" s="33">
        <v>0</v>
      </c>
      <c r="G103" s="33">
        <v>0</v>
      </c>
    </row>
    <row r="104" spans="1:7" x14ac:dyDescent="0.3">
      <c r="A104" s="32" t="s">
        <v>40</v>
      </c>
      <c r="B104" s="32" t="s">
        <v>331</v>
      </c>
      <c r="C104" s="32" t="s">
        <v>30</v>
      </c>
      <c r="D104" s="32" t="s">
        <v>31</v>
      </c>
      <c r="E104" s="32" t="s">
        <v>40</v>
      </c>
      <c r="F104" s="33">
        <v>0</v>
      </c>
      <c r="G104" s="33">
        <v>0</v>
      </c>
    </row>
    <row r="105" spans="1:7" x14ac:dyDescent="0.3">
      <c r="A105" s="32" t="s">
        <v>40</v>
      </c>
      <c r="B105" s="32" t="s">
        <v>347</v>
      </c>
      <c r="C105" s="32" t="s">
        <v>30</v>
      </c>
      <c r="D105" s="32" t="s">
        <v>31</v>
      </c>
      <c r="E105" s="32" t="s">
        <v>40</v>
      </c>
      <c r="F105" s="33">
        <v>0</v>
      </c>
      <c r="G105" s="33">
        <v>0</v>
      </c>
    </row>
    <row r="106" spans="1:7" x14ac:dyDescent="0.3">
      <c r="A106" s="32" t="s">
        <v>40</v>
      </c>
      <c r="B106" s="32" t="s">
        <v>348</v>
      </c>
      <c r="C106" s="32" t="s">
        <v>30</v>
      </c>
      <c r="D106" s="32" t="s">
        <v>31</v>
      </c>
      <c r="E106" s="32" t="s">
        <v>40</v>
      </c>
      <c r="F106" s="33">
        <v>0</v>
      </c>
      <c r="G106" s="33">
        <v>0</v>
      </c>
    </row>
    <row r="107" spans="1:7" x14ac:dyDescent="0.3">
      <c r="A107" s="32" t="s">
        <v>40</v>
      </c>
      <c r="B107" s="32" t="s">
        <v>364</v>
      </c>
      <c r="C107" s="32" t="s">
        <v>30</v>
      </c>
      <c r="D107" s="32" t="s">
        <v>31</v>
      </c>
      <c r="E107" s="32" t="s">
        <v>40</v>
      </c>
      <c r="F107" s="33">
        <v>0</v>
      </c>
      <c r="G107" s="33">
        <v>0</v>
      </c>
    </row>
    <row r="108" spans="1:7" x14ac:dyDescent="0.3">
      <c r="A108" s="32" t="s">
        <v>40</v>
      </c>
      <c r="B108" s="32" t="s">
        <v>365</v>
      </c>
      <c r="C108" s="32" t="s">
        <v>30</v>
      </c>
      <c r="D108" s="32" t="s">
        <v>31</v>
      </c>
      <c r="E108" s="32" t="s">
        <v>40</v>
      </c>
      <c r="F108" s="33">
        <v>0</v>
      </c>
      <c r="G108" s="33">
        <v>0</v>
      </c>
    </row>
    <row r="109" spans="1:7" x14ac:dyDescent="0.3">
      <c r="A109" s="32" t="s">
        <v>40</v>
      </c>
      <c r="B109" s="32" t="s">
        <v>407</v>
      </c>
      <c r="C109" s="32" t="s">
        <v>30</v>
      </c>
      <c r="D109" s="32" t="s">
        <v>31</v>
      </c>
      <c r="E109" s="32" t="s">
        <v>40</v>
      </c>
      <c r="F109" s="33">
        <v>0</v>
      </c>
      <c r="G109" s="33">
        <v>0</v>
      </c>
    </row>
    <row r="110" spans="1:7" x14ac:dyDescent="0.3">
      <c r="A110" s="32" t="s">
        <v>40</v>
      </c>
      <c r="B110" s="32" t="s">
        <v>420</v>
      </c>
      <c r="C110" s="32" t="s">
        <v>30</v>
      </c>
      <c r="D110" s="32" t="s">
        <v>31</v>
      </c>
      <c r="E110" s="32" t="s">
        <v>40</v>
      </c>
      <c r="F110" s="33">
        <v>0</v>
      </c>
      <c r="G110" s="33">
        <v>0</v>
      </c>
    </row>
    <row r="111" spans="1:7" x14ac:dyDescent="0.3">
      <c r="A111" s="32" t="s">
        <v>40</v>
      </c>
      <c r="B111" s="32" t="s">
        <v>434</v>
      </c>
      <c r="C111" s="32" t="s">
        <v>30</v>
      </c>
      <c r="D111" s="32" t="s">
        <v>31</v>
      </c>
      <c r="E111" s="32" t="s">
        <v>40</v>
      </c>
      <c r="F111" s="33">
        <v>0</v>
      </c>
      <c r="G111" s="33">
        <v>0</v>
      </c>
    </row>
    <row r="112" spans="1:7" x14ac:dyDescent="0.3">
      <c r="A112" s="32" t="s">
        <v>40</v>
      </c>
      <c r="B112" s="32" t="s">
        <v>445</v>
      </c>
      <c r="C112" s="32" t="s">
        <v>30</v>
      </c>
      <c r="D112" s="32" t="s">
        <v>31</v>
      </c>
      <c r="E112" s="32" t="s">
        <v>40</v>
      </c>
      <c r="F112" s="33">
        <v>0</v>
      </c>
      <c r="G112" s="33">
        <v>0</v>
      </c>
    </row>
    <row r="113" spans="1:7" x14ac:dyDescent="0.3">
      <c r="A113" s="32" t="s">
        <v>40</v>
      </c>
      <c r="B113" s="32" t="s">
        <v>446</v>
      </c>
      <c r="C113" s="32" t="s">
        <v>30</v>
      </c>
      <c r="D113" s="32" t="s">
        <v>31</v>
      </c>
      <c r="E113" s="32" t="s">
        <v>40</v>
      </c>
      <c r="F113" s="33">
        <v>0</v>
      </c>
      <c r="G113" s="33">
        <v>0</v>
      </c>
    </row>
    <row r="114" spans="1:7" x14ac:dyDescent="0.3">
      <c r="A114" s="32" t="s">
        <v>40</v>
      </c>
      <c r="B114" s="32" t="s">
        <v>447</v>
      </c>
      <c r="C114" s="32" t="s">
        <v>30</v>
      </c>
      <c r="D114" s="32" t="s">
        <v>31</v>
      </c>
      <c r="E114" s="32" t="s">
        <v>40</v>
      </c>
      <c r="F114" s="33">
        <v>0</v>
      </c>
      <c r="G114" s="33">
        <v>0</v>
      </c>
    </row>
    <row r="115" spans="1:7" x14ac:dyDescent="0.3">
      <c r="A115" s="32" t="s">
        <v>40</v>
      </c>
      <c r="B115" s="32" t="s">
        <v>480</v>
      </c>
      <c r="C115" s="32" t="s">
        <v>30</v>
      </c>
      <c r="D115" s="32" t="s">
        <v>31</v>
      </c>
      <c r="E115" s="32" t="s">
        <v>40</v>
      </c>
      <c r="F115" s="33">
        <v>0</v>
      </c>
      <c r="G115" s="33">
        <v>0</v>
      </c>
    </row>
    <row r="116" spans="1:7" x14ac:dyDescent="0.3">
      <c r="A116" s="32" t="s">
        <v>40</v>
      </c>
      <c r="B116" s="32" t="s">
        <v>481</v>
      </c>
      <c r="C116" s="32" t="s">
        <v>30</v>
      </c>
      <c r="D116" s="32" t="s">
        <v>31</v>
      </c>
      <c r="E116" s="32" t="s">
        <v>40</v>
      </c>
      <c r="F116" s="33">
        <v>0</v>
      </c>
      <c r="G116" s="33">
        <v>0</v>
      </c>
    </row>
    <row r="117" spans="1:7" x14ac:dyDescent="0.3">
      <c r="A117" s="32" t="s">
        <v>40</v>
      </c>
      <c r="B117" s="32" t="s">
        <v>482</v>
      </c>
      <c r="C117" s="32" t="s">
        <v>30</v>
      </c>
      <c r="D117" s="32" t="s">
        <v>31</v>
      </c>
      <c r="E117" s="32" t="s">
        <v>40</v>
      </c>
      <c r="F117" s="33">
        <v>0</v>
      </c>
      <c r="G117" s="33">
        <v>0</v>
      </c>
    </row>
    <row r="118" spans="1:7" x14ac:dyDescent="0.3">
      <c r="A118" s="32" t="s">
        <v>40</v>
      </c>
      <c r="B118" s="32" t="s">
        <v>497</v>
      </c>
      <c r="C118" s="32" t="s">
        <v>30</v>
      </c>
      <c r="D118" s="32" t="s">
        <v>31</v>
      </c>
      <c r="E118" s="32" t="s">
        <v>40</v>
      </c>
      <c r="F118" s="33">
        <v>0</v>
      </c>
      <c r="G118" s="33">
        <v>0</v>
      </c>
    </row>
    <row r="119" spans="1:7" x14ac:dyDescent="0.3">
      <c r="A119" s="32" t="s">
        <v>40</v>
      </c>
      <c r="B119" s="32" t="s">
        <v>499</v>
      </c>
      <c r="C119" s="32" t="s">
        <v>30</v>
      </c>
      <c r="D119" s="32" t="s">
        <v>31</v>
      </c>
      <c r="E119" s="32" t="s">
        <v>40</v>
      </c>
      <c r="F119" s="33">
        <v>0</v>
      </c>
      <c r="G119" s="33">
        <v>0</v>
      </c>
    </row>
    <row r="120" spans="1:7" x14ac:dyDescent="0.3">
      <c r="A120" s="32" t="s">
        <v>40</v>
      </c>
      <c r="B120" s="32" t="s">
        <v>505</v>
      </c>
      <c r="C120" s="32" t="s">
        <v>30</v>
      </c>
      <c r="D120" s="32" t="s">
        <v>31</v>
      </c>
      <c r="E120" s="32" t="s">
        <v>40</v>
      </c>
      <c r="F120" s="33">
        <v>0</v>
      </c>
      <c r="G120" s="33">
        <v>0</v>
      </c>
    </row>
    <row r="121" spans="1:7" x14ac:dyDescent="0.3">
      <c r="A121" s="32" t="s">
        <v>40</v>
      </c>
      <c r="B121" s="32" t="s">
        <v>523</v>
      </c>
      <c r="C121" s="32" t="s">
        <v>30</v>
      </c>
      <c r="D121" s="32" t="s">
        <v>31</v>
      </c>
      <c r="E121" s="32" t="s">
        <v>40</v>
      </c>
      <c r="F121" s="33">
        <v>0</v>
      </c>
      <c r="G121" s="33">
        <v>0</v>
      </c>
    </row>
    <row r="122" spans="1:7" x14ac:dyDescent="0.3">
      <c r="A122" s="32" t="s">
        <v>40</v>
      </c>
      <c r="B122" s="32" t="s">
        <v>547</v>
      </c>
      <c r="C122" s="32" t="s">
        <v>30</v>
      </c>
      <c r="D122" s="32" t="s">
        <v>31</v>
      </c>
      <c r="E122" s="32" t="s">
        <v>40</v>
      </c>
      <c r="F122" s="33">
        <v>0</v>
      </c>
      <c r="G122" s="33">
        <v>0</v>
      </c>
    </row>
    <row r="123" spans="1:7" x14ac:dyDescent="0.3">
      <c r="A123" s="32" t="s">
        <v>40</v>
      </c>
      <c r="B123" s="32" t="s">
        <v>556</v>
      </c>
      <c r="C123" s="32" t="s">
        <v>30</v>
      </c>
      <c r="D123" s="32" t="s">
        <v>31</v>
      </c>
      <c r="E123" s="32" t="s">
        <v>40</v>
      </c>
      <c r="F123" s="33">
        <v>0</v>
      </c>
      <c r="G123" s="33">
        <v>0</v>
      </c>
    </row>
    <row r="124" spans="1:7" x14ac:dyDescent="0.3">
      <c r="A124" s="32" t="s">
        <v>40</v>
      </c>
      <c r="B124" s="32" t="s">
        <v>557</v>
      </c>
      <c r="C124" s="32" t="s">
        <v>30</v>
      </c>
      <c r="D124" s="32" t="s">
        <v>31</v>
      </c>
      <c r="E124" s="32" t="s">
        <v>40</v>
      </c>
      <c r="F124" s="33">
        <v>0</v>
      </c>
      <c r="G124" s="33">
        <v>0</v>
      </c>
    </row>
    <row r="125" spans="1:7" x14ac:dyDescent="0.3">
      <c r="A125" s="32" t="s">
        <v>40</v>
      </c>
      <c r="B125" s="32" t="s">
        <v>558</v>
      </c>
      <c r="C125" s="32" t="s">
        <v>30</v>
      </c>
      <c r="D125" s="32" t="s">
        <v>31</v>
      </c>
      <c r="E125" s="32" t="s">
        <v>40</v>
      </c>
      <c r="F125" s="33">
        <v>0</v>
      </c>
      <c r="G125" s="33">
        <v>0</v>
      </c>
    </row>
    <row r="126" spans="1:7" x14ac:dyDescent="0.3">
      <c r="A126" s="32" t="s">
        <v>40</v>
      </c>
      <c r="B126" s="32" t="s">
        <v>584</v>
      </c>
      <c r="C126" s="32" t="s">
        <v>30</v>
      </c>
      <c r="D126" s="32" t="s">
        <v>31</v>
      </c>
      <c r="E126" s="32" t="s">
        <v>40</v>
      </c>
      <c r="F126" s="33">
        <v>0</v>
      </c>
      <c r="G126" s="33">
        <v>0</v>
      </c>
    </row>
    <row r="127" spans="1:7" x14ac:dyDescent="0.3">
      <c r="A127" s="32" t="s">
        <v>40</v>
      </c>
      <c r="B127" s="32" t="s">
        <v>557</v>
      </c>
      <c r="C127" s="32" t="s">
        <v>30</v>
      </c>
      <c r="D127" s="32" t="s">
        <v>31</v>
      </c>
      <c r="E127" s="32" t="s">
        <v>40</v>
      </c>
      <c r="F127" s="33">
        <v>0</v>
      </c>
      <c r="G127" s="33">
        <v>0</v>
      </c>
    </row>
    <row r="128" spans="1:7" x14ac:dyDescent="0.3">
      <c r="A128" s="32" t="s">
        <v>895</v>
      </c>
      <c r="B128" s="32" t="s">
        <v>894</v>
      </c>
      <c r="C128" s="32" t="s">
        <v>895</v>
      </c>
      <c r="D128" s="32" t="s">
        <v>893</v>
      </c>
      <c r="E128" s="32" t="s">
        <v>895</v>
      </c>
      <c r="F128" s="33">
        <v>0</v>
      </c>
      <c r="G128" s="33">
        <v>0</v>
      </c>
    </row>
    <row r="129" spans="1:7" x14ac:dyDescent="0.3">
      <c r="A129" s="32" t="s">
        <v>895</v>
      </c>
      <c r="B129" s="32" t="s">
        <v>920</v>
      </c>
      <c r="C129" s="32" t="s">
        <v>895</v>
      </c>
      <c r="D129" s="32" t="s">
        <v>893</v>
      </c>
      <c r="E129" s="32" t="s">
        <v>895</v>
      </c>
      <c r="F129" s="33">
        <v>0</v>
      </c>
      <c r="G129" s="33">
        <v>0</v>
      </c>
    </row>
    <row r="130" spans="1:7" x14ac:dyDescent="0.3">
      <c r="A130" s="32" t="s">
        <v>46</v>
      </c>
      <c r="B130" s="32" t="s">
        <v>45</v>
      </c>
      <c r="C130" s="32" t="s">
        <v>30</v>
      </c>
      <c r="D130" s="32" t="s">
        <v>31</v>
      </c>
      <c r="E130" s="32" t="s">
        <v>46</v>
      </c>
      <c r="F130" s="33">
        <v>0</v>
      </c>
      <c r="G130" s="33">
        <v>0</v>
      </c>
    </row>
    <row r="131" spans="1:7" x14ac:dyDescent="0.3">
      <c r="A131" s="32" t="s">
        <v>46</v>
      </c>
      <c r="B131" s="32" t="s">
        <v>47</v>
      </c>
      <c r="C131" s="32" t="s">
        <v>30</v>
      </c>
      <c r="D131" s="32" t="s">
        <v>31</v>
      </c>
      <c r="E131" s="32" t="s">
        <v>46</v>
      </c>
      <c r="F131" s="33">
        <v>0</v>
      </c>
      <c r="G131" s="33">
        <v>0</v>
      </c>
    </row>
    <row r="132" spans="1:7" x14ac:dyDescent="0.3">
      <c r="A132" s="32" t="s">
        <v>46</v>
      </c>
      <c r="B132" s="32" t="s">
        <v>81</v>
      </c>
      <c r="C132" s="32" t="s">
        <v>30</v>
      </c>
      <c r="D132" s="32" t="s">
        <v>31</v>
      </c>
      <c r="E132" s="32" t="s">
        <v>46</v>
      </c>
      <c r="F132" s="33">
        <v>0</v>
      </c>
      <c r="G132" s="33">
        <v>0</v>
      </c>
    </row>
    <row r="133" spans="1:7" x14ac:dyDescent="0.3">
      <c r="A133" s="32" t="s">
        <v>46</v>
      </c>
      <c r="B133" s="32" t="s">
        <v>82</v>
      </c>
      <c r="C133" s="32" t="s">
        <v>30</v>
      </c>
      <c r="D133" s="32" t="s">
        <v>31</v>
      </c>
      <c r="E133" s="32" t="s">
        <v>46</v>
      </c>
      <c r="F133" s="33">
        <v>0</v>
      </c>
      <c r="G133" s="33">
        <v>0</v>
      </c>
    </row>
    <row r="134" spans="1:7" x14ac:dyDescent="0.3">
      <c r="A134" s="32" t="s">
        <v>46</v>
      </c>
      <c r="B134" s="32" t="s">
        <v>108</v>
      </c>
      <c r="C134" s="32" t="s">
        <v>30</v>
      </c>
      <c r="D134" s="32" t="s">
        <v>31</v>
      </c>
      <c r="E134" s="32" t="s">
        <v>46</v>
      </c>
      <c r="F134" s="33">
        <v>0</v>
      </c>
      <c r="G134" s="33">
        <v>0</v>
      </c>
    </row>
    <row r="135" spans="1:7" x14ac:dyDescent="0.3">
      <c r="A135" s="32" t="s">
        <v>46</v>
      </c>
      <c r="B135" s="32" t="s">
        <v>109</v>
      </c>
      <c r="C135" s="32" t="s">
        <v>30</v>
      </c>
      <c r="D135" s="32" t="s">
        <v>31</v>
      </c>
      <c r="E135" s="32" t="s">
        <v>46</v>
      </c>
      <c r="F135" s="33">
        <v>0</v>
      </c>
      <c r="G135" s="33">
        <v>0</v>
      </c>
    </row>
    <row r="136" spans="1:7" x14ac:dyDescent="0.3">
      <c r="A136" s="32" t="s">
        <v>46</v>
      </c>
      <c r="B136" s="32" t="s">
        <v>110</v>
      </c>
      <c r="C136" s="32" t="s">
        <v>30</v>
      </c>
      <c r="D136" s="32" t="s">
        <v>31</v>
      </c>
      <c r="E136" s="32" t="s">
        <v>46</v>
      </c>
      <c r="F136" s="33">
        <v>0</v>
      </c>
      <c r="G136" s="33">
        <v>0</v>
      </c>
    </row>
    <row r="137" spans="1:7" x14ac:dyDescent="0.3">
      <c r="A137" s="32" t="s">
        <v>46</v>
      </c>
      <c r="B137" s="32" t="s">
        <v>111</v>
      </c>
      <c r="C137" s="32" t="s">
        <v>30</v>
      </c>
      <c r="D137" s="32" t="s">
        <v>31</v>
      </c>
      <c r="E137" s="32" t="s">
        <v>46</v>
      </c>
      <c r="F137" s="33">
        <v>0</v>
      </c>
      <c r="G137" s="33">
        <v>0</v>
      </c>
    </row>
    <row r="138" spans="1:7" x14ac:dyDescent="0.3">
      <c r="A138" s="32" t="s">
        <v>46</v>
      </c>
      <c r="B138" s="32" t="s">
        <v>123</v>
      </c>
      <c r="C138" s="32" t="s">
        <v>30</v>
      </c>
      <c r="D138" s="32" t="s">
        <v>31</v>
      </c>
      <c r="E138" s="32" t="s">
        <v>46</v>
      </c>
      <c r="F138" s="33">
        <v>0</v>
      </c>
      <c r="G138" s="33">
        <v>0</v>
      </c>
    </row>
    <row r="139" spans="1:7" x14ac:dyDescent="0.3">
      <c r="A139" s="32" t="s">
        <v>46</v>
      </c>
      <c r="B139" s="32" t="s">
        <v>150</v>
      </c>
      <c r="C139" s="32" t="s">
        <v>30</v>
      </c>
      <c r="D139" s="32" t="s">
        <v>31</v>
      </c>
      <c r="E139" s="32" t="s">
        <v>46</v>
      </c>
      <c r="F139" s="33">
        <v>0</v>
      </c>
      <c r="G139" s="33">
        <v>0</v>
      </c>
    </row>
    <row r="140" spans="1:7" x14ac:dyDescent="0.3">
      <c r="A140" s="32" t="s">
        <v>46</v>
      </c>
      <c r="B140" s="32" t="s">
        <v>151</v>
      </c>
      <c r="C140" s="32" t="s">
        <v>30</v>
      </c>
      <c r="D140" s="32" t="s">
        <v>31</v>
      </c>
      <c r="E140" s="32" t="s">
        <v>46</v>
      </c>
      <c r="F140" s="33">
        <v>0</v>
      </c>
      <c r="G140" s="33">
        <v>0</v>
      </c>
    </row>
    <row r="141" spans="1:7" x14ac:dyDescent="0.3">
      <c r="A141" s="32" t="s">
        <v>46</v>
      </c>
      <c r="B141" s="32" t="s">
        <v>152</v>
      </c>
      <c r="C141" s="32" t="s">
        <v>30</v>
      </c>
      <c r="D141" s="32" t="s">
        <v>31</v>
      </c>
      <c r="E141" s="32" t="s">
        <v>46</v>
      </c>
      <c r="F141" s="33">
        <v>0</v>
      </c>
      <c r="G141" s="33">
        <v>0</v>
      </c>
    </row>
    <row r="142" spans="1:7" x14ac:dyDescent="0.3">
      <c r="A142" s="32" t="s">
        <v>46</v>
      </c>
      <c r="B142" s="32" t="s">
        <v>123</v>
      </c>
      <c r="C142" s="32" t="s">
        <v>30</v>
      </c>
      <c r="D142" s="32" t="s">
        <v>31</v>
      </c>
      <c r="E142" s="32" t="s">
        <v>46</v>
      </c>
      <c r="F142" s="33">
        <v>0</v>
      </c>
      <c r="G142" s="33">
        <v>0</v>
      </c>
    </row>
    <row r="143" spans="1:7" x14ac:dyDescent="0.3">
      <c r="A143" s="32" t="s">
        <v>46</v>
      </c>
      <c r="B143" s="32" t="s">
        <v>178</v>
      </c>
      <c r="C143" s="32" t="s">
        <v>30</v>
      </c>
      <c r="D143" s="32" t="s">
        <v>31</v>
      </c>
      <c r="E143" s="32" t="s">
        <v>46</v>
      </c>
      <c r="F143" s="33">
        <v>0</v>
      </c>
      <c r="G143" s="33">
        <v>0</v>
      </c>
    </row>
    <row r="144" spans="1:7" x14ac:dyDescent="0.3">
      <c r="A144" s="32" t="s">
        <v>46</v>
      </c>
      <c r="B144" s="32" t="s">
        <v>191</v>
      </c>
      <c r="C144" s="32" t="s">
        <v>30</v>
      </c>
      <c r="D144" s="32" t="s">
        <v>31</v>
      </c>
      <c r="E144" s="32" t="s">
        <v>46</v>
      </c>
      <c r="F144" s="33">
        <v>0</v>
      </c>
      <c r="G144" s="33">
        <v>0</v>
      </c>
    </row>
    <row r="145" spans="1:7" x14ac:dyDescent="0.3">
      <c r="A145" s="32" t="s">
        <v>46</v>
      </c>
      <c r="B145" s="32" t="s">
        <v>192</v>
      </c>
      <c r="C145" s="32" t="s">
        <v>30</v>
      </c>
      <c r="D145" s="32" t="s">
        <v>31</v>
      </c>
      <c r="E145" s="32" t="s">
        <v>46</v>
      </c>
      <c r="F145" s="33">
        <v>0</v>
      </c>
      <c r="G145" s="33">
        <v>0</v>
      </c>
    </row>
    <row r="146" spans="1:7" x14ac:dyDescent="0.3">
      <c r="A146" s="32" t="s">
        <v>46</v>
      </c>
      <c r="B146" s="32" t="s">
        <v>193</v>
      </c>
      <c r="C146" s="32" t="s">
        <v>30</v>
      </c>
      <c r="D146" s="32" t="s">
        <v>31</v>
      </c>
      <c r="E146" s="32" t="s">
        <v>46</v>
      </c>
      <c r="F146" s="33">
        <v>0</v>
      </c>
      <c r="G146" s="33">
        <v>0</v>
      </c>
    </row>
    <row r="147" spans="1:7" x14ac:dyDescent="0.3">
      <c r="A147" s="32" t="s">
        <v>46</v>
      </c>
      <c r="B147" s="32" t="s">
        <v>194</v>
      </c>
      <c r="C147" s="32" t="s">
        <v>30</v>
      </c>
      <c r="D147" s="32" t="s">
        <v>31</v>
      </c>
      <c r="E147" s="32" t="s">
        <v>46</v>
      </c>
      <c r="F147" s="33">
        <v>0</v>
      </c>
      <c r="G147" s="33">
        <v>0</v>
      </c>
    </row>
    <row r="148" spans="1:7" x14ac:dyDescent="0.3">
      <c r="A148" s="32" t="s">
        <v>46</v>
      </c>
      <c r="B148" s="32" t="s">
        <v>202</v>
      </c>
      <c r="C148" s="32" t="s">
        <v>30</v>
      </c>
      <c r="D148" s="32" t="s">
        <v>31</v>
      </c>
      <c r="E148" s="32" t="s">
        <v>46</v>
      </c>
      <c r="F148" s="33">
        <v>0</v>
      </c>
      <c r="G148" s="33">
        <v>0</v>
      </c>
    </row>
    <row r="149" spans="1:7" x14ac:dyDescent="0.3">
      <c r="A149" s="32" t="s">
        <v>46</v>
      </c>
      <c r="B149" s="32" t="s">
        <v>224</v>
      </c>
      <c r="C149" s="32" t="s">
        <v>30</v>
      </c>
      <c r="D149" s="32" t="s">
        <v>31</v>
      </c>
      <c r="E149" s="32" t="s">
        <v>46</v>
      </c>
      <c r="F149" s="33">
        <v>0</v>
      </c>
      <c r="G149" s="33">
        <v>0</v>
      </c>
    </row>
    <row r="150" spans="1:7" x14ac:dyDescent="0.3">
      <c r="A150" s="32" t="s">
        <v>46</v>
      </c>
      <c r="B150" s="32" t="s">
        <v>225</v>
      </c>
      <c r="C150" s="32" t="s">
        <v>30</v>
      </c>
      <c r="D150" s="32" t="s">
        <v>31</v>
      </c>
      <c r="E150" s="32" t="s">
        <v>46</v>
      </c>
      <c r="F150" s="33">
        <v>0</v>
      </c>
      <c r="G150" s="33">
        <v>0</v>
      </c>
    </row>
    <row r="151" spans="1:7" x14ac:dyDescent="0.3">
      <c r="A151" s="32" t="s">
        <v>46</v>
      </c>
      <c r="B151" s="32" t="s">
        <v>226</v>
      </c>
      <c r="C151" s="32" t="s">
        <v>30</v>
      </c>
      <c r="D151" s="32" t="s">
        <v>31</v>
      </c>
      <c r="E151" s="32" t="s">
        <v>46</v>
      </c>
      <c r="F151" s="33">
        <v>0</v>
      </c>
      <c r="G151" s="33">
        <v>0</v>
      </c>
    </row>
    <row r="152" spans="1:7" x14ac:dyDescent="0.3">
      <c r="A152" s="32" t="s">
        <v>46</v>
      </c>
      <c r="B152" s="32" t="s">
        <v>240</v>
      </c>
      <c r="C152" s="32" t="s">
        <v>30</v>
      </c>
      <c r="D152" s="32" t="s">
        <v>31</v>
      </c>
      <c r="E152" s="32" t="s">
        <v>46</v>
      </c>
      <c r="F152" s="33">
        <v>0</v>
      </c>
      <c r="G152" s="33">
        <v>0</v>
      </c>
    </row>
    <row r="153" spans="1:7" x14ac:dyDescent="0.3">
      <c r="A153" s="32" t="s">
        <v>46</v>
      </c>
      <c r="B153" s="32" t="s">
        <v>266</v>
      </c>
      <c r="C153" s="32" t="s">
        <v>30</v>
      </c>
      <c r="D153" s="32" t="s">
        <v>31</v>
      </c>
      <c r="E153" s="32" t="s">
        <v>46</v>
      </c>
      <c r="F153" s="33">
        <v>0</v>
      </c>
      <c r="G153" s="33">
        <v>0</v>
      </c>
    </row>
    <row r="154" spans="1:7" x14ac:dyDescent="0.3">
      <c r="A154" s="32" t="s">
        <v>46</v>
      </c>
      <c r="B154" s="32" t="s">
        <v>267</v>
      </c>
      <c r="C154" s="32" t="s">
        <v>30</v>
      </c>
      <c r="D154" s="32" t="s">
        <v>31</v>
      </c>
      <c r="E154" s="32" t="s">
        <v>46</v>
      </c>
      <c r="F154" s="33">
        <v>0</v>
      </c>
      <c r="G154" s="33">
        <v>0</v>
      </c>
    </row>
    <row r="155" spans="1:7" x14ac:dyDescent="0.3">
      <c r="A155" s="32" t="s">
        <v>46</v>
      </c>
      <c r="B155" s="32" t="s">
        <v>268</v>
      </c>
      <c r="C155" s="32" t="s">
        <v>30</v>
      </c>
      <c r="D155" s="32" t="s">
        <v>31</v>
      </c>
      <c r="E155" s="32" t="s">
        <v>46</v>
      </c>
      <c r="F155" s="33">
        <v>0</v>
      </c>
      <c r="G155" s="33">
        <v>0</v>
      </c>
    </row>
    <row r="156" spans="1:7" x14ac:dyDescent="0.3">
      <c r="A156" s="32" t="s">
        <v>46</v>
      </c>
      <c r="B156" s="32" t="s">
        <v>269</v>
      </c>
      <c r="C156" s="32" t="s">
        <v>30</v>
      </c>
      <c r="D156" s="32" t="s">
        <v>31</v>
      </c>
      <c r="E156" s="32" t="s">
        <v>46</v>
      </c>
      <c r="F156" s="33">
        <v>0</v>
      </c>
      <c r="G156" s="33">
        <v>0</v>
      </c>
    </row>
    <row r="157" spans="1:7" x14ac:dyDescent="0.3">
      <c r="A157" s="32" t="s">
        <v>46</v>
      </c>
      <c r="B157" s="32" t="s">
        <v>298</v>
      </c>
      <c r="C157" s="32" t="s">
        <v>30</v>
      </c>
      <c r="D157" s="32" t="s">
        <v>31</v>
      </c>
      <c r="E157" s="32" t="s">
        <v>46</v>
      </c>
      <c r="F157" s="33">
        <v>0</v>
      </c>
      <c r="G157" s="33">
        <v>0</v>
      </c>
    </row>
    <row r="158" spans="1:7" x14ac:dyDescent="0.3">
      <c r="A158" s="32" t="s">
        <v>46</v>
      </c>
      <c r="B158" s="32" t="s">
        <v>313</v>
      </c>
      <c r="C158" s="32" t="s">
        <v>30</v>
      </c>
      <c r="D158" s="32" t="s">
        <v>31</v>
      </c>
      <c r="E158" s="32" t="s">
        <v>46</v>
      </c>
      <c r="F158" s="33">
        <v>0</v>
      </c>
      <c r="G158" s="33">
        <v>0</v>
      </c>
    </row>
    <row r="159" spans="1:7" x14ac:dyDescent="0.3">
      <c r="A159" s="32" t="s">
        <v>46</v>
      </c>
      <c r="B159" s="32" t="s">
        <v>332</v>
      </c>
      <c r="C159" s="32" t="s">
        <v>30</v>
      </c>
      <c r="D159" s="32" t="s">
        <v>31</v>
      </c>
      <c r="E159" s="32" t="s">
        <v>46</v>
      </c>
      <c r="F159" s="33">
        <v>0</v>
      </c>
      <c r="G159" s="33">
        <v>0</v>
      </c>
    </row>
    <row r="160" spans="1:7" x14ac:dyDescent="0.3">
      <c r="A160" s="32" t="s">
        <v>46</v>
      </c>
      <c r="B160" s="32" t="s">
        <v>333</v>
      </c>
      <c r="C160" s="32" t="s">
        <v>30</v>
      </c>
      <c r="D160" s="32" t="s">
        <v>31</v>
      </c>
      <c r="E160" s="32" t="s">
        <v>46</v>
      </c>
      <c r="F160" s="33">
        <v>0</v>
      </c>
      <c r="G160" s="33">
        <v>0</v>
      </c>
    </row>
    <row r="161" spans="1:7" x14ac:dyDescent="0.3">
      <c r="A161" s="32" t="s">
        <v>46</v>
      </c>
      <c r="B161" s="32" t="s">
        <v>334</v>
      </c>
      <c r="C161" s="32" t="s">
        <v>30</v>
      </c>
      <c r="D161" s="32" t="s">
        <v>31</v>
      </c>
      <c r="E161" s="32" t="s">
        <v>46</v>
      </c>
      <c r="F161" s="33">
        <v>0</v>
      </c>
      <c r="G161" s="33">
        <v>0</v>
      </c>
    </row>
    <row r="162" spans="1:7" x14ac:dyDescent="0.3">
      <c r="A162" s="32" t="s">
        <v>46</v>
      </c>
      <c r="B162" s="32" t="s">
        <v>366</v>
      </c>
      <c r="C162" s="32" t="s">
        <v>30</v>
      </c>
      <c r="D162" s="32" t="s">
        <v>31</v>
      </c>
      <c r="E162" s="32" t="s">
        <v>46</v>
      </c>
      <c r="F162" s="33">
        <v>0</v>
      </c>
      <c r="G162" s="33">
        <v>0</v>
      </c>
    </row>
    <row r="163" spans="1:7" x14ac:dyDescent="0.3">
      <c r="A163" s="32" t="s">
        <v>46</v>
      </c>
      <c r="B163" s="32" t="s">
        <v>367</v>
      </c>
      <c r="C163" s="32" t="s">
        <v>30</v>
      </c>
      <c r="D163" s="32" t="s">
        <v>31</v>
      </c>
      <c r="E163" s="32" t="s">
        <v>46</v>
      </c>
      <c r="F163" s="33">
        <v>0</v>
      </c>
      <c r="G163" s="33">
        <v>0</v>
      </c>
    </row>
    <row r="164" spans="1:7" x14ac:dyDescent="0.3">
      <c r="A164" s="32" t="s">
        <v>46</v>
      </c>
      <c r="B164" s="32" t="s">
        <v>368</v>
      </c>
      <c r="C164" s="32" t="s">
        <v>30</v>
      </c>
      <c r="D164" s="32" t="s">
        <v>31</v>
      </c>
      <c r="E164" s="32" t="s">
        <v>46</v>
      </c>
      <c r="F164" s="33">
        <v>0</v>
      </c>
      <c r="G164" s="33">
        <v>0</v>
      </c>
    </row>
    <row r="165" spans="1:7" x14ac:dyDescent="0.3">
      <c r="A165" s="32" t="s">
        <v>46</v>
      </c>
      <c r="B165" s="32" t="s">
        <v>369</v>
      </c>
      <c r="C165" s="32" t="s">
        <v>30</v>
      </c>
      <c r="D165" s="32" t="s">
        <v>31</v>
      </c>
      <c r="E165" s="32" t="s">
        <v>46</v>
      </c>
      <c r="F165" s="33">
        <v>0</v>
      </c>
      <c r="G165" s="33">
        <v>0</v>
      </c>
    </row>
    <row r="166" spans="1:7" x14ac:dyDescent="0.3">
      <c r="A166" s="32" t="s">
        <v>46</v>
      </c>
      <c r="B166" s="32" t="s">
        <v>370</v>
      </c>
      <c r="C166" s="32" t="s">
        <v>30</v>
      </c>
      <c r="D166" s="32" t="s">
        <v>31</v>
      </c>
      <c r="E166" s="32" t="s">
        <v>46</v>
      </c>
      <c r="F166" s="33">
        <v>0</v>
      </c>
      <c r="G166" s="33">
        <v>0</v>
      </c>
    </row>
    <row r="167" spans="1:7" x14ac:dyDescent="0.3">
      <c r="A167" s="32" t="s">
        <v>46</v>
      </c>
      <c r="B167" s="32" t="s">
        <v>371</v>
      </c>
      <c r="C167" s="32" t="s">
        <v>30</v>
      </c>
      <c r="D167" s="32" t="s">
        <v>31</v>
      </c>
      <c r="E167" s="32" t="s">
        <v>46</v>
      </c>
      <c r="F167" s="33">
        <v>0</v>
      </c>
      <c r="G167" s="33">
        <v>0</v>
      </c>
    </row>
    <row r="168" spans="1:7" x14ac:dyDescent="0.3">
      <c r="A168" s="32" t="s">
        <v>46</v>
      </c>
      <c r="B168" s="32" t="s">
        <v>372</v>
      </c>
      <c r="C168" s="32" t="s">
        <v>30</v>
      </c>
      <c r="D168" s="32" t="s">
        <v>31</v>
      </c>
      <c r="E168" s="32" t="s">
        <v>46</v>
      </c>
      <c r="F168" s="33">
        <v>0</v>
      </c>
      <c r="G168" s="33">
        <v>0</v>
      </c>
    </row>
    <row r="169" spans="1:7" x14ac:dyDescent="0.3">
      <c r="A169" s="32" t="s">
        <v>46</v>
      </c>
      <c r="B169" s="32" t="s">
        <v>373</v>
      </c>
      <c r="C169" s="32" t="s">
        <v>30</v>
      </c>
      <c r="D169" s="32" t="s">
        <v>31</v>
      </c>
      <c r="E169" s="32" t="s">
        <v>46</v>
      </c>
      <c r="F169" s="33">
        <v>0</v>
      </c>
      <c r="G169" s="33">
        <v>0</v>
      </c>
    </row>
    <row r="170" spans="1:7" x14ac:dyDescent="0.3">
      <c r="A170" s="32" t="s">
        <v>46</v>
      </c>
      <c r="B170" s="32" t="s">
        <v>374</v>
      </c>
      <c r="C170" s="32" t="s">
        <v>30</v>
      </c>
      <c r="D170" s="32" t="s">
        <v>31</v>
      </c>
      <c r="E170" s="32" t="s">
        <v>46</v>
      </c>
      <c r="F170" s="33">
        <v>0</v>
      </c>
      <c r="G170" s="33">
        <v>0</v>
      </c>
    </row>
    <row r="171" spans="1:7" x14ac:dyDescent="0.3">
      <c r="A171" s="32" t="s">
        <v>46</v>
      </c>
      <c r="B171" s="32" t="s">
        <v>408</v>
      </c>
      <c r="C171" s="32" t="s">
        <v>30</v>
      </c>
      <c r="D171" s="32" t="s">
        <v>31</v>
      </c>
      <c r="E171" s="32" t="s">
        <v>46</v>
      </c>
      <c r="F171" s="33">
        <v>0</v>
      </c>
      <c r="G171" s="33">
        <v>0</v>
      </c>
    </row>
    <row r="172" spans="1:7" x14ac:dyDescent="0.3">
      <c r="A172" s="32" t="s">
        <v>46</v>
      </c>
      <c r="B172" s="32" t="s">
        <v>409</v>
      </c>
      <c r="C172" s="32" t="s">
        <v>30</v>
      </c>
      <c r="D172" s="32" t="s">
        <v>31</v>
      </c>
      <c r="E172" s="32" t="s">
        <v>46</v>
      </c>
      <c r="F172" s="33">
        <v>0</v>
      </c>
      <c r="G172" s="33">
        <v>0</v>
      </c>
    </row>
    <row r="173" spans="1:7" x14ac:dyDescent="0.3">
      <c r="A173" s="32" t="s">
        <v>46</v>
      </c>
      <c r="B173" s="32" t="s">
        <v>410</v>
      </c>
      <c r="C173" s="32" t="s">
        <v>30</v>
      </c>
      <c r="D173" s="32" t="s">
        <v>31</v>
      </c>
      <c r="E173" s="32" t="s">
        <v>46</v>
      </c>
      <c r="F173" s="33">
        <v>0</v>
      </c>
      <c r="G173" s="33">
        <v>0</v>
      </c>
    </row>
    <row r="174" spans="1:7" x14ac:dyDescent="0.3">
      <c r="A174" s="32" t="s">
        <v>46</v>
      </c>
      <c r="B174" s="32" t="s">
        <v>411</v>
      </c>
      <c r="C174" s="32" t="s">
        <v>30</v>
      </c>
      <c r="D174" s="32" t="s">
        <v>31</v>
      </c>
      <c r="E174" s="32" t="s">
        <v>46</v>
      </c>
      <c r="F174" s="33">
        <v>0</v>
      </c>
      <c r="G174" s="33">
        <v>0</v>
      </c>
    </row>
    <row r="175" spans="1:7" x14ac:dyDescent="0.3">
      <c r="A175" s="32" t="s">
        <v>46</v>
      </c>
      <c r="B175" s="32" t="s">
        <v>428</v>
      </c>
      <c r="C175" s="32" t="s">
        <v>30</v>
      </c>
      <c r="D175" s="32" t="s">
        <v>31</v>
      </c>
      <c r="E175" s="32" t="s">
        <v>46</v>
      </c>
      <c r="F175" s="33">
        <v>0</v>
      </c>
      <c r="G175" s="33">
        <v>0</v>
      </c>
    </row>
    <row r="176" spans="1:7" x14ac:dyDescent="0.3">
      <c r="A176" s="32" t="s">
        <v>46</v>
      </c>
      <c r="B176" s="32" t="s">
        <v>448</v>
      </c>
      <c r="C176" s="32" t="s">
        <v>30</v>
      </c>
      <c r="D176" s="32" t="s">
        <v>31</v>
      </c>
      <c r="E176" s="32" t="s">
        <v>46</v>
      </c>
      <c r="F176" s="33">
        <v>0</v>
      </c>
      <c r="G176" s="33">
        <v>0</v>
      </c>
    </row>
    <row r="177" spans="1:7" x14ac:dyDescent="0.3">
      <c r="A177" s="32" t="s">
        <v>46</v>
      </c>
      <c r="B177" s="32" t="s">
        <v>449</v>
      </c>
      <c r="C177" s="32" t="s">
        <v>30</v>
      </c>
      <c r="D177" s="32" t="s">
        <v>31</v>
      </c>
      <c r="E177" s="32" t="s">
        <v>46</v>
      </c>
      <c r="F177" s="33">
        <v>0</v>
      </c>
      <c r="G177" s="33">
        <v>0</v>
      </c>
    </row>
    <row r="178" spans="1:7" x14ac:dyDescent="0.3">
      <c r="A178" s="32" t="s">
        <v>46</v>
      </c>
      <c r="B178" s="32" t="s">
        <v>450</v>
      </c>
      <c r="C178" s="32" t="s">
        <v>30</v>
      </c>
      <c r="D178" s="32" t="s">
        <v>31</v>
      </c>
      <c r="E178" s="32" t="s">
        <v>46</v>
      </c>
      <c r="F178" s="33">
        <v>0</v>
      </c>
      <c r="G178" s="33">
        <v>0</v>
      </c>
    </row>
    <row r="179" spans="1:7" x14ac:dyDescent="0.3">
      <c r="A179" s="32" t="s">
        <v>46</v>
      </c>
      <c r="B179" s="32" t="s">
        <v>483</v>
      </c>
      <c r="C179" s="32" t="s">
        <v>30</v>
      </c>
      <c r="D179" s="32" t="s">
        <v>31</v>
      </c>
      <c r="E179" s="32" t="s">
        <v>46</v>
      </c>
      <c r="F179" s="33">
        <v>0</v>
      </c>
      <c r="G179" s="33">
        <v>0</v>
      </c>
    </row>
    <row r="180" spans="1:7" x14ac:dyDescent="0.3">
      <c r="A180" s="32" t="s">
        <v>46</v>
      </c>
      <c r="B180" s="32" t="s">
        <v>484</v>
      </c>
      <c r="C180" s="32" t="s">
        <v>30</v>
      </c>
      <c r="D180" s="32" t="s">
        <v>31</v>
      </c>
      <c r="E180" s="32" t="s">
        <v>46</v>
      </c>
      <c r="F180" s="33">
        <v>0</v>
      </c>
      <c r="G180" s="33">
        <v>0</v>
      </c>
    </row>
    <row r="181" spans="1:7" x14ac:dyDescent="0.3">
      <c r="A181" s="32" t="s">
        <v>46</v>
      </c>
      <c r="B181" s="32" t="s">
        <v>485</v>
      </c>
      <c r="C181" s="32" t="s">
        <v>30</v>
      </c>
      <c r="D181" s="32" t="s">
        <v>31</v>
      </c>
      <c r="E181" s="32" t="s">
        <v>46</v>
      </c>
      <c r="F181" s="33">
        <v>0</v>
      </c>
      <c r="G181" s="33">
        <v>0</v>
      </c>
    </row>
    <row r="182" spans="1:7" x14ac:dyDescent="0.3">
      <c r="A182" s="32" t="s">
        <v>46</v>
      </c>
      <c r="B182" s="32" t="s">
        <v>498</v>
      </c>
      <c r="C182" s="32" t="s">
        <v>30</v>
      </c>
      <c r="D182" s="32" t="s">
        <v>31</v>
      </c>
      <c r="E182" s="32" t="s">
        <v>46</v>
      </c>
      <c r="F182" s="33">
        <v>0</v>
      </c>
      <c r="G182" s="33">
        <v>0</v>
      </c>
    </row>
    <row r="183" spans="1:7" x14ac:dyDescent="0.3">
      <c r="A183" s="32" t="s">
        <v>46</v>
      </c>
      <c r="B183" s="32" t="s">
        <v>502</v>
      </c>
      <c r="C183" s="32" t="s">
        <v>30</v>
      </c>
      <c r="D183" s="32" t="s">
        <v>31</v>
      </c>
      <c r="E183" s="32" t="s">
        <v>46</v>
      </c>
      <c r="F183" s="33">
        <v>0</v>
      </c>
      <c r="G183" s="33">
        <v>0</v>
      </c>
    </row>
    <row r="184" spans="1:7" x14ac:dyDescent="0.3">
      <c r="A184" s="32" t="s">
        <v>46</v>
      </c>
      <c r="B184" s="32" t="s">
        <v>524</v>
      </c>
      <c r="C184" s="32" t="s">
        <v>30</v>
      </c>
      <c r="D184" s="32" t="s">
        <v>31</v>
      </c>
      <c r="E184" s="32" t="s">
        <v>46</v>
      </c>
      <c r="F184" s="33">
        <v>0</v>
      </c>
      <c r="G184" s="33">
        <v>0</v>
      </c>
    </row>
    <row r="185" spans="1:7" x14ac:dyDescent="0.3">
      <c r="A185" s="32" t="s">
        <v>46</v>
      </c>
      <c r="B185" s="32" t="s">
        <v>525</v>
      </c>
      <c r="C185" s="32" t="s">
        <v>30</v>
      </c>
      <c r="D185" s="32" t="s">
        <v>31</v>
      </c>
      <c r="E185" s="32" t="s">
        <v>46</v>
      </c>
      <c r="F185" s="33">
        <v>0</v>
      </c>
      <c r="G185" s="33">
        <v>0</v>
      </c>
    </row>
    <row r="186" spans="1:7" x14ac:dyDescent="0.3">
      <c r="A186" s="32" t="s">
        <v>46</v>
      </c>
      <c r="B186" s="32" t="s">
        <v>526</v>
      </c>
      <c r="C186" s="32" t="s">
        <v>30</v>
      </c>
      <c r="D186" s="32" t="s">
        <v>31</v>
      </c>
      <c r="E186" s="32" t="s">
        <v>46</v>
      </c>
      <c r="F186" s="33">
        <v>0</v>
      </c>
      <c r="G186" s="33">
        <v>0</v>
      </c>
    </row>
    <row r="187" spans="1:7" x14ac:dyDescent="0.3">
      <c r="A187" s="32" t="s">
        <v>46</v>
      </c>
      <c r="B187" s="32" t="s">
        <v>527</v>
      </c>
      <c r="C187" s="32" t="s">
        <v>30</v>
      </c>
      <c r="D187" s="32" t="s">
        <v>31</v>
      </c>
      <c r="E187" s="32" t="s">
        <v>46</v>
      </c>
      <c r="F187" s="33">
        <v>0</v>
      </c>
      <c r="G187" s="33">
        <v>0</v>
      </c>
    </row>
    <row r="188" spans="1:7" x14ac:dyDescent="0.3">
      <c r="A188" s="32" t="s">
        <v>46</v>
      </c>
      <c r="B188" s="32" t="s">
        <v>559</v>
      </c>
      <c r="C188" s="32" t="s">
        <v>30</v>
      </c>
      <c r="D188" s="32" t="s">
        <v>31</v>
      </c>
      <c r="E188" s="32" t="s">
        <v>46</v>
      </c>
      <c r="F188" s="33">
        <v>0</v>
      </c>
      <c r="G188" s="33">
        <v>0</v>
      </c>
    </row>
    <row r="189" spans="1:7" x14ac:dyDescent="0.3">
      <c r="A189" s="32" t="s">
        <v>46</v>
      </c>
      <c r="B189" s="32" t="s">
        <v>560</v>
      </c>
      <c r="C189" s="32" t="s">
        <v>30</v>
      </c>
      <c r="D189" s="32" t="s">
        <v>31</v>
      </c>
      <c r="E189" s="32" t="s">
        <v>46</v>
      </c>
      <c r="F189" s="33">
        <v>0</v>
      </c>
      <c r="G189" s="33">
        <v>0</v>
      </c>
    </row>
    <row r="190" spans="1:7" x14ac:dyDescent="0.3">
      <c r="A190" s="32" t="s">
        <v>46</v>
      </c>
      <c r="B190" s="32" t="s">
        <v>561</v>
      </c>
      <c r="C190" s="32" t="s">
        <v>30</v>
      </c>
      <c r="D190" s="32" t="s">
        <v>31</v>
      </c>
      <c r="E190" s="32" t="s">
        <v>46</v>
      </c>
      <c r="F190" s="33">
        <v>0</v>
      </c>
      <c r="G190" s="33">
        <v>0</v>
      </c>
    </row>
    <row r="191" spans="1:7" x14ac:dyDescent="0.3">
      <c r="A191" s="32" t="s">
        <v>46</v>
      </c>
      <c r="B191" s="32" t="s">
        <v>562</v>
      </c>
      <c r="C191" s="32" t="s">
        <v>30</v>
      </c>
      <c r="D191" s="32" t="s">
        <v>31</v>
      </c>
      <c r="E191" s="32" t="s">
        <v>46</v>
      </c>
      <c r="F191" s="33">
        <v>0</v>
      </c>
      <c r="G191" s="33">
        <v>0</v>
      </c>
    </row>
    <row r="192" spans="1:7" x14ac:dyDescent="0.3">
      <c r="A192" s="32" t="s">
        <v>46</v>
      </c>
      <c r="B192" s="32" t="s">
        <v>563</v>
      </c>
      <c r="C192" s="32" t="s">
        <v>30</v>
      </c>
      <c r="D192" s="32" t="s">
        <v>31</v>
      </c>
      <c r="E192" s="32" t="s">
        <v>46</v>
      </c>
      <c r="F192" s="33">
        <v>0</v>
      </c>
      <c r="G192" s="33">
        <v>0</v>
      </c>
    </row>
    <row r="193" spans="1:7" x14ac:dyDescent="0.3">
      <c r="A193" s="32" t="s">
        <v>46</v>
      </c>
      <c r="B193" s="32" t="s">
        <v>565</v>
      </c>
      <c r="C193" s="32" t="s">
        <v>30</v>
      </c>
      <c r="D193" s="32" t="s">
        <v>31</v>
      </c>
      <c r="E193" s="32" t="s">
        <v>46</v>
      </c>
      <c r="F193" s="33">
        <v>0</v>
      </c>
      <c r="G193" s="33">
        <v>0</v>
      </c>
    </row>
    <row r="194" spans="1:7" x14ac:dyDescent="0.3">
      <c r="A194" s="32" t="s">
        <v>46</v>
      </c>
      <c r="B194" s="32" t="s">
        <v>570</v>
      </c>
      <c r="C194" s="32" t="s">
        <v>30</v>
      </c>
      <c r="D194" s="32" t="s">
        <v>31</v>
      </c>
      <c r="E194" s="32" t="s">
        <v>46</v>
      </c>
      <c r="F194" s="33">
        <v>0</v>
      </c>
      <c r="G194" s="33">
        <v>0</v>
      </c>
    </row>
    <row r="195" spans="1:7" x14ac:dyDescent="0.3">
      <c r="A195" s="32" t="s">
        <v>46</v>
      </c>
      <c r="B195" s="32" t="s">
        <v>594</v>
      </c>
      <c r="C195" s="32" t="s">
        <v>30</v>
      </c>
      <c r="D195" s="32" t="s">
        <v>31</v>
      </c>
      <c r="E195" s="32" t="s">
        <v>46</v>
      </c>
      <c r="F195" s="33">
        <v>0</v>
      </c>
      <c r="G195" s="33">
        <v>0</v>
      </c>
    </row>
    <row r="196" spans="1:7" x14ac:dyDescent="0.3">
      <c r="A196" s="32" t="s">
        <v>46</v>
      </c>
      <c r="B196" s="32" t="s">
        <v>595</v>
      </c>
      <c r="C196" s="32" t="s">
        <v>30</v>
      </c>
      <c r="D196" s="32" t="s">
        <v>31</v>
      </c>
      <c r="E196" s="32" t="s">
        <v>46</v>
      </c>
      <c r="F196" s="33">
        <v>0</v>
      </c>
      <c r="G196" s="33">
        <v>0</v>
      </c>
    </row>
    <row r="197" spans="1:7" x14ac:dyDescent="0.3">
      <c r="A197" s="32" t="s">
        <v>46</v>
      </c>
      <c r="B197" s="32" t="s">
        <v>596</v>
      </c>
      <c r="C197" s="32" t="s">
        <v>30</v>
      </c>
      <c r="D197" s="32" t="s">
        <v>31</v>
      </c>
      <c r="E197" s="32" t="s">
        <v>46</v>
      </c>
      <c r="F197" s="33">
        <v>0</v>
      </c>
      <c r="G197" s="33">
        <v>0</v>
      </c>
    </row>
    <row r="198" spans="1:7" x14ac:dyDescent="0.3">
      <c r="A198" s="32" t="s">
        <v>46</v>
      </c>
      <c r="B198" s="32" t="s">
        <v>597</v>
      </c>
      <c r="C198" s="32" t="s">
        <v>30</v>
      </c>
      <c r="D198" s="32" t="s">
        <v>31</v>
      </c>
      <c r="E198" s="32" t="s">
        <v>46</v>
      </c>
      <c r="F198" s="33">
        <v>0</v>
      </c>
      <c r="G198" s="33">
        <v>0</v>
      </c>
    </row>
    <row r="199" spans="1:7" x14ac:dyDescent="0.3">
      <c r="A199" s="32" t="s">
        <v>46</v>
      </c>
      <c r="B199" s="32" t="s">
        <v>598</v>
      </c>
      <c r="C199" s="32" t="s">
        <v>30</v>
      </c>
      <c r="D199" s="32" t="s">
        <v>31</v>
      </c>
      <c r="E199" s="32" t="s">
        <v>46</v>
      </c>
      <c r="F199" s="33">
        <v>0</v>
      </c>
      <c r="G199" s="33">
        <v>0</v>
      </c>
    </row>
    <row r="200" spans="1:7" x14ac:dyDescent="0.3">
      <c r="A200" s="32" t="s">
        <v>46</v>
      </c>
      <c r="B200" s="32" t="s">
        <v>599</v>
      </c>
      <c r="C200" s="32" t="s">
        <v>30</v>
      </c>
      <c r="D200" s="32" t="s">
        <v>31</v>
      </c>
      <c r="E200" s="32" t="s">
        <v>46</v>
      </c>
      <c r="F200" s="33">
        <v>0</v>
      </c>
      <c r="G200" s="33">
        <v>0</v>
      </c>
    </row>
    <row r="201" spans="1:7" x14ac:dyDescent="0.3">
      <c r="A201" s="32" t="s">
        <v>46</v>
      </c>
      <c r="B201" s="32" t="s">
        <v>613</v>
      </c>
      <c r="C201" s="32" t="s">
        <v>30</v>
      </c>
      <c r="D201" s="32" t="s">
        <v>31</v>
      </c>
      <c r="E201" s="32" t="s">
        <v>46</v>
      </c>
      <c r="F201" s="33">
        <v>0</v>
      </c>
      <c r="G201" s="33">
        <v>0</v>
      </c>
    </row>
    <row r="202" spans="1:7" x14ac:dyDescent="0.3">
      <c r="A202" s="32" t="s">
        <v>46</v>
      </c>
      <c r="B202" s="32" t="s">
        <v>614</v>
      </c>
      <c r="C202" s="32" t="s">
        <v>30</v>
      </c>
      <c r="D202" s="32" t="s">
        <v>31</v>
      </c>
      <c r="E202" s="32" t="s">
        <v>46</v>
      </c>
      <c r="F202" s="33">
        <v>0</v>
      </c>
      <c r="G202" s="33">
        <v>0</v>
      </c>
    </row>
    <row r="203" spans="1:7" x14ac:dyDescent="0.3">
      <c r="A203" s="32" t="s">
        <v>729</v>
      </c>
      <c r="B203" s="32" t="s">
        <v>728</v>
      </c>
      <c r="C203" s="32" t="s">
        <v>706</v>
      </c>
      <c r="D203" s="32" t="s">
        <v>628</v>
      </c>
      <c r="E203" s="32" t="s">
        <v>729</v>
      </c>
      <c r="F203" s="33">
        <v>0</v>
      </c>
      <c r="G203" s="33">
        <v>0</v>
      </c>
    </row>
    <row r="204" spans="1:7" x14ac:dyDescent="0.3">
      <c r="A204" s="32" t="s">
        <v>729</v>
      </c>
      <c r="B204" s="32" t="s">
        <v>736</v>
      </c>
      <c r="C204" s="32" t="s">
        <v>706</v>
      </c>
      <c r="D204" s="32" t="s">
        <v>628</v>
      </c>
      <c r="E204" s="32" t="s">
        <v>729</v>
      </c>
      <c r="F204" s="33">
        <v>0</v>
      </c>
      <c r="G204" s="33">
        <v>0</v>
      </c>
    </row>
    <row r="205" spans="1:7" x14ac:dyDescent="0.3">
      <c r="A205" s="32" t="s">
        <v>729</v>
      </c>
      <c r="B205" s="32" t="s">
        <v>805</v>
      </c>
      <c r="C205" s="32" t="s">
        <v>706</v>
      </c>
      <c r="D205" s="32" t="s">
        <v>628</v>
      </c>
      <c r="E205" s="32" t="s">
        <v>729</v>
      </c>
      <c r="F205" s="33">
        <v>0</v>
      </c>
      <c r="G205" s="33">
        <v>0</v>
      </c>
    </row>
    <row r="206" spans="1:7" x14ac:dyDescent="0.3">
      <c r="A206" s="32" t="s">
        <v>707</v>
      </c>
      <c r="B206" s="32" t="s">
        <v>705</v>
      </c>
      <c r="C206" s="32" t="s">
        <v>706</v>
      </c>
      <c r="D206" s="32" t="s">
        <v>628</v>
      </c>
      <c r="E206" s="32" t="s">
        <v>707</v>
      </c>
      <c r="F206" s="33">
        <v>0</v>
      </c>
      <c r="G206" s="33">
        <v>0</v>
      </c>
    </row>
    <row r="207" spans="1:7" x14ac:dyDescent="0.3">
      <c r="A207" s="32" t="s">
        <v>49</v>
      </c>
      <c r="B207" s="32" t="s">
        <v>48</v>
      </c>
      <c r="C207" s="32" t="s">
        <v>30</v>
      </c>
      <c r="D207" s="32" t="s">
        <v>31</v>
      </c>
      <c r="E207" s="32" t="s">
        <v>49</v>
      </c>
      <c r="F207" s="33">
        <v>0</v>
      </c>
      <c r="G207" s="33">
        <v>0</v>
      </c>
    </row>
    <row r="208" spans="1:7" x14ac:dyDescent="0.3">
      <c r="A208" s="32" t="s">
        <v>49</v>
      </c>
      <c r="B208" s="32" t="s">
        <v>50</v>
      </c>
      <c r="C208" s="32" t="s">
        <v>30</v>
      </c>
      <c r="D208" s="32" t="s">
        <v>31</v>
      </c>
      <c r="E208" s="32" t="s">
        <v>49</v>
      </c>
      <c r="F208" s="33">
        <v>0</v>
      </c>
      <c r="G208" s="33">
        <v>0</v>
      </c>
    </row>
    <row r="209" spans="1:7" x14ac:dyDescent="0.3">
      <c r="A209" s="32" t="s">
        <v>49</v>
      </c>
      <c r="B209" s="32" t="s">
        <v>56</v>
      </c>
      <c r="C209" s="32" t="s">
        <v>30</v>
      </c>
      <c r="D209" s="32" t="s">
        <v>31</v>
      </c>
      <c r="E209" s="32" t="s">
        <v>49</v>
      </c>
      <c r="F209" s="33">
        <v>0</v>
      </c>
      <c r="G209" s="33">
        <v>0</v>
      </c>
    </row>
    <row r="210" spans="1:7" x14ac:dyDescent="0.3">
      <c r="A210" s="32" t="s">
        <v>49</v>
      </c>
      <c r="B210" s="32" t="s">
        <v>61</v>
      </c>
      <c r="C210" s="32" t="s">
        <v>30</v>
      </c>
      <c r="D210" s="32" t="s">
        <v>31</v>
      </c>
      <c r="E210" s="32" t="s">
        <v>49</v>
      </c>
      <c r="F210" s="33">
        <v>0</v>
      </c>
      <c r="G210" s="33">
        <v>0</v>
      </c>
    </row>
    <row r="211" spans="1:7" x14ac:dyDescent="0.3">
      <c r="A211" s="32" t="s">
        <v>49</v>
      </c>
      <c r="B211" s="32" t="s">
        <v>62</v>
      </c>
      <c r="C211" s="32" t="s">
        <v>30</v>
      </c>
      <c r="D211" s="32" t="s">
        <v>31</v>
      </c>
      <c r="E211" s="32" t="s">
        <v>49</v>
      </c>
      <c r="F211" s="33">
        <v>0</v>
      </c>
      <c r="G211" s="33">
        <v>0</v>
      </c>
    </row>
    <row r="212" spans="1:7" x14ac:dyDescent="0.3">
      <c r="A212" s="32" t="s">
        <v>49</v>
      </c>
      <c r="B212" s="32" t="s">
        <v>83</v>
      </c>
      <c r="C212" s="32" t="s">
        <v>30</v>
      </c>
      <c r="D212" s="32" t="s">
        <v>31</v>
      </c>
      <c r="E212" s="32" t="s">
        <v>49</v>
      </c>
      <c r="F212" s="33">
        <v>0</v>
      </c>
      <c r="G212" s="33">
        <v>0</v>
      </c>
    </row>
    <row r="213" spans="1:7" x14ac:dyDescent="0.3">
      <c r="A213" s="32" t="s">
        <v>49</v>
      </c>
      <c r="B213" s="32" t="s">
        <v>88</v>
      </c>
      <c r="C213" s="32" t="s">
        <v>30</v>
      </c>
      <c r="D213" s="32" t="s">
        <v>31</v>
      </c>
      <c r="E213" s="32" t="s">
        <v>49</v>
      </c>
      <c r="F213" s="33">
        <v>0</v>
      </c>
      <c r="G213" s="33">
        <v>0</v>
      </c>
    </row>
    <row r="214" spans="1:7" x14ac:dyDescent="0.3">
      <c r="A214" s="32" t="s">
        <v>49</v>
      </c>
      <c r="B214" s="32" t="s">
        <v>91</v>
      </c>
      <c r="C214" s="32" t="s">
        <v>30</v>
      </c>
      <c r="D214" s="32" t="s">
        <v>31</v>
      </c>
      <c r="E214" s="32" t="s">
        <v>49</v>
      </c>
      <c r="F214" s="33">
        <v>0</v>
      </c>
      <c r="G214" s="33">
        <v>0</v>
      </c>
    </row>
    <row r="215" spans="1:7" x14ac:dyDescent="0.3">
      <c r="A215" s="32" t="s">
        <v>49</v>
      </c>
      <c r="B215" s="32" t="s">
        <v>94</v>
      </c>
      <c r="C215" s="32" t="s">
        <v>30</v>
      </c>
      <c r="D215" s="32" t="s">
        <v>31</v>
      </c>
      <c r="E215" s="32" t="s">
        <v>49</v>
      </c>
      <c r="F215" s="33">
        <v>0</v>
      </c>
      <c r="G215" s="33">
        <v>0</v>
      </c>
    </row>
    <row r="216" spans="1:7" x14ac:dyDescent="0.3">
      <c r="A216" s="32" t="s">
        <v>49</v>
      </c>
      <c r="B216" s="32" t="s">
        <v>98</v>
      </c>
      <c r="C216" s="32" t="s">
        <v>30</v>
      </c>
      <c r="D216" s="32" t="s">
        <v>31</v>
      </c>
      <c r="E216" s="32" t="s">
        <v>49</v>
      </c>
      <c r="F216" s="33">
        <v>0</v>
      </c>
      <c r="G216" s="33">
        <v>0</v>
      </c>
    </row>
    <row r="217" spans="1:7" x14ac:dyDescent="0.3">
      <c r="A217" s="32" t="s">
        <v>49</v>
      </c>
      <c r="B217" s="32" t="s">
        <v>112</v>
      </c>
      <c r="C217" s="32" t="s">
        <v>30</v>
      </c>
      <c r="D217" s="32" t="s">
        <v>31</v>
      </c>
      <c r="E217" s="32" t="s">
        <v>49</v>
      </c>
      <c r="F217" s="33">
        <v>0</v>
      </c>
      <c r="G217" s="33">
        <v>0</v>
      </c>
    </row>
    <row r="218" spans="1:7" x14ac:dyDescent="0.3">
      <c r="A218" s="32" t="s">
        <v>49</v>
      </c>
      <c r="B218" s="32" t="s">
        <v>113</v>
      </c>
      <c r="C218" s="32" t="s">
        <v>30</v>
      </c>
      <c r="D218" s="32" t="s">
        <v>31</v>
      </c>
      <c r="E218" s="32" t="s">
        <v>49</v>
      </c>
      <c r="F218" s="33">
        <v>0</v>
      </c>
      <c r="G218" s="33">
        <v>0</v>
      </c>
    </row>
    <row r="219" spans="1:7" x14ac:dyDescent="0.3">
      <c r="A219" s="32" t="s">
        <v>49</v>
      </c>
      <c r="B219" s="32" t="s">
        <v>114</v>
      </c>
      <c r="C219" s="32" t="s">
        <v>30</v>
      </c>
      <c r="D219" s="32" t="s">
        <v>31</v>
      </c>
      <c r="E219" s="32" t="s">
        <v>49</v>
      </c>
      <c r="F219" s="33">
        <v>0</v>
      </c>
      <c r="G219" s="33">
        <v>0</v>
      </c>
    </row>
    <row r="220" spans="1:7" x14ac:dyDescent="0.3">
      <c r="A220" s="32" t="s">
        <v>49</v>
      </c>
      <c r="B220" s="32" t="s">
        <v>115</v>
      </c>
      <c r="C220" s="32" t="s">
        <v>30</v>
      </c>
      <c r="D220" s="32" t="s">
        <v>31</v>
      </c>
      <c r="E220" s="32" t="s">
        <v>49</v>
      </c>
      <c r="F220" s="33">
        <v>0</v>
      </c>
      <c r="G220" s="33">
        <v>0</v>
      </c>
    </row>
    <row r="221" spans="1:7" x14ac:dyDescent="0.3">
      <c r="A221" s="32" t="s">
        <v>49</v>
      </c>
      <c r="B221" s="32" t="s">
        <v>116</v>
      </c>
      <c r="C221" s="32" t="s">
        <v>30</v>
      </c>
      <c r="D221" s="32" t="s">
        <v>31</v>
      </c>
      <c r="E221" s="32" t="s">
        <v>49</v>
      </c>
      <c r="F221" s="33">
        <v>0</v>
      </c>
      <c r="G221" s="33">
        <v>0</v>
      </c>
    </row>
    <row r="222" spans="1:7" x14ac:dyDescent="0.3">
      <c r="A222" s="32" t="s">
        <v>49</v>
      </c>
      <c r="B222" s="32" t="s">
        <v>117</v>
      </c>
      <c r="C222" s="32" t="s">
        <v>30</v>
      </c>
      <c r="D222" s="32" t="s">
        <v>31</v>
      </c>
      <c r="E222" s="32" t="s">
        <v>49</v>
      </c>
      <c r="F222" s="33">
        <v>0</v>
      </c>
      <c r="G222" s="33">
        <v>0</v>
      </c>
    </row>
    <row r="223" spans="1:7" x14ac:dyDescent="0.3">
      <c r="A223" s="32" t="s">
        <v>49</v>
      </c>
      <c r="B223" s="32" t="s">
        <v>130</v>
      </c>
      <c r="C223" s="32" t="s">
        <v>30</v>
      </c>
      <c r="D223" s="32" t="s">
        <v>31</v>
      </c>
      <c r="E223" s="32" t="s">
        <v>49</v>
      </c>
      <c r="F223" s="33">
        <v>0</v>
      </c>
      <c r="G223" s="33">
        <v>0</v>
      </c>
    </row>
    <row r="224" spans="1:7" x14ac:dyDescent="0.3">
      <c r="A224" s="32" t="s">
        <v>49</v>
      </c>
      <c r="B224" s="32" t="s">
        <v>153</v>
      </c>
      <c r="C224" s="32" t="s">
        <v>30</v>
      </c>
      <c r="D224" s="32" t="s">
        <v>31</v>
      </c>
      <c r="E224" s="32" t="s">
        <v>49</v>
      </c>
      <c r="F224" s="33">
        <v>0</v>
      </c>
      <c r="G224" s="33">
        <v>0</v>
      </c>
    </row>
    <row r="225" spans="1:7" x14ac:dyDescent="0.3">
      <c r="A225" s="32" t="s">
        <v>49</v>
      </c>
      <c r="B225" s="32" t="s">
        <v>154</v>
      </c>
      <c r="C225" s="32" t="s">
        <v>30</v>
      </c>
      <c r="D225" s="32" t="s">
        <v>31</v>
      </c>
      <c r="E225" s="32" t="s">
        <v>49</v>
      </c>
      <c r="F225" s="33">
        <v>0</v>
      </c>
      <c r="G225" s="33">
        <v>0</v>
      </c>
    </row>
    <row r="226" spans="1:7" x14ac:dyDescent="0.3">
      <c r="A226" s="32" t="s">
        <v>49</v>
      </c>
      <c r="B226" s="32" t="s">
        <v>155</v>
      </c>
      <c r="C226" s="32" t="s">
        <v>30</v>
      </c>
      <c r="D226" s="32" t="s">
        <v>31</v>
      </c>
      <c r="E226" s="32" t="s">
        <v>49</v>
      </c>
      <c r="F226" s="33">
        <v>0</v>
      </c>
      <c r="G226" s="33">
        <v>0</v>
      </c>
    </row>
    <row r="227" spans="1:7" x14ac:dyDescent="0.3">
      <c r="A227" s="32" t="s">
        <v>49</v>
      </c>
      <c r="B227" s="32" t="s">
        <v>156</v>
      </c>
      <c r="C227" s="32" t="s">
        <v>30</v>
      </c>
      <c r="D227" s="32" t="s">
        <v>31</v>
      </c>
      <c r="E227" s="32" t="s">
        <v>49</v>
      </c>
      <c r="F227" s="33">
        <v>0</v>
      </c>
      <c r="G227" s="33">
        <v>0</v>
      </c>
    </row>
    <row r="228" spans="1:7" x14ac:dyDescent="0.3">
      <c r="A228" s="32" t="s">
        <v>49</v>
      </c>
      <c r="B228" s="32" t="s">
        <v>157</v>
      </c>
      <c r="C228" s="32" t="s">
        <v>30</v>
      </c>
      <c r="D228" s="32" t="s">
        <v>31</v>
      </c>
      <c r="E228" s="32" t="s">
        <v>49</v>
      </c>
      <c r="F228" s="33">
        <v>0</v>
      </c>
      <c r="G228" s="33">
        <v>0</v>
      </c>
    </row>
    <row r="229" spans="1:7" x14ac:dyDescent="0.3">
      <c r="A229" s="32" t="s">
        <v>49</v>
      </c>
      <c r="B229" s="32" t="s">
        <v>158</v>
      </c>
      <c r="C229" s="32" t="s">
        <v>30</v>
      </c>
      <c r="D229" s="32" t="s">
        <v>31</v>
      </c>
      <c r="E229" s="32" t="s">
        <v>49</v>
      </c>
      <c r="F229" s="33">
        <v>0</v>
      </c>
      <c r="G229" s="33">
        <v>0</v>
      </c>
    </row>
    <row r="230" spans="1:7" x14ac:dyDescent="0.3">
      <c r="A230" s="32" t="s">
        <v>49</v>
      </c>
      <c r="B230" s="32" t="s">
        <v>195</v>
      </c>
      <c r="C230" s="32" t="s">
        <v>30</v>
      </c>
      <c r="D230" s="32" t="s">
        <v>31</v>
      </c>
      <c r="E230" s="32" t="s">
        <v>49</v>
      </c>
      <c r="F230" s="33">
        <v>0</v>
      </c>
      <c r="G230" s="33">
        <v>0</v>
      </c>
    </row>
    <row r="231" spans="1:7" x14ac:dyDescent="0.3">
      <c r="A231" s="32" t="s">
        <v>49</v>
      </c>
      <c r="B231" s="32" t="s">
        <v>196</v>
      </c>
      <c r="C231" s="32" t="s">
        <v>30</v>
      </c>
      <c r="D231" s="32" t="s">
        <v>31</v>
      </c>
      <c r="E231" s="32" t="s">
        <v>49</v>
      </c>
      <c r="F231" s="33">
        <v>0</v>
      </c>
      <c r="G231" s="33">
        <v>0</v>
      </c>
    </row>
    <row r="232" spans="1:7" x14ac:dyDescent="0.3">
      <c r="A232" s="32" t="s">
        <v>49</v>
      </c>
      <c r="B232" s="32" t="s">
        <v>197</v>
      </c>
      <c r="C232" s="32" t="s">
        <v>30</v>
      </c>
      <c r="D232" s="32" t="s">
        <v>31</v>
      </c>
      <c r="E232" s="32" t="s">
        <v>49</v>
      </c>
      <c r="F232" s="33">
        <v>0</v>
      </c>
      <c r="G232" s="33">
        <v>0</v>
      </c>
    </row>
    <row r="233" spans="1:7" x14ac:dyDescent="0.3">
      <c r="A233" s="32" t="s">
        <v>49</v>
      </c>
      <c r="B233" s="32" t="s">
        <v>198</v>
      </c>
      <c r="C233" s="32" t="s">
        <v>30</v>
      </c>
      <c r="D233" s="32" t="s">
        <v>31</v>
      </c>
      <c r="E233" s="32" t="s">
        <v>49</v>
      </c>
      <c r="F233" s="33">
        <v>0</v>
      </c>
      <c r="G233" s="33">
        <v>0</v>
      </c>
    </row>
    <row r="234" spans="1:7" x14ac:dyDescent="0.3">
      <c r="A234" s="32" t="s">
        <v>49</v>
      </c>
      <c r="B234" s="32" t="s">
        <v>199</v>
      </c>
      <c r="C234" s="32" t="s">
        <v>30</v>
      </c>
      <c r="D234" s="32" t="s">
        <v>31</v>
      </c>
      <c r="E234" s="32" t="s">
        <v>49</v>
      </c>
      <c r="F234" s="33">
        <v>0</v>
      </c>
      <c r="G234" s="33">
        <v>0</v>
      </c>
    </row>
    <row r="235" spans="1:7" x14ac:dyDescent="0.3">
      <c r="A235" s="32" t="s">
        <v>49</v>
      </c>
      <c r="B235" s="32" t="s">
        <v>203</v>
      </c>
      <c r="C235" s="32" t="s">
        <v>30</v>
      </c>
      <c r="D235" s="32" t="s">
        <v>31</v>
      </c>
      <c r="E235" s="32" t="s">
        <v>49</v>
      </c>
      <c r="F235" s="33">
        <v>0</v>
      </c>
      <c r="G235" s="33">
        <v>0</v>
      </c>
    </row>
    <row r="236" spans="1:7" x14ac:dyDescent="0.3">
      <c r="A236" s="32" t="s">
        <v>49</v>
      </c>
      <c r="B236" s="32" t="s">
        <v>227</v>
      </c>
      <c r="C236" s="32" t="s">
        <v>30</v>
      </c>
      <c r="D236" s="32" t="s">
        <v>31</v>
      </c>
      <c r="E236" s="32" t="s">
        <v>49</v>
      </c>
      <c r="F236" s="33">
        <v>0</v>
      </c>
      <c r="G236" s="33">
        <v>0</v>
      </c>
    </row>
    <row r="237" spans="1:7" x14ac:dyDescent="0.3">
      <c r="A237" s="32" t="s">
        <v>49</v>
      </c>
      <c r="B237" s="32" t="s">
        <v>228</v>
      </c>
      <c r="C237" s="32" t="s">
        <v>30</v>
      </c>
      <c r="D237" s="32" t="s">
        <v>31</v>
      </c>
      <c r="E237" s="32" t="s">
        <v>49</v>
      </c>
      <c r="F237" s="33">
        <v>0</v>
      </c>
      <c r="G237" s="33">
        <v>0</v>
      </c>
    </row>
    <row r="238" spans="1:7" x14ac:dyDescent="0.3">
      <c r="A238" s="32" t="s">
        <v>49</v>
      </c>
      <c r="B238" s="32" t="s">
        <v>229</v>
      </c>
      <c r="C238" s="32" t="s">
        <v>30</v>
      </c>
      <c r="D238" s="32" t="s">
        <v>31</v>
      </c>
      <c r="E238" s="32" t="s">
        <v>49</v>
      </c>
      <c r="F238" s="33">
        <v>0</v>
      </c>
      <c r="G238" s="33">
        <v>0</v>
      </c>
    </row>
    <row r="239" spans="1:7" x14ac:dyDescent="0.3">
      <c r="A239" s="32" t="s">
        <v>49</v>
      </c>
      <c r="B239" s="32" t="s">
        <v>230</v>
      </c>
      <c r="C239" s="32" t="s">
        <v>30</v>
      </c>
      <c r="D239" s="32" t="s">
        <v>31</v>
      </c>
      <c r="E239" s="32" t="s">
        <v>49</v>
      </c>
      <c r="F239" s="33">
        <v>0</v>
      </c>
      <c r="G239" s="33">
        <v>0</v>
      </c>
    </row>
    <row r="240" spans="1:7" x14ac:dyDescent="0.3">
      <c r="A240" s="32" t="s">
        <v>49</v>
      </c>
      <c r="B240" s="32" t="s">
        <v>231</v>
      </c>
      <c r="C240" s="32" t="s">
        <v>30</v>
      </c>
      <c r="D240" s="32" t="s">
        <v>31</v>
      </c>
      <c r="E240" s="32" t="s">
        <v>49</v>
      </c>
      <c r="F240" s="33">
        <v>0</v>
      </c>
      <c r="G240" s="33">
        <v>0</v>
      </c>
    </row>
    <row r="241" spans="1:7" x14ac:dyDescent="0.3">
      <c r="A241" s="32" t="s">
        <v>49</v>
      </c>
      <c r="B241" s="32" t="s">
        <v>232</v>
      </c>
      <c r="C241" s="32" t="s">
        <v>30</v>
      </c>
      <c r="D241" s="32" t="s">
        <v>31</v>
      </c>
      <c r="E241" s="32" t="s">
        <v>49</v>
      </c>
      <c r="F241" s="33">
        <v>0</v>
      </c>
      <c r="G241" s="33">
        <v>0</v>
      </c>
    </row>
    <row r="242" spans="1:7" x14ac:dyDescent="0.3">
      <c r="A242" s="32" t="s">
        <v>49</v>
      </c>
      <c r="B242" s="32" t="s">
        <v>233</v>
      </c>
      <c r="C242" s="32" t="s">
        <v>30</v>
      </c>
      <c r="D242" s="32" t="s">
        <v>31</v>
      </c>
      <c r="E242" s="32" t="s">
        <v>49</v>
      </c>
      <c r="F242" s="33">
        <v>0</v>
      </c>
      <c r="G242" s="33">
        <v>0</v>
      </c>
    </row>
    <row r="243" spans="1:7" x14ac:dyDescent="0.3">
      <c r="A243" s="32" t="s">
        <v>49</v>
      </c>
      <c r="B243" s="32" t="s">
        <v>234</v>
      </c>
      <c r="C243" s="32" t="s">
        <v>30</v>
      </c>
      <c r="D243" s="32" t="s">
        <v>31</v>
      </c>
      <c r="E243" s="32" t="s">
        <v>49</v>
      </c>
      <c r="F243" s="33">
        <v>0</v>
      </c>
      <c r="G243" s="33">
        <v>0</v>
      </c>
    </row>
    <row r="244" spans="1:7" x14ac:dyDescent="0.3">
      <c r="A244" s="32" t="s">
        <v>49</v>
      </c>
      <c r="B244" s="32" t="s">
        <v>270</v>
      </c>
      <c r="C244" s="32" t="s">
        <v>30</v>
      </c>
      <c r="D244" s="32" t="s">
        <v>31</v>
      </c>
      <c r="E244" s="32" t="s">
        <v>49</v>
      </c>
      <c r="F244" s="33">
        <v>0</v>
      </c>
      <c r="G244" s="33">
        <v>0</v>
      </c>
    </row>
    <row r="245" spans="1:7" x14ac:dyDescent="0.3">
      <c r="A245" s="32" t="s">
        <v>49</v>
      </c>
      <c r="B245" s="32" t="s">
        <v>271</v>
      </c>
      <c r="C245" s="32" t="s">
        <v>30</v>
      </c>
      <c r="D245" s="32" t="s">
        <v>31</v>
      </c>
      <c r="E245" s="32" t="s">
        <v>49</v>
      </c>
      <c r="F245" s="33">
        <v>0</v>
      </c>
      <c r="G245" s="33">
        <v>0</v>
      </c>
    </row>
    <row r="246" spans="1:7" x14ac:dyDescent="0.3">
      <c r="A246" s="32" t="s">
        <v>49</v>
      </c>
      <c r="B246" s="32" t="s">
        <v>272</v>
      </c>
      <c r="C246" s="32" t="s">
        <v>30</v>
      </c>
      <c r="D246" s="32" t="s">
        <v>31</v>
      </c>
      <c r="E246" s="32" t="s">
        <v>49</v>
      </c>
      <c r="F246" s="33">
        <v>0</v>
      </c>
      <c r="G246" s="33">
        <v>0</v>
      </c>
    </row>
    <row r="247" spans="1:7" x14ac:dyDescent="0.3">
      <c r="A247" s="32" t="s">
        <v>49</v>
      </c>
      <c r="B247" s="32" t="s">
        <v>273</v>
      </c>
      <c r="C247" s="32" t="s">
        <v>30</v>
      </c>
      <c r="D247" s="32" t="s">
        <v>31</v>
      </c>
      <c r="E247" s="32" t="s">
        <v>49</v>
      </c>
      <c r="F247" s="33">
        <v>0</v>
      </c>
      <c r="G247" s="33">
        <v>0</v>
      </c>
    </row>
    <row r="248" spans="1:7" x14ac:dyDescent="0.3">
      <c r="A248" s="32" t="s">
        <v>49</v>
      </c>
      <c r="B248" s="32" t="s">
        <v>274</v>
      </c>
      <c r="C248" s="32" t="s">
        <v>30</v>
      </c>
      <c r="D248" s="32" t="s">
        <v>31</v>
      </c>
      <c r="E248" s="32" t="s">
        <v>49</v>
      </c>
      <c r="F248" s="33">
        <v>0</v>
      </c>
      <c r="G248" s="33">
        <v>0</v>
      </c>
    </row>
    <row r="249" spans="1:7" x14ac:dyDescent="0.3">
      <c r="A249" s="32" t="s">
        <v>49</v>
      </c>
      <c r="B249" s="32" t="s">
        <v>275</v>
      </c>
      <c r="C249" s="32" t="s">
        <v>30</v>
      </c>
      <c r="D249" s="32" t="s">
        <v>31</v>
      </c>
      <c r="E249" s="32" t="s">
        <v>49</v>
      </c>
      <c r="F249" s="33">
        <v>0</v>
      </c>
      <c r="G249" s="33">
        <v>0</v>
      </c>
    </row>
    <row r="250" spans="1:7" x14ac:dyDescent="0.3">
      <c r="A250" s="32" t="s">
        <v>49</v>
      </c>
      <c r="B250" s="32" t="s">
        <v>276</v>
      </c>
      <c r="C250" s="32" t="s">
        <v>30</v>
      </c>
      <c r="D250" s="32" t="s">
        <v>31</v>
      </c>
      <c r="E250" s="32" t="s">
        <v>49</v>
      </c>
      <c r="F250" s="33">
        <v>0</v>
      </c>
      <c r="G250" s="33">
        <v>0</v>
      </c>
    </row>
    <row r="251" spans="1:7" x14ac:dyDescent="0.3">
      <c r="A251" s="32" t="s">
        <v>49</v>
      </c>
      <c r="B251" s="32" t="s">
        <v>279</v>
      </c>
      <c r="C251" s="32" t="s">
        <v>30</v>
      </c>
      <c r="D251" s="32" t="s">
        <v>31</v>
      </c>
      <c r="E251" s="32" t="s">
        <v>49</v>
      </c>
      <c r="F251" s="33">
        <v>0</v>
      </c>
      <c r="G251" s="33">
        <v>0</v>
      </c>
    </row>
    <row r="252" spans="1:7" x14ac:dyDescent="0.3">
      <c r="A252" s="32" t="s">
        <v>49</v>
      </c>
      <c r="B252" s="32" t="s">
        <v>299</v>
      </c>
      <c r="C252" s="32" t="s">
        <v>30</v>
      </c>
      <c r="D252" s="32" t="s">
        <v>31</v>
      </c>
      <c r="E252" s="32" t="s">
        <v>49</v>
      </c>
      <c r="F252" s="33">
        <v>0</v>
      </c>
      <c r="G252" s="33">
        <v>0</v>
      </c>
    </row>
    <row r="253" spans="1:7" x14ac:dyDescent="0.3">
      <c r="A253" s="32" t="s">
        <v>49</v>
      </c>
      <c r="B253" s="32" t="s">
        <v>300</v>
      </c>
      <c r="C253" s="32" t="s">
        <v>30</v>
      </c>
      <c r="D253" s="32" t="s">
        <v>31</v>
      </c>
      <c r="E253" s="32" t="s">
        <v>49</v>
      </c>
      <c r="F253" s="33">
        <v>0</v>
      </c>
      <c r="G253" s="33">
        <v>0</v>
      </c>
    </row>
    <row r="254" spans="1:7" x14ac:dyDescent="0.3">
      <c r="A254" s="32" t="s">
        <v>49</v>
      </c>
      <c r="B254" s="32" t="s">
        <v>301</v>
      </c>
      <c r="C254" s="32" t="s">
        <v>30</v>
      </c>
      <c r="D254" s="32" t="s">
        <v>31</v>
      </c>
      <c r="E254" s="32" t="s">
        <v>49</v>
      </c>
      <c r="F254" s="33">
        <v>0</v>
      </c>
      <c r="G254" s="33">
        <v>0</v>
      </c>
    </row>
    <row r="255" spans="1:7" x14ac:dyDescent="0.3">
      <c r="A255" s="32" t="s">
        <v>49</v>
      </c>
      <c r="B255" s="32" t="s">
        <v>302</v>
      </c>
      <c r="C255" s="32" t="s">
        <v>30</v>
      </c>
      <c r="D255" s="32" t="s">
        <v>31</v>
      </c>
      <c r="E255" s="32" t="s">
        <v>49</v>
      </c>
      <c r="F255" s="33">
        <v>0</v>
      </c>
      <c r="G255" s="33">
        <v>0</v>
      </c>
    </row>
    <row r="256" spans="1:7" x14ac:dyDescent="0.3">
      <c r="A256" s="32" t="s">
        <v>49</v>
      </c>
      <c r="B256" s="32" t="s">
        <v>303</v>
      </c>
      <c r="C256" s="32" t="s">
        <v>30</v>
      </c>
      <c r="D256" s="32" t="s">
        <v>31</v>
      </c>
      <c r="E256" s="32" t="s">
        <v>49</v>
      </c>
      <c r="F256" s="33">
        <v>0</v>
      </c>
      <c r="G256" s="33">
        <v>0</v>
      </c>
    </row>
    <row r="257" spans="1:7" x14ac:dyDescent="0.3">
      <c r="A257" s="32" t="s">
        <v>49</v>
      </c>
      <c r="B257" s="32" t="s">
        <v>304</v>
      </c>
      <c r="C257" s="32" t="s">
        <v>30</v>
      </c>
      <c r="D257" s="32" t="s">
        <v>31</v>
      </c>
      <c r="E257" s="32" t="s">
        <v>49</v>
      </c>
      <c r="F257" s="33">
        <v>0</v>
      </c>
      <c r="G257" s="33">
        <v>0</v>
      </c>
    </row>
    <row r="258" spans="1:7" x14ac:dyDescent="0.3">
      <c r="A258" s="32" t="s">
        <v>49</v>
      </c>
      <c r="B258" s="32" t="s">
        <v>310</v>
      </c>
      <c r="C258" s="32" t="s">
        <v>30</v>
      </c>
      <c r="D258" s="32" t="s">
        <v>31</v>
      </c>
      <c r="E258" s="32" t="s">
        <v>49</v>
      </c>
      <c r="F258" s="33">
        <v>0</v>
      </c>
      <c r="G258" s="33">
        <v>0</v>
      </c>
    </row>
    <row r="259" spans="1:7" x14ac:dyDescent="0.3">
      <c r="A259" s="32" t="s">
        <v>49</v>
      </c>
      <c r="B259" s="32" t="s">
        <v>319</v>
      </c>
      <c r="C259" s="32" t="s">
        <v>30</v>
      </c>
      <c r="D259" s="32" t="s">
        <v>31</v>
      </c>
      <c r="E259" s="32" t="s">
        <v>49</v>
      </c>
      <c r="F259" s="33">
        <v>0</v>
      </c>
      <c r="G259" s="33">
        <v>0</v>
      </c>
    </row>
    <row r="260" spans="1:7" x14ac:dyDescent="0.3">
      <c r="A260" s="32" t="s">
        <v>49</v>
      </c>
      <c r="B260" s="32" t="s">
        <v>335</v>
      </c>
      <c r="C260" s="32" t="s">
        <v>30</v>
      </c>
      <c r="D260" s="32" t="s">
        <v>31</v>
      </c>
      <c r="E260" s="32" t="s">
        <v>49</v>
      </c>
      <c r="F260" s="33">
        <v>0</v>
      </c>
      <c r="G260" s="33">
        <v>0</v>
      </c>
    </row>
    <row r="261" spans="1:7" x14ac:dyDescent="0.3">
      <c r="A261" s="32" t="s">
        <v>49</v>
      </c>
      <c r="B261" s="32" t="s">
        <v>336</v>
      </c>
      <c r="C261" s="32" t="s">
        <v>30</v>
      </c>
      <c r="D261" s="32" t="s">
        <v>31</v>
      </c>
      <c r="E261" s="32" t="s">
        <v>49</v>
      </c>
      <c r="F261" s="33">
        <v>0</v>
      </c>
      <c r="G261" s="33">
        <v>0</v>
      </c>
    </row>
    <row r="262" spans="1:7" x14ac:dyDescent="0.3">
      <c r="A262" s="32" t="s">
        <v>49</v>
      </c>
      <c r="B262" s="32" t="s">
        <v>337</v>
      </c>
      <c r="C262" s="32" t="s">
        <v>30</v>
      </c>
      <c r="D262" s="32" t="s">
        <v>31</v>
      </c>
      <c r="E262" s="32" t="s">
        <v>49</v>
      </c>
      <c r="F262" s="33">
        <v>0</v>
      </c>
      <c r="G262" s="33">
        <v>0</v>
      </c>
    </row>
    <row r="263" spans="1:7" x14ac:dyDescent="0.3">
      <c r="A263" s="32" t="s">
        <v>49</v>
      </c>
      <c r="B263" s="32" t="s">
        <v>338</v>
      </c>
      <c r="C263" s="32" t="s">
        <v>30</v>
      </c>
      <c r="D263" s="32" t="s">
        <v>31</v>
      </c>
      <c r="E263" s="32" t="s">
        <v>49</v>
      </c>
      <c r="F263" s="33">
        <v>0</v>
      </c>
      <c r="G263" s="33">
        <v>0</v>
      </c>
    </row>
    <row r="264" spans="1:7" x14ac:dyDescent="0.3">
      <c r="A264" s="32" t="s">
        <v>49</v>
      </c>
      <c r="B264" s="32" t="s">
        <v>339</v>
      </c>
      <c r="C264" s="32" t="s">
        <v>30</v>
      </c>
      <c r="D264" s="32" t="s">
        <v>31</v>
      </c>
      <c r="E264" s="32" t="s">
        <v>49</v>
      </c>
      <c r="F264" s="33">
        <v>0</v>
      </c>
      <c r="G264" s="33">
        <v>0</v>
      </c>
    </row>
    <row r="265" spans="1:7" x14ac:dyDescent="0.3">
      <c r="A265" s="32" t="s">
        <v>49</v>
      </c>
      <c r="B265" s="32" t="s">
        <v>340</v>
      </c>
      <c r="C265" s="32" t="s">
        <v>30</v>
      </c>
      <c r="D265" s="32" t="s">
        <v>31</v>
      </c>
      <c r="E265" s="32" t="s">
        <v>49</v>
      </c>
      <c r="F265" s="33">
        <v>0</v>
      </c>
      <c r="G265" s="33">
        <v>0</v>
      </c>
    </row>
    <row r="266" spans="1:7" x14ac:dyDescent="0.3">
      <c r="A266" s="32" t="s">
        <v>49</v>
      </c>
      <c r="B266" s="32" t="s">
        <v>130</v>
      </c>
      <c r="C266" s="32" t="s">
        <v>30</v>
      </c>
      <c r="D266" s="32" t="s">
        <v>31</v>
      </c>
      <c r="E266" s="32" t="s">
        <v>49</v>
      </c>
      <c r="F266" s="33">
        <v>0</v>
      </c>
      <c r="G266" s="33">
        <v>0</v>
      </c>
    </row>
    <row r="267" spans="1:7" x14ac:dyDescent="0.3">
      <c r="A267" s="32" t="s">
        <v>49</v>
      </c>
      <c r="B267" s="32" t="s">
        <v>349</v>
      </c>
      <c r="C267" s="32" t="s">
        <v>30</v>
      </c>
      <c r="D267" s="32" t="s">
        <v>31</v>
      </c>
      <c r="E267" s="32" t="s">
        <v>49</v>
      </c>
      <c r="F267" s="33">
        <v>0</v>
      </c>
      <c r="G267" s="33">
        <v>0</v>
      </c>
    </row>
    <row r="268" spans="1:7" x14ac:dyDescent="0.3">
      <c r="A268" s="32" t="s">
        <v>49</v>
      </c>
      <c r="B268" s="32" t="s">
        <v>375</v>
      </c>
      <c r="C268" s="32" t="s">
        <v>30</v>
      </c>
      <c r="D268" s="32" t="s">
        <v>31</v>
      </c>
      <c r="E268" s="32" t="s">
        <v>49</v>
      </c>
      <c r="F268" s="33">
        <v>0</v>
      </c>
      <c r="G268" s="33">
        <v>0</v>
      </c>
    </row>
    <row r="269" spans="1:7" x14ac:dyDescent="0.3">
      <c r="A269" s="32" t="s">
        <v>49</v>
      </c>
      <c r="B269" s="32" t="s">
        <v>376</v>
      </c>
      <c r="C269" s="32" t="s">
        <v>30</v>
      </c>
      <c r="D269" s="32" t="s">
        <v>31</v>
      </c>
      <c r="E269" s="32" t="s">
        <v>49</v>
      </c>
      <c r="F269" s="33">
        <v>0</v>
      </c>
      <c r="G269" s="33">
        <v>0</v>
      </c>
    </row>
    <row r="270" spans="1:7" x14ac:dyDescent="0.3">
      <c r="A270" s="32" t="s">
        <v>49</v>
      </c>
      <c r="B270" s="32" t="s">
        <v>377</v>
      </c>
      <c r="C270" s="32" t="s">
        <v>30</v>
      </c>
      <c r="D270" s="32" t="s">
        <v>31</v>
      </c>
      <c r="E270" s="32" t="s">
        <v>49</v>
      </c>
      <c r="F270" s="33">
        <v>0</v>
      </c>
      <c r="G270" s="33">
        <v>0</v>
      </c>
    </row>
    <row r="271" spans="1:7" x14ac:dyDescent="0.3">
      <c r="A271" s="32" t="s">
        <v>49</v>
      </c>
      <c r="B271" s="32" t="s">
        <v>378</v>
      </c>
      <c r="C271" s="32" t="s">
        <v>30</v>
      </c>
      <c r="D271" s="32" t="s">
        <v>31</v>
      </c>
      <c r="E271" s="32" t="s">
        <v>49</v>
      </c>
      <c r="F271" s="33">
        <v>0</v>
      </c>
      <c r="G271" s="33">
        <v>0</v>
      </c>
    </row>
    <row r="272" spans="1:7" x14ac:dyDescent="0.3">
      <c r="A272" s="32" t="s">
        <v>49</v>
      </c>
      <c r="B272" s="32" t="s">
        <v>379</v>
      </c>
      <c r="C272" s="32" t="s">
        <v>30</v>
      </c>
      <c r="D272" s="32" t="s">
        <v>31</v>
      </c>
      <c r="E272" s="32" t="s">
        <v>49</v>
      </c>
      <c r="F272" s="33">
        <v>0</v>
      </c>
      <c r="G272" s="33">
        <v>0</v>
      </c>
    </row>
    <row r="273" spans="1:7" x14ac:dyDescent="0.3">
      <c r="A273" s="32" t="s">
        <v>49</v>
      </c>
      <c r="B273" s="32" t="s">
        <v>380</v>
      </c>
      <c r="C273" s="32" t="s">
        <v>30</v>
      </c>
      <c r="D273" s="32" t="s">
        <v>31</v>
      </c>
      <c r="E273" s="32" t="s">
        <v>49</v>
      </c>
      <c r="F273" s="33">
        <v>0</v>
      </c>
      <c r="G273" s="33">
        <v>0</v>
      </c>
    </row>
    <row r="274" spans="1:7" x14ac:dyDescent="0.3">
      <c r="A274" s="32" t="s">
        <v>49</v>
      </c>
      <c r="B274" s="32" t="s">
        <v>381</v>
      </c>
      <c r="C274" s="32" t="s">
        <v>30</v>
      </c>
      <c r="D274" s="32" t="s">
        <v>31</v>
      </c>
      <c r="E274" s="32" t="s">
        <v>49</v>
      </c>
      <c r="F274" s="33">
        <v>0</v>
      </c>
      <c r="G274" s="33">
        <v>0</v>
      </c>
    </row>
    <row r="275" spans="1:7" x14ac:dyDescent="0.3">
      <c r="A275" s="32" t="s">
        <v>49</v>
      </c>
      <c r="B275" s="32" t="s">
        <v>412</v>
      </c>
      <c r="C275" s="32" t="s">
        <v>30</v>
      </c>
      <c r="D275" s="32" t="s">
        <v>31</v>
      </c>
      <c r="E275" s="32" t="s">
        <v>49</v>
      </c>
      <c r="F275" s="33">
        <v>0</v>
      </c>
      <c r="G275" s="33">
        <v>0</v>
      </c>
    </row>
    <row r="276" spans="1:7" x14ac:dyDescent="0.3">
      <c r="A276" s="32" t="s">
        <v>49</v>
      </c>
      <c r="B276" s="32" t="s">
        <v>413</v>
      </c>
      <c r="C276" s="32" t="s">
        <v>30</v>
      </c>
      <c r="D276" s="32" t="s">
        <v>31</v>
      </c>
      <c r="E276" s="32" t="s">
        <v>49</v>
      </c>
      <c r="F276" s="33">
        <v>0</v>
      </c>
      <c r="G276" s="33">
        <v>0</v>
      </c>
    </row>
    <row r="277" spans="1:7" x14ac:dyDescent="0.3">
      <c r="A277" s="32" t="s">
        <v>49</v>
      </c>
      <c r="B277" s="32" t="s">
        <v>414</v>
      </c>
      <c r="C277" s="32" t="s">
        <v>30</v>
      </c>
      <c r="D277" s="32" t="s">
        <v>31</v>
      </c>
      <c r="E277" s="32" t="s">
        <v>49</v>
      </c>
      <c r="F277" s="33">
        <v>0</v>
      </c>
      <c r="G277" s="33">
        <v>0</v>
      </c>
    </row>
    <row r="278" spans="1:7" x14ac:dyDescent="0.3">
      <c r="A278" s="32" t="s">
        <v>49</v>
      </c>
      <c r="B278" s="32" t="s">
        <v>415</v>
      </c>
      <c r="C278" s="32" t="s">
        <v>30</v>
      </c>
      <c r="D278" s="32" t="s">
        <v>31</v>
      </c>
      <c r="E278" s="32" t="s">
        <v>49</v>
      </c>
      <c r="F278" s="33">
        <v>0</v>
      </c>
      <c r="G278" s="33">
        <v>0</v>
      </c>
    </row>
    <row r="279" spans="1:7" x14ac:dyDescent="0.3">
      <c r="A279" s="32" t="s">
        <v>49</v>
      </c>
      <c r="B279" s="32" t="s">
        <v>423</v>
      </c>
      <c r="C279" s="32" t="s">
        <v>30</v>
      </c>
      <c r="D279" s="32" t="s">
        <v>31</v>
      </c>
      <c r="E279" s="32" t="s">
        <v>49</v>
      </c>
      <c r="F279" s="33">
        <v>0</v>
      </c>
      <c r="G279" s="33">
        <v>0</v>
      </c>
    </row>
    <row r="280" spans="1:7" x14ac:dyDescent="0.3">
      <c r="A280" s="32" t="s">
        <v>49</v>
      </c>
      <c r="B280" s="32" t="s">
        <v>429</v>
      </c>
      <c r="C280" s="32" t="s">
        <v>30</v>
      </c>
      <c r="D280" s="32" t="s">
        <v>31</v>
      </c>
      <c r="E280" s="32" t="s">
        <v>49</v>
      </c>
      <c r="F280" s="33">
        <v>0</v>
      </c>
      <c r="G280" s="33">
        <v>0</v>
      </c>
    </row>
    <row r="281" spans="1:7" x14ac:dyDescent="0.3">
      <c r="A281" s="32" t="s">
        <v>49</v>
      </c>
      <c r="B281" s="32" t="s">
        <v>451</v>
      </c>
      <c r="C281" s="32" t="s">
        <v>30</v>
      </c>
      <c r="D281" s="32" t="s">
        <v>31</v>
      </c>
      <c r="E281" s="32" t="s">
        <v>49</v>
      </c>
      <c r="F281" s="33">
        <v>0</v>
      </c>
      <c r="G281" s="33">
        <v>0</v>
      </c>
    </row>
    <row r="282" spans="1:7" x14ac:dyDescent="0.3">
      <c r="A282" s="32" t="s">
        <v>49</v>
      </c>
      <c r="B282" s="32" t="s">
        <v>452</v>
      </c>
      <c r="C282" s="32" t="s">
        <v>30</v>
      </c>
      <c r="D282" s="32" t="s">
        <v>31</v>
      </c>
      <c r="E282" s="32" t="s">
        <v>49</v>
      </c>
      <c r="F282" s="33">
        <v>0</v>
      </c>
      <c r="G282" s="33">
        <v>0</v>
      </c>
    </row>
    <row r="283" spans="1:7" x14ac:dyDescent="0.3">
      <c r="A283" s="32" t="s">
        <v>49</v>
      </c>
      <c r="B283" s="32" t="s">
        <v>453</v>
      </c>
      <c r="C283" s="32" t="s">
        <v>30</v>
      </c>
      <c r="D283" s="32" t="s">
        <v>31</v>
      </c>
      <c r="E283" s="32" t="s">
        <v>49</v>
      </c>
      <c r="F283" s="33">
        <v>0</v>
      </c>
      <c r="G283" s="33">
        <v>0</v>
      </c>
    </row>
    <row r="284" spans="1:7" x14ac:dyDescent="0.3">
      <c r="A284" s="32" t="s">
        <v>49</v>
      </c>
      <c r="B284" s="32" t="s">
        <v>454</v>
      </c>
      <c r="C284" s="32" t="s">
        <v>30</v>
      </c>
      <c r="D284" s="32" t="s">
        <v>31</v>
      </c>
      <c r="E284" s="32" t="s">
        <v>49</v>
      </c>
      <c r="F284" s="33">
        <v>0</v>
      </c>
      <c r="G284" s="33">
        <v>0</v>
      </c>
    </row>
    <row r="285" spans="1:7" x14ac:dyDescent="0.3">
      <c r="A285" s="32" t="s">
        <v>49</v>
      </c>
      <c r="B285" s="32" t="s">
        <v>455</v>
      </c>
      <c r="C285" s="32" t="s">
        <v>30</v>
      </c>
      <c r="D285" s="32" t="s">
        <v>31</v>
      </c>
      <c r="E285" s="32" t="s">
        <v>49</v>
      </c>
      <c r="F285" s="33">
        <v>0</v>
      </c>
      <c r="G285" s="33">
        <v>0</v>
      </c>
    </row>
    <row r="286" spans="1:7" x14ac:dyDescent="0.3">
      <c r="A286" s="32" t="s">
        <v>49</v>
      </c>
      <c r="B286" s="32" t="s">
        <v>456</v>
      </c>
      <c r="C286" s="32" t="s">
        <v>30</v>
      </c>
      <c r="D286" s="32" t="s">
        <v>31</v>
      </c>
      <c r="E286" s="32" t="s">
        <v>49</v>
      </c>
      <c r="F286" s="33">
        <v>0</v>
      </c>
      <c r="G286" s="33">
        <v>0</v>
      </c>
    </row>
    <row r="287" spans="1:7" x14ac:dyDescent="0.3">
      <c r="A287" s="32" t="s">
        <v>49</v>
      </c>
      <c r="B287" s="32" t="s">
        <v>457</v>
      </c>
      <c r="C287" s="32" t="s">
        <v>30</v>
      </c>
      <c r="D287" s="32" t="s">
        <v>31</v>
      </c>
      <c r="E287" s="32" t="s">
        <v>49</v>
      </c>
      <c r="F287" s="33">
        <v>0</v>
      </c>
      <c r="G287" s="33">
        <v>0</v>
      </c>
    </row>
    <row r="288" spans="1:7" x14ac:dyDescent="0.3">
      <c r="A288" s="32" t="s">
        <v>49</v>
      </c>
      <c r="B288" s="32" t="s">
        <v>463</v>
      </c>
      <c r="C288" s="32" t="s">
        <v>30</v>
      </c>
      <c r="D288" s="32" t="s">
        <v>31</v>
      </c>
      <c r="E288" s="32" t="s">
        <v>49</v>
      </c>
      <c r="F288" s="33">
        <v>0</v>
      </c>
      <c r="G288" s="33">
        <v>0</v>
      </c>
    </row>
    <row r="289" spans="1:7" x14ac:dyDescent="0.3">
      <c r="A289" s="32" t="s">
        <v>49</v>
      </c>
      <c r="B289" s="32" t="s">
        <v>471</v>
      </c>
      <c r="C289" s="32" t="s">
        <v>30</v>
      </c>
      <c r="D289" s="32" t="s">
        <v>31</v>
      </c>
      <c r="E289" s="32" t="s">
        <v>49</v>
      </c>
      <c r="F289" s="33">
        <v>0</v>
      </c>
      <c r="G289" s="33">
        <v>0</v>
      </c>
    </row>
    <row r="290" spans="1:7" x14ac:dyDescent="0.3">
      <c r="A290" s="32" t="s">
        <v>49</v>
      </c>
      <c r="B290" s="32" t="s">
        <v>486</v>
      </c>
      <c r="C290" s="32" t="s">
        <v>30</v>
      </c>
      <c r="D290" s="32" t="s">
        <v>31</v>
      </c>
      <c r="E290" s="32" t="s">
        <v>49</v>
      </c>
      <c r="F290" s="33">
        <v>0</v>
      </c>
      <c r="G290" s="33">
        <v>0</v>
      </c>
    </row>
    <row r="291" spans="1:7" x14ac:dyDescent="0.3">
      <c r="A291" s="32" t="s">
        <v>49</v>
      </c>
      <c r="B291" s="32" t="s">
        <v>487</v>
      </c>
      <c r="C291" s="32" t="s">
        <v>30</v>
      </c>
      <c r="D291" s="32" t="s">
        <v>31</v>
      </c>
      <c r="E291" s="32" t="s">
        <v>49</v>
      </c>
      <c r="F291" s="33">
        <v>0</v>
      </c>
      <c r="G291" s="33">
        <v>0</v>
      </c>
    </row>
    <row r="292" spans="1:7" x14ac:dyDescent="0.3">
      <c r="A292" s="32" t="s">
        <v>49</v>
      </c>
      <c r="B292" s="32" t="s">
        <v>488</v>
      </c>
      <c r="C292" s="32" t="s">
        <v>30</v>
      </c>
      <c r="D292" s="32" t="s">
        <v>31</v>
      </c>
      <c r="E292" s="32" t="s">
        <v>49</v>
      </c>
      <c r="F292" s="33">
        <v>0</v>
      </c>
      <c r="G292" s="33">
        <v>0</v>
      </c>
    </row>
    <row r="293" spans="1:7" x14ac:dyDescent="0.3">
      <c r="A293" s="32" t="s">
        <v>49</v>
      </c>
      <c r="B293" s="32" t="s">
        <v>489</v>
      </c>
      <c r="C293" s="32" t="s">
        <v>30</v>
      </c>
      <c r="D293" s="32" t="s">
        <v>31</v>
      </c>
      <c r="E293" s="32" t="s">
        <v>49</v>
      </c>
      <c r="F293" s="33">
        <v>0</v>
      </c>
      <c r="G293" s="33">
        <v>0</v>
      </c>
    </row>
    <row r="294" spans="1:7" x14ac:dyDescent="0.3">
      <c r="A294" s="32" t="s">
        <v>49</v>
      </c>
      <c r="B294" s="32" t="s">
        <v>490</v>
      </c>
      <c r="C294" s="32" t="s">
        <v>30</v>
      </c>
      <c r="D294" s="32" t="s">
        <v>31</v>
      </c>
      <c r="E294" s="32" t="s">
        <v>49</v>
      </c>
      <c r="F294" s="33">
        <v>0</v>
      </c>
      <c r="G294" s="33">
        <v>0</v>
      </c>
    </row>
    <row r="295" spans="1:7" x14ac:dyDescent="0.3">
      <c r="A295" s="32" t="s">
        <v>49</v>
      </c>
      <c r="B295" s="32" t="s">
        <v>504</v>
      </c>
      <c r="C295" s="32" t="s">
        <v>30</v>
      </c>
      <c r="D295" s="32" t="s">
        <v>31</v>
      </c>
      <c r="E295" s="32" t="s">
        <v>49</v>
      </c>
      <c r="F295" s="33">
        <v>0</v>
      </c>
      <c r="G295" s="33">
        <v>0</v>
      </c>
    </row>
    <row r="296" spans="1:7" x14ac:dyDescent="0.3">
      <c r="A296" s="32" t="s">
        <v>49</v>
      </c>
      <c r="B296" s="32" t="s">
        <v>514</v>
      </c>
      <c r="C296" s="32" t="s">
        <v>30</v>
      </c>
      <c r="D296" s="32" t="s">
        <v>31</v>
      </c>
      <c r="E296" s="32" t="s">
        <v>49</v>
      </c>
      <c r="F296" s="33">
        <v>0</v>
      </c>
      <c r="G296" s="33">
        <v>0</v>
      </c>
    </row>
    <row r="297" spans="1:7" x14ac:dyDescent="0.3">
      <c r="A297" s="32" t="s">
        <v>49</v>
      </c>
      <c r="B297" s="32" t="s">
        <v>528</v>
      </c>
      <c r="C297" s="32" t="s">
        <v>30</v>
      </c>
      <c r="D297" s="32" t="s">
        <v>31</v>
      </c>
      <c r="E297" s="32" t="s">
        <v>49</v>
      </c>
      <c r="F297" s="33">
        <v>0</v>
      </c>
      <c r="G297" s="33">
        <v>0</v>
      </c>
    </row>
    <row r="298" spans="1:7" x14ac:dyDescent="0.3">
      <c r="A298" s="32" t="s">
        <v>49</v>
      </c>
      <c r="B298" s="32" t="s">
        <v>529</v>
      </c>
      <c r="C298" s="32" t="s">
        <v>30</v>
      </c>
      <c r="D298" s="32" t="s">
        <v>31</v>
      </c>
      <c r="E298" s="32" t="s">
        <v>49</v>
      </c>
      <c r="F298" s="33">
        <v>0</v>
      </c>
      <c r="G298" s="33">
        <v>0</v>
      </c>
    </row>
    <row r="299" spans="1:7" x14ac:dyDescent="0.3">
      <c r="A299" s="32" t="s">
        <v>49</v>
      </c>
      <c r="B299" s="32" t="s">
        <v>530</v>
      </c>
      <c r="C299" s="32" t="s">
        <v>30</v>
      </c>
      <c r="D299" s="32" t="s">
        <v>31</v>
      </c>
      <c r="E299" s="32" t="s">
        <v>49</v>
      </c>
      <c r="F299" s="33">
        <v>0</v>
      </c>
      <c r="G299" s="33">
        <v>0</v>
      </c>
    </row>
    <row r="300" spans="1:7" x14ac:dyDescent="0.3">
      <c r="A300" s="32" t="s">
        <v>49</v>
      </c>
      <c r="B300" s="32" t="s">
        <v>536</v>
      </c>
      <c r="C300" s="32" t="s">
        <v>30</v>
      </c>
      <c r="D300" s="32" t="s">
        <v>31</v>
      </c>
      <c r="E300" s="32" t="s">
        <v>49</v>
      </c>
      <c r="F300" s="33">
        <v>0</v>
      </c>
      <c r="G300" s="33">
        <v>0</v>
      </c>
    </row>
    <row r="301" spans="1:7" x14ac:dyDescent="0.3">
      <c r="A301" s="32" t="s">
        <v>49</v>
      </c>
      <c r="B301" s="32" t="s">
        <v>537</v>
      </c>
      <c r="C301" s="32" t="s">
        <v>30</v>
      </c>
      <c r="D301" s="32" t="s">
        <v>31</v>
      </c>
      <c r="E301" s="32" t="s">
        <v>49</v>
      </c>
      <c r="F301" s="33">
        <v>0</v>
      </c>
      <c r="G301" s="33">
        <v>0</v>
      </c>
    </row>
    <row r="302" spans="1:7" x14ac:dyDescent="0.3">
      <c r="A302" s="32" t="s">
        <v>49</v>
      </c>
      <c r="B302" s="32" t="s">
        <v>564</v>
      </c>
      <c r="C302" s="32" t="s">
        <v>30</v>
      </c>
      <c r="D302" s="32" t="s">
        <v>31</v>
      </c>
      <c r="E302" s="32" t="s">
        <v>49</v>
      </c>
      <c r="F302" s="33">
        <v>0</v>
      </c>
      <c r="G302" s="33">
        <v>0</v>
      </c>
    </row>
    <row r="303" spans="1:7" x14ac:dyDescent="0.3">
      <c r="A303" s="32" t="s">
        <v>49</v>
      </c>
      <c r="B303" s="32" t="s">
        <v>578</v>
      </c>
      <c r="C303" s="32" t="s">
        <v>30</v>
      </c>
      <c r="D303" s="32" t="s">
        <v>31</v>
      </c>
      <c r="E303" s="32" t="s">
        <v>49</v>
      </c>
      <c r="F303" s="33">
        <v>0</v>
      </c>
      <c r="G303" s="33">
        <v>0</v>
      </c>
    </row>
    <row r="304" spans="1:7" x14ac:dyDescent="0.3">
      <c r="A304" s="32" t="s">
        <v>49</v>
      </c>
      <c r="B304" s="32" t="s">
        <v>600</v>
      </c>
      <c r="C304" s="32" t="s">
        <v>30</v>
      </c>
      <c r="D304" s="32" t="s">
        <v>31</v>
      </c>
      <c r="E304" s="32" t="s">
        <v>49</v>
      </c>
      <c r="F304" s="33">
        <v>0</v>
      </c>
      <c r="G304" s="33">
        <v>0</v>
      </c>
    </row>
    <row r="305" spans="1:7" x14ac:dyDescent="0.3">
      <c r="A305" s="32" t="s">
        <v>49</v>
      </c>
      <c r="B305" s="32" t="s">
        <v>601</v>
      </c>
      <c r="C305" s="32" t="s">
        <v>30</v>
      </c>
      <c r="D305" s="32" t="s">
        <v>31</v>
      </c>
      <c r="E305" s="32" t="s">
        <v>49</v>
      </c>
      <c r="F305" s="33">
        <v>0</v>
      </c>
      <c r="G305" s="33">
        <v>0</v>
      </c>
    </row>
    <row r="306" spans="1:7" x14ac:dyDescent="0.3">
      <c r="A306" s="32" t="s">
        <v>49</v>
      </c>
      <c r="B306" s="32" t="s">
        <v>602</v>
      </c>
      <c r="C306" s="32" t="s">
        <v>30</v>
      </c>
      <c r="D306" s="32" t="s">
        <v>31</v>
      </c>
      <c r="E306" s="32" t="s">
        <v>49</v>
      </c>
      <c r="F306" s="33">
        <v>0</v>
      </c>
      <c r="G306" s="33">
        <v>0</v>
      </c>
    </row>
    <row r="307" spans="1:7" x14ac:dyDescent="0.3">
      <c r="A307" s="32" t="s">
        <v>49</v>
      </c>
      <c r="B307" s="32" t="s">
        <v>603</v>
      </c>
      <c r="C307" s="32" t="s">
        <v>30</v>
      </c>
      <c r="D307" s="32" t="s">
        <v>31</v>
      </c>
      <c r="E307" s="32" t="s">
        <v>49</v>
      </c>
      <c r="F307" s="33">
        <v>0</v>
      </c>
      <c r="G307" s="33">
        <v>0</v>
      </c>
    </row>
    <row r="308" spans="1:7" x14ac:dyDescent="0.3">
      <c r="A308" s="32" t="s">
        <v>49</v>
      </c>
      <c r="B308" s="32" t="s">
        <v>604</v>
      </c>
      <c r="C308" s="32" t="s">
        <v>30</v>
      </c>
      <c r="D308" s="32" t="s">
        <v>31</v>
      </c>
      <c r="E308" s="32" t="s">
        <v>49</v>
      </c>
      <c r="F308" s="33">
        <v>0</v>
      </c>
      <c r="G308" s="33">
        <v>0</v>
      </c>
    </row>
    <row r="309" spans="1:7" x14ac:dyDescent="0.3">
      <c r="A309" s="32" t="s">
        <v>49</v>
      </c>
      <c r="B309" s="32" t="s">
        <v>612</v>
      </c>
      <c r="C309" s="32" t="s">
        <v>30</v>
      </c>
      <c r="D309" s="32" t="s">
        <v>31</v>
      </c>
      <c r="E309" s="32" t="s">
        <v>49</v>
      </c>
      <c r="F309" s="33">
        <v>0</v>
      </c>
      <c r="G309" s="33">
        <v>0</v>
      </c>
    </row>
    <row r="310" spans="1:7" x14ac:dyDescent="0.3">
      <c r="A310" s="32" t="s">
        <v>32</v>
      </c>
      <c r="B310" s="32" t="s">
        <v>29</v>
      </c>
      <c r="C310" s="32" t="s">
        <v>30</v>
      </c>
      <c r="D310" s="32" t="s">
        <v>31</v>
      </c>
      <c r="E310" s="32" t="s">
        <v>32</v>
      </c>
      <c r="F310" s="33">
        <v>0</v>
      </c>
      <c r="G310" s="33">
        <v>0</v>
      </c>
    </row>
    <row r="311" spans="1:7" x14ac:dyDescent="0.3">
      <c r="A311" s="32" t="s">
        <v>32</v>
      </c>
      <c r="B311" s="32" t="s">
        <v>33</v>
      </c>
      <c r="C311" s="32" t="s">
        <v>30</v>
      </c>
      <c r="D311" s="32" t="s">
        <v>31</v>
      </c>
      <c r="E311" s="32" t="s">
        <v>32</v>
      </c>
      <c r="F311" s="33">
        <v>0</v>
      </c>
      <c r="G311" s="33">
        <v>0</v>
      </c>
    </row>
    <row r="312" spans="1:7" x14ac:dyDescent="0.3">
      <c r="A312" s="32" t="s">
        <v>32</v>
      </c>
      <c r="B312" s="32" t="s">
        <v>34</v>
      </c>
      <c r="C312" s="32" t="s">
        <v>30</v>
      </c>
      <c r="D312" s="32" t="s">
        <v>31</v>
      </c>
      <c r="E312" s="32" t="s">
        <v>32</v>
      </c>
      <c r="F312" s="33">
        <v>0</v>
      </c>
      <c r="G312" s="33">
        <v>0</v>
      </c>
    </row>
    <row r="313" spans="1:7" x14ac:dyDescent="0.3">
      <c r="A313" s="32" t="s">
        <v>32</v>
      </c>
      <c r="B313" s="32" t="s">
        <v>35</v>
      </c>
      <c r="C313" s="32" t="s">
        <v>30</v>
      </c>
      <c r="D313" s="32" t="s">
        <v>31</v>
      </c>
      <c r="E313" s="32" t="s">
        <v>32</v>
      </c>
      <c r="F313" s="33">
        <v>0</v>
      </c>
      <c r="G313" s="33">
        <v>0</v>
      </c>
    </row>
    <row r="314" spans="1:7" x14ac:dyDescent="0.3">
      <c r="A314" s="32" t="s">
        <v>32</v>
      </c>
      <c r="B314" s="32" t="s">
        <v>51</v>
      </c>
      <c r="C314" s="32" t="s">
        <v>30</v>
      </c>
      <c r="D314" s="32" t="s">
        <v>31</v>
      </c>
      <c r="E314" s="32" t="s">
        <v>32</v>
      </c>
      <c r="F314" s="33">
        <v>0</v>
      </c>
      <c r="G314" s="33">
        <v>0</v>
      </c>
    </row>
    <row r="315" spans="1:7" x14ac:dyDescent="0.3">
      <c r="A315" s="32" t="s">
        <v>32</v>
      </c>
      <c r="B315" s="32" t="s">
        <v>52</v>
      </c>
      <c r="C315" s="32" t="s">
        <v>30</v>
      </c>
      <c r="D315" s="32" t="s">
        <v>31</v>
      </c>
      <c r="E315" s="32" t="s">
        <v>32</v>
      </c>
      <c r="F315" s="33">
        <v>0</v>
      </c>
      <c r="G315" s="33">
        <v>0</v>
      </c>
    </row>
    <row r="316" spans="1:7" x14ac:dyDescent="0.3">
      <c r="A316" s="32" t="s">
        <v>32</v>
      </c>
      <c r="B316" s="32" t="s">
        <v>53</v>
      </c>
      <c r="C316" s="32" t="s">
        <v>30</v>
      </c>
      <c r="D316" s="32" t="s">
        <v>31</v>
      </c>
      <c r="E316" s="32" t="s">
        <v>32</v>
      </c>
      <c r="F316" s="33">
        <v>0</v>
      </c>
      <c r="G316" s="33">
        <v>0</v>
      </c>
    </row>
    <row r="317" spans="1:7" x14ac:dyDescent="0.3">
      <c r="A317" s="32" t="s">
        <v>32</v>
      </c>
      <c r="B317" s="32" t="s">
        <v>57</v>
      </c>
      <c r="C317" s="32" t="s">
        <v>30</v>
      </c>
      <c r="D317" s="32" t="s">
        <v>31</v>
      </c>
      <c r="E317" s="32" t="s">
        <v>32</v>
      </c>
      <c r="F317" s="33">
        <v>0</v>
      </c>
      <c r="G317" s="33">
        <v>0</v>
      </c>
    </row>
    <row r="318" spans="1:7" x14ac:dyDescent="0.3">
      <c r="A318" s="32" t="s">
        <v>32</v>
      </c>
      <c r="B318" s="32" t="s">
        <v>58</v>
      </c>
      <c r="C318" s="32" t="s">
        <v>30</v>
      </c>
      <c r="D318" s="32" t="s">
        <v>31</v>
      </c>
      <c r="E318" s="32" t="s">
        <v>32</v>
      </c>
      <c r="F318" s="33">
        <v>0</v>
      </c>
      <c r="G318" s="33">
        <v>0</v>
      </c>
    </row>
    <row r="319" spans="1:7" x14ac:dyDescent="0.3">
      <c r="A319" s="32" t="s">
        <v>32</v>
      </c>
      <c r="B319" s="32" t="s">
        <v>59</v>
      </c>
      <c r="C319" s="32" t="s">
        <v>30</v>
      </c>
      <c r="D319" s="32" t="s">
        <v>31</v>
      </c>
      <c r="E319" s="32" t="s">
        <v>32</v>
      </c>
      <c r="F319" s="33">
        <v>0</v>
      </c>
      <c r="G319" s="33">
        <v>0</v>
      </c>
    </row>
    <row r="320" spans="1:7" x14ac:dyDescent="0.3">
      <c r="A320" s="32" t="s">
        <v>32</v>
      </c>
      <c r="B320" s="32" t="s">
        <v>63</v>
      </c>
      <c r="C320" s="32" t="s">
        <v>30</v>
      </c>
      <c r="D320" s="32" t="s">
        <v>31</v>
      </c>
      <c r="E320" s="32" t="s">
        <v>32</v>
      </c>
      <c r="F320" s="33">
        <v>0</v>
      </c>
      <c r="G320" s="33">
        <v>0</v>
      </c>
    </row>
    <row r="321" spans="1:7" x14ac:dyDescent="0.3">
      <c r="A321" s="32" t="s">
        <v>32</v>
      </c>
      <c r="B321" s="32" t="s">
        <v>64</v>
      </c>
      <c r="C321" s="32" t="s">
        <v>30</v>
      </c>
      <c r="D321" s="32" t="s">
        <v>31</v>
      </c>
      <c r="E321" s="32" t="s">
        <v>32</v>
      </c>
      <c r="F321" s="33">
        <v>0</v>
      </c>
      <c r="G321" s="33">
        <v>0</v>
      </c>
    </row>
    <row r="322" spans="1:7" x14ac:dyDescent="0.3">
      <c r="A322" s="32" t="s">
        <v>32</v>
      </c>
      <c r="B322" s="32" t="s">
        <v>73</v>
      </c>
      <c r="C322" s="32" t="s">
        <v>30</v>
      </c>
      <c r="D322" s="32" t="s">
        <v>31</v>
      </c>
      <c r="E322" s="32" t="s">
        <v>32</v>
      </c>
      <c r="F322" s="33">
        <v>0</v>
      </c>
      <c r="G322" s="33">
        <v>0</v>
      </c>
    </row>
    <row r="323" spans="1:7" x14ac:dyDescent="0.3">
      <c r="A323" s="32" t="s">
        <v>32</v>
      </c>
      <c r="B323" s="32" t="s">
        <v>74</v>
      </c>
      <c r="C323" s="32" t="s">
        <v>30</v>
      </c>
      <c r="D323" s="32" t="s">
        <v>31</v>
      </c>
      <c r="E323" s="32" t="s">
        <v>32</v>
      </c>
      <c r="F323" s="33">
        <v>0</v>
      </c>
      <c r="G323" s="33">
        <v>0</v>
      </c>
    </row>
    <row r="324" spans="1:7" x14ac:dyDescent="0.3">
      <c r="A324" s="32" t="s">
        <v>32</v>
      </c>
      <c r="B324" s="32" t="s">
        <v>86</v>
      </c>
      <c r="C324" s="32" t="s">
        <v>30</v>
      </c>
      <c r="D324" s="32" t="s">
        <v>31</v>
      </c>
      <c r="E324" s="32" t="s">
        <v>32</v>
      </c>
      <c r="F324" s="33">
        <v>0</v>
      </c>
      <c r="G324" s="33">
        <v>0</v>
      </c>
    </row>
    <row r="325" spans="1:7" x14ac:dyDescent="0.3">
      <c r="A325" s="32" t="s">
        <v>32</v>
      </c>
      <c r="B325" s="32" t="s">
        <v>87</v>
      </c>
      <c r="C325" s="32" t="s">
        <v>30</v>
      </c>
      <c r="D325" s="32" t="s">
        <v>31</v>
      </c>
      <c r="E325" s="32" t="s">
        <v>32</v>
      </c>
      <c r="F325" s="33">
        <v>0</v>
      </c>
      <c r="G325" s="33">
        <v>0</v>
      </c>
    </row>
    <row r="326" spans="1:7" x14ac:dyDescent="0.3">
      <c r="A326" s="32" t="s">
        <v>32</v>
      </c>
      <c r="B326" s="32" t="s">
        <v>89</v>
      </c>
      <c r="C326" s="32" t="s">
        <v>30</v>
      </c>
      <c r="D326" s="32" t="s">
        <v>31</v>
      </c>
      <c r="E326" s="32" t="s">
        <v>32</v>
      </c>
      <c r="F326" s="33">
        <v>0</v>
      </c>
      <c r="G326" s="33">
        <v>0</v>
      </c>
    </row>
    <row r="327" spans="1:7" x14ac:dyDescent="0.3">
      <c r="A327" s="32" t="s">
        <v>32</v>
      </c>
      <c r="B327" s="32" t="s">
        <v>95</v>
      </c>
      <c r="C327" s="32" t="s">
        <v>30</v>
      </c>
      <c r="D327" s="32" t="s">
        <v>31</v>
      </c>
      <c r="E327" s="32" t="s">
        <v>32</v>
      </c>
      <c r="F327" s="33">
        <v>0</v>
      </c>
      <c r="G327" s="33">
        <v>0</v>
      </c>
    </row>
    <row r="328" spans="1:7" x14ac:dyDescent="0.3">
      <c r="A328" s="32" t="s">
        <v>32</v>
      </c>
      <c r="B328" s="32" t="s">
        <v>96</v>
      </c>
      <c r="C328" s="32" t="s">
        <v>30</v>
      </c>
      <c r="D328" s="32" t="s">
        <v>31</v>
      </c>
      <c r="E328" s="32" t="s">
        <v>32</v>
      </c>
      <c r="F328" s="33">
        <v>0</v>
      </c>
      <c r="G328" s="33">
        <v>0</v>
      </c>
    </row>
    <row r="329" spans="1:7" x14ac:dyDescent="0.3">
      <c r="A329" s="32" t="s">
        <v>32</v>
      </c>
      <c r="B329" s="32" t="s">
        <v>97</v>
      </c>
      <c r="C329" s="32" t="s">
        <v>30</v>
      </c>
      <c r="D329" s="32" t="s">
        <v>31</v>
      </c>
      <c r="E329" s="32" t="s">
        <v>32</v>
      </c>
      <c r="F329" s="33">
        <v>0</v>
      </c>
      <c r="G329" s="33">
        <v>0</v>
      </c>
    </row>
    <row r="330" spans="1:7" x14ac:dyDescent="0.3">
      <c r="A330" s="32" t="s">
        <v>32</v>
      </c>
      <c r="B330" s="32" t="s">
        <v>99</v>
      </c>
      <c r="C330" s="32" t="s">
        <v>30</v>
      </c>
      <c r="D330" s="32" t="s">
        <v>31</v>
      </c>
      <c r="E330" s="32" t="s">
        <v>32</v>
      </c>
      <c r="F330" s="33">
        <v>0</v>
      </c>
      <c r="G330" s="33">
        <v>0</v>
      </c>
    </row>
    <row r="331" spans="1:7" x14ac:dyDescent="0.3">
      <c r="A331" s="32" t="s">
        <v>32</v>
      </c>
      <c r="B331" s="32" t="s">
        <v>100</v>
      </c>
      <c r="C331" s="32" t="s">
        <v>30</v>
      </c>
      <c r="D331" s="32" t="s">
        <v>31</v>
      </c>
      <c r="E331" s="32" t="s">
        <v>32</v>
      </c>
      <c r="F331" s="33">
        <v>0</v>
      </c>
      <c r="G331" s="33">
        <v>0</v>
      </c>
    </row>
    <row r="332" spans="1:7" x14ac:dyDescent="0.3">
      <c r="A332" s="32" t="s">
        <v>32</v>
      </c>
      <c r="B332" s="32" t="s">
        <v>101</v>
      </c>
      <c r="C332" s="32" t="s">
        <v>30</v>
      </c>
      <c r="D332" s="32" t="s">
        <v>31</v>
      </c>
      <c r="E332" s="32" t="s">
        <v>32</v>
      </c>
      <c r="F332" s="33">
        <v>0</v>
      </c>
      <c r="G332" s="33">
        <v>0</v>
      </c>
    </row>
    <row r="333" spans="1:7" x14ac:dyDescent="0.3">
      <c r="A333" s="32" t="s">
        <v>32</v>
      </c>
      <c r="B333" s="32" t="s">
        <v>73</v>
      </c>
      <c r="C333" s="32" t="s">
        <v>30</v>
      </c>
      <c r="D333" s="32" t="s">
        <v>31</v>
      </c>
      <c r="E333" s="32" t="s">
        <v>32</v>
      </c>
      <c r="F333" s="33">
        <v>0</v>
      </c>
      <c r="G333" s="33">
        <v>0</v>
      </c>
    </row>
    <row r="334" spans="1:7" x14ac:dyDescent="0.3">
      <c r="A334" s="32" t="s">
        <v>32</v>
      </c>
      <c r="B334" s="32" t="s">
        <v>35</v>
      </c>
      <c r="C334" s="32" t="s">
        <v>30</v>
      </c>
      <c r="D334" s="32" t="s">
        <v>31</v>
      </c>
      <c r="E334" s="32" t="s">
        <v>32</v>
      </c>
      <c r="F334" s="33">
        <v>0</v>
      </c>
      <c r="G334" s="33">
        <v>0</v>
      </c>
    </row>
    <row r="335" spans="1:7" x14ac:dyDescent="0.3">
      <c r="A335" s="32" t="s">
        <v>32</v>
      </c>
      <c r="B335" s="32" t="s">
        <v>119</v>
      </c>
      <c r="C335" s="32" t="s">
        <v>30</v>
      </c>
      <c r="D335" s="32" t="s">
        <v>31</v>
      </c>
      <c r="E335" s="32" t="s">
        <v>32</v>
      </c>
      <c r="F335" s="33">
        <v>0</v>
      </c>
      <c r="G335" s="33">
        <v>0</v>
      </c>
    </row>
    <row r="336" spans="1:7" x14ac:dyDescent="0.3">
      <c r="A336" s="32" t="s">
        <v>32</v>
      </c>
      <c r="B336" s="32" t="s">
        <v>120</v>
      </c>
      <c r="C336" s="32" t="s">
        <v>30</v>
      </c>
      <c r="D336" s="32" t="s">
        <v>31</v>
      </c>
      <c r="E336" s="32" t="s">
        <v>32</v>
      </c>
      <c r="F336" s="33">
        <v>0</v>
      </c>
      <c r="G336" s="33">
        <v>0</v>
      </c>
    </row>
    <row r="337" spans="1:7" x14ac:dyDescent="0.3">
      <c r="A337" s="32" t="s">
        <v>32</v>
      </c>
      <c r="B337" s="32" t="s">
        <v>125</v>
      </c>
      <c r="C337" s="32" t="s">
        <v>30</v>
      </c>
      <c r="D337" s="32" t="s">
        <v>31</v>
      </c>
      <c r="E337" s="32" t="s">
        <v>32</v>
      </c>
      <c r="F337" s="33">
        <v>0</v>
      </c>
      <c r="G337" s="33">
        <v>0</v>
      </c>
    </row>
    <row r="338" spans="1:7" x14ac:dyDescent="0.3">
      <c r="A338" s="32" t="s">
        <v>32</v>
      </c>
      <c r="B338" s="32" t="s">
        <v>126</v>
      </c>
      <c r="C338" s="32" t="s">
        <v>30</v>
      </c>
      <c r="D338" s="32" t="s">
        <v>31</v>
      </c>
      <c r="E338" s="32" t="s">
        <v>32</v>
      </c>
      <c r="F338" s="33">
        <v>0</v>
      </c>
      <c r="G338" s="33">
        <v>0</v>
      </c>
    </row>
    <row r="339" spans="1:7" x14ac:dyDescent="0.3">
      <c r="A339" s="32" t="s">
        <v>32</v>
      </c>
      <c r="B339" s="32" t="s">
        <v>127</v>
      </c>
      <c r="C339" s="32" t="s">
        <v>30</v>
      </c>
      <c r="D339" s="32" t="s">
        <v>31</v>
      </c>
      <c r="E339" s="32" t="s">
        <v>32</v>
      </c>
      <c r="F339" s="33">
        <v>0</v>
      </c>
      <c r="G339" s="33">
        <v>0</v>
      </c>
    </row>
    <row r="340" spans="1:7" x14ac:dyDescent="0.3">
      <c r="A340" s="32" t="s">
        <v>32</v>
      </c>
      <c r="B340" s="32" t="s">
        <v>129</v>
      </c>
      <c r="C340" s="32" t="s">
        <v>30</v>
      </c>
      <c r="D340" s="32" t="s">
        <v>31</v>
      </c>
      <c r="E340" s="32" t="s">
        <v>32</v>
      </c>
      <c r="F340" s="33">
        <v>0</v>
      </c>
      <c r="G340" s="33">
        <v>0</v>
      </c>
    </row>
    <row r="341" spans="1:7" x14ac:dyDescent="0.3">
      <c r="A341" s="32" t="s">
        <v>32</v>
      </c>
      <c r="B341" s="32" t="s">
        <v>132</v>
      </c>
      <c r="C341" s="32" t="s">
        <v>30</v>
      </c>
      <c r="D341" s="32" t="s">
        <v>31</v>
      </c>
      <c r="E341" s="32" t="s">
        <v>32</v>
      </c>
      <c r="F341" s="33">
        <v>0</v>
      </c>
      <c r="G341" s="33">
        <v>0</v>
      </c>
    </row>
    <row r="342" spans="1:7" x14ac:dyDescent="0.3">
      <c r="A342" s="32" t="s">
        <v>32</v>
      </c>
      <c r="B342" s="32" t="s">
        <v>142</v>
      </c>
      <c r="C342" s="32" t="s">
        <v>30</v>
      </c>
      <c r="D342" s="32" t="s">
        <v>31</v>
      </c>
      <c r="E342" s="32" t="s">
        <v>32</v>
      </c>
      <c r="F342" s="33">
        <v>0</v>
      </c>
      <c r="G342" s="33">
        <v>0</v>
      </c>
    </row>
    <row r="343" spans="1:7" x14ac:dyDescent="0.3">
      <c r="A343" s="32" t="s">
        <v>32</v>
      </c>
      <c r="B343" s="32" t="s">
        <v>143</v>
      </c>
      <c r="C343" s="32" t="s">
        <v>30</v>
      </c>
      <c r="D343" s="32" t="s">
        <v>31</v>
      </c>
      <c r="E343" s="32" t="s">
        <v>32</v>
      </c>
      <c r="F343" s="33">
        <v>0</v>
      </c>
      <c r="G343" s="33">
        <v>0</v>
      </c>
    </row>
    <row r="344" spans="1:7" x14ac:dyDescent="0.3">
      <c r="A344" s="32" t="s">
        <v>32</v>
      </c>
      <c r="B344" s="32" t="s">
        <v>144</v>
      </c>
      <c r="C344" s="32" t="s">
        <v>30</v>
      </c>
      <c r="D344" s="32" t="s">
        <v>31</v>
      </c>
      <c r="E344" s="32" t="s">
        <v>32</v>
      </c>
      <c r="F344" s="33">
        <v>0</v>
      </c>
      <c r="G344" s="33">
        <v>0</v>
      </c>
    </row>
    <row r="345" spans="1:7" x14ac:dyDescent="0.3">
      <c r="A345" s="32" t="s">
        <v>32</v>
      </c>
      <c r="B345" s="32" t="s">
        <v>161</v>
      </c>
      <c r="C345" s="32" t="s">
        <v>30</v>
      </c>
      <c r="D345" s="32" t="s">
        <v>31</v>
      </c>
      <c r="E345" s="32" t="s">
        <v>32</v>
      </c>
      <c r="F345" s="33">
        <v>0</v>
      </c>
      <c r="G345" s="33">
        <v>0</v>
      </c>
    </row>
    <row r="346" spans="1:7" x14ac:dyDescent="0.3">
      <c r="A346" s="32" t="s">
        <v>32</v>
      </c>
      <c r="B346" s="32" t="s">
        <v>162</v>
      </c>
      <c r="C346" s="32" t="s">
        <v>30</v>
      </c>
      <c r="D346" s="32" t="s">
        <v>31</v>
      </c>
      <c r="E346" s="32" t="s">
        <v>32</v>
      </c>
      <c r="F346" s="33">
        <v>0</v>
      </c>
      <c r="G346" s="33">
        <v>0</v>
      </c>
    </row>
    <row r="347" spans="1:7" x14ac:dyDescent="0.3">
      <c r="A347" s="32" t="s">
        <v>32</v>
      </c>
      <c r="B347" s="32" t="s">
        <v>163</v>
      </c>
      <c r="C347" s="32" t="s">
        <v>30</v>
      </c>
      <c r="D347" s="32" t="s">
        <v>31</v>
      </c>
      <c r="E347" s="32" t="s">
        <v>32</v>
      </c>
      <c r="F347" s="33">
        <v>0</v>
      </c>
      <c r="G347" s="33">
        <v>0</v>
      </c>
    </row>
    <row r="348" spans="1:7" x14ac:dyDescent="0.3">
      <c r="A348" s="32" t="s">
        <v>32</v>
      </c>
      <c r="B348" s="32" t="s">
        <v>164</v>
      </c>
      <c r="C348" s="32" t="s">
        <v>30</v>
      </c>
      <c r="D348" s="32" t="s">
        <v>31</v>
      </c>
      <c r="E348" s="32" t="s">
        <v>32</v>
      </c>
      <c r="F348" s="33">
        <v>0</v>
      </c>
      <c r="G348" s="33">
        <v>0</v>
      </c>
    </row>
    <row r="349" spans="1:7" x14ac:dyDescent="0.3">
      <c r="A349" s="32" t="s">
        <v>32</v>
      </c>
      <c r="B349" s="32" t="s">
        <v>165</v>
      </c>
      <c r="C349" s="32" t="s">
        <v>30</v>
      </c>
      <c r="D349" s="32" t="s">
        <v>31</v>
      </c>
      <c r="E349" s="32" t="s">
        <v>32</v>
      </c>
      <c r="F349" s="33">
        <v>0</v>
      </c>
      <c r="G349" s="33">
        <v>0</v>
      </c>
    </row>
    <row r="350" spans="1:7" x14ac:dyDescent="0.3">
      <c r="A350" s="32" t="s">
        <v>32</v>
      </c>
      <c r="B350" s="32" t="s">
        <v>166</v>
      </c>
      <c r="C350" s="32" t="s">
        <v>30</v>
      </c>
      <c r="D350" s="32" t="s">
        <v>31</v>
      </c>
      <c r="E350" s="32" t="s">
        <v>32</v>
      </c>
      <c r="F350" s="33">
        <v>0</v>
      </c>
      <c r="G350" s="33">
        <v>0</v>
      </c>
    </row>
    <row r="351" spans="1:7" x14ac:dyDescent="0.3">
      <c r="A351" s="32" t="s">
        <v>32</v>
      </c>
      <c r="B351" s="32" t="s">
        <v>167</v>
      </c>
      <c r="C351" s="32" t="s">
        <v>30</v>
      </c>
      <c r="D351" s="32" t="s">
        <v>31</v>
      </c>
      <c r="E351" s="32" t="s">
        <v>32</v>
      </c>
      <c r="F351" s="33">
        <v>0</v>
      </c>
      <c r="G351" s="33">
        <v>0</v>
      </c>
    </row>
    <row r="352" spans="1:7" x14ac:dyDescent="0.3">
      <c r="A352" s="32" t="s">
        <v>32</v>
      </c>
      <c r="B352" s="32" t="s">
        <v>168</v>
      </c>
      <c r="C352" s="32" t="s">
        <v>30</v>
      </c>
      <c r="D352" s="32" t="s">
        <v>31</v>
      </c>
      <c r="E352" s="32" t="s">
        <v>32</v>
      </c>
      <c r="F352" s="33">
        <v>0</v>
      </c>
      <c r="G352" s="33">
        <v>0</v>
      </c>
    </row>
    <row r="353" spans="1:7" x14ac:dyDescent="0.3">
      <c r="A353" s="32" t="s">
        <v>32</v>
      </c>
      <c r="B353" s="32" t="s">
        <v>96</v>
      </c>
      <c r="C353" s="32" t="s">
        <v>30</v>
      </c>
      <c r="D353" s="32" t="s">
        <v>31</v>
      </c>
      <c r="E353" s="32" t="s">
        <v>32</v>
      </c>
      <c r="F353" s="33">
        <v>0</v>
      </c>
      <c r="G353" s="33">
        <v>0</v>
      </c>
    </row>
    <row r="354" spans="1:7" x14ac:dyDescent="0.3">
      <c r="A354" s="32" t="s">
        <v>32</v>
      </c>
      <c r="B354" s="32" t="s">
        <v>169</v>
      </c>
      <c r="C354" s="32" t="s">
        <v>30</v>
      </c>
      <c r="D354" s="32" t="s">
        <v>31</v>
      </c>
      <c r="E354" s="32" t="s">
        <v>32</v>
      </c>
      <c r="F354" s="33">
        <v>0</v>
      </c>
      <c r="G354" s="33">
        <v>0</v>
      </c>
    </row>
    <row r="355" spans="1:7" x14ac:dyDescent="0.3">
      <c r="A355" s="32" t="s">
        <v>32</v>
      </c>
      <c r="B355" s="32" t="s">
        <v>177</v>
      </c>
      <c r="C355" s="32" t="s">
        <v>30</v>
      </c>
      <c r="D355" s="32" t="s">
        <v>31</v>
      </c>
      <c r="E355" s="32" t="s">
        <v>32</v>
      </c>
      <c r="F355" s="33">
        <v>0</v>
      </c>
      <c r="G355" s="33">
        <v>0</v>
      </c>
    </row>
    <row r="356" spans="1:7" x14ac:dyDescent="0.3">
      <c r="A356" s="32" t="s">
        <v>32</v>
      </c>
      <c r="B356" s="32" t="s">
        <v>181</v>
      </c>
      <c r="C356" s="32" t="s">
        <v>30</v>
      </c>
      <c r="D356" s="32" t="s">
        <v>31</v>
      </c>
      <c r="E356" s="32" t="s">
        <v>32</v>
      </c>
      <c r="F356" s="33">
        <v>0</v>
      </c>
      <c r="G356" s="33">
        <v>0</v>
      </c>
    </row>
    <row r="357" spans="1:7" x14ac:dyDescent="0.3">
      <c r="A357" s="32" t="s">
        <v>32</v>
      </c>
      <c r="B357" s="32" t="s">
        <v>182</v>
      </c>
      <c r="C357" s="32" t="s">
        <v>30</v>
      </c>
      <c r="D357" s="32" t="s">
        <v>31</v>
      </c>
      <c r="E357" s="32" t="s">
        <v>32</v>
      </c>
      <c r="F357" s="33">
        <v>0</v>
      </c>
      <c r="G357" s="33">
        <v>0</v>
      </c>
    </row>
    <row r="358" spans="1:7" x14ac:dyDescent="0.3">
      <c r="A358" s="32" t="s">
        <v>32</v>
      </c>
      <c r="B358" s="32" t="s">
        <v>183</v>
      </c>
      <c r="C358" s="32" t="s">
        <v>30</v>
      </c>
      <c r="D358" s="32" t="s">
        <v>31</v>
      </c>
      <c r="E358" s="32" t="s">
        <v>32</v>
      </c>
      <c r="F358" s="33">
        <v>0</v>
      </c>
      <c r="G358" s="33">
        <v>0</v>
      </c>
    </row>
    <row r="359" spans="1:7" x14ac:dyDescent="0.3">
      <c r="A359" s="32" t="s">
        <v>32</v>
      </c>
      <c r="B359" s="32" t="s">
        <v>165</v>
      </c>
      <c r="C359" s="32" t="s">
        <v>30</v>
      </c>
      <c r="D359" s="32" t="s">
        <v>31</v>
      </c>
      <c r="E359" s="32" t="s">
        <v>32</v>
      </c>
      <c r="F359" s="33">
        <v>0</v>
      </c>
      <c r="G359" s="33">
        <v>0</v>
      </c>
    </row>
    <row r="360" spans="1:7" x14ac:dyDescent="0.3">
      <c r="A360" s="32" t="s">
        <v>32</v>
      </c>
      <c r="B360" s="32" t="s">
        <v>201</v>
      </c>
      <c r="C360" s="32" t="s">
        <v>30</v>
      </c>
      <c r="D360" s="32" t="s">
        <v>31</v>
      </c>
      <c r="E360" s="32" t="s">
        <v>32</v>
      </c>
      <c r="F360" s="33">
        <v>0</v>
      </c>
      <c r="G360" s="33">
        <v>0</v>
      </c>
    </row>
    <row r="361" spans="1:7" x14ac:dyDescent="0.3">
      <c r="A361" s="32" t="s">
        <v>32</v>
      </c>
      <c r="B361" s="32" t="s">
        <v>201</v>
      </c>
      <c r="C361" s="32" t="s">
        <v>30</v>
      </c>
      <c r="D361" s="32" t="s">
        <v>31</v>
      </c>
      <c r="E361" s="32" t="s">
        <v>32</v>
      </c>
      <c r="F361" s="33">
        <v>0</v>
      </c>
      <c r="G361" s="33">
        <v>0</v>
      </c>
    </row>
    <row r="362" spans="1:7" x14ac:dyDescent="0.3">
      <c r="A362" s="32" t="s">
        <v>32</v>
      </c>
      <c r="B362" s="32" t="s">
        <v>206</v>
      </c>
      <c r="C362" s="32" t="s">
        <v>30</v>
      </c>
      <c r="D362" s="32" t="s">
        <v>31</v>
      </c>
      <c r="E362" s="32" t="s">
        <v>32</v>
      </c>
      <c r="F362" s="33">
        <v>0</v>
      </c>
      <c r="G362" s="33">
        <v>0</v>
      </c>
    </row>
    <row r="363" spans="1:7" x14ac:dyDescent="0.3">
      <c r="A363" s="32" t="s">
        <v>32</v>
      </c>
      <c r="B363" s="32" t="s">
        <v>208</v>
      </c>
      <c r="C363" s="32" t="s">
        <v>30</v>
      </c>
      <c r="D363" s="32" t="s">
        <v>31</v>
      </c>
      <c r="E363" s="32" t="s">
        <v>32</v>
      </c>
      <c r="F363" s="33">
        <v>0</v>
      </c>
      <c r="G363" s="33">
        <v>0</v>
      </c>
    </row>
    <row r="364" spans="1:7" x14ac:dyDescent="0.3">
      <c r="A364" s="32" t="s">
        <v>32</v>
      </c>
      <c r="B364" s="32" t="s">
        <v>209</v>
      </c>
      <c r="C364" s="32" t="s">
        <v>30</v>
      </c>
      <c r="D364" s="32" t="s">
        <v>31</v>
      </c>
      <c r="E364" s="32" t="s">
        <v>32</v>
      </c>
      <c r="F364" s="33">
        <v>0</v>
      </c>
      <c r="G364" s="33">
        <v>0</v>
      </c>
    </row>
    <row r="365" spans="1:7" x14ac:dyDescent="0.3">
      <c r="A365" s="32" t="s">
        <v>32</v>
      </c>
      <c r="B365" s="32" t="s">
        <v>214</v>
      </c>
      <c r="C365" s="32" t="s">
        <v>30</v>
      </c>
      <c r="D365" s="32" t="s">
        <v>31</v>
      </c>
      <c r="E365" s="32" t="s">
        <v>32</v>
      </c>
      <c r="F365" s="33">
        <v>0</v>
      </c>
      <c r="G365" s="33">
        <v>0</v>
      </c>
    </row>
    <row r="366" spans="1:7" x14ac:dyDescent="0.3">
      <c r="A366" s="32" t="s">
        <v>32</v>
      </c>
      <c r="B366" s="32" t="s">
        <v>215</v>
      </c>
      <c r="C366" s="32" t="s">
        <v>30</v>
      </c>
      <c r="D366" s="32" t="s">
        <v>31</v>
      </c>
      <c r="E366" s="32" t="s">
        <v>32</v>
      </c>
      <c r="F366" s="33">
        <v>0</v>
      </c>
      <c r="G366" s="33">
        <v>0</v>
      </c>
    </row>
    <row r="367" spans="1:7" x14ac:dyDescent="0.3">
      <c r="A367" s="32" t="s">
        <v>32</v>
      </c>
      <c r="B367" s="32" t="s">
        <v>216</v>
      </c>
      <c r="C367" s="32" t="s">
        <v>30</v>
      </c>
      <c r="D367" s="32" t="s">
        <v>31</v>
      </c>
      <c r="E367" s="32" t="s">
        <v>32</v>
      </c>
      <c r="F367" s="33">
        <v>0</v>
      </c>
      <c r="G367" s="33">
        <v>0</v>
      </c>
    </row>
    <row r="368" spans="1:7" x14ac:dyDescent="0.3">
      <c r="A368" s="32" t="s">
        <v>32</v>
      </c>
      <c r="B368" s="32" t="s">
        <v>217</v>
      </c>
      <c r="C368" s="32" t="s">
        <v>30</v>
      </c>
      <c r="D368" s="32" t="s">
        <v>31</v>
      </c>
      <c r="E368" s="32" t="s">
        <v>32</v>
      </c>
      <c r="F368" s="33">
        <v>0</v>
      </c>
      <c r="G368" s="33">
        <v>0</v>
      </c>
    </row>
    <row r="369" spans="1:7" x14ac:dyDescent="0.3">
      <c r="A369" s="32" t="s">
        <v>32</v>
      </c>
      <c r="B369" s="32" t="s">
        <v>218</v>
      </c>
      <c r="C369" s="32" t="s">
        <v>30</v>
      </c>
      <c r="D369" s="32" t="s">
        <v>31</v>
      </c>
      <c r="E369" s="32" t="s">
        <v>32</v>
      </c>
      <c r="F369" s="33">
        <v>0</v>
      </c>
      <c r="G369" s="33">
        <v>0</v>
      </c>
    </row>
    <row r="370" spans="1:7" x14ac:dyDescent="0.3">
      <c r="A370" s="32" t="s">
        <v>32</v>
      </c>
      <c r="B370" s="32" t="s">
        <v>235</v>
      </c>
      <c r="C370" s="32" t="s">
        <v>30</v>
      </c>
      <c r="D370" s="32" t="s">
        <v>31</v>
      </c>
      <c r="E370" s="32" t="s">
        <v>32</v>
      </c>
      <c r="F370" s="33">
        <v>0</v>
      </c>
      <c r="G370" s="33">
        <v>0</v>
      </c>
    </row>
    <row r="371" spans="1:7" x14ac:dyDescent="0.3">
      <c r="A371" s="32" t="s">
        <v>32</v>
      </c>
      <c r="B371" s="32" t="s">
        <v>235</v>
      </c>
      <c r="C371" s="32" t="s">
        <v>30</v>
      </c>
      <c r="D371" s="32" t="s">
        <v>31</v>
      </c>
      <c r="E371" s="32" t="s">
        <v>32</v>
      </c>
      <c r="F371" s="33">
        <v>0</v>
      </c>
      <c r="G371" s="33">
        <v>0</v>
      </c>
    </row>
    <row r="372" spans="1:7" x14ac:dyDescent="0.3">
      <c r="A372" s="32" t="s">
        <v>32</v>
      </c>
      <c r="B372" s="32" t="s">
        <v>236</v>
      </c>
      <c r="C372" s="32" t="s">
        <v>30</v>
      </c>
      <c r="D372" s="32" t="s">
        <v>31</v>
      </c>
      <c r="E372" s="32" t="s">
        <v>32</v>
      </c>
      <c r="F372" s="33">
        <v>0</v>
      </c>
      <c r="G372" s="33">
        <v>0</v>
      </c>
    </row>
    <row r="373" spans="1:7" x14ac:dyDescent="0.3">
      <c r="A373" s="32" t="s">
        <v>32</v>
      </c>
      <c r="B373" s="32" t="s">
        <v>164</v>
      </c>
      <c r="C373" s="32" t="s">
        <v>30</v>
      </c>
      <c r="D373" s="32" t="s">
        <v>31</v>
      </c>
      <c r="E373" s="32" t="s">
        <v>32</v>
      </c>
      <c r="F373" s="33">
        <v>0</v>
      </c>
      <c r="G373" s="33">
        <v>0</v>
      </c>
    </row>
    <row r="374" spans="1:7" x14ac:dyDescent="0.3">
      <c r="A374" s="32" t="s">
        <v>32</v>
      </c>
      <c r="B374" s="32" t="s">
        <v>237</v>
      </c>
      <c r="C374" s="32" t="s">
        <v>30</v>
      </c>
      <c r="D374" s="32" t="s">
        <v>31</v>
      </c>
      <c r="E374" s="32" t="s">
        <v>32</v>
      </c>
      <c r="F374" s="33">
        <v>0</v>
      </c>
      <c r="G374" s="33">
        <v>0</v>
      </c>
    </row>
    <row r="375" spans="1:7" x14ac:dyDescent="0.3">
      <c r="A375" s="32" t="s">
        <v>32</v>
      </c>
      <c r="B375" s="32" t="s">
        <v>238</v>
      </c>
      <c r="C375" s="32" t="s">
        <v>30</v>
      </c>
      <c r="D375" s="32" t="s">
        <v>31</v>
      </c>
      <c r="E375" s="32" t="s">
        <v>32</v>
      </c>
      <c r="F375" s="33">
        <v>0</v>
      </c>
      <c r="G375" s="33">
        <v>0</v>
      </c>
    </row>
    <row r="376" spans="1:7" x14ac:dyDescent="0.3">
      <c r="A376" s="32" t="s">
        <v>32</v>
      </c>
      <c r="B376" s="32" t="s">
        <v>243</v>
      </c>
      <c r="C376" s="32" t="s">
        <v>30</v>
      </c>
      <c r="D376" s="32" t="s">
        <v>31</v>
      </c>
      <c r="E376" s="32" t="s">
        <v>32</v>
      </c>
      <c r="F376" s="33">
        <v>0</v>
      </c>
      <c r="G376" s="33">
        <v>0</v>
      </c>
    </row>
    <row r="377" spans="1:7" x14ac:dyDescent="0.3">
      <c r="A377" s="32" t="s">
        <v>32</v>
      </c>
      <c r="B377" s="32" t="s">
        <v>245</v>
      </c>
      <c r="C377" s="32" t="s">
        <v>30</v>
      </c>
      <c r="D377" s="32" t="s">
        <v>31</v>
      </c>
      <c r="E377" s="32" t="s">
        <v>32</v>
      </c>
      <c r="F377" s="33">
        <v>0</v>
      </c>
      <c r="G377" s="33">
        <v>0</v>
      </c>
    </row>
    <row r="378" spans="1:7" x14ac:dyDescent="0.3">
      <c r="A378" s="32" t="s">
        <v>32</v>
      </c>
      <c r="B378" s="32" t="s">
        <v>246</v>
      </c>
      <c r="C378" s="32" t="s">
        <v>30</v>
      </c>
      <c r="D378" s="32" t="s">
        <v>31</v>
      </c>
      <c r="E378" s="32" t="s">
        <v>32</v>
      </c>
      <c r="F378" s="33">
        <v>0</v>
      </c>
      <c r="G378" s="33">
        <v>0</v>
      </c>
    </row>
    <row r="379" spans="1:7" x14ac:dyDescent="0.3">
      <c r="A379" s="32" t="s">
        <v>32</v>
      </c>
      <c r="B379" s="32" t="s">
        <v>247</v>
      </c>
      <c r="C379" s="32" t="s">
        <v>30</v>
      </c>
      <c r="D379" s="32" t="s">
        <v>31</v>
      </c>
      <c r="E379" s="32" t="s">
        <v>32</v>
      </c>
      <c r="F379" s="33">
        <v>0</v>
      </c>
      <c r="G379" s="33">
        <v>0</v>
      </c>
    </row>
    <row r="380" spans="1:7" x14ac:dyDescent="0.3">
      <c r="A380" s="32" t="s">
        <v>32</v>
      </c>
      <c r="B380" s="32" t="s">
        <v>249</v>
      </c>
      <c r="C380" s="32" t="s">
        <v>30</v>
      </c>
      <c r="D380" s="32" t="s">
        <v>31</v>
      </c>
      <c r="E380" s="32" t="s">
        <v>32</v>
      </c>
      <c r="F380" s="33">
        <v>0</v>
      </c>
      <c r="G380" s="33">
        <v>0</v>
      </c>
    </row>
    <row r="381" spans="1:7" x14ac:dyDescent="0.3">
      <c r="A381" s="32" t="s">
        <v>32</v>
      </c>
      <c r="B381" s="32" t="s">
        <v>257</v>
      </c>
      <c r="C381" s="32" t="s">
        <v>30</v>
      </c>
      <c r="D381" s="32" t="s">
        <v>31</v>
      </c>
      <c r="E381" s="32" t="s">
        <v>32</v>
      </c>
      <c r="F381" s="33">
        <v>0</v>
      </c>
      <c r="G381" s="33">
        <v>0</v>
      </c>
    </row>
    <row r="382" spans="1:7" x14ac:dyDescent="0.3">
      <c r="A382" s="32" t="s">
        <v>32</v>
      </c>
      <c r="B382" s="32" t="s">
        <v>258</v>
      </c>
      <c r="C382" s="32" t="s">
        <v>30</v>
      </c>
      <c r="D382" s="32" t="s">
        <v>31</v>
      </c>
      <c r="E382" s="32" t="s">
        <v>32</v>
      </c>
      <c r="F382" s="33">
        <v>0</v>
      </c>
      <c r="G382" s="33">
        <v>0</v>
      </c>
    </row>
    <row r="383" spans="1:7" x14ac:dyDescent="0.3">
      <c r="A383" s="32" t="s">
        <v>32</v>
      </c>
      <c r="B383" s="32" t="s">
        <v>259</v>
      </c>
      <c r="C383" s="32" t="s">
        <v>30</v>
      </c>
      <c r="D383" s="32" t="s">
        <v>31</v>
      </c>
      <c r="E383" s="32" t="s">
        <v>32</v>
      </c>
      <c r="F383" s="33">
        <v>0</v>
      </c>
      <c r="G383" s="33">
        <v>0</v>
      </c>
    </row>
    <row r="384" spans="1:7" x14ac:dyDescent="0.3">
      <c r="A384" s="32" t="s">
        <v>32</v>
      </c>
      <c r="B384" s="32" t="s">
        <v>260</v>
      </c>
      <c r="C384" s="32" t="s">
        <v>30</v>
      </c>
      <c r="D384" s="32" t="s">
        <v>31</v>
      </c>
      <c r="E384" s="32" t="s">
        <v>32</v>
      </c>
      <c r="F384" s="33">
        <v>0</v>
      </c>
      <c r="G384" s="33">
        <v>0</v>
      </c>
    </row>
    <row r="385" spans="1:7" x14ac:dyDescent="0.3">
      <c r="A385" s="32" t="s">
        <v>32</v>
      </c>
      <c r="B385" s="32" t="s">
        <v>260</v>
      </c>
      <c r="C385" s="32" t="s">
        <v>30</v>
      </c>
      <c r="D385" s="32" t="s">
        <v>31</v>
      </c>
      <c r="E385" s="32" t="s">
        <v>32</v>
      </c>
      <c r="F385" s="33">
        <v>0</v>
      </c>
      <c r="G385" s="33">
        <v>0</v>
      </c>
    </row>
    <row r="386" spans="1:7" x14ac:dyDescent="0.3">
      <c r="A386" s="32" t="s">
        <v>32</v>
      </c>
      <c r="B386" s="32" t="s">
        <v>261</v>
      </c>
      <c r="C386" s="32" t="s">
        <v>30</v>
      </c>
      <c r="D386" s="32" t="s">
        <v>31</v>
      </c>
      <c r="E386" s="32" t="s">
        <v>32</v>
      </c>
      <c r="F386" s="33">
        <v>0</v>
      </c>
      <c r="G386" s="33">
        <v>0</v>
      </c>
    </row>
    <row r="387" spans="1:7" x14ac:dyDescent="0.3">
      <c r="A387" s="32" t="s">
        <v>32</v>
      </c>
      <c r="B387" s="32" t="s">
        <v>278</v>
      </c>
      <c r="C387" s="32" t="s">
        <v>30</v>
      </c>
      <c r="D387" s="32" t="s">
        <v>31</v>
      </c>
      <c r="E387" s="32" t="s">
        <v>32</v>
      </c>
      <c r="F387" s="33">
        <v>0</v>
      </c>
      <c r="G387" s="33">
        <v>0</v>
      </c>
    </row>
    <row r="388" spans="1:7" x14ac:dyDescent="0.3">
      <c r="A388" s="32" t="s">
        <v>32</v>
      </c>
      <c r="B388" s="32" t="s">
        <v>246</v>
      </c>
      <c r="C388" s="32" t="s">
        <v>30</v>
      </c>
      <c r="D388" s="32" t="s">
        <v>31</v>
      </c>
      <c r="E388" s="32" t="s">
        <v>32</v>
      </c>
      <c r="F388" s="33">
        <v>0</v>
      </c>
      <c r="G388" s="33">
        <v>0</v>
      </c>
    </row>
    <row r="389" spans="1:7" x14ac:dyDescent="0.3">
      <c r="A389" s="32" t="s">
        <v>32</v>
      </c>
      <c r="B389" s="32" t="s">
        <v>282</v>
      </c>
      <c r="C389" s="32" t="s">
        <v>30</v>
      </c>
      <c r="D389" s="32" t="s">
        <v>31</v>
      </c>
      <c r="E389" s="32" t="s">
        <v>32</v>
      </c>
      <c r="F389" s="33">
        <v>0</v>
      </c>
      <c r="G389" s="33">
        <v>0</v>
      </c>
    </row>
    <row r="390" spans="1:7" x14ac:dyDescent="0.3">
      <c r="A390" s="32" t="s">
        <v>32</v>
      </c>
      <c r="B390" s="32" t="s">
        <v>283</v>
      </c>
      <c r="C390" s="32" t="s">
        <v>30</v>
      </c>
      <c r="D390" s="32" t="s">
        <v>31</v>
      </c>
      <c r="E390" s="32" t="s">
        <v>32</v>
      </c>
      <c r="F390" s="33">
        <v>0</v>
      </c>
      <c r="G390" s="33">
        <v>0</v>
      </c>
    </row>
    <row r="391" spans="1:7" x14ac:dyDescent="0.3">
      <c r="A391" s="32" t="s">
        <v>32</v>
      </c>
      <c r="B391" s="32" t="s">
        <v>287</v>
      </c>
      <c r="C391" s="32" t="s">
        <v>30</v>
      </c>
      <c r="D391" s="32" t="s">
        <v>31</v>
      </c>
      <c r="E391" s="32" t="s">
        <v>32</v>
      </c>
      <c r="F391" s="33">
        <v>0</v>
      </c>
      <c r="G391" s="33">
        <v>0</v>
      </c>
    </row>
    <row r="392" spans="1:7" x14ac:dyDescent="0.3">
      <c r="A392" s="32" t="s">
        <v>32</v>
      </c>
      <c r="B392" s="32" t="s">
        <v>293</v>
      </c>
      <c r="C392" s="32" t="s">
        <v>30</v>
      </c>
      <c r="D392" s="32" t="s">
        <v>31</v>
      </c>
      <c r="E392" s="32" t="s">
        <v>32</v>
      </c>
      <c r="F392" s="33">
        <v>0</v>
      </c>
      <c r="G392" s="33">
        <v>0</v>
      </c>
    </row>
    <row r="393" spans="1:7" x14ac:dyDescent="0.3">
      <c r="A393" s="32" t="s">
        <v>32</v>
      </c>
      <c r="B393" s="32" t="s">
        <v>294</v>
      </c>
      <c r="C393" s="32" t="s">
        <v>30</v>
      </c>
      <c r="D393" s="32" t="s">
        <v>31</v>
      </c>
      <c r="E393" s="32" t="s">
        <v>32</v>
      </c>
      <c r="F393" s="33">
        <v>0</v>
      </c>
      <c r="G393" s="33">
        <v>0</v>
      </c>
    </row>
    <row r="394" spans="1:7" x14ac:dyDescent="0.3">
      <c r="A394" s="32" t="s">
        <v>32</v>
      </c>
      <c r="B394" s="32" t="s">
        <v>295</v>
      </c>
      <c r="C394" s="32" t="s">
        <v>30</v>
      </c>
      <c r="D394" s="32" t="s">
        <v>31</v>
      </c>
      <c r="E394" s="32" t="s">
        <v>32</v>
      </c>
      <c r="F394" s="33">
        <v>0</v>
      </c>
      <c r="G394" s="33">
        <v>0</v>
      </c>
    </row>
    <row r="395" spans="1:7" x14ac:dyDescent="0.3">
      <c r="A395" s="32" t="s">
        <v>32</v>
      </c>
      <c r="B395" s="32" t="s">
        <v>305</v>
      </c>
      <c r="C395" s="32" t="s">
        <v>30</v>
      </c>
      <c r="D395" s="32" t="s">
        <v>31</v>
      </c>
      <c r="E395" s="32" t="s">
        <v>32</v>
      </c>
      <c r="F395" s="33">
        <v>0</v>
      </c>
      <c r="G395" s="33">
        <v>0</v>
      </c>
    </row>
    <row r="396" spans="1:7" x14ac:dyDescent="0.3">
      <c r="A396" s="32" t="s">
        <v>32</v>
      </c>
      <c r="B396" s="32" t="s">
        <v>306</v>
      </c>
      <c r="C396" s="32" t="s">
        <v>30</v>
      </c>
      <c r="D396" s="32" t="s">
        <v>31</v>
      </c>
      <c r="E396" s="32" t="s">
        <v>32</v>
      </c>
      <c r="F396" s="33">
        <v>0</v>
      </c>
      <c r="G396" s="33">
        <v>0</v>
      </c>
    </row>
    <row r="397" spans="1:7" x14ac:dyDescent="0.3">
      <c r="A397" s="32" t="s">
        <v>32</v>
      </c>
      <c r="B397" s="32" t="s">
        <v>238</v>
      </c>
      <c r="C397" s="32" t="s">
        <v>30</v>
      </c>
      <c r="D397" s="32" t="s">
        <v>31</v>
      </c>
      <c r="E397" s="32" t="s">
        <v>32</v>
      </c>
      <c r="F397" s="33">
        <v>0</v>
      </c>
      <c r="G397" s="33">
        <v>0</v>
      </c>
    </row>
    <row r="398" spans="1:7" x14ac:dyDescent="0.3">
      <c r="A398" s="32" t="s">
        <v>32</v>
      </c>
      <c r="B398" s="32" t="s">
        <v>312</v>
      </c>
      <c r="C398" s="32" t="s">
        <v>30</v>
      </c>
      <c r="D398" s="32" t="s">
        <v>31</v>
      </c>
      <c r="E398" s="32" t="s">
        <v>32</v>
      </c>
      <c r="F398" s="33">
        <v>0</v>
      </c>
      <c r="G398" s="33">
        <v>0</v>
      </c>
    </row>
    <row r="399" spans="1:7" x14ac:dyDescent="0.3">
      <c r="A399" s="32" t="s">
        <v>32</v>
      </c>
      <c r="B399" s="32" t="s">
        <v>127</v>
      </c>
      <c r="C399" s="32" t="s">
        <v>30</v>
      </c>
      <c r="D399" s="32" t="s">
        <v>31</v>
      </c>
      <c r="E399" s="32" t="s">
        <v>32</v>
      </c>
      <c r="F399" s="33">
        <v>0</v>
      </c>
      <c r="G399" s="33">
        <v>0</v>
      </c>
    </row>
    <row r="400" spans="1:7" x14ac:dyDescent="0.3">
      <c r="A400" s="32" t="s">
        <v>32</v>
      </c>
      <c r="B400" s="32" t="s">
        <v>316</v>
      </c>
      <c r="C400" s="32" t="s">
        <v>30</v>
      </c>
      <c r="D400" s="32" t="s">
        <v>31</v>
      </c>
      <c r="E400" s="32" t="s">
        <v>32</v>
      </c>
      <c r="F400" s="33">
        <v>0</v>
      </c>
      <c r="G400" s="33">
        <v>0</v>
      </c>
    </row>
    <row r="401" spans="1:7" x14ac:dyDescent="0.3">
      <c r="A401" s="32" t="s">
        <v>32</v>
      </c>
      <c r="B401" s="32" t="s">
        <v>325</v>
      </c>
      <c r="C401" s="32" t="s">
        <v>30</v>
      </c>
      <c r="D401" s="32" t="s">
        <v>31</v>
      </c>
      <c r="E401" s="32" t="s">
        <v>32</v>
      </c>
      <c r="F401" s="33">
        <v>0</v>
      </c>
      <c r="G401" s="33">
        <v>0</v>
      </c>
    </row>
    <row r="402" spans="1:7" x14ac:dyDescent="0.3">
      <c r="A402" s="32" t="s">
        <v>32</v>
      </c>
      <c r="B402" s="32" t="s">
        <v>326</v>
      </c>
      <c r="C402" s="32" t="s">
        <v>30</v>
      </c>
      <c r="D402" s="32" t="s">
        <v>31</v>
      </c>
      <c r="E402" s="32" t="s">
        <v>32</v>
      </c>
      <c r="F402" s="33">
        <v>0</v>
      </c>
      <c r="G402" s="33">
        <v>0</v>
      </c>
    </row>
    <row r="403" spans="1:7" x14ac:dyDescent="0.3">
      <c r="A403" s="32" t="s">
        <v>32</v>
      </c>
      <c r="B403" s="32" t="s">
        <v>326</v>
      </c>
      <c r="C403" s="32" t="s">
        <v>30</v>
      </c>
      <c r="D403" s="32" t="s">
        <v>31</v>
      </c>
      <c r="E403" s="32" t="s">
        <v>32</v>
      </c>
      <c r="F403" s="33">
        <v>0</v>
      </c>
      <c r="G403" s="33">
        <v>0</v>
      </c>
    </row>
    <row r="404" spans="1:7" x14ac:dyDescent="0.3">
      <c r="A404" s="32" t="s">
        <v>32</v>
      </c>
      <c r="B404" s="32" t="s">
        <v>217</v>
      </c>
      <c r="C404" s="32" t="s">
        <v>30</v>
      </c>
      <c r="D404" s="32" t="s">
        <v>31</v>
      </c>
      <c r="E404" s="32" t="s">
        <v>32</v>
      </c>
      <c r="F404" s="33">
        <v>0</v>
      </c>
      <c r="G404" s="33">
        <v>0</v>
      </c>
    </row>
    <row r="405" spans="1:7" x14ac:dyDescent="0.3">
      <c r="A405" s="32" t="s">
        <v>32</v>
      </c>
      <c r="B405" s="32" t="s">
        <v>237</v>
      </c>
      <c r="C405" s="32" t="s">
        <v>30</v>
      </c>
      <c r="D405" s="32" t="s">
        <v>31</v>
      </c>
      <c r="E405" s="32" t="s">
        <v>32</v>
      </c>
      <c r="F405" s="33">
        <v>0</v>
      </c>
      <c r="G405" s="33">
        <v>0</v>
      </c>
    </row>
    <row r="406" spans="1:7" x14ac:dyDescent="0.3">
      <c r="A406" s="32" t="s">
        <v>32</v>
      </c>
      <c r="B406" s="32" t="s">
        <v>342</v>
      </c>
      <c r="C406" s="32" t="s">
        <v>30</v>
      </c>
      <c r="D406" s="32" t="s">
        <v>31</v>
      </c>
      <c r="E406" s="32" t="s">
        <v>32</v>
      </c>
      <c r="F406" s="33">
        <v>0</v>
      </c>
      <c r="G406" s="33">
        <v>0</v>
      </c>
    </row>
    <row r="407" spans="1:7" x14ac:dyDescent="0.3">
      <c r="A407" s="32" t="s">
        <v>32</v>
      </c>
      <c r="B407" s="32" t="s">
        <v>343</v>
      </c>
      <c r="C407" s="32" t="s">
        <v>30</v>
      </c>
      <c r="D407" s="32" t="s">
        <v>31</v>
      </c>
      <c r="E407" s="32" t="s">
        <v>32</v>
      </c>
      <c r="F407" s="33">
        <v>0</v>
      </c>
      <c r="G407" s="33">
        <v>0</v>
      </c>
    </row>
    <row r="408" spans="1:7" x14ac:dyDescent="0.3">
      <c r="A408" s="32" t="s">
        <v>32</v>
      </c>
      <c r="B408" s="32" t="s">
        <v>243</v>
      </c>
      <c r="C408" s="32" t="s">
        <v>30</v>
      </c>
      <c r="D408" s="32" t="s">
        <v>31</v>
      </c>
      <c r="E408" s="32" t="s">
        <v>32</v>
      </c>
      <c r="F408" s="33">
        <v>0</v>
      </c>
      <c r="G408" s="33">
        <v>0</v>
      </c>
    </row>
    <row r="409" spans="1:7" x14ac:dyDescent="0.3">
      <c r="A409" s="32" t="s">
        <v>32</v>
      </c>
      <c r="B409" s="32" t="s">
        <v>353</v>
      </c>
      <c r="C409" s="32" t="s">
        <v>30</v>
      </c>
      <c r="D409" s="32" t="s">
        <v>31</v>
      </c>
      <c r="E409" s="32" t="s">
        <v>32</v>
      </c>
      <c r="F409" s="33">
        <v>0</v>
      </c>
      <c r="G409" s="33">
        <v>0</v>
      </c>
    </row>
    <row r="410" spans="1:7" x14ac:dyDescent="0.3">
      <c r="A410" s="32" t="s">
        <v>32</v>
      </c>
      <c r="B410" s="32" t="s">
        <v>354</v>
      </c>
      <c r="C410" s="32" t="s">
        <v>30</v>
      </c>
      <c r="D410" s="32" t="s">
        <v>31</v>
      </c>
      <c r="E410" s="32" t="s">
        <v>32</v>
      </c>
      <c r="F410" s="33">
        <v>0</v>
      </c>
      <c r="G410" s="33">
        <v>0</v>
      </c>
    </row>
    <row r="411" spans="1:7" x14ac:dyDescent="0.3">
      <c r="A411" s="32" t="s">
        <v>32</v>
      </c>
      <c r="B411" s="32" t="s">
        <v>355</v>
      </c>
      <c r="C411" s="32" t="s">
        <v>30</v>
      </c>
      <c r="D411" s="32" t="s">
        <v>31</v>
      </c>
      <c r="E411" s="32" t="s">
        <v>32</v>
      </c>
      <c r="F411" s="33">
        <v>0</v>
      </c>
      <c r="G411" s="33">
        <v>0</v>
      </c>
    </row>
    <row r="412" spans="1:7" x14ac:dyDescent="0.3">
      <c r="A412" s="32" t="s">
        <v>32</v>
      </c>
      <c r="B412" s="32" t="s">
        <v>356</v>
      </c>
      <c r="C412" s="32" t="s">
        <v>30</v>
      </c>
      <c r="D412" s="32" t="s">
        <v>31</v>
      </c>
      <c r="E412" s="32" t="s">
        <v>32</v>
      </c>
      <c r="F412" s="33">
        <v>0</v>
      </c>
      <c r="G412" s="33">
        <v>0</v>
      </c>
    </row>
    <row r="413" spans="1:7" x14ac:dyDescent="0.3">
      <c r="A413" s="32" t="s">
        <v>32</v>
      </c>
      <c r="B413" s="32" t="s">
        <v>382</v>
      </c>
      <c r="C413" s="32" t="s">
        <v>30</v>
      </c>
      <c r="D413" s="32" t="s">
        <v>31</v>
      </c>
      <c r="E413" s="32" t="s">
        <v>32</v>
      </c>
      <c r="F413" s="33">
        <v>0</v>
      </c>
      <c r="G413" s="33">
        <v>0</v>
      </c>
    </row>
    <row r="414" spans="1:7" x14ac:dyDescent="0.3">
      <c r="A414" s="32" t="s">
        <v>32</v>
      </c>
      <c r="B414" s="32" t="s">
        <v>52</v>
      </c>
      <c r="C414" s="32" t="s">
        <v>30</v>
      </c>
      <c r="D414" s="32" t="s">
        <v>31</v>
      </c>
      <c r="E414" s="32" t="s">
        <v>32</v>
      </c>
      <c r="F414" s="33">
        <v>0</v>
      </c>
      <c r="G414" s="33">
        <v>0</v>
      </c>
    </row>
    <row r="415" spans="1:7" x14ac:dyDescent="0.3">
      <c r="A415" s="32" t="s">
        <v>32</v>
      </c>
      <c r="B415" s="32" t="s">
        <v>163</v>
      </c>
      <c r="C415" s="32" t="s">
        <v>30</v>
      </c>
      <c r="D415" s="32" t="s">
        <v>31</v>
      </c>
      <c r="E415" s="32" t="s">
        <v>32</v>
      </c>
      <c r="F415" s="33">
        <v>0</v>
      </c>
      <c r="G415" s="33">
        <v>0</v>
      </c>
    </row>
    <row r="416" spans="1:7" x14ac:dyDescent="0.3">
      <c r="A416" s="32" t="s">
        <v>32</v>
      </c>
      <c r="B416" s="32" t="s">
        <v>385</v>
      </c>
      <c r="C416" s="32" t="s">
        <v>30</v>
      </c>
      <c r="D416" s="32" t="s">
        <v>31</v>
      </c>
      <c r="E416" s="32" t="s">
        <v>32</v>
      </c>
      <c r="F416" s="33">
        <v>0</v>
      </c>
      <c r="G416" s="33">
        <v>0</v>
      </c>
    </row>
    <row r="417" spans="1:7" x14ac:dyDescent="0.3">
      <c r="A417" s="32" t="s">
        <v>32</v>
      </c>
      <c r="B417" s="32" t="s">
        <v>389</v>
      </c>
      <c r="C417" s="32" t="s">
        <v>30</v>
      </c>
      <c r="D417" s="32" t="s">
        <v>31</v>
      </c>
      <c r="E417" s="32" t="s">
        <v>32</v>
      </c>
      <c r="F417" s="33">
        <v>0</v>
      </c>
      <c r="G417" s="33">
        <v>0</v>
      </c>
    </row>
    <row r="418" spans="1:7" x14ac:dyDescent="0.3">
      <c r="A418" s="32" t="s">
        <v>32</v>
      </c>
      <c r="B418" s="32" t="s">
        <v>391</v>
      </c>
      <c r="C418" s="32" t="s">
        <v>30</v>
      </c>
      <c r="D418" s="32" t="s">
        <v>31</v>
      </c>
      <c r="E418" s="32" t="s">
        <v>32</v>
      </c>
      <c r="F418" s="33">
        <v>0</v>
      </c>
      <c r="G418" s="33">
        <v>0</v>
      </c>
    </row>
    <row r="419" spans="1:7" x14ac:dyDescent="0.3">
      <c r="A419" s="32" t="s">
        <v>32</v>
      </c>
      <c r="B419" s="32" t="s">
        <v>392</v>
      </c>
      <c r="C419" s="32" t="s">
        <v>30</v>
      </c>
      <c r="D419" s="32" t="s">
        <v>31</v>
      </c>
      <c r="E419" s="32" t="s">
        <v>32</v>
      </c>
      <c r="F419" s="33">
        <v>0</v>
      </c>
      <c r="G419" s="33">
        <v>0</v>
      </c>
    </row>
    <row r="420" spans="1:7" x14ac:dyDescent="0.3">
      <c r="A420" s="32" t="s">
        <v>32</v>
      </c>
      <c r="B420" s="32" t="s">
        <v>394</v>
      </c>
      <c r="C420" s="32" t="s">
        <v>30</v>
      </c>
      <c r="D420" s="32" t="s">
        <v>31</v>
      </c>
      <c r="E420" s="32" t="s">
        <v>32</v>
      </c>
      <c r="F420" s="33">
        <v>0</v>
      </c>
      <c r="G420" s="33">
        <v>0</v>
      </c>
    </row>
    <row r="421" spans="1:7" x14ac:dyDescent="0.3">
      <c r="A421" s="32" t="s">
        <v>32</v>
      </c>
      <c r="B421" s="32" t="s">
        <v>396</v>
      </c>
      <c r="C421" s="32" t="s">
        <v>30</v>
      </c>
      <c r="D421" s="32" t="s">
        <v>31</v>
      </c>
      <c r="E421" s="32" t="s">
        <v>32</v>
      </c>
      <c r="F421" s="33">
        <v>0</v>
      </c>
      <c r="G421" s="33">
        <v>0</v>
      </c>
    </row>
    <row r="422" spans="1:7" x14ac:dyDescent="0.3">
      <c r="A422" s="32" t="s">
        <v>32</v>
      </c>
      <c r="B422" s="32" t="s">
        <v>33</v>
      </c>
      <c r="C422" s="32" t="s">
        <v>30</v>
      </c>
      <c r="D422" s="32" t="s">
        <v>31</v>
      </c>
      <c r="E422" s="32" t="s">
        <v>32</v>
      </c>
      <c r="F422" s="33">
        <v>0</v>
      </c>
      <c r="G422" s="33">
        <v>0</v>
      </c>
    </row>
    <row r="423" spans="1:7" x14ac:dyDescent="0.3">
      <c r="A423" s="32" t="s">
        <v>32</v>
      </c>
      <c r="B423" s="32" t="s">
        <v>399</v>
      </c>
      <c r="C423" s="32" t="s">
        <v>30</v>
      </c>
      <c r="D423" s="32" t="s">
        <v>31</v>
      </c>
      <c r="E423" s="32" t="s">
        <v>32</v>
      </c>
      <c r="F423" s="33">
        <v>0</v>
      </c>
      <c r="G423" s="33">
        <v>0</v>
      </c>
    </row>
    <row r="424" spans="1:7" x14ac:dyDescent="0.3">
      <c r="A424" s="32" t="s">
        <v>32</v>
      </c>
      <c r="B424" s="32" t="s">
        <v>236</v>
      </c>
      <c r="C424" s="32" t="s">
        <v>30</v>
      </c>
      <c r="D424" s="32" t="s">
        <v>31</v>
      </c>
      <c r="E424" s="32" t="s">
        <v>32</v>
      </c>
      <c r="F424" s="33">
        <v>0</v>
      </c>
      <c r="G424" s="33">
        <v>0</v>
      </c>
    </row>
    <row r="425" spans="1:7" x14ac:dyDescent="0.3">
      <c r="A425" s="32" t="s">
        <v>32</v>
      </c>
      <c r="B425" s="32" t="s">
        <v>86</v>
      </c>
      <c r="C425" s="32" t="s">
        <v>30</v>
      </c>
      <c r="D425" s="32" t="s">
        <v>31</v>
      </c>
      <c r="E425" s="32" t="s">
        <v>32</v>
      </c>
      <c r="F425" s="33">
        <v>0</v>
      </c>
      <c r="G425" s="33">
        <v>0</v>
      </c>
    </row>
    <row r="426" spans="1:7" x14ac:dyDescent="0.3">
      <c r="A426" s="32" t="s">
        <v>32</v>
      </c>
      <c r="B426" s="32" t="s">
        <v>419</v>
      </c>
      <c r="C426" s="32" t="s">
        <v>30</v>
      </c>
      <c r="D426" s="32" t="s">
        <v>31</v>
      </c>
      <c r="E426" s="32" t="s">
        <v>32</v>
      </c>
      <c r="F426" s="33">
        <v>0</v>
      </c>
      <c r="G426" s="33">
        <v>0</v>
      </c>
    </row>
    <row r="427" spans="1:7" x14ac:dyDescent="0.3">
      <c r="A427" s="32" t="s">
        <v>32</v>
      </c>
      <c r="B427" s="32" t="s">
        <v>422</v>
      </c>
      <c r="C427" s="32" t="s">
        <v>30</v>
      </c>
      <c r="D427" s="32" t="s">
        <v>31</v>
      </c>
      <c r="E427" s="32" t="s">
        <v>32</v>
      </c>
      <c r="F427" s="33">
        <v>0</v>
      </c>
      <c r="G427" s="33">
        <v>0</v>
      </c>
    </row>
    <row r="428" spans="1:7" x14ac:dyDescent="0.3">
      <c r="A428" s="32" t="s">
        <v>32</v>
      </c>
      <c r="B428" s="32" t="s">
        <v>424</v>
      </c>
      <c r="C428" s="32" t="s">
        <v>30</v>
      </c>
      <c r="D428" s="32" t="s">
        <v>31</v>
      </c>
      <c r="E428" s="32" t="s">
        <v>32</v>
      </c>
      <c r="F428" s="33">
        <v>0</v>
      </c>
      <c r="G428" s="33">
        <v>0</v>
      </c>
    </row>
    <row r="429" spans="1:7" x14ac:dyDescent="0.3">
      <c r="A429" s="32" t="s">
        <v>32</v>
      </c>
      <c r="B429" s="32" t="s">
        <v>425</v>
      </c>
      <c r="C429" s="32" t="s">
        <v>30</v>
      </c>
      <c r="D429" s="32" t="s">
        <v>31</v>
      </c>
      <c r="E429" s="32" t="s">
        <v>32</v>
      </c>
      <c r="F429" s="33">
        <v>0</v>
      </c>
      <c r="G429" s="33">
        <v>0</v>
      </c>
    </row>
    <row r="430" spans="1:7" x14ac:dyDescent="0.3">
      <c r="A430" s="32" t="s">
        <v>32</v>
      </c>
      <c r="B430" s="32" t="s">
        <v>426</v>
      </c>
      <c r="C430" s="32" t="s">
        <v>30</v>
      </c>
      <c r="D430" s="32" t="s">
        <v>31</v>
      </c>
      <c r="E430" s="32" t="s">
        <v>32</v>
      </c>
      <c r="F430" s="33">
        <v>0</v>
      </c>
      <c r="G430" s="33">
        <v>0</v>
      </c>
    </row>
    <row r="431" spans="1:7" x14ac:dyDescent="0.3">
      <c r="A431" s="32" t="s">
        <v>32</v>
      </c>
      <c r="B431" s="32" t="s">
        <v>436</v>
      </c>
      <c r="C431" s="32" t="s">
        <v>30</v>
      </c>
      <c r="D431" s="32" t="s">
        <v>31</v>
      </c>
      <c r="E431" s="32" t="s">
        <v>32</v>
      </c>
      <c r="F431" s="33">
        <v>0</v>
      </c>
      <c r="G431" s="33">
        <v>0</v>
      </c>
    </row>
    <row r="432" spans="1:7" x14ac:dyDescent="0.3">
      <c r="A432" s="32" t="s">
        <v>32</v>
      </c>
      <c r="B432" s="32" t="s">
        <v>437</v>
      </c>
      <c r="C432" s="32" t="s">
        <v>30</v>
      </c>
      <c r="D432" s="32" t="s">
        <v>31</v>
      </c>
      <c r="E432" s="32" t="s">
        <v>32</v>
      </c>
      <c r="F432" s="33">
        <v>0</v>
      </c>
      <c r="G432" s="33">
        <v>0</v>
      </c>
    </row>
    <row r="433" spans="1:7" x14ac:dyDescent="0.3">
      <c r="A433" s="32" t="s">
        <v>32</v>
      </c>
      <c r="B433" s="32" t="s">
        <v>438</v>
      </c>
      <c r="C433" s="32" t="s">
        <v>30</v>
      </c>
      <c r="D433" s="32" t="s">
        <v>31</v>
      </c>
      <c r="E433" s="32" t="s">
        <v>32</v>
      </c>
      <c r="F433" s="33">
        <v>0</v>
      </c>
      <c r="G433" s="33">
        <v>0</v>
      </c>
    </row>
    <row r="434" spans="1:7" x14ac:dyDescent="0.3">
      <c r="A434" s="32" t="s">
        <v>32</v>
      </c>
      <c r="B434" s="32" t="s">
        <v>74</v>
      </c>
      <c r="C434" s="32" t="s">
        <v>30</v>
      </c>
      <c r="D434" s="32" t="s">
        <v>31</v>
      </c>
      <c r="E434" s="32" t="s">
        <v>32</v>
      </c>
      <c r="F434" s="33">
        <v>0</v>
      </c>
      <c r="G434" s="33">
        <v>0</v>
      </c>
    </row>
    <row r="435" spans="1:7" x14ac:dyDescent="0.3">
      <c r="A435" s="32" t="s">
        <v>32</v>
      </c>
      <c r="B435" s="32" t="s">
        <v>399</v>
      </c>
      <c r="C435" s="32" t="s">
        <v>30</v>
      </c>
      <c r="D435" s="32" t="s">
        <v>31</v>
      </c>
      <c r="E435" s="32" t="s">
        <v>32</v>
      </c>
      <c r="F435" s="33">
        <v>0</v>
      </c>
      <c r="G435" s="33">
        <v>0</v>
      </c>
    </row>
    <row r="436" spans="1:7" x14ac:dyDescent="0.3">
      <c r="A436" s="32" t="s">
        <v>32</v>
      </c>
      <c r="B436" s="32" t="s">
        <v>458</v>
      </c>
      <c r="C436" s="32" t="s">
        <v>30</v>
      </c>
      <c r="D436" s="32" t="s">
        <v>31</v>
      </c>
      <c r="E436" s="32" t="s">
        <v>32</v>
      </c>
      <c r="F436" s="33">
        <v>0</v>
      </c>
      <c r="G436" s="33">
        <v>0</v>
      </c>
    </row>
    <row r="437" spans="1:7" x14ac:dyDescent="0.3">
      <c r="A437" s="32" t="s">
        <v>32</v>
      </c>
      <c r="B437" s="32" t="s">
        <v>459</v>
      </c>
      <c r="C437" s="32" t="s">
        <v>30</v>
      </c>
      <c r="D437" s="32" t="s">
        <v>31</v>
      </c>
      <c r="E437" s="32" t="s">
        <v>32</v>
      </c>
      <c r="F437" s="33">
        <v>0</v>
      </c>
      <c r="G437" s="33">
        <v>0</v>
      </c>
    </row>
    <row r="438" spans="1:7" x14ac:dyDescent="0.3">
      <c r="A438" s="32" t="s">
        <v>32</v>
      </c>
      <c r="B438" s="32" t="s">
        <v>465</v>
      </c>
      <c r="C438" s="32" t="s">
        <v>30</v>
      </c>
      <c r="D438" s="32" t="s">
        <v>31</v>
      </c>
      <c r="E438" s="32" t="s">
        <v>32</v>
      </c>
      <c r="F438" s="33">
        <v>0</v>
      </c>
      <c r="G438" s="33">
        <v>0</v>
      </c>
    </row>
    <row r="439" spans="1:7" x14ac:dyDescent="0.3">
      <c r="A439" s="32" t="s">
        <v>32</v>
      </c>
      <c r="B439" s="32" t="s">
        <v>473</v>
      </c>
      <c r="C439" s="32" t="s">
        <v>30</v>
      </c>
      <c r="D439" s="32" t="s">
        <v>31</v>
      </c>
      <c r="E439" s="32" t="s">
        <v>32</v>
      </c>
      <c r="F439" s="33">
        <v>0</v>
      </c>
      <c r="G439" s="33">
        <v>0</v>
      </c>
    </row>
    <row r="440" spans="1:7" x14ac:dyDescent="0.3">
      <c r="A440" s="32" t="s">
        <v>32</v>
      </c>
      <c r="B440" s="32" t="s">
        <v>437</v>
      </c>
      <c r="C440" s="32" t="s">
        <v>30</v>
      </c>
      <c r="D440" s="32" t="s">
        <v>31</v>
      </c>
      <c r="E440" s="32" t="s">
        <v>32</v>
      </c>
      <c r="F440" s="33">
        <v>0</v>
      </c>
      <c r="G440" s="33">
        <v>0</v>
      </c>
    </row>
    <row r="441" spans="1:7" x14ac:dyDescent="0.3">
      <c r="A441" s="32" t="s">
        <v>32</v>
      </c>
      <c r="B441" s="32" t="s">
        <v>355</v>
      </c>
      <c r="C441" s="32" t="s">
        <v>30</v>
      </c>
      <c r="D441" s="32" t="s">
        <v>31</v>
      </c>
      <c r="E441" s="32" t="s">
        <v>32</v>
      </c>
      <c r="F441" s="33">
        <v>0</v>
      </c>
      <c r="G441" s="33">
        <v>0</v>
      </c>
    </row>
    <row r="442" spans="1:7" x14ac:dyDescent="0.3">
      <c r="A442" s="32" t="s">
        <v>32</v>
      </c>
      <c r="B442" s="32" t="s">
        <v>438</v>
      </c>
      <c r="C442" s="32" t="s">
        <v>30</v>
      </c>
      <c r="D442" s="32" t="s">
        <v>31</v>
      </c>
      <c r="E442" s="32" t="s">
        <v>32</v>
      </c>
      <c r="F442" s="33">
        <v>0</v>
      </c>
      <c r="G442" s="33">
        <v>0</v>
      </c>
    </row>
    <row r="443" spans="1:7" x14ac:dyDescent="0.3">
      <c r="A443" s="32" t="s">
        <v>32</v>
      </c>
      <c r="B443" s="32" t="s">
        <v>295</v>
      </c>
      <c r="C443" s="32" t="s">
        <v>30</v>
      </c>
      <c r="D443" s="32" t="s">
        <v>31</v>
      </c>
      <c r="E443" s="32" t="s">
        <v>32</v>
      </c>
      <c r="F443" s="33">
        <v>0</v>
      </c>
      <c r="G443" s="33">
        <v>0</v>
      </c>
    </row>
    <row r="444" spans="1:7" x14ac:dyDescent="0.3">
      <c r="A444" s="32" t="s">
        <v>32</v>
      </c>
      <c r="B444" s="32" t="s">
        <v>492</v>
      </c>
      <c r="C444" s="32" t="s">
        <v>30</v>
      </c>
      <c r="D444" s="32" t="s">
        <v>31</v>
      </c>
      <c r="E444" s="32" t="s">
        <v>32</v>
      </c>
      <c r="F444" s="33">
        <v>0</v>
      </c>
      <c r="G444" s="33">
        <v>0</v>
      </c>
    </row>
    <row r="445" spans="1:7" x14ac:dyDescent="0.3">
      <c r="A445" s="32" t="s">
        <v>32</v>
      </c>
      <c r="B445" s="32" t="s">
        <v>493</v>
      </c>
      <c r="C445" s="32" t="s">
        <v>30</v>
      </c>
      <c r="D445" s="32" t="s">
        <v>31</v>
      </c>
      <c r="E445" s="32" t="s">
        <v>32</v>
      </c>
      <c r="F445" s="33">
        <v>0</v>
      </c>
      <c r="G445" s="33">
        <v>0</v>
      </c>
    </row>
    <row r="446" spans="1:7" x14ac:dyDescent="0.3">
      <c r="A446" s="32" t="s">
        <v>32</v>
      </c>
      <c r="B446" s="32" t="s">
        <v>459</v>
      </c>
      <c r="C446" s="32" t="s">
        <v>30</v>
      </c>
      <c r="D446" s="32" t="s">
        <v>31</v>
      </c>
      <c r="E446" s="32" t="s">
        <v>32</v>
      </c>
      <c r="F446" s="33">
        <v>0</v>
      </c>
      <c r="G446" s="33">
        <v>0</v>
      </c>
    </row>
    <row r="447" spans="1:7" x14ac:dyDescent="0.3">
      <c r="A447" s="32" t="s">
        <v>32</v>
      </c>
      <c r="B447" s="32" t="s">
        <v>494</v>
      </c>
      <c r="C447" s="32" t="s">
        <v>30</v>
      </c>
      <c r="D447" s="32" t="s">
        <v>31</v>
      </c>
      <c r="E447" s="32" t="s">
        <v>32</v>
      </c>
      <c r="F447" s="33">
        <v>0</v>
      </c>
      <c r="G447" s="33">
        <v>0</v>
      </c>
    </row>
    <row r="448" spans="1:7" x14ac:dyDescent="0.3">
      <c r="A448" s="32" t="s">
        <v>32</v>
      </c>
      <c r="B448" s="32" t="s">
        <v>495</v>
      </c>
      <c r="C448" s="32" t="s">
        <v>30</v>
      </c>
      <c r="D448" s="32" t="s">
        <v>31</v>
      </c>
      <c r="E448" s="32" t="s">
        <v>32</v>
      </c>
      <c r="F448" s="33">
        <v>0</v>
      </c>
      <c r="G448" s="33">
        <v>0</v>
      </c>
    </row>
    <row r="449" spans="1:7" x14ac:dyDescent="0.3">
      <c r="A449" s="32" t="s">
        <v>32</v>
      </c>
      <c r="B449" s="32" t="s">
        <v>496</v>
      </c>
      <c r="C449" s="32" t="s">
        <v>30</v>
      </c>
      <c r="D449" s="32" t="s">
        <v>31</v>
      </c>
      <c r="E449" s="32" t="s">
        <v>32</v>
      </c>
      <c r="F449" s="33">
        <v>0</v>
      </c>
      <c r="G449" s="33">
        <v>0</v>
      </c>
    </row>
    <row r="450" spans="1:7" x14ac:dyDescent="0.3">
      <c r="A450" s="32" t="s">
        <v>32</v>
      </c>
      <c r="B450" s="32" t="s">
        <v>422</v>
      </c>
      <c r="C450" s="32" t="s">
        <v>30</v>
      </c>
      <c r="D450" s="32" t="s">
        <v>31</v>
      </c>
      <c r="E450" s="32" t="s">
        <v>32</v>
      </c>
      <c r="F450" s="33">
        <v>0</v>
      </c>
      <c r="G450" s="33">
        <v>0</v>
      </c>
    </row>
    <row r="451" spans="1:7" x14ac:dyDescent="0.3">
      <c r="A451" s="32" t="s">
        <v>32</v>
      </c>
      <c r="B451" s="32" t="s">
        <v>500</v>
      </c>
      <c r="C451" s="32" t="s">
        <v>30</v>
      </c>
      <c r="D451" s="32" t="s">
        <v>31</v>
      </c>
      <c r="E451" s="32" t="s">
        <v>32</v>
      </c>
      <c r="F451" s="33">
        <v>0</v>
      </c>
      <c r="G451" s="33">
        <v>0</v>
      </c>
    </row>
    <row r="452" spans="1:7" x14ac:dyDescent="0.3">
      <c r="A452" s="32" t="s">
        <v>32</v>
      </c>
      <c r="B452" s="32" t="s">
        <v>503</v>
      </c>
      <c r="C452" s="32" t="s">
        <v>30</v>
      </c>
      <c r="D452" s="32" t="s">
        <v>31</v>
      </c>
      <c r="E452" s="32" t="s">
        <v>32</v>
      </c>
      <c r="F452" s="33">
        <v>0</v>
      </c>
      <c r="G452" s="33">
        <v>0</v>
      </c>
    </row>
    <row r="453" spans="1:7" x14ac:dyDescent="0.3">
      <c r="A453" s="32" t="s">
        <v>32</v>
      </c>
      <c r="B453" s="32" t="s">
        <v>509</v>
      </c>
      <c r="C453" s="32" t="s">
        <v>30</v>
      </c>
      <c r="D453" s="32" t="s">
        <v>31</v>
      </c>
      <c r="E453" s="32" t="s">
        <v>32</v>
      </c>
      <c r="F453" s="33">
        <v>0</v>
      </c>
      <c r="G453" s="33">
        <v>0</v>
      </c>
    </row>
    <row r="454" spans="1:7" x14ac:dyDescent="0.3">
      <c r="A454" s="32" t="s">
        <v>32</v>
      </c>
      <c r="B454" s="32" t="s">
        <v>316</v>
      </c>
      <c r="C454" s="32" t="s">
        <v>30</v>
      </c>
      <c r="D454" s="32" t="s">
        <v>31</v>
      </c>
      <c r="E454" s="32" t="s">
        <v>32</v>
      </c>
      <c r="F454" s="33">
        <v>0</v>
      </c>
      <c r="G454" s="33">
        <v>0</v>
      </c>
    </row>
    <row r="455" spans="1:7" x14ac:dyDescent="0.3">
      <c r="A455" s="32" t="s">
        <v>32</v>
      </c>
      <c r="B455" s="32" t="s">
        <v>517</v>
      </c>
      <c r="C455" s="32" t="s">
        <v>30</v>
      </c>
      <c r="D455" s="32" t="s">
        <v>31</v>
      </c>
      <c r="E455" s="32" t="s">
        <v>32</v>
      </c>
      <c r="F455" s="33">
        <v>0</v>
      </c>
      <c r="G455" s="33">
        <v>0</v>
      </c>
    </row>
    <row r="456" spans="1:7" x14ac:dyDescent="0.3">
      <c r="A456" s="32" t="s">
        <v>32</v>
      </c>
      <c r="B456" s="32" t="s">
        <v>517</v>
      </c>
      <c r="C456" s="32" t="s">
        <v>30</v>
      </c>
      <c r="D456" s="32" t="s">
        <v>31</v>
      </c>
      <c r="E456" s="32" t="s">
        <v>32</v>
      </c>
      <c r="F456" s="33">
        <v>0</v>
      </c>
      <c r="G456" s="33">
        <v>0</v>
      </c>
    </row>
    <row r="457" spans="1:7" x14ac:dyDescent="0.3">
      <c r="A457" s="32" t="s">
        <v>32</v>
      </c>
      <c r="B457" s="32" t="s">
        <v>518</v>
      </c>
      <c r="C457" s="32" t="s">
        <v>30</v>
      </c>
      <c r="D457" s="32" t="s">
        <v>31</v>
      </c>
      <c r="E457" s="32" t="s">
        <v>32</v>
      </c>
      <c r="F457" s="33">
        <v>0</v>
      </c>
      <c r="G457" s="33">
        <v>0</v>
      </c>
    </row>
    <row r="458" spans="1:7" x14ac:dyDescent="0.3">
      <c r="A458" s="32" t="s">
        <v>32</v>
      </c>
      <c r="B458" s="32" t="s">
        <v>518</v>
      </c>
      <c r="C458" s="32" t="s">
        <v>30</v>
      </c>
      <c r="D458" s="32" t="s">
        <v>31</v>
      </c>
      <c r="E458" s="32" t="s">
        <v>32</v>
      </c>
      <c r="F458" s="33">
        <v>0</v>
      </c>
      <c r="G458" s="33">
        <v>0</v>
      </c>
    </row>
    <row r="459" spans="1:7" x14ac:dyDescent="0.3">
      <c r="A459" s="32" t="s">
        <v>32</v>
      </c>
      <c r="B459" s="32" t="s">
        <v>532</v>
      </c>
      <c r="C459" s="32" t="s">
        <v>30</v>
      </c>
      <c r="D459" s="32" t="s">
        <v>31</v>
      </c>
      <c r="E459" s="32" t="s">
        <v>32</v>
      </c>
      <c r="F459" s="33">
        <v>0</v>
      </c>
      <c r="G459" s="33">
        <v>0</v>
      </c>
    </row>
    <row r="460" spans="1:7" x14ac:dyDescent="0.3">
      <c r="A460" s="32" t="s">
        <v>32</v>
      </c>
      <c r="B460" s="32" t="s">
        <v>533</v>
      </c>
      <c r="C460" s="32" t="s">
        <v>30</v>
      </c>
      <c r="D460" s="32" t="s">
        <v>31</v>
      </c>
      <c r="E460" s="32" t="s">
        <v>32</v>
      </c>
      <c r="F460" s="33">
        <v>0</v>
      </c>
      <c r="G460" s="33">
        <v>0</v>
      </c>
    </row>
    <row r="461" spans="1:7" x14ac:dyDescent="0.3">
      <c r="A461" s="32" t="s">
        <v>32</v>
      </c>
      <c r="B461" s="32" t="s">
        <v>305</v>
      </c>
      <c r="C461" s="32" t="s">
        <v>30</v>
      </c>
      <c r="D461" s="32" t="s">
        <v>31</v>
      </c>
      <c r="E461" s="32" t="s">
        <v>32</v>
      </c>
      <c r="F461" s="33">
        <v>0</v>
      </c>
      <c r="G461" s="33">
        <v>0</v>
      </c>
    </row>
    <row r="462" spans="1:7" x14ac:dyDescent="0.3">
      <c r="A462" s="32" t="s">
        <v>32</v>
      </c>
      <c r="B462" s="32" t="s">
        <v>534</v>
      </c>
      <c r="C462" s="32" t="s">
        <v>30</v>
      </c>
      <c r="D462" s="32" t="s">
        <v>31</v>
      </c>
      <c r="E462" s="32" t="s">
        <v>32</v>
      </c>
      <c r="F462" s="33">
        <v>0</v>
      </c>
      <c r="G462" s="33">
        <v>0</v>
      </c>
    </row>
    <row r="463" spans="1:7" x14ac:dyDescent="0.3">
      <c r="A463" s="32" t="s">
        <v>32</v>
      </c>
      <c r="B463" s="32" t="s">
        <v>535</v>
      </c>
      <c r="C463" s="32" t="s">
        <v>30</v>
      </c>
      <c r="D463" s="32" t="s">
        <v>31</v>
      </c>
      <c r="E463" s="32" t="s">
        <v>32</v>
      </c>
      <c r="F463" s="33">
        <v>0</v>
      </c>
      <c r="G463" s="33">
        <v>0</v>
      </c>
    </row>
    <row r="464" spans="1:7" x14ac:dyDescent="0.3">
      <c r="A464" s="32" t="s">
        <v>32</v>
      </c>
      <c r="B464" s="32" t="s">
        <v>539</v>
      </c>
      <c r="C464" s="32" t="s">
        <v>30</v>
      </c>
      <c r="D464" s="32" t="s">
        <v>31</v>
      </c>
      <c r="E464" s="32" t="s">
        <v>32</v>
      </c>
      <c r="F464" s="33">
        <v>0</v>
      </c>
      <c r="G464" s="33">
        <v>0</v>
      </c>
    </row>
    <row r="465" spans="1:7" x14ac:dyDescent="0.3">
      <c r="A465" s="32" t="s">
        <v>32</v>
      </c>
      <c r="B465" s="32" t="s">
        <v>540</v>
      </c>
      <c r="C465" s="32" t="s">
        <v>30</v>
      </c>
      <c r="D465" s="32" t="s">
        <v>31</v>
      </c>
      <c r="E465" s="32" t="s">
        <v>32</v>
      </c>
      <c r="F465" s="33">
        <v>0</v>
      </c>
      <c r="G465" s="33">
        <v>0</v>
      </c>
    </row>
    <row r="466" spans="1:7" x14ac:dyDescent="0.3">
      <c r="A466" s="32" t="s">
        <v>32</v>
      </c>
      <c r="B466" s="32" t="s">
        <v>465</v>
      </c>
      <c r="C466" s="32" t="s">
        <v>30</v>
      </c>
      <c r="D466" s="32" t="s">
        <v>31</v>
      </c>
      <c r="E466" s="32" t="s">
        <v>32</v>
      </c>
      <c r="F466" s="33">
        <v>0</v>
      </c>
      <c r="G466" s="33">
        <v>0</v>
      </c>
    </row>
    <row r="467" spans="1:7" x14ac:dyDescent="0.3">
      <c r="A467" s="32" t="s">
        <v>32</v>
      </c>
      <c r="B467" s="32" t="s">
        <v>545</v>
      </c>
      <c r="C467" s="32" t="s">
        <v>30</v>
      </c>
      <c r="D467" s="32" t="s">
        <v>31</v>
      </c>
      <c r="E467" s="32" t="s">
        <v>32</v>
      </c>
      <c r="F467" s="33">
        <v>0</v>
      </c>
      <c r="G467" s="33">
        <v>0</v>
      </c>
    </row>
    <row r="468" spans="1:7" x14ac:dyDescent="0.3">
      <c r="A468" s="32" t="s">
        <v>32</v>
      </c>
      <c r="B468" s="32" t="s">
        <v>548</v>
      </c>
      <c r="C468" s="32" t="s">
        <v>30</v>
      </c>
      <c r="D468" s="32" t="s">
        <v>31</v>
      </c>
      <c r="E468" s="32" t="s">
        <v>32</v>
      </c>
      <c r="F468" s="33">
        <v>0</v>
      </c>
      <c r="G468" s="33">
        <v>0</v>
      </c>
    </row>
    <row r="469" spans="1:7" x14ac:dyDescent="0.3">
      <c r="A469" s="32" t="s">
        <v>32</v>
      </c>
      <c r="B469" s="32" t="s">
        <v>549</v>
      </c>
      <c r="C469" s="32" t="s">
        <v>30</v>
      </c>
      <c r="D469" s="32" t="s">
        <v>31</v>
      </c>
      <c r="E469" s="32" t="s">
        <v>32</v>
      </c>
      <c r="F469" s="33">
        <v>0</v>
      </c>
      <c r="G469" s="33">
        <v>0</v>
      </c>
    </row>
    <row r="470" spans="1:7" x14ac:dyDescent="0.3">
      <c r="A470" s="32" t="s">
        <v>32</v>
      </c>
      <c r="B470" s="32" t="s">
        <v>550</v>
      </c>
      <c r="C470" s="32" t="s">
        <v>30</v>
      </c>
      <c r="D470" s="32" t="s">
        <v>31</v>
      </c>
      <c r="E470" s="32" t="s">
        <v>32</v>
      </c>
      <c r="F470" s="33">
        <v>0</v>
      </c>
      <c r="G470" s="33">
        <v>0</v>
      </c>
    </row>
    <row r="471" spans="1:7" x14ac:dyDescent="0.3">
      <c r="A471" s="32" t="s">
        <v>32</v>
      </c>
      <c r="B471" s="32" t="s">
        <v>216</v>
      </c>
      <c r="C471" s="32" t="s">
        <v>30</v>
      </c>
      <c r="D471" s="32" t="s">
        <v>31</v>
      </c>
      <c r="E471" s="32" t="s">
        <v>32</v>
      </c>
      <c r="F471" s="33">
        <v>0</v>
      </c>
      <c r="G471" s="33">
        <v>0</v>
      </c>
    </row>
    <row r="472" spans="1:7" x14ac:dyDescent="0.3">
      <c r="A472" s="32" t="s">
        <v>32</v>
      </c>
      <c r="B472" s="32" t="s">
        <v>566</v>
      </c>
      <c r="C472" s="32" t="s">
        <v>30</v>
      </c>
      <c r="D472" s="32" t="s">
        <v>31</v>
      </c>
      <c r="E472" s="32" t="s">
        <v>32</v>
      </c>
      <c r="F472" s="33">
        <v>0</v>
      </c>
      <c r="G472" s="33">
        <v>0</v>
      </c>
    </row>
    <row r="473" spans="1:7" x14ac:dyDescent="0.3">
      <c r="A473" s="32" t="s">
        <v>32</v>
      </c>
      <c r="B473" s="32" t="s">
        <v>567</v>
      </c>
      <c r="C473" s="32" t="s">
        <v>30</v>
      </c>
      <c r="D473" s="32" t="s">
        <v>31</v>
      </c>
      <c r="E473" s="32" t="s">
        <v>32</v>
      </c>
      <c r="F473" s="33">
        <v>0</v>
      </c>
      <c r="G473" s="33">
        <v>0</v>
      </c>
    </row>
    <row r="474" spans="1:7" x14ac:dyDescent="0.3">
      <c r="A474" s="32" t="s">
        <v>32</v>
      </c>
      <c r="B474" s="32" t="s">
        <v>568</v>
      </c>
      <c r="C474" s="32" t="s">
        <v>30</v>
      </c>
      <c r="D474" s="32" t="s">
        <v>31</v>
      </c>
      <c r="E474" s="32" t="s">
        <v>32</v>
      </c>
      <c r="F474" s="33">
        <v>0</v>
      </c>
      <c r="G474" s="33">
        <v>0</v>
      </c>
    </row>
    <row r="475" spans="1:7" x14ac:dyDescent="0.3">
      <c r="A475" s="32" t="s">
        <v>32</v>
      </c>
      <c r="B475" s="32" t="s">
        <v>569</v>
      </c>
      <c r="C475" s="32" t="s">
        <v>30</v>
      </c>
      <c r="D475" s="32" t="s">
        <v>31</v>
      </c>
      <c r="E475" s="32" t="s">
        <v>32</v>
      </c>
      <c r="F475" s="33">
        <v>0</v>
      </c>
      <c r="G475" s="33">
        <v>0</v>
      </c>
    </row>
    <row r="476" spans="1:7" x14ac:dyDescent="0.3">
      <c r="A476" s="32" t="s">
        <v>32</v>
      </c>
      <c r="B476" s="32" t="s">
        <v>571</v>
      </c>
      <c r="C476" s="32" t="s">
        <v>30</v>
      </c>
      <c r="D476" s="32" t="s">
        <v>31</v>
      </c>
      <c r="E476" s="32" t="s">
        <v>32</v>
      </c>
      <c r="F476" s="33">
        <v>0</v>
      </c>
      <c r="G476" s="33">
        <v>0</v>
      </c>
    </row>
    <row r="477" spans="1:7" x14ac:dyDescent="0.3">
      <c r="A477" s="32" t="s">
        <v>32</v>
      </c>
      <c r="B477" s="32" t="s">
        <v>312</v>
      </c>
      <c r="C477" s="32" t="s">
        <v>30</v>
      </c>
      <c r="D477" s="32" t="s">
        <v>31</v>
      </c>
      <c r="E477" s="32" t="s">
        <v>32</v>
      </c>
      <c r="F477" s="33">
        <v>0</v>
      </c>
      <c r="G477" s="33">
        <v>0</v>
      </c>
    </row>
    <row r="478" spans="1:7" x14ac:dyDescent="0.3">
      <c r="A478" s="32" t="s">
        <v>32</v>
      </c>
      <c r="B478" s="32" t="s">
        <v>577</v>
      </c>
      <c r="C478" s="32" t="s">
        <v>30</v>
      </c>
      <c r="D478" s="32" t="s">
        <v>31</v>
      </c>
      <c r="E478" s="32" t="s">
        <v>32</v>
      </c>
      <c r="F478" s="33">
        <v>0</v>
      </c>
      <c r="G478" s="33">
        <v>0</v>
      </c>
    </row>
    <row r="479" spans="1:7" x14ac:dyDescent="0.3">
      <c r="A479" s="32" t="s">
        <v>32</v>
      </c>
      <c r="B479" s="32" t="s">
        <v>132</v>
      </c>
      <c r="C479" s="32" t="s">
        <v>30</v>
      </c>
      <c r="D479" s="32" t="s">
        <v>31</v>
      </c>
      <c r="E479" s="32" t="s">
        <v>32</v>
      </c>
      <c r="F479" s="33">
        <v>0</v>
      </c>
      <c r="G479" s="33">
        <v>0</v>
      </c>
    </row>
    <row r="480" spans="1:7" x14ac:dyDescent="0.3">
      <c r="A480" s="32" t="s">
        <v>32</v>
      </c>
      <c r="B480" s="32" t="s">
        <v>582</v>
      </c>
      <c r="C480" s="32" t="s">
        <v>30</v>
      </c>
      <c r="D480" s="32" t="s">
        <v>31</v>
      </c>
      <c r="E480" s="32" t="s">
        <v>32</v>
      </c>
      <c r="F480" s="33">
        <v>0</v>
      </c>
      <c r="G480" s="33">
        <v>0</v>
      </c>
    </row>
    <row r="481" spans="1:7" x14ac:dyDescent="0.3">
      <c r="A481" s="32" t="s">
        <v>32</v>
      </c>
      <c r="B481" s="32" t="s">
        <v>586</v>
      </c>
      <c r="C481" s="32" t="s">
        <v>30</v>
      </c>
      <c r="D481" s="32" t="s">
        <v>31</v>
      </c>
      <c r="E481" s="32" t="s">
        <v>32</v>
      </c>
      <c r="F481" s="33">
        <v>0</v>
      </c>
      <c r="G481" s="33">
        <v>0</v>
      </c>
    </row>
    <row r="482" spans="1:7" x14ac:dyDescent="0.3">
      <c r="A482" s="32" t="s">
        <v>32</v>
      </c>
      <c r="B482" s="32" t="s">
        <v>354</v>
      </c>
      <c r="C482" s="32" t="s">
        <v>30</v>
      </c>
      <c r="D482" s="32" t="s">
        <v>31</v>
      </c>
      <c r="E482" s="32" t="s">
        <v>32</v>
      </c>
      <c r="F482" s="33">
        <v>0</v>
      </c>
      <c r="G482" s="33">
        <v>0</v>
      </c>
    </row>
    <row r="483" spans="1:7" x14ac:dyDescent="0.3">
      <c r="A483" s="32" t="s">
        <v>32</v>
      </c>
      <c r="B483" s="32" t="s">
        <v>34</v>
      </c>
      <c r="C483" s="32" t="s">
        <v>30</v>
      </c>
      <c r="D483" s="32" t="s">
        <v>31</v>
      </c>
      <c r="E483" s="32" t="s">
        <v>32</v>
      </c>
      <c r="F483" s="33">
        <v>0</v>
      </c>
      <c r="G483" s="33">
        <v>0</v>
      </c>
    </row>
    <row r="484" spans="1:7" x14ac:dyDescent="0.3">
      <c r="A484" s="32" t="s">
        <v>32</v>
      </c>
      <c r="B484" s="32" t="s">
        <v>605</v>
      </c>
      <c r="C484" s="32" t="s">
        <v>30</v>
      </c>
      <c r="D484" s="32" t="s">
        <v>31</v>
      </c>
      <c r="E484" s="32" t="s">
        <v>32</v>
      </c>
      <c r="F484" s="33">
        <v>0</v>
      </c>
      <c r="G484" s="33">
        <v>0</v>
      </c>
    </row>
    <row r="485" spans="1:7" x14ac:dyDescent="0.3">
      <c r="A485" s="32" t="s">
        <v>32</v>
      </c>
      <c r="B485" s="32" t="s">
        <v>606</v>
      </c>
      <c r="C485" s="32" t="s">
        <v>30</v>
      </c>
      <c r="D485" s="32" t="s">
        <v>31</v>
      </c>
      <c r="E485" s="32" t="s">
        <v>32</v>
      </c>
      <c r="F485" s="33">
        <v>0</v>
      </c>
      <c r="G485" s="33">
        <v>0</v>
      </c>
    </row>
    <row r="486" spans="1:7" x14ac:dyDescent="0.3">
      <c r="A486" s="32" t="s">
        <v>32</v>
      </c>
      <c r="B486" s="32" t="s">
        <v>607</v>
      </c>
      <c r="C486" s="32" t="s">
        <v>30</v>
      </c>
      <c r="D486" s="32" t="s">
        <v>31</v>
      </c>
      <c r="E486" s="32" t="s">
        <v>32</v>
      </c>
      <c r="F486" s="33">
        <v>0</v>
      </c>
      <c r="G486" s="33">
        <v>0</v>
      </c>
    </row>
    <row r="487" spans="1:7" x14ac:dyDescent="0.3">
      <c r="A487" s="32" t="s">
        <v>32</v>
      </c>
      <c r="B487" s="32" t="s">
        <v>608</v>
      </c>
      <c r="C487" s="32" t="s">
        <v>30</v>
      </c>
      <c r="D487" s="32" t="s">
        <v>31</v>
      </c>
      <c r="E487" s="32" t="s">
        <v>32</v>
      </c>
      <c r="F487" s="33">
        <v>0</v>
      </c>
      <c r="G487" s="33">
        <v>0</v>
      </c>
    </row>
    <row r="488" spans="1:7" x14ac:dyDescent="0.3">
      <c r="A488" s="32" t="s">
        <v>32</v>
      </c>
      <c r="B488" s="32" t="s">
        <v>609</v>
      </c>
      <c r="C488" s="32" t="s">
        <v>30</v>
      </c>
      <c r="D488" s="32" t="s">
        <v>31</v>
      </c>
      <c r="E488" s="32" t="s">
        <v>32</v>
      </c>
      <c r="F488" s="33">
        <v>0</v>
      </c>
      <c r="G488" s="33">
        <v>0</v>
      </c>
    </row>
    <row r="489" spans="1:7" x14ac:dyDescent="0.3">
      <c r="A489" s="32" t="s">
        <v>32</v>
      </c>
      <c r="B489" s="32" t="s">
        <v>610</v>
      </c>
      <c r="C489" s="32" t="s">
        <v>30</v>
      </c>
      <c r="D489" s="32" t="s">
        <v>31</v>
      </c>
      <c r="E489" s="32" t="s">
        <v>32</v>
      </c>
      <c r="F489" s="33">
        <v>0</v>
      </c>
      <c r="G489" s="33">
        <v>0</v>
      </c>
    </row>
    <row r="490" spans="1:7" x14ac:dyDescent="0.3">
      <c r="A490" s="32" t="s">
        <v>32</v>
      </c>
      <c r="B490" s="32" t="s">
        <v>615</v>
      </c>
      <c r="C490" s="32" t="s">
        <v>30</v>
      </c>
      <c r="D490" s="32" t="s">
        <v>31</v>
      </c>
      <c r="E490" s="32" t="s">
        <v>32</v>
      </c>
      <c r="F490" s="33">
        <v>0</v>
      </c>
      <c r="G490" s="33">
        <v>0</v>
      </c>
    </row>
    <row r="491" spans="1:7" x14ac:dyDescent="0.3">
      <c r="A491" s="32" t="s">
        <v>32</v>
      </c>
      <c r="B491" s="32" t="s">
        <v>616</v>
      </c>
      <c r="C491" s="32" t="s">
        <v>30</v>
      </c>
      <c r="D491" s="32" t="s">
        <v>31</v>
      </c>
      <c r="E491" s="32" t="s">
        <v>32</v>
      </c>
      <c r="F491" s="33">
        <v>0</v>
      </c>
      <c r="G491" s="33">
        <v>0</v>
      </c>
    </row>
    <row r="492" spans="1:7" x14ac:dyDescent="0.3">
      <c r="A492" s="32" t="s">
        <v>32</v>
      </c>
      <c r="B492" s="32" t="s">
        <v>617</v>
      </c>
      <c r="C492" s="32" t="s">
        <v>30</v>
      </c>
      <c r="D492" s="32" t="s">
        <v>31</v>
      </c>
      <c r="E492" s="32" t="s">
        <v>32</v>
      </c>
      <c r="F492" s="33">
        <v>0</v>
      </c>
      <c r="G492" s="33">
        <v>0</v>
      </c>
    </row>
    <row r="493" spans="1:7" x14ac:dyDescent="0.3">
      <c r="A493" s="32" t="s">
        <v>32</v>
      </c>
      <c r="B493" s="32" t="s">
        <v>620</v>
      </c>
      <c r="C493" s="32" t="s">
        <v>30</v>
      </c>
      <c r="D493" s="32" t="s">
        <v>31</v>
      </c>
      <c r="E493" s="32" t="s">
        <v>32</v>
      </c>
      <c r="F493" s="33">
        <v>0</v>
      </c>
      <c r="G493" s="33">
        <v>0</v>
      </c>
    </row>
    <row r="494" spans="1:7" x14ac:dyDescent="0.3">
      <c r="A494" s="32" t="s">
        <v>32</v>
      </c>
      <c r="B494" s="32" t="s">
        <v>625</v>
      </c>
      <c r="C494" s="32" t="s">
        <v>30</v>
      </c>
      <c r="D494" s="32" t="s">
        <v>31</v>
      </c>
      <c r="E494" s="32" t="s">
        <v>32</v>
      </c>
      <c r="F494" s="33">
        <v>0</v>
      </c>
      <c r="G494" s="33">
        <v>0</v>
      </c>
    </row>
    <row r="495" spans="1:7" x14ac:dyDescent="0.3">
      <c r="A495" s="32" t="s">
        <v>387</v>
      </c>
      <c r="B495" s="32" t="s">
        <v>386</v>
      </c>
      <c r="C495" s="32" t="s">
        <v>30</v>
      </c>
      <c r="D495" s="32" t="s">
        <v>31</v>
      </c>
      <c r="E495" s="32" t="s">
        <v>387</v>
      </c>
      <c r="F495" s="33">
        <v>0</v>
      </c>
      <c r="G495" s="33">
        <v>0</v>
      </c>
    </row>
    <row r="496" spans="1:7" x14ac:dyDescent="0.3">
      <c r="A496" s="32" t="s">
        <v>387</v>
      </c>
      <c r="B496" s="32" t="s">
        <v>513</v>
      </c>
      <c r="C496" s="32" t="s">
        <v>30</v>
      </c>
      <c r="D496" s="32" t="s">
        <v>31</v>
      </c>
      <c r="E496" s="32" t="s">
        <v>387</v>
      </c>
      <c r="F496" s="33">
        <v>0</v>
      </c>
      <c r="G496" s="33">
        <v>0</v>
      </c>
    </row>
    <row r="497" spans="1:7" x14ac:dyDescent="0.3">
      <c r="A497" s="32" t="s">
        <v>180</v>
      </c>
      <c r="B497" s="32" t="s">
        <v>179</v>
      </c>
      <c r="C497" s="32" t="s">
        <v>72</v>
      </c>
      <c r="D497" s="32" t="s">
        <v>31</v>
      </c>
      <c r="E497" s="32" t="s">
        <v>180</v>
      </c>
      <c r="F497" s="33">
        <v>0</v>
      </c>
      <c r="G497" s="33">
        <v>0</v>
      </c>
    </row>
    <row r="498" spans="1:7" x14ac:dyDescent="0.3">
      <c r="A498" s="32" t="s">
        <v>180</v>
      </c>
      <c r="B498" s="32" t="s">
        <v>179</v>
      </c>
      <c r="C498" s="32" t="s">
        <v>72</v>
      </c>
      <c r="D498" s="32" t="s">
        <v>31</v>
      </c>
      <c r="E498" s="32" t="s">
        <v>180</v>
      </c>
      <c r="F498" s="33">
        <v>0</v>
      </c>
      <c r="G498" s="33">
        <v>0</v>
      </c>
    </row>
    <row r="499" spans="1:7" x14ac:dyDescent="0.3">
      <c r="A499" s="32" t="s">
        <v>180</v>
      </c>
      <c r="B499" s="32" t="s">
        <v>642</v>
      </c>
      <c r="C499" s="32" t="s">
        <v>72</v>
      </c>
      <c r="D499" s="32" t="s">
        <v>628</v>
      </c>
      <c r="E499" s="32" t="s">
        <v>180</v>
      </c>
      <c r="F499" s="33">
        <v>0</v>
      </c>
      <c r="G499" s="33">
        <v>0</v>
      </c>
    </row>
    <row r="500" spans="1:7" x14ac:dyDescent="0.3">
      <c r="A500" s="32" t="s">
        <v>180</v>
      </c>
      <c r="B500" s="32" t="s">
        <v>642</v>
      </c>
      <c r="C500" s="32" t="s">
        <v>72</v>
      </c>
      <c r="D500" s="32" t="s">
        <v>628</v>
      </c>
      <c r="E500" s="32" t="s">
        <v>180</v>
      </c>
      <c r="F500" s="33">
        <v>0</v>
      </c>
      <c r="G500" s="33">
        <v>0</v>
      </c>
    </row>
    <row r="501" spans="1:7" x14ac:dyDescent="0.3">
      <c r="A501" s="32" t="s">
        <v>71</v>
      </c>
      <c r="B501" s="32" t="s">
        <v>71</v>
      </c>
      <c r="C501" s="32" t="s">
        <v>72</v>
      </c>
      <c r="D501" s="32" t="s">
        <v>31</v>
      </c>
      <c r="E501" s="32" t="s">
        <v>71</v>
      </c>
      <c r="F501" s="33">
        <v>0</v>
      </c>
      <c r="G501" s="33">
        <v>0</v>
      </c>
    </row>
    <row r="502" spans="1:7" x14ac:dyDescent="0.3">
      <c r="A502" s="32" t="s">
        <v>907</v>
      </c>
      <c r="B502" s="32" t="s">
        <v>906</v>
      </c>
      <c r="C502" s="32" t="s">
        <v>899</v>
      </c>
      <c r="D502" s="32" t="s">
        <v>893</v>
      </c>
      <c r="E502" s="32" t="s">
        <v>907</v>
      </c>
      <c r="F502" s="33">
        <v>0</v>
      </c>
      <c r="G502" s="33">
        <v>0</v>
      </c>
    </row>
    <row r="503" spans="1:7" x14ac:dyDescent="0.3">
      <c r="A503" s="32" t="s">
        <v>907</v>
      </c>
      <c r="B503" s="32" t="s">
        <v>913</v>
      </c>
      <c r="C503" s="32" t="s">
        <v>899</v>
      </c>
      <c r="D503" s="32" t="s">
        <v>893</v>
      </c>
      <c r="E503" s="32" t="s">
        <v>907</v>
      </c>
      <c r="F503" s="33">
        <v>0</v>
      </c>
      <c r="G503" s="33">
        <v>0</v>
      </c>
    </row>
    <row r="504" spans="1:7" x14ac:dyDescent="0.3">
      <c r="A504" s="32" t="s">
        <v>907</v>
      </c>
      <c r="B504" s="32" t="s">
        <v>915</v>
      </c>
      <c r="C504" s="32" t="s">
        <v>899</v>
      </c>
      <c r="D504" s="32" t="s">
        <v>893</v>
      </c>
      <c r="E504" s="32" t="s">
        <v>907</v>
      </c>
      <c r="F504" s="33">
        <v>0</v>
      </c>
      <c r="G504" s="33">
        <v>0</v>
      </c>
    </row>
    <row r="505" spans="1:7" x14ac:dyDescent="0.3">
      <c r="A505" s="32" t="s">
        <v>907</v>
      </c>
      <c r="B505" s="32" t="s">
        <v>916</v>
      </c>
      <c r="C505" s="32" t="s">
        <v>899</v>
      </c>
      <c r="D505" s="32" t="s">
        <v>893</v>
      </c>
      <c r="E505" s="32" t="s">
        <v>907</v>
      </c>
      <c r="F505" s="33">
        <v>0</v>
      </c>
      <c r="G505" s="33">
        <v>0</v>
      </c>
    </row>
    <row r="506" spans="1:7" x14ac:dyDescent="0.3">
      <c r="A506" s="32" t="s">
        <v>907</v>
      </c>
      <c r="B506" s="32" t="s">
        <v>917</v>
      </c>
      <c r="C506" s="32" t="s">
        <v>899</v>
      </c>
      <c r="D506" s="32" t="s">
        <v>893</v>
      </c>
      <c r="E506" s="32" t="s">
        <v>907</v>
      </c>
      <c r="F506" s="33">
        <v>0</v>
      </c>
      <c r="G506" s="33">
        <v>0</v>
      </c>
    </row>
    <row r="507" spans="1:7" x14ac:dyDescent="0.3">
      <c r="A507" s="32" t="s">
        <v>907</v>
      </c>
      <c r="B507" s="32" t="s">
        <v>917</v>
      </c>
      <c r="C507" s="32" t="s">
        <v>899</v>
      </c>
      <c r="D507" s="32" t="s">
        <v>893</v>
      </c>
      <c r="E507" s="32" t="s">
        <v>907</v>
      </c>
      <c r="F507" s="33">
        <v>0</v>
      </c>
      <c r="G507" s="33">
        <v>0</v>
      </c>
    </row>
    <row r="508" spans="1:7" x14ac:dyDescent="0.3">
      <c r="A508" s="32" t="s">
        <v>907</v>
      </c>
      <c r="B508" s="32" t="s">
        <v>915</v>
      </c>
      <c r="C508" s="32" t="s">
        <v>899</v>
      </c>
      <c r="D508" s="32" t="s">
        <v>893</v>
      </c>
      <c r="E508" s="32" t="s">
        <v>907</v>
      </c>
      <c r="F508" s="33">
        <v>0</v>
      </c>
      <c r="G508" s="33">
        <v>0</v>
      </c>
    </row>
    <row r="509" spans="1:7" x14ac:dyDescent="0.3">
      <c r="A509" s="32" t="s">
        <v>907</v>
      </c>
      <c r="B509" s="32" t="s">
        <v>921</v>
      </c>
      <c r="C509" s="32" t="s">
        <v>899</v>
      </c>
      <c r="D509" s="32" t="s">
        <v>893</v>
      </c>
      <c r="E509" s="32" t="s">
        <v>907</v>
      </c>
      <c r="F509" s="33">
        <v>0</v>
      </c>
      <c r="G509" s="33">
        <v>0</v>
      </c>
    </row>
    <row r="510" spans="1:7" x14ac:dyDescent="0.3">
      <c r="A510" s="32" t="s">
        <v>907</v>
      </c>
      <c r="B510" s="32" t="s">
        <v>922</v>
      </c>
      <c r="C510" s="32" t="s">
        <v>899</v>
      </c>
      <c r="D510" s="32" t="s">
        <v>893</v>
      </c>
      <c r="E510" s="32" t="s">
        <v>907</v>
      </c>
      <c r="F510" s="33">
        <v>0</v>
      </c>
      <c r="G510" s="33">
        <v>0</v>
      </c>
    </row>
    <row r="511" spans="1:7" x14ac:dyDescent="0.3">
      <c r="A511" s="32" t="s">
        <v>907</v>
      </c>
      <c r="B511" s="32" t="s">
        <v>923</v>
      </c>
      <c r="C511" s="32" t="s">
        <v>899</v>
      </c>
      <c r="D511" s="32" t="s">
        <v>893</v>
      </c>
      <c r="E511" s="32" t="s">
        <v>907</v>
      </c>
      <c r="F511" s="33">
        <v>0</v>
      </c>
      <c r="G511" s="33">
        <v>0</v>
      </c>
    </row>
    <row r="512" spans="1:7" x14ac:dyDescent="0.3">
      <c r="A512" s="32" t="s">
        <v>37</v>
      </c>
      <c r="B512" s="32" t="s">
        <v>36</v>
      </c>
      <c r="C512" s="32" t="s">
        <v>30</v>
      </c>
      <c r="D512" s="32" t="s">
        <v>31</v>
      </c>
      <c r="E512" s="32" t="s">
        <v>37</v>
      </c>
      <c r="F512" s="33">
        <v>0</v>
      </c>
      <c r="G512" s="33">
        <v>0</v>
      </c>
    </row>
    <row r="513" spans="1:7" x14ac:dyDescent="0.3">
      <c r="A513" s="32" t="s">
        <v>37</v>
      </c>
      <c r="B513" s="32" t="s">
        <v>38</v>
      </c>
      <c r="C513" s="32" t="s">
        <v>30</v>
      </c>
      <c r="D513" s="32" t="s">
        <v>31</v>
      </c>
      <c r="E513" s="32" t="s">
        <v>37</v>
      </c>
      <c r="F513" s="33">
        <v>0</v>
      </c>
      <c r="G513" s="33">
        <v>0</v>
      </c>
    </row>
    <row r="514" spans="1:7" x14ac:dyDescent="0.3">
      <c r="A514" s="32" t="s">
        <v>37</v>
      </c>
      <c r="B514" s="32" t="s">
        <v>60</v>
      </c>
      <c r="C514" s="32" t="s">
        <v>30</v>
      </c>
      <c r="D514" s="32" t="s">
        <v>31</v>
      </c>
      <c r="E514" s="32" t="s">
        <v>37</v>
      </c>
      <c r="F514" s="33">
        <v>0</v>
      </c>
      <c r="G514" s="33">
        <v>0</v>
      </c>
    </row>
    <row r="515" spans="1:7" x14ac:dyDescent="0.3">
      <c r="A515" s="32" t="s">
        <v>37</v>
      </c>
      <c r="B515" s="32" t="s">
        <v>65</v>
      </c>
      <c r="C515" s="32" t="s">
        <v>30</v>
      </c>
      <c r="D515" s="32" t="s">
        <v>31</v>
      </c>
      <c r="E515" s="32" t="s">
        <v>37</v>
      </c>
      <c r="F515" s="33">
        <v>0</v>
      </c>
      <c r="G515" s="33">
        <v>0</v>
      </c>
    </row>
    <row r="516" spans="1:7" x14ac:dyDescent="0.3">
      <c r="A516" s="32" t="s">
        <v>37</v>
      </c>
      <c r="B516" s="32" t="s">
        <v>66</v>
      </c>
      <c r="C516" s="32" t="s">
        <v>30</v>
      </c>
      <c r="D516" s="32" t="s">
        <v>31</v>
      </c>
      <c r="E516" s="32" t="s">
        <v>37</v>
      </c>
      <c r="F516" s="33">
        <v>0</v>
      </c>
      <c r="G516" s="33">
        <v>0</v>
      </c>
    </row>
    <row r="517" spans="1:7" x14ac:dyDescent="0.3">
      <c r="A517" s="32" t="s">
        <v>37</v>
      </c>
      <c r="B517" s="32" t="s">
        <v>67</v>
      </c>
      <c r="C517" s="32" t="s">
        <v>30</v>
      </c>
      <c r="D517" s="32" t="s">
        <v>31</v>
      </c>
      <c r="E517" s="32" t="s">
        <v>37</v>
      </c>
      <c r="F517" s="33">
        <v>0</v>
      </c>
      <c r="G517" s="33">
        <v>0</v>
      </c>
    </row>
    <row r="518" spans="1:7" x14ac:dyDescent="0.3">
      <c r="A518" s="32" t="s">
        <v>37</v>
      </c>
      <c r="B518" s="32" t="s">
        <v>75</v>
      </c>
      <c r="C518" s="32" t="s">
        <v>30</v>
      </c>
      <c r="D518" s="32" t="s">
        <v>31</v>
      </c>
      <c r="E518" s="32" t="s">
        <v>37</v>
      </c>
      <c r="F518" s="33">
        <v>0</v>
      </c>
      <c r="G518" s="33">
        <v>0</v>
      </c>
    </row>
    <row r="519" spans="1:7" x14ac:dyDescent="0.3">
      <c r="A519" s="32" t="s">
        <v>37</v>
      </c>
      <c r="B519" s="32" t="s">
        <v>76</v>
      </c>
      <c r="C519" s="32" t="s">
        <v>30</v>
      </c>
      <c r="D519" s="32" t="s">
        <v>31</v>
      </c>
      <c r="E519" s="32" t="s">
        <v>37</v>
      </c>
      <c r="F519" s="33">
        <v>0</v>
      </c>
      <c r="G519" s="33">
        <v>0</v>
      </c>
    </row>
    <row r="520" spans="1:7" x14ac:dyDescent="0.3">
      <c r="A520" s="32" t="s">
        <v>37</v>
      </c>
      <c r="B520" s="32" t="s">
        <v>77</v>
      </c>
      <c r="C520" s="32" t="s">
        <v>30</v>
      </c>
      <c r="D520" s="32" t="s">
        <v>31</v>
      </c>
      <c r="E520" s="32" t="s">
        <v>37</v>
      </c>
      <c r="F520" s="33">
        <v>0</v>
      </c>
      <c r="G520" s="33">
        <v>0</v>
      </c>
    </row>
    <row r="521" spans="1:7" x14ac:dyDescent="0.3">
      <c r="A521" s="32" t="s">
        <v>37</v>
      </c>
      <c r="B521" s="32" t="s">
        <v>78</v>
      </c>
      <c r="C521" s="32" t="s">
        <v>30</v>
      </c>
      <c r="D521" s="32" t="s">
        <v>31</v>
      </c>
      <c r="E521" s="32" t="s">
        <v>37</v>
      </c>
      <c r="F521" s="33">
        <v>0</v>
      </c>
      <c r="G521" s="33">
        <v>0</v>
      </c>
    </row>
    <row r="522" spans="1:7" x14ac:dyDescent="0.3">
      <c r="A522" s="32" t="s">
        <v>37</v>
      </c>
      <c r="B522" s="32" t="s">
        <v>79</v>
      </c>
      <c r="C522" s="32" t="s">
        <v>30</v>
      </c>
      <c r="D522" s="32" t="s">
        <v>31</v>
      </c>
      <c r="E522" s="32" t="s">
        <v>37</v>
      </c>
      <c r="F522" s="33">
        <v>0</v>
      </c>
      <c r="G522" s="33">
        <v>0</v>
      </c>
    </row>
    <row r="523" spans="1:7" x14ac:dyDescent="0.3">
      <c r="A523" s="32" t="s">
        <v>37</v>
      </c>
      <c r="B523" s="32" t="s">
        <v>90</v>
      </c>
      <c r="C523" s="32" t="s">
        <v>30</v>
      </c>
      <c r="D523" s="32" t="s">
        <v>31</v>
      </c>
      <c r="E523" s="32" t="s">
        <v>37</v>
      </c>
      <c r="F523" s="33">
        <v>0</v>
      </c>
      <c r="G523" s="33">
        <v>0</v>
      </c>
    </row>
    <row r="524" spans="1:7" x14ac:dyDescent="0.3">
      <c r="A524" s="32" t="s">
        <v>37</v>
      </c>
      <c r="B524" s="32" t="s">
        <v>92</v>
      </c>
      <c r="C524" s="32" t="s">
        <v>30</v>
      </c>
      <c r="D524" s="32" t="s">
        <v>31</v>
      </c>
      <c r="E524" s="32" t="s">
        <v>37</v>
      </c>
      <c r="F524" s="33">
        <v>0</v>
      </c>
      <c r="G524" s="33">
        <v>0</v>
      </c>
    </row>
    <row r="525" spans="1:7" x14ac:dyDescent="0.3">
      <c r="A525" s="32" t="s">
        <v>37</v>
      </c>
      <c r="B525" s="32" t="s">
        <v>102</v>
      </c>
      <c r="C525" s="32" t="s">
        <v>30</v>
      </c>
      <c r="D525" s="32" t="s">
        <v>31</v>
      </c>
      <c r="E525" s="32" t="s">
        <v>37</v>
      </c>
      <c r="F525" s="33">
        <v>0</v>
      </c>
      <c r="G525" s="33">
        <v>0</v>
      </c>
    </row>
    <row r="526" spans="1:7" x14ac:dyDescent="0.3">
      <c r="A526" s="32" t="s">
        <v>37</v>
      </c>
      <c r="B526" s="32" t="s">
        <v>106</v>
      </c>
      <c r="C526" s="32" t="s">
        <v>30</v>
      </c>
      <c r="D526" s="32" t="s">
        <v>31</v>
      </c>
      <c r="E526" s="32" t="s">
        <v>37</v>
      </c>
      <c r="F526" s="33">
        <v>0</v>
      </c>
      <c r="G526" s="33">
        <v>0</v>
      </c>
    </row>
    <row r="527" spans="1:7" x14ac:dyDescent="0.3">
      <c r="A527" s="32" t="s">
        <v>37</v>
      </c>
      <c r="B527" s="32" t="s">
        <v>107</v>
      </c>
      <c r="C527" s="32" t="s">
        <v>30</v>
      </c>
      <c r="D527" s="32" t="s">
        <v>31</v>
      </c>
      <c r="E527" s="32" t="s">
        <v>37</v>
      </c>
      <c r="F527" s="33">
        <v>0</v>
      </c>
      <c r="G527" s="33">
        <v>0</v>
      </c>
    </row>
    <row r="528" spans="1:7" x14ac:dyDescent="0.3">
      <c r="A528" s="32" t="s">
        <v>37</v>
      </c>
      <c r="B528" s="32" t="s">
        <v>122</v>
      </c>
      <c r="C528" s="32" t="s">
        <v>30</v>
      </c>
      <c r="D528" s="32" t="s">
        <v>31</v>
      </c>
      <c r="E528" s="32" t="s">
        <v>37</v>
      </c>
      <c r="F528" s="33">
        <v>0</v>
      </c>
      <c r="G528" s="33">
        <v>0</v>
      </c>
    </row>
    <row r="529" spans="1:7" x14ac:dyDescent="0.3">
      <c r="A529" s="32" t="s">
        <v>37</v>
      </c>
      <c r="B529" s="32" t="s">
        <v>133</v>
      </c>
      <c r="C529" s="32" t="s">
        <v>30</v>
      </c>
      <c r="D529" s="32" t="s">
        <v>31</v>
      </c>
      <c r="E529" s="32" t="s">
        <v>37</v>
      </c>
      <c r="F529" s="33">
        <v>0</v>
      </c>
      <c r="G529" s="33">
        <v>0</v>
      </c>
    </row>
    <row r="530" spans="1:7" x14ac:dyDescent="0.3">
      <c r="A530" s="32" t="s">
        <v>37</v>
      </c>
      <c r="B530" s="32" t="s">
        <v>134</v>
      </c>
      <c r="C530" s="32" t="s">
        <v>30</v>
      </c>
      <c r="D530" s="32" t="s">
        <v>31</v>
      </c>
      <c r="E530" s="32" t="s">
        <v>37</v>
      </c>
      <c r="F530" s="33">
        <v>0</v>
      </c>
      <c r="G530" s="33">
        <v>0</v>
      </c>
    </row>
    <row r="531" spans="1:7" x14ac:dyDescent="0.3">
      <c r="A531" s="32" t="s">
        <v>37</v>
      </c>
      <c r="B531" s="32" t="s">
        <v>136</v>
      </c>
      <c r="C531" s="32" t="s">
        <v>30</v>
      </c>
      <c r="D531" s="32" t="s">
        <v>31</v>
      </c>
      <c r="E531" s="32" t="s">
        <v>37</v>
      </c>
      <c r="F531" s="33">
        <v>0</v>
      </c>
      <c r="G531" s="33">
        <v>0</v>
      </c>
    </row>
    <row r="532" spans="1:7" x14ac:dyDescent="0.3">
      <c r="A532" s="32" t="s">
        <v>37</v>
      </c>
      <c r="B532" s="32" t="s">
        <v>137</v>
      </c>
      <c r="C532" s="32" t="s">
        <v>30</v>
      </c>
      <c r="D532" s="32" t="s">
        <v>31</v>
      </c>
      <c r="E532" s="32" t="s">
        <v>37</v>
      </c>
      <c r="F532" s="33">
        <v>0</v>
      </c>
      <c r="G532" s="33">
        <v>0</v>
      </c>
    </row>
    <row r="533" spans="1:7" x14ac:dyDescent="0.3">
      <c r="A533" s="32" t="s">
        <v>37</v>
      </c>
      <c r="B533" s="32" t="s">
        <v>140</v>
      </c>
      <c r="C533" s="32" t="s">
        <v>30</v>
      </c>
      <c r="D533" s="32" t="s">
        <v>31</v>
      </c>
      <c r="E533" s="32" t="s">
        <v>37</v>
      </c>
      <c r="F533" s="33">
        <v>0</v>
      </c>
      <c r="G533" s="33">
        <v>0</v>
      </c>
    </row>
    <row r="534" spans="1:7" x14ac:dyDescent="0.3">
      <c r="A534" s="32" t="s">
        <v>37</v>
      </c>
      <c r="B534" s="32" t="s">
        <v>78</v>
      </c>
      <c r="C534" s="32" t="s">
        <v>30</v>
      </c>
      <c r="D534" s="32" t="s">
        <v>31</v>
      </c>
      <c r="E534" s="32" t="s">
        <v>37</v>
      </c>
      <c r="F534" s="33">
        <v>0</v>
      </c>
      <c r="G534" s="33">
        <v>0</v>
      </c>
    </row>
    <row r="535" spans="1:7" x14ac:dyDescent="0.3">
      <c r="A535" s="32" t="s">
        <v>37</v>
      </c>
      <c r="B535" s="32" t="s">
        <v>145</v>
      </c>
      <c r="C535" s="32" t="s">
        <v>30</v>
      </c>
      <c r="D535" s="32" t="s">
        <v>31</v>
      </c>
      <c r="E535" s="32" t="s">
        <v>37</v>
      </c>
      <c r="F535" s="33">
        <v>0</v>
      </c>
      <c r="G535" s="33">
        <v>0</v>
      </c>
    </row>
    <row r="536" spans="1:7" x14ac:dyDescent="0.3">
      <c r="A536" s="32" t="s">
        <v>37</v>
      </c>
      <c r="B536" s="32" t="s">
        <v>146</v>
      </c>
      <c r="C536" s="32" t="s">
        <v>30</v>
      </c>
      <c r="D536" s="32" t="s">
        <v>31</v>
      </c>
      <c r="E536" s="32" t="s">
        <v>37</v>
      </c>
      <c r="F536" s="33">
        <v>0</v>
      </c>
      <c r="G536" s="33">
        <v>0</v>
      </c>
    </row>
    <row r="537" spans="1:7" x14ac:dyDescent="0.3">
      <c r="A537" s="32" t="s">
        <v>37</v>
      </c>
      <c r="B537" s="32" t="s">
        <v>173</v>
      </c>
      <c r="C537" s="32" t="s">
        <v>30</v>
      </c>
      <c r="D537" s="32" t="s">
        <v>31</v>
      </c>
      <c r="E537" s="32" t="s">
        <v>37</v>
      </c>
      <c r="F537" s="33">
        <v>0</v>
      </c>
      <c r="G537" s="33">
        <v>0</v>
      </c>
    </row>
    <row r="538" spans="1:7" x14ac:dyDescent="0.3">
      <c r="A538" s="32" t="s">
        <v>37</v>
      </c>
      <c r="B538" s="32" t="s">
        <v>66</v>
      </c>
      <c r="C538" s="32" t="s">
        <v>30</v>
      </c>
      <c r="D538" s="32" t="s">
        <v>31</v>
      </c>
      <c r="E538" s="32" t="s">
        <v>37</v>
      </c>
      <c r="F538" s="33">
        <v>0</v>
      </c>
      <c r="G538" s="33">
        <v>0</v>
      </c>
    </row>
    <row r="539" spans="1:7" x14ac:dyDescent="0.3">
      <c r="A539" s="32" t="s">
        <v>37</v>
      </c>
      <c r="B539" s="32" t="s">
        <v>176</v>
      </c>
      <c r="C539" s="32" t="s">
        <v>30</v>
      </c>
      <c r="D539" s="32" t="s">
        <v>31</v>
      </c>
      <c r="E539" s="32" t="s">
        <v>37</v>
      </c>
      <c r="F539" s="33">
        <v>0</v>
      </c>
      <c r="G539" s="33">
        <v>0</v>
      </c>
    </row>
    <row r="540" spans="1:7" x14ac:dyDescent="0.3">
      <c r="A540" s="32" t="s">
        <v>37</v>
      </c>
      <c r="B540" s="32" t="s">
        <v>184</v>
      </c>
      <c r="C540" s="32" t="s">
        <v>30</v>
      </c>
      <c r="D540" s="32" t="s">
        <v>31</v>
      </c>
      <c r="E540" s="32" t="s">
        <v>37</v>
      </c>
      <c r="F540" s="33">
        <v>0</v>
      </c>
      <c r="G540" s="33">
        <v>0</v>
      </c>
    </row>
    <row r="541" spans="1:7" x14ac:dyDescent="0.3">
      <c r="A541" s="32" t="s">
        <v>37</v>
      </c>
      <c r="B541" s="32" t="s">
        <v>185</v>
      </c>
      <c r="C541" s="32" t="s">
        <v>30</v>
      </c>
      <c r="D541" s="32" t="s">
        <v>31</v>
      </c>
      <c r="E541" s="32" t="s">
        <v>37</v>
      </c>
      <c r="F541" s="33">
        <v>0</v>
      </c>
      <c r="G541" s="33">
        <v>0</v>
      </c>
    </row>
    <row r="542" spans="1:7" x14ac:dyDescent="0.3">
      <c r="A542" s="32" t="s">
        <v>37</v>
      </c>
      <c r="B542" s="32" t="s">
        <v>186</v>
      </c>
      <c r="C542" s="32" t="s">
        <v>30</v>
      </c>
      <c r="D542" s="32" t="s">
        <v>31</v>
      </c>
      <c r="E542" s="32" t="s">
        <v>37</v>
      </c>
      <c r="F542" s="33">
        <v>0</v>
      </c>
      <c r="G542" s="33">
        <v>0</v>
      </c>
    </row>
    <row r="543" spans="1:7" x14ac:dyDescent="0.3">
      <c r="A543" s="32" t="s">
        <v>37</v>
      </c>
      <c r="B543" s="32" t="s">
        <v>187</v>
      </c>
      <c r="C543" s="32" t="s">
        <v>30</v>
      </c>
      <c r="D543" s="32" t="s">
        <v>31</v>
      </c>
      <c r="E543" s="32" t="s">
        <v>37</v>
      </c>
      <c r="F543" s="33">
        <v>0</v>
      </c>
      <c r="G543" s="33">
        <v>0</v>
      </c>
    </row>
    <row r="544" spans="1:7" x14ac:dyDescent="0.3">
      <c r="A544" s="32" t="s">
        <v>37</v>
      </c>
      <c r="B544" s="32" t="s">
        <v>204</v>
      </c>
      <c r="C544" s="32" t="s">
        <v>30</v>
      </c>
      <c r="D544" s="32" t="s">
        <v>31</v>
      </c>
      <c r="E544" s="32" t="s">
        <v>37</v>
      </c>
      <c r="F544" s="33">
        <v>0</v>
      </c>
      <c r="G544" s="33">
        <v>0</v>
      </c>
    </row>
    <row r="545" spans="1:7" x14ac:dyDescent="0.3">
      <c r="A545" s="32" t="s">
        <v>37</v>
      </c>
      <c r="B545" s="32" t="s">
        <v>211</v>
      </c>
      <c r="C545" s="32" t="s">
        <v>30</v>
      </c>
      <c r="D545" s="32" t="s">
        <v>31</v>
      </c>
      <c r="E545" s="32" t="s">
        <v>37</v>
      </c>
      <c r="F545" s="33">
        <v>0</v>
      </c>
      <c r="G545" s="33">
        <v>0</v>
      </c>
    </row>
    <row r="546" spans="1:7" x14ac:dyDescent="0.3">
      <c r="A546" s="32" t="s">
        <v>37</v>
      </c>
      <c r="B546" s="32" t="s">
        <v>212</v>
      </c>
      <c r="C546" s="32" t="s">
        <v>30</v>
      </c>
      <c r="D546" s="32" t="s">
        <v>31</v>
      </c>
      <c r="E546" s="32" t="s">
        <v>37</v>
      </c>
      <c r="F546" s="33">
        <v>0</v>
      </c>
      <c r="G546" s="33">
        <v>0</v>
      </c>
    </row>
    <row r="547" spans="1:7" x14ac:dyDescent="0.3">
      <c r="A547" s="32" t="s">
        <v>37</v>
      </c>
      <c r="B547" s="32" t="s">
        <v>213</v>
      </c>
      <c r="C547" s="32" t="s">
        <v>30</v>
      </c>
      <c r="D547" s="32" t="s">
        <v>31</v>
      </c>
      <c r="E547" s="32" t="s">
        <v>37</v>
      </c>
      <c r="F547" s="33">
        <v>0</v>
      </c>
      <c r="G547" s="33">
        <v>0</v>
      </c>
    </row>
    <row r="548" spans="1:7" x14ac:dyDescent="0.3">
      <c r="A548" s="32" t="s">
        <v>37</v>
      </c>
      <c r="B548" s="32" t="s">
        <v>219</v>
      </c>
      <c r="C548" s="32" t="s">
        <v>30</v>
      </c>
      <c r="D548" s="32" t="s">
        <v>31</v>
      </c>
      <c r="E548" s="32" t="s">
        <v>37</v>
      </c>
      <c r="F548" s="33">
        <v>0</v>
      </c>
      <c r="G548" s="33">
        <v>0</v>
      </c>
    </row>
    <row r="549" spans="1:7" x14ac:dyDescent="0.3">
      <c r="A549" s="32" t="s">
        <v>37</v>
      </c>
      <c r="B549" s="32" t="s">
        <v>220</v>
      </c>
      <c r="C549" s="32" t="s">
        <v>30</v>
      </c>
      <c r="D549" s="32" t="s">
        <v>31</v>
      </c>
      <c r="E549" s="32" t="s">
        <v>37</v>
      </c>
      <c r="F549" s="33">
        <v>0</v>
      </c>
      <c r="G549" s="33">
        <v>0</v>
      </c>
    </row>
    <row r="550" spans="1:7" x14ac:dyDescent="0.3">
      <c r="A550" s="32" t="s">
        <v>37</v>
      </c>
      <c r="B550" s="32" t="s">
        <v>251</v>
      </c>
      <c r="C550" s="32" t="s">
        <v>30</v>
      </c>
      <c r="D550" s="32" t="s">
        <v>31</v>
      </c>
      <c r="E550" s="32" t="s">
        <v>37</v>
      </c>
      <c r="F550" s="33">
        <v>0</v>
      </c>
      <c r="G550" s="33">
        <v>0</v>
      </c>
    </row>
    <row r="551" spans="1:7" x14ac:dyDescent="0.3">
      <c r="A551" s="32" t="s">
        <v>37</v>
      </c>
      <c r="B551" s="32" t="s">
        <v>252</v>
      </c>
      <c r="C551" s="32" t="s">
        <v>30</v>
      </c>
      <c r="D551" s="32" t="s">
        <v>31</v>
      </c>
      <c r="E551" s="32" t="s">
        <v>37</v>
      </c>
      <c r="F551" s="33">
        <v>0</v>
      </c>
      <c r="G551" s="33">
        <v>0</v>
      </c>
    </row>
    <row r="552" spans="1:7" x14ac:dyDescent="0.3">
      <c r="A552" s="32" t="s">
        <v>37</v>
      </c>
      <c r="B552" s="32" t="s">
        <v>254</v>
      </c>
      <c r="C552" s="32" t="s">
        <v>30</v>
      </c>
      <c r="D552" s="32" t="s">
        <v>31</v>
      </c>
      <c r="E552" s="32" t="s">
        <v>37</v>
      </c>
      <c r="F552" s="33">
        <v>0</v>
      </c>
      <c r="G552" s="33">
        <v>0</v>
      </c>
    </row>
    <row r="553" spans="1:7" x14ac:dyDescent="0.3">
      <c r="A553" s="32" t="s">
        <v>37</v>
      </c>
      <c r="B553" s="32" t="s">
        <v>262</v>
      </c>
      <c r="C553" s="32" t="s">
        <v>30</v>
      </c>
      <c r="D553" s="32" t="s">
        <v>31</v>
      </c>
      <c r="E553" s="32" t="s">
        <v>37</v>
      </c>
      <c r="F553" s="33">
        <v>0</v>
      </c>
      <c r="G553" s="33">
        <v>0</v>
      </c>
    </row>
    <row r="554" spans="1:7" x14ac:dyDescent="0.3">
      <c r="A554" s="32" t="s">
        <v>37</v>
      </c>
      <c r="B554" s="32" t="s">
        <v>77</v>
      </c>
      <c r="C554" s="32" t="s">
        <v>30</v>
      </c>
      <c r="D554" s="32" t="s">
        <v>31</v>
      </c>
      <c r="E554" s="32" t="s">
        <v>37</v>
      </c>
      <c r="F554" s="33">
        <v>0</v>
      </c>
      <c r="G554" s="33">
        <v>0</v>
      </c>
    </row>
    <row r="555" spans="1:7" x14ac:dyDescent="0.3">
      <c r="A555" s="32" t="s">
        <v>37</v>
      </c>
      <c r="B555" s="32" t="s">
        <v>263</v>
      </c>
      <c r="C555" s="32" t="s">
        <v>30</v>
      </c>
      <c r="D555" s="32" t="s">
        <v>31</v>
      </c>
      <c r="E555" s="32" t="s">
        <v>37</v>
      </c>
      <c r="F555" s="33">
        <v>0</v>
      </c>
      <c r="G555" s="33">
        <v>0</v>
      </c>
    </row>
    <row r="556" spans="1:7" x14ac:dyDescent="0.3">
      <c r="A556" s="32" t="s">
        <v>37</v>
      </c>
      <c r="B556" s="32" t="s">
        <v>146</v>
      </c>
      <c r="C556" s="32" t="s">
        <v>30</v>
      </c>
      <c r="D556" s="32" t="s">
        <v>31</v>
      </c>
      <c r="E556" s="32" t="s">
        <v>37</v>
      </c>
      <c r="F556" s="33">
        <v>0</v>
      </c>
      <c r="G556" s="33">
        <v>0</v>
      </c>
    </row>
    <row r="557" spans="1:7" x14ac:dyDescent="0.3">
      <c r="A557" s="32" t="s">
        <v>37</v>
      </c>
      <c r="B557" s="32" t="s">
        <v>284</v>
      </c>
      <c r="C557" s="32" t="s">
        <v>30</v>
      </c>
      <c r="D557" s="32" t="s">
        <v>31</v>
      </c>
      <c r="E557" s="32" t="s">
        <v>37</v>
      </c>
      <c r="F557" s="33">
        <v>0</v>
      </c>
      <c r="G557" s="33">
        <v>0</v>
      </c>
    </row>
    <row r="558" spans="1:7" x14ac:dyDescent="0.3">
      <c r="A558" s="32" t="s">
        <v>37</v>
      </c>
      <c r="B558" s="32" t="s">
        <v>285</v>
      </c>
      <c r="C558" s="32" t="s">
        <v>30</v>
      </c>
      <c r="D558" s="32" t="s">
        <v>31</v>
      </c>
      <c r="E558" s="32" t="s">
        <v>37</v>
      </c>
      <c r="F558" s="33">
        <v>0</v>
      </c>
      <c r="G558" s="33">
        <v>0</v>
      </c>
    </row>
    <row r="559" spans="1:7" x14ac:dyDescent="0.3">
      <c r="A559" s="32" t="s">
        <v>37</v>
      </c>
      <c r="B559" s="32" t="s">
        <v>286</v>
      </c>
      <c r="C559" s="32" t="s">
        <v>30</v>
      </c>
      <c r="D559" s="32" t="s">
        <v>31</v>
      </c>
      <c r="E559" s="32" t="s">
        <v>37</v>
      </c>
      <c r="F559" s="33">
        <v>0</v>
      </c>
      <c r="G559" s="33">
        <v>0</v>
      </c>
    </row>
    <row r="560" spans="1:7" x14ac:dyDescent="0.3">
      <c r="A560" s="32" t="s">
        <v>37</v>
      </c>
      <c r="B560" s="32" t="s">
        <v>288</v>
      </c>
      <c r="C560" s="32" t="s">
        <v>30</v>
      </c>
      <c r="D560" s="32" t="s">
        <v>31</v>
      </c>
      <c r="E560" s="32" t="s">
        <v>37</v>
      </c>
      <c r="F560" s="33">
        <v>0</v>
      </c>
      <c r="G560" s="33">
        <v>0</v>
      </c>
    </row>
    <row r="561" spans="1:7" x14ac:dyDescent="0.3">
      <c r="A561" s="32" t="s">
        <v>37</v>
      </c>
      <c r="B561" s="32" t="s">
        <v>289</v>
      </c>
      <c r="C561" s="32" t="s">
        <v>30</v>
      </c>
      <c r="D561" s="32" t="s">
        <v>31</v>
      </c>
      <c r="E561" s="32" t="s">
        <v>37</v>
      </c>
      <c r="F561" s="33">
        <v>0</v>
      </c>
      <c r="G561" s="33">
        <v>0</v>
      </c>
    </row>
    <row r="562" spans="1:7" x14ac:dyDescent="0.3">
      <c r="A562" s="32" t="s">
        <v>37</v>
      </c>
      <c r="B562" s="32" t="s">
        <v>290</v>
      </c>
      <c r="C562" s="32" t="s">
        <v>30</v>
      </c>
      <c r="D562" s="32" t="s">
        <v>31</v>
      </c>
      <c r="E562" s="32" t="s">
        <v>37</v>
      </c>
      <c r="F562" s="33">
        <v>0</v>
      </c>
      <c r="G562" s="33">
        <v>0</v>
      </c>
    </row>
    <row r="563" spans="1:7" x14ac:dyDescent="0.3">
      <c r="A563" s="32" t="s">
        <v>37</v>
      </c>
      <c r="B563" s="32" t="s">
        <v>291</v>
      </c>
      <c r="C563" s="32" t="s">
        <v>30</v>
      </c>
      <c r="D563" s="32" t="s">
        <v>31</v>
      </c>
      <c r="E563" s="32" t="s">
        <v>37</v>
      </c>
      <c r="F563" s="33">
        <v>0</v>
      </c>
      <c r="G563" s="33">
        <v>0</v>
      </c>
    </row>
    <row r="564" spans="1:7" x14ac:dyDescent="0.3">
      <c r="A564" s="32" t="s">
        <v>37</v>
      </c>
      <c r="B564" s="32" t="s">
        <v>292</v>
      </c>
      <c r="C564" s="32" t="s">
        <v>30</v>
      </c>
      <c r="D564" s="32" t="s">
        <v>31</v>
      </c>
      <c r="E564" s="32" t="s">
        <v>37</v>
      </c>
      <c r="F564" s="33">
        <v>0</v>
      </c>
      <c r="G564" s="33">
        <v>0</v>
      </c>
    </row>
    <row r="565" spans="1:7" x14ac:dyDescent="0.3">
      <c r="A565" s="32" t="s">
        <v>37</v>
      </c>
      <c r="B565" s="32" t="s">
        <v>296</v>
      </c>
      <c r="C565" s="32" t="s">
        <v>30</v>
      </c>
      <c r="D565" s="32" t="s">
        <v>31</v>
      </c>
      <c r="E565" s="32" t="s">
        <v>37</v>
      </c>
      <c r="F565" s="33">
        <v>0</v>
      </c>
      <c r="G565" s="33">
        <v>0</v>
      </c>
    </row>
    <row r="566" spans="1:7" x14ac:dyDescent="0.3">
      <c r="A566" s="32" t="s">
        <v>37</v>
      </c>
      <c r="B566" s="32" t="s">
        <v>297</v>
      </c>
      <c r="C566" s="32" t="s">
        <v>30</v>
      </c>
      <c r="D566" s="32" t="s">
        <v>31</v>
      </c>
      <c r="E566" s="32" t="s">
        <v>37</v>
      </c>
      <c r="F566" s="33">
        <v>0</v>
      </c>
      <c r="G566" s="33">
        <v>0</v>
      </c>
    </row>
    <row r="567" spans="1:7" x14ac:dyDescent="0.3">
      <c r="A567" s="32" t="s">
        <v>37</v>
      </c>
      <c r="B567" s="32" t="s">
        <v>308</v>
      </c>
      <c r="C567" s="32" t="s">
        <v>30</v>
      </c>
      <c r="D567" s="32" t="s">
        <v>31</v>
      </c>
      <c r="E567" s="32" t="s">
        <v>37</v>
      </c>
      <c r="F567" s="33">
        <v>0</v>
      </c>
      <c r="G567" s="33">
        <v>0</v>
      </c>
    </row>
    <row r="568" spans="1:7" x14ac:dyDescent="0.3">
      <c r="A568" s="32" t="s">
        <v>37</v>
      </c>
      <c r="B568" s="32" t="s">
        <v>133</v>
      </c>
      <c r="C568" s="32" t="s">
        <v>30</v>
      </c>
      <c r="D568" s="32" t="s">
        <v>31</v>
      </c>
      <c r="E568" s="32" t="s">
        <v>37</v>
      </c>
      <c r="F568" s="33">
        <v>0</v>
      </c>
      <c r="G568" s="33">
        <v>0</v>
      </c>
    </row>
    <row r="569" spans="1:7" x14ac:dyDescent="0.3">
      <c r="A569" s="32" t="s">
        <v>37</v>
      </c>
      <c r="B569" s="32" t="s">
        <v>320</v>
      </c>
      <c r="C569" s="32" t="s">
        <v>30</v>
      </c>
      <c r="D569" s="32" t="s">
        <v>31</v>
      </c>
      <c r="E569" s="32" t="s">
        <v>37</v>
      </c>
      <c r="F569" s="33">
        <v>0</v>
      </c>
      <c r="G569" s="33">
        <v>0</v>
      </c>
    </row>
    <row r="570" spans="1:7" x14ac:dyDescent="0.3">
      <c r="A570" s="32" t="s">
        <v>37</v>
      </c>
      <c r="B570" s="32" t="s">
        <v>321</v>
      </c>
      <c r="C570" s="32" t="s">
        <v>30</v>
      </c>
      <c r="D570" s="32" t="s">
        <v>31</v>
      </c>
      <c r="E570" s="32" t="s">
        <v>37</v>
      </c>
      <c r="F570" s="33">
        <v>0</v>
      </c>
      <c r="G570" s="33">
        <v>0</v>
      </c>
    </row>
    <row r="571" spans="1:7" x14ac:dyDescent="0.3">
      <c r="A571" s="32" t="s">
        <v>37</v>
      </c>
      <c r="B571" s="32" t="s">
        <v>322</v>
      </c>
      <c r="C571" s="32" t="s">
        <v>30</v>
      </c>
      <c r="D571" s="32" t="s">
        <v>31</v>
      </c>
      <c r="E571" s="32" t="s">
        <v>37</v>
      </c>
      <c r="F571" s="33">
        <v>0</v>
      </c>
      <c r="G571" s="33">
        <v>0</v>
      </c>
    </row>
    <row r="572" spans="1:7" x14ac:dyDescent="0.3">
      <c r="A572" s="32" t="s">
        <v>37</v>
      </c>
      <c r="B572" s="32" t="s">
        <v>323</v>
      </c>
      <c r="C572" s="32" t="s">
        <v>30</v>
      </c>
      <c r="D572" s="32" t="s">
        <v>31</v>
      </c>
      <c r="E572" s="32" t="s">
        <v>37</v>
      </c>
      <c r="F572" s="33">
        <v>0</v>
      </c>
      <c r="G572" s="33">
        <v>0</v>
      </c>
    </row>
    <row r="573" spans="1:7" x14ac:dyDescent="0.3">
      <c r="A573" s="32" t="s">
        <v>37</v>
      </c>
      <c r="B573" s="32" t="s">
        <v>328</v>
      </c>
      <c r="C573" s="32" t="s">
        <v>30</v>
      </c>
      <c r="D573" s="32" t="s">
        <v>31</v>
      </c>
      <c r="E573" s="32" t="s">
        <v>37</v>
      </c>
      <c r="F573" s="33">
        <v>0</v>
      </c>
      <c r="G573" s="33">
        <v>0</v>
      </c>
    </row>
    <row r="574" spans="1:7" x14ac:dyDescent="0.3">
      <c r="A574" s="32" t="s">
        <v>37</v>
      </c>
      <c r="B574" s="32" t="s">
        <v>329</v>
      </c>
      <c r="C574" s="32" t="s">
        <v>30</v>
      </c>
      <c r="D574" s="32" t="s">
        <v>31</v>
      </c>
      <c r="E574" s="32" t="s">
        <v>37</v>
      </c>
      <c r="F574" s="33">
        <v>0</v>
      </c>
      <c r="G574" s="33">
        <v>0</v>
      </c>
    </row>
    <row r="575" spans="1:7" x14ac:dyDescent="0.3">
      <c r="A575" s="32" t="s">
        <v>37</v>
      </c>
      <c r="B575" s="32" t="s">
        <v>330</v>
      </c>
      <c r="C575" s="32" t="s">
        <v>30</v>
      </c>
      <c r="D575" s="32" t="s">
        <v>31</v>
      </c>
      <c r="E575" s="32" t="s">
        <v>37</v>
      </c>
      <c r="F575" s="33">
        <v>0</v>
      </c>
      <c r="G575" s="33">
        <v>0</v>
      </c>
    </row>
    <row r="576" spans="1:7" x14ac:dyDescent="0.3">
      <c r="A576" s="32" t="s">
        <v>37</v>
      </c>
      <c r="B576" s="32" t="s">
        <v>350</v>
      </c>
      <c r="C576" s="32" t="s">
        <v>30</v>
      </c>
      <c r="D576" s="32" t="s">
        <v>31</v>
      </c>
      <c r="E576" s="32" t="s">
        <v>37</v>
      </c>
      <c r="F576" s="33">
        <v>0</v>
      </c>
      <c r="G576" s="33">
        <v>0</v>
      </c>
    </row>
    <row r="577" spans="1:7" x14ac:dyDescent="0.3">
      <c r="A577" s="32" t="s">
        <v>37</v>
      </c>
      <c r="B577" s="32" t="s">
        <v>351</v>
      </c>
      <c r="C577" s="32" t="s">
        <v>30</v>
      </c>
      <c r="D577" s="32" t="s">
        <v>31</v>
      </c>
      <c r="E577" s="32" t="s">
        <v>37</v>
      </c>
      <c r="F577" s="33">
        <v>0</v>
      </c>
      <c r="G577" s="33">
        <v>0</v>
      </c>
    </row>
    <row r="578" spans="1:7" x14ac:dyDescent="0.3">
      <c r="A578" s="32" t="s">
        <v>37</v>
      </c>
      <c r="B578" s="32" t="s">
        <v>352</v>
      </c>
      <c r="C578" s="32" t="s">
        <v>30</v>
      </c>
      <c r="D578" s="32" t="s">
        <v>31</v>
      </c>
      <c r="E578" s="32" t="s">
        <v>37</v>
      </c>
      <c r="F578" s="33">
        <v>0</v>
      </c>
      <c r="G578" s="33">
        <v>0</v>
      </c>
    </row>
    <row r="579" spans="1:7" x14ac:dyDescent="0.3">
      <c r="A579" s="32" t="s">
        <v>37</v>
      </c>
      <c r="B579" s="32" t="s">
        <v>290</v>
      </c>
      <c r="C579" s="32" t="s">
        <v>30</v>
      </c>
      <c r="D579" s="32" t="s">
        <v>31</v>
      </c>
      <c r="E579" s="32" t="s">
        <v>37</v>
      </c>
      <c r="F579" s="33">
        <v>0</v>
      </c>
      <c r="G579" s="33">
        <v>0</v>
      </c>
    </row>
    <row r="580" spans="1:7" x14ac:dyDescent="0.3">
      <c r="A580" s="32" t="s">
        <v>37</v>
      </c>
      <c r="B580" s="32" t="s">
        <v>357</v>
      </c>
      <c r="C580" s="32" t="s">
        <v>30</v>
      </c>
      <c r="D580" s="32" t="s">
        <v>31</v>
      </c>
      <c r="E580" s="32" t="s">
        <v>37</v>
      </c>
      <c r="F580" s="33">
        <v>0</v>
      </c>
      <c r="G580" s="33">
        <v>0</v>
      </c>
    </row>
    <row r="581" spans="1:7" x14ac:dyDescent="0.3">
      <c r="A581" s="32" t="s">
        <v>37</v>
      </c>
      <c r="B581" s="32" t="s">
        <v>358</v>
      </c>
      <c r="C581" s="32" t="s">
        <v>30</v>
      </c>
      <c r="D581" s="32" t="s">
        <v>31</v>
      </c>
      <c r="E581" s="32" t="s">
        <v>37</v>
      </c>
      <c r="F581" s="33">
        <v>0</v>
      </c>
      <c r="G581" s="33">
        <v>0</v>
      </c>
    </row>
    <row r="582" spans="1:7" x14ac:dyDescent="0.3">
      <c r="A582" s="32" t="s">
        <v>37</v>
      </c>
      <c r="B582" s="32" t="s">
        <v>359</v>
      </c>
      <c r="C582" s="32" t="s">
        <v>30</v>
      </c>
      <c r="D582" s="32" t="s">
        <v>31</v>
      </c>
      <c r="E582" s="32" t="s">
        <v>37</v>
      </c>
      <c r="F582" s="33">
        <v>0</v>
      </c>
      <c r="G582" s="33">
        <v>0</v>
      </c>
    </row>
    <row r="583" spans="1:7" x14ac:dyDescent="0.3">
      <c r="A583" s="32" t="s">
        <v>37</v>
      </c>
      <c r="B583" s="32" t="s">
        <v>360</v>
      </c>
      <c r="C583" s="32" t="s">
        <v>30</v>
      </c>
      <c r="D583" s="32" t="s">
        <v>31</v>
      </c>
      <c r="E583" s="32" t="s">
        <v>37</v>
      </c>
      <c r="F583" s="33">
        <v>0</v>
      </c>
      <c r="G583" s="33">
        <v>0</v>
      </c>
    </row>
    <row r="584" spans="1:7" x14ac:dyDescent="0.3">
      <c r="A584" s="32" t="s">
        <v>37</v>
      </c>
      <c r="B584" s="32" t="s">
        <v>361</v>
      </c>
      <c r="C584" s="32" t="s">
        <v>30</v>
      </c>
      <c r="D584" s="32" t="s">
        <v>31</v>
      </c>
      <c r="E584" s="32" t="s">
        <v>37</v>
      </c>
      <c r="F584" s="33">
        <v>0</v>
      </c>
      <c r="G584" s="33">
        <v>0</v>
      </c>
    </row>
    <row r="585" spans="1:7" x14ac:dyDescent="0.3">
      <c r="A585" s="32" t="s">
        <v>37</v>
      </c>
      <c r="B585" s="32" t="s">
        <v>362</v>
      </c>
      <c r="C585" s="32" t="s">
        <v>30</v>
      </c>
      <c r="D585" s="32" t="s">
        <v>31</v>
      </c>
      <c r="E585" s="32" t="s">
        <v>37</v>
      </c>
      <c r="F585" s="33">
        <v>0</v>
      </c>
      <c r="G585" s="33">
        <v>0</v>
      </c>
    </row>
    <row r="586" spans="1:7" x14ac:dyDescent="0.3">
      <c r="A586" s="32" t="s">
        <v>37</v>
      </c>
      <c r="B586" s="32" t="s">
        <v>363</v>
      </c>
      <c r="C586" s="32" t="s">
        <v>30</v>
      </c>
      <c r="D586" s="32" t="s">
        <v>31</v>
      </c>
      <c r="E586" s="32" t="s">
        <v>37</v>
      </c>
      <c r="F586" s="33">
        <v>0</v>
      </c>
      <c r="G586" s="33">
        <v>0</v>
      </c>
    </row>
    <row r="587" spans="1:7" x14ac:dyDescent="0.3">
      <c r="A587" s="32" t="s">
        <v>37</v>
      </c>
      <c r="B587" s="32" t="s">
        <v>388</v>
      </c>
      <c r="C587" s="32" t="s">
        <v>30</v>
      </c>
      <c r="D587" s="32" t="s">
        <v>31</v>
      </c>
      <c r="E587" s="32" t="s">
        <v>37</v>
      </c>
      <c r="F587" s="33">
        <v>0</v>
      </c>
      <c r="G587" s="33">
        <v>0</v>
      </c>
    </row>
    <row r="588" spans="1:7" x14ac:dyDescent="0.3">
      <c r="A588" s="32" t="s">
        <v>37</v>
      </c>
      <c r="B588" s="32" t="s">
        <v>395</v>
      </c>
      <c r="C588" s="32" t="s">
        <v>30</v>
      </c>
      <c r="D588" s="32" t="s">
        <v>31</v>
      </c>
      <c r="E588" s="32" t="s">
        <v>37</v>
      </c>
      <c r="F588" s="33">
        <v>0</v>
      </c>
      <c r="G588" s="33">
        <v>0</v>
      </c>
    </row>
    <row r="589" spans="1:7" x14ac:dyDescent="0.3">
      <c r="A589" s="32" t="s">
        <v>37</v>
      </c>
      <c r="B589" s="32" t="s">
        <v>397</v>
      </c>
      <c r="C589" s="32" t="s">
        <v>30</v>
      </c>
      <c r="D589" s="32" t="s">
        <v>31</v>
      </c>
      <c r="E589" s="32" t="s">
        <v>37</v>
      </c>
      <c r="F589" s="33">
        <v>0</v>
      </c>
      <c r="G589" s="33">
        <v>0</v>
      </c>
    </row>
    <row r="590" spans="1:7" x14ac:dyDescent="0.3">
      <c r="A590" s="32" t="s">
        <v>37</v>
      </c>
      <c r="B590" s="32" t="s">
        <v>404</v>
      </c>
      <c r="C590" s="32" t="s">
        <v>30</v>
      </c>
      <c r="D590" s="32" t="s">
        <v>31</v>
      </c>
      <c r="E590" s="32" t="s">
        <v>37</v>
      </c>
      <c r="F590" s="33">
        <v>0</v>
      </c>
      <c r="G590" s="33">
        <v>0</v>
      </c>
    </row>
    <row r="591" spans="1:7" x14ac:dyDescent="0.3">
      <c r="A591" s="32" t="s">
        <v>37</v>
      </c>
      <c r="B591" s="32" t="s">
        <v>405</v>
      </c>
      <c r="C591" s="32" t="s">
        <v>30</v>
      </c>
      <c r="D591" s="32" t="s">
        <v>31</v>
      </c>
      <c r="E591" s="32" t="s">
        <v>37</v>
      </c>
      <c r="F591" s="33">
        <v>0</v>
      </c>
      <c r="G591" s="33">
        <v>0</v>
      </c>
    </row>
    <row r="592" spans="1:7" x14ac:dyDescent="0.3">
      <c r="A592" s="32" t="s">
        <v>37</v>
      </c>
      <c r="B592" s="32" t="s">
        <v>406</v>
      </c>
      <c r="C592" s="32" t="s">
        <v>30</v>
      </c>
      <c r="D592" s="32" t="s">
        <v>31</v>
      </c>
      <c r="E592" s="32" t="s">
        <v>37</v>
      </c>
      <c r="F592" s="33">
        <v>0</v>
      </c>
      <c r="G592" s="33">
        <v>0</v>
      </c>
    </row>
    <row r="593" spans="1:7" x14ac:dyDescent="0.3">
      <c r="A593" s="32" t="s">
        <v>37</v>
      </c>
      <c r="B593" s="32" t="s">
        <v>430</v>
      </c>
      <c r="C593" s="32" t="s">
        <v>30</v>
      </c>
      <c r="D593" s="32" t="s">
        <v>31</v>
      </c>
      <c r="E593" s="32" t="s">
        <v>37</v>
      </c>
      <c r="F593" s="33">
        <v>0</v>
      </c>
      <c r="G593" s="33">
        <v>0</v>
      </c>
    </row>
    <row r="594" spans="1:7" x14ac:dyDescent="0.3">
      <c r="A594" s="32" t="s">
        <v>37</v>
      </c>
      <c r="B594" s="32" t="s">
        <v>431</v>
      </c>
      <c r="C594" s="32" t="s">
        <v>30</v>
      </c>
      <c r="D594" s="32" t="s">
        <v>31</v>
      </c>
      <c r="E594" s="32" t="s">
        <v>37</v>
      </c>
      <c r="F594" s="33">
        <v>0</v>
      </c>
      <c r="G594" s="33">
        <v>0</v>
      </c>
    </row>
    <row r="595" spans="1:7" x14ac:dyDescent="0.3">
      <c r="A595" s="32" t="s">
        <v>37</v>
      </c>
      <c r="B595" s="32" t="s">
        <v>432</v>
      </c>
      <c r="C595" s="32" t="s">
        <v>30</v>
      </c>
      <c r="D595" s="32" t="s">
        <v>31</v>
      </c>
      <c r="E595" s="32" t="s">
        <v>37</v>
      </c>
      <c r="F595" s="33">
        <v>0</v>
      </c>
      <c r="G595" s="33">
        <v>0</v>
      </c>
    </row>
    <row r="596" spans="1:7" x14ac:dyDescent="0.3">
      <c r="A596" s="32" t="s">
        <v>37</v>
      </c>
      <c r="B596" s="32" t="s">
        <v>439</v>
      </c>
      <c r="C596" s="32" t="s">
        <v>30</v>
      </c>
      <c r="D596" s="32" t="s">
        <v>31</v>
      </c>
      <c r="E596" s="32" t="s">
        <v>37</v>
      </c>
      <c r="F596" s="33">
        <v>0</v>
      </c>
      <c r="G596" s="33">
        <v>0</v>
      </c>
    </row>
    <row r="597" spans="1:7" x14ac:dyDescent="0.3">
      <c r="A597" s="32" t="s">
        <v>37</v>
      </c>
      <c r="B597" s="32" t="s">
        <v>440</v>
      </c>
      <c r="C597" s="32" t="s">
        <v>30</v>
      </c>
      <c r="D597" s="32" t="s">
        <v>31</v>
      </c>
      <c r="E597" s="32" t="s">
        <v>37</v>
      </c>
      <c r="F597" s="33">
        <v>0</v>
      </c>
      <c r="G597" s="33">
        <v>0</v>
      </c>
    </row>
    <row r="598" spans="1:7" x14ac:dyDescent="0.3">
      <c r="A598" s="32" t="s">
        <v>37</v>
      </c>
      <c r="B598" s="32" t="s">
        <v>441</v>
      </c>
      <c r="C598" s="32" t="s">
        <v>30</v>
      </c>
      <c r="D598" s="32" t="s">
        <v>31</v>
      </c>
      <c r="E598" s="32" t="s">
        <v>37</v>
      </c>
      <c r="F598" s="33">
        <v>0</v>
      </c>
      <c r="G598" s="33">
        <v>0</v>
      </c>
    </row>
    <row r="599" spans="1:7" x14ac:dyDescent="0.3">
      <c r="A599" s="32" t="s">
        <v>37</v>
      </c>
      <c r="B599" s="32" t="s">
        <v>442</v>
      </c>
      <c r="C599" s="32" t="s">
        <v>30</v>
      </c>
      <c r="D599" s="32" t="s">
        <v>31</v>
      </c>
      <c r="E599" s="32" t="s">
        <v>37</v>
      </c>
      <c r="F599" s="33">
        <v>0</v>
      </c>
      <c r="G599" s="33">
        <v>0</v>
      </c>
    </row>
    <row r="600" spans="1:7" x14ac:dyDescent="0.3">
      <c r="A600" s="32" t="s">
        <v>37</v>
      </c>
      <c r="B600" s="32" t="s">
        <v>443</v>
      </c>
      <c r="C600" s="32" t="s">
        <v>30</v>
      </c>
      <c r="D600" s="32" t="s">
        <v>31</v>
      </c>
      <c r="E600" s="32" t="s">
        <v>37</v>
      </c>
      <c r="F600" s="33">
        <v>0</v>
      </c>
      <c r="G600" s="33">
        <v>0</v>
      </c>
    </row>
    <row r="601" spans="1:7" x14ac:dyDescent="0.3">
      <c r="A601" s="32" t="s">
        <v>37</v>
      </c>
      <c r="B601" s="32" t="s">
        <v>444</v>
      </c>
      <c r="C601" s="32" t="s">
        <v>30</v>
      </c>
      <c r="D601" s="32" t="s">
        <v>31</v>
      </c>
      <c r="E601" s="32" t="s">
        <v>37</v>
      </c>
      <c r="F601" s="33">
        <v>0</v>
      </c>
      <c r="G601" s="33">
        <v>0</v>
      </c>
    </row>
    <row r="602" spans="1:7" x14ac:dyDescent="0.3">
      <c r="A602" s="32" t="s">
        <v>37</v>
      </c>
      <c r="B602" s="32" t="s">
        <v>461</v>
      </c>
      <c r="C602" s="32" t="s">
        <v>30</v>
      </c>
      <c r="D602" s="32" t="s">
        <v>31</v>
      </c>
      <c r="E602" s="32" t="s">
        <v>37</v>
      </c>
      <c r="F602" s="33">
        <v>0</v>
      </c>
      <c r="G602" s="33">
        <v>0</v>
      </c>
    </row>
    <row r="603" spans="1:7" x14ac:dyDescent="0.3">
      <c r="A603" s="32" t="s">
        <v>37</v>
      </c>
      <c r="B603" s="32" t="s">
        <v>462</v>
      </c>
      <c r="C603" s="32" t="s">
        <v>30</v>
      </c>
      <c r="D603" s="32" t="s">
        <v>31</v>
      </c>
      <c r="E603" s="32" t="s">
        <v>37</v>
      </c>
      <c r="F603" s="33">
        <v>0</v>
      </c>
      <c r="G603" s="33">
        <v>0</v>
      </c>
    </row>
    <row r="604" spans="1:7" x14ac:dyDescent="0.3">
      <c r="A604" s="32" t="s">
        <v>37</v>
      </c>
      <c r="B604" s="32" t="s">
        <v>468</v>
      </c>
      <c r="C604" s="32" t="s">
        <v>30</v>
      </c>
      <c r="D604" s="32" t="s">
        <v>31</v>
      </c>
      <c r="E604" s="32" t="s">
        <v>37</v>
      </c>
      <c r="F604" s="33">
        <v>0</v>
      </c>
      <c r="G604" s="33">
        <v>0</v>
      </c>
    </row>
    <row r="605" spans="1:7" x14ac:dyDescent="0.3">
      <c r="A605" s="32" t="s">
        <v>37</v>
      </c>
      <c r="B605" s="32" t="s">
        <v>469</v>
      </c>
      <c r="C605" s="32" t="s">
        <v>30</v>
      </c>
      <c r="D605" s="32" t="s">
        <v>31</v>
      </c>
      <c r="E605" s="32" t="s">
        <v>37</v>
      </c>
      <c r="F605" s="33">
        <v>0</v>
      </c>
      <c r="G605" s="33">
        <v>0</v>
      </c>
    </row>
    <row r="606" spans="1:7" x14ac:dyDescent="0.3">
      <c r="A606" s="32" t="s">
        <v>37</v>
      </c>
      <c r="B606" s="32" t="s">
        <v>470</v>
      </c>
      <c r="C606" s="32" t="s">
        <v>30</v>
      </c>
      <c r="D606" s="32" t="s">
        <v>31</v>
      </c>
      <c r="E606" s="32" t="s">
        <v>37</v>
      </c>
      <c r="F606" s="33">
        <v>0</v>
      </c>
      <c r="G606" s="33">
        <v>0</v>
      </c>
    </row>
    <row r="607" spans="1:7" x14ac:dyDescent="0.3">
      <c r="A607" s="32" t="s">
        <v>37</v>
      </c>
      <c r="B607" s="32" t="s">
        <v>288</v>
      </c>
      <c r="C607" s="32" t="s">
        <v>30</v>
      </c>
      <c r="D607" s="32" t="s">
        <v>31</v>
      </c>
      <c r="E607" s="32" t="s">
        <v>37</v>
      </c>
      <c r="F607" s="33">
        <v>0</v>
      </c>
      <c r="G607" s="33">
        <v>0</v>
      </c>
    </row>
    <row r="608" spans="1:7" x14ac:dyDescent="0.3">
      <c r="A608" s="32" t="s">
        <v>37</v>
      </c>
      <c r="B608" s="32" t="s">
        <v>65</v>
      </c>
      <c r="C608" s="32" t="s">
        <v>30</v>
      </c>
      <c r="D608" s="32" t="s">
        <v>31</v>
      </c>
      <c r="E608" s="32" t="s">
        <v>37</v>
      </c>
      <c r="F608" s="33">
        <v>0</v>
      </c>
      <c r="G608" s="33">
        <v>0</v>
      </c>
    </row>
    <row r="609" spans="1:7" x14ac:dyDescent="0.3">
      <c r="A609" s="32" t="s">
        <v>37</v>
      </c>
      <c r="B609" s="32" t="s">
        <v>474</v>
      </c>
      <c r="C609" s="32" t="s">
        <v>30</v>
      </c>
      <c r="D609" s="32" t="s">
        <v>31</v>
      </c>
      <c r="E609" s="32" t="s">
        <v>37</v>
      </c>
      <c r="F609" s="33">
        <v>0</v>
      </c>
      <c r="G609" s="33">
        <v>0</v>
      </c>
    </row>
    <row r="610" spans="1:7" x14ac:dyDescent="0.3">
      <c r="A610" s="32" t="s">
        <v>37</v>
      </c>
      <c r="B610" s="32" t="s">
        <v>475</v>
      </c>
      <c r="C610" s="32" t="s">
        <v>30</v>
      </c>
      <c r="D610" s="32" t="s">
        <v>31</v>
      </c>
      <c r="E610" s="32" t="s">
        <v>37</v>
      </c>
      <c r="F610" s="33">
        <v>0</v>
      </c>
      <c r="G610" s="33">
        <v>0</v>
      </c>
    </row>
    <row r="611" spans="1:7" x14ac:dyDescent="0.3">
      <c r="A611" s="32" t="s">
        <v>37</v>
      </c>
      <c r="B611" s="32" t="s">
        <v>476</v>
      </c>
      <c r="C611" s="32" t="s">
        <v>30</v>
      </c>
      <c r="D611" s="32" t="s">
        <v>31</v>
      </c>
      <c r="E611" s="32" t="s">
        <v>37</v>
      </c>
      <c r="F611" s="33">
        <v>0</v>
      </c>
      <c r="G611" s="33">
        <v>0</v>
      </c>
    </row>
    <row r="612" spans="1:7" x14ac:dyDescent="0.3">
      <c r="A612" s="32" t="s">
        <v>37</v>
      </c>
      <c r="B612" s="32" t="s">
        <v>477</v>
      </c>
      <c r="C612" s="32" t="s">
        <v>30</v>
      </c>
      <c r="D612" s="32" t="s">
        <v>31</v>
      </c>
      <c r="E612" s="32" t="s">
        <v>37</v>
      </c>
      <c r="F612" s="33">
        <v>0</v>
      </c>
      <c r="G612" s="33">
        <v>0</v>
      </c>
    </row>
    <row r="613" spans="1:7" x14ac:dyDescent="0.3">
      <c r="A613" s="32" t="s">
        <v>37</v>
      </c>
      <c r="B613" s="32" t="s">
        <v>478</v>
      </c>
      <c r="C613" s="32" t="s">
        <v>30</v>
      </c>
      <c r="D613" s="32" t="s">
        <v>31</v>
      </c>
      <c r="E613" s="32" t="s">
        <v>37</v>
      </c>
      <c r="F613" s="33">
        <v>0</v>
      </c>
      <c r="G613" s="33">
        <v>0</v>
      </c>
    </row>
    <row r="614" spans="1:7" x14ac:dyDescent="0.3">
      <c r="A614" s="32" t="s">
        <v>37</v>
      </c>
      <c r="B614" s="32" t="s">
        <v>479</v>
      </c>
      <c r="C614" s="32" t="s">
        <v>30</v>
      </c>
      <c r="D614" s="32" t="s">
        <v>31</v>
      </c>
      <c r="E614" s="32" t="s">
        <v>37</v>
      </c>
      <c r="F614" s="33">
        <v>0</v>
      </c>
      <c r="G614" s="33">
        <v>0</v>
      </c>
    </row>
    <row r="615" spans="1:7" x14ac:dyDescent="0.3">
      <c r="A615" s="32" t="s">
        <v>37</v>
      </c>
      <c r="B615" s="32" t="s">
        <v>501</v>
      </c>
      <c r="C615" s="32" t="s">
        <v>30</v>
      </c>
      <c r="D615" s="32" t="s">
        <v>31</v>
      </c>
      <c r="E615" s="32" t="s">
        <v>37</v>
      </c>
      <c r="F615" s="33">
        <v>0</v>
      </c>
      <c r="G615" s="33">
        <v>0</v>
      </c>
    </row>
    <row r="616" spans="1:7" x14ac:dyDescent="0.3">
      <c r="A616" s="32" t="s">
        <v>37</v>
      </c>
      <c r="B616" s="32" t="s">
        <v>308</v>
      </c>
      <c r="C616" s="32" t="s">
        <v>30</v>
      </c>
      <c r="D616" s="32" t="s">
        <v>31</v>
      </c>
      <c r="E616" s="32" t="s">
        <v>37</v>
      </c>
      <c r="F616" s="33">
        <v>0</v>
      </c>
      <c r="G616" s="33">
        <v>0</v>
      </c>
    </row>
    <row r="617" spans="1:7" x14ac:dyDescent="0.3">
      <c r="A617" s="32" t="s">
        <v>37</v>
      </c>
      <c r="B617" s="32" t="s">
        <v>508</v>
      </c>
      <c r="C617" s="32" t="s">
        <v>30</v>
      </c>
      <c r="D617" s="32" t="s">
        <v>31</v>
      </c>
      <c r="E617" s="32" t="s">
        <v>37</v>
      </c>
      <c r="F617" s="33">
        <v>0</v>
      </c>
      <c r="G617" s="33">
        <v>0</v>
      </c>
    </row>
    <row r="618" spans="1:7" x14ac:dyDescent="0.3">
      <c r="A618" s="32" t="s">
        <v>37</v>
      </c>
      <c r="B618" s="32" t="s">
        <v>511</v>
      </c>
      <c r="C618" s="32" t="s">
        <v>30</v>
      </c>
      <c r="D618" s="32" t="s">
        <v>31</v>
      </c>
      <c r="E618" s="32" t="s">
        <v>37</v>
      </c>
      <c r="F618" s="33">
        <v>0</v>
      </c>
      <c r="G618" s="33">
        <v>0</v>
      </c>
    </row>
    <row r="619" spans="1:7" x14ac:dyDescent="0.3">
      <c r="A619" s="32" t="s">
        <v>37</v>
      </c>
      <c r="B619" s="32" t="s">
        <v>512</v>
      </c>
      <c r="C619" s="32" t="s">
        <v>30</v>
      </c>
      <c r="D619" s="32" t="s">
        <v>31</v>
      </c>
      <c r="E619" s="32" t="s">
        <v>37</v>
      </c>
      <c r="F619" s="33">
        <v>0</v>
      </c>
      <c r="G619" s="33">
        <v>0</v>
      </c>
    </row>
    <row r="620" spans="1:7" x14ac:dyDescent="0.3">
      <c r="A620" s="32" t="s">
        <v>37</v>
      </c>
      <c r="B620" s="32" t="s">
        <v>515</v>
      </c>
      <c r="C620" s="32" t="s">
        <v>30</v>
      </c>
      <c r="D620" s="32" t="s">
        <v>31</v>
      </c>
      <c r="E620" s="32" t="s">
        <v>37</v>
      </c>
      <c r="F620" s="33">
        <v>0</v>
      </c>
      <c r="G620" s="33">
        <v>0</v>
      </c>
    </row>
    <row r="621" spans="1:7" x14ac:dyDescent="0.3">
      <c r="A621" s="32" t="s">
        <v>37</v>
      </c>
      <c r="B621" s="32" t="s">
        <v>519</v>
      </c>
      <c r="C621" s="32" t="s">
        <v>30</v>
      </c>
      <c r="D621" s="32" t="s">
        <v>31</v>
      </c>
      <c r="E621" s="32" t="s">
        <v>37</v>
      </c>
      <c r="F621" s="33">
        <v>0</v>
      </c>
      <c r="G621" s="33">
        <v>0</v>
      </c>
    </row>
    <row r="622" spans="1:7" x14ac:dyDescent="0.3">
      <c r="A622" s="32" t="s">
        <v>37</v>
      </c>
      <c r="B622" s="32" t="s">
        <v>520</v>
      </c>
      <c r="C622" s="32" t="s">
        <v>30</v>
      </c>
      <c r="D622" s="32" t="s">
        <v>31</v>
      </c>
      <c r="E622" s="32" t="s">
        <v>37</v>
      </c>
      <c r="F622" s="33">
        <v>0</v>
      </c>
      <c r="G622" s="33">
        <v>0</v>
      </c>
    </row>
    <row r="623" spans="1:7" x14ac:dyDescent="0.3">
      <c r="A623" s="32" t="s">
        <v>37</v>
      </c>
      <c r="B623" s="32" t="s">
        <v>521</v>
      </c>
      <c r="C623" s="32" t="s">
        <v>30</v>
      </c>
      <c r="D623" s="32" t="s">
        <v>31</v>
      </c>
      <c r="E623" s="32" t="s">
        <v>37</v>
      </c>
      <c r="F623" s="33">
        <v>0</v>
      </c>
      <c r="G623" s="33">
        <v>0</v>
      </c>
    </row>
    <row r="624" spans="1:7" x14ac:dyDescent="0.3">
      <c r="A624" s="32" t="s">
        <v>37</v>
      </c>
      <c r="B624" s="32" t="s">
        <v>522</v>
      </c>
      <c r="C624" s="32" t="s">
        <v>30</v>
      </c>
      <c r="D624" s="32" t="s">
        <v>31</v>
      </c>
      <c r="E624" s="32" t="s">
        <v>37</v>
      </c>
      <c r="F624" s="33">
        <v>0</v>
      </c>
      <c r="G624" s="33">
        <v>0</v>
      </c>
    </row>
    <row r="625" spans="1:7" x14ac:dyDescent="0.3">
      <c r="A625" s="32" t="s">
        <v>37</v>
      </c>
      <c r="B625" s="32" t="s">
        <v>543</v>
      </c>
      <c r="C625" s="32" t="s">
        <v>30</v>
      </c>
      <c r="D625" s="32" t="s">
        <v>31</v>
      </c>
      <c r="E625" s="32" t="s">
        <v>37</v>
      </c>
      <c r="F625" s="33">
        <v>0</v>
      </c>
      <c r="G625" s="33">
        <v>0</v>
      </c>
    </row>
    <row r="626" spans="1:7" x14ac:dyDescent="0.3">
      <c r="A626" s="32" t="s">
        <v>37</v>
      </c>
      <c r="B626" s="32" t="s">
        <v>544</v>
      </c>
      <c r="C626" s="32" t="s">
        <v>30</v>
      </c>
      <c r="D626" s="32" t="s">
        <v>31</v>
      </c>
      <c r="E626" s="32" t="s">
        <v>37</v>
      </c>
      <c r="F626" s="33">
        <v>0</v>
      </c>
      <c r="G626" s="33">
        <v>0</v>
      </c>
    </row>
    <row r="627" spans="1:7" x14ac:dyDescent="0.3">
      <c r="A627" s="32" t="s">
        <v>37</v>
      </c>
      <c r="B627" s="32" t="s">
        <v>551</v>
      </c>
      <c r="C627" s="32" t="s">
        <v>30</v>
      </c>
      <c r="D627" s="32" t="s">
        <v>31</v>
      </c>
      <c r="E627" s="32" t="s">
        <v>37</v>
      </c>
      <c r="F627" s="33">
        <v>0</v>
      </c>
      <c r="G627" s="33">
        <v>0</v>
      </c>
    </row>
    <row r="628" spans="1:7" x14ac:dyDescent="0.3">
      <c r="A628" s="32" t="s">
        <v>37</v>
      </c>
      <c r="B628" s="32" t="s">
        <v>552</v>
      </c>
      <c r="C628" s="32" t="s">
        <v>30</v>
      </c>
      <c r="D628" s="32" t="s">
        <v>31</v>
      </c>
      <c r="E628" s="32" t="s">
        <v>37</v>
      </c>
      <c r="F628" s="33">
        <v>0</v>
      </c>
      <c r="G628" s="33">
        <v>0</v>
      </c>
    </row>
    <row r="629" spans="1:7" x14ac:dyDescent="0.3">
      <c r="A629" s="32" t="s">
        <v>37</v>
      </c>
      <c r="B629" s="32" t="s">
        <v>553</v>
      </c>
      <c r="C629" s="32" t="s">
        <v>30</v>
      </c>
      <c r="D629" s="32" t="s">
        <v>31</v>
      </c>
      <c r="E629" s="32" t="s">
        <v>37</v>
      </c>
      <c r="F629" s="33">
        <v>0</v>
      </c>
      <c r="G629" s="33">
        <v>0</v>
      </c>
    </row>
    <row r="630" spans="1:7" x14ac:dyDescent="0.3">
      <c r="A630" s="32" t="s">
        <v>37</v>
      </c>
      <c r="B630" s="32" t="s">
        <v>554</v>
      </c>
      <c r="C630" s="32" t="s">
        <v>30</v>
      </c>
      <c r="D630" s="32" t="s">
        <v>31</v>
      </c>
      <c r="E630" s="32" t="s">
        <v>37</v>
      </c>
      <c r="F630" s="33">
        <v>0</v>
      </c>
      <c r="G630" s="33">
        <v>0</v>
      </c>
    </row>
    <row r="631" spans="1:7" x14ac:dyDescent="0.3">
      <c r="A631" s="32" t="s">
        <v>37</v>
      </c>
      <c r="B631" s="32" t="s">
        <v>555</v>
      </c>
      <c r="C631" s="32" t="s">
        <v>30</v>
      </c>
      <c r="D631" s="32" t="s">
        <v>31</v>
      </c>
      <c r="E631" s="32" t="s">
        <v>37</v>
      </c>
      <c r="F631" s="33">
        <v>0</v>
      </c>
      <c r="G631" s="33">
        <v>0</v>
      </c>
    </row>
    <row r="632" spans="1:7" x14ac:dyDescent="0.3">
      <c r="A632" s="32" t="s">
        <v>37</v>
      </c>
      <c r="B632" s="32" t="s">
        <v>308</v>
      </c>
      <c r="C632" s="32" t="s">
        <v>30</v>
      </c>
      <c r="D632" s="32" t="s">
        <v>31</v>
      </c>
      <c r="E632" s="32" t="s">
        <v>37</v>
      </c>
      <c r="F632" s="33">
        <v>0</v>
      </c>
      <c r="G632" s="33">
        <v>0</v>
      </c>
    </row>
    <row r="633" spans="1:7" x14ac:dyDescent="0.3">
      <c r="A633" s="32" t="s">
        <v>37</v>
      </c>
      <c r="B633" s="32" t="s">
        <v>575</v>
      </c>
      <c r="C633" s="32" t="s">
        <v>30</v>
      </c>
      <c r="D633" s="32" t="s">
        <v>31</v>
      </c>
      <c r="E633" s="32" t="s">
        <v>37</v>
      </c>
      <c r="F633" s="33">
        <v>0</v>
      </c>
      <c r="G633" s="33">
        <v>0</v>
      </c>
    </row>
    <row r="634" spans="1:7" x14ac:dyDescent="0.3">
      <c r="A634" s="32" t="s">
        <v>37</v>
      </c>
      <c r="B634" s="32" t="s">
        <v>576</v>
      </c>
      <c r="C634" s="32" t="s">
        <v>30</v>
      </c>
      <c r="D634" s="32" t="s">
        <v>31</v>
      </c>
      <c r="E634" s="32" t="s">
        <v>37</v>
      </c>
      <c r="F634" s="33">
        <v>0</v>
      </c>
      <c r="G634" s="33">
        <v>0</v>
      </c>
    </row>
    <row r="635" spans="1:7" x14ac:dyDescent="0.3">
      <c r="A635" s="32" t="s">
        <v>37</v>
      </c>
      <c r="B635" s="32" t="s">
        <v>580</v>
      </c>
      <c r="C635" s="32" t="s">
        <v>30</v>
      </c>
      <c r="D635" s="32" t="s">
        <v>31</v>
      </c>
      <c r="E635" s="32" t="s">
        <v>37</v>
      </c>
      <c r="F635" s="33">
        <v>0</v>
      </c>
      <c r="G635" s="33">
        <v>0</v>
      </c>
    </row>
    <row r="636" spans="1:7" x14ac:dyDescent="0.3">
      <c r="A636" s="32" t="s">
        <v>37</v>
      </c>
      <c r="B636" s="32" t="s">
        <v>581</v>
      </c>
      <c r="C636" s="32" t="s">
        <v>30</v>
      </c>
      <c r="D636" s="32" t="s">
        <v>31</v>
      </c>
      <c r="E636" s="32" t="s">
        <v>37</v>
      </c>
      <c r="F636" s="33">
        <v>0</v>
      </c>
      <c r="G636" s="33">
        <v>0</v>
      </c>
    </row>
    <row r="637" spans="1:7" x14ac:dyDescent="0.3">
      <c r="A637" s="32" t="s">
        <v>37</v>
      </c>
      <c r="B637" s="32" t="s">
        <v>583</v>
      </c>
      <c r="C637" s="32" t="s">
        <v>30</v>
      </c>
      <c r="D637" s="32" t="s">
        <v>31</v>
      </c>
      <c r="E637" s="32" t="s">
        <v>37</v>
      </c>
      <c r="F637" s="33">
        <v>0</v>
      </c>
      <c r="G637" s="33">
        <v>0</v>
      </c>
    </row>
    <row r="638" spans="1:7" x14ac:dyDescent="0.3">
      <c r="A638" s="32" t="s">
        <v>37</v>
      </c>
      <c r="B638" s="32" t="s">
        <v>585</v>
      </c>
      <c r="C638" s="32" t="s">
        <v>30</v>
      </c>
      <c r="D638" s="32" t="s">
        <v>31</v>
      </c>
      <c r="E638" s="32" t="s">
        <v>37</v>
      </c>
      <c r="F638" s="33">
        <v>0</v>
      </c>
      <c r="G638" s="33">
        <v>0</v>
      </c>
    </row>
    <row r="639" spans="1:7" x14ac:dyDescent="0.3">
      <c r="A639" s="32" t="s">
        <v>37</v>
      </c>
      <c r="B639" s="32" t="s">
        <v>588</v>
      </c>
      <c r="C639" s="32" t="s">
        <v>30</v>
      </c>
      <c r="D639" s="32" t="s">
        <v>31</v>
      </c>
      <c r="E639" s="32" t="s">
        <v>37</v>
      </c>
      <c r="F639" s="33">
        <v>0</v>
      </c>
      <c r="G639" s="33">
        <v>0</v>
      </c>
    </row>
    <row r="640" spans="1:7" x14ac:dyDescent="0.3">
      <c r="A640" s="32" t="s">
        <v>37</v>
      </c>
      <c r="B640" s="32" t="s">
        <v>77</v>
      </c>
      <c r="C640" s="32" t="s">
        <v>30</v>
      </c>
      <c r="D640" s="32" t="s">
        <v>31</v>
      </c>
      <c r="E640" s="32" t="s">
        <v>37</v>
      </c>
      <c r="F640" s="33">
        <v>0</v>
      </c>
      <c r="G640" s="33">
        <v>0</v>
      </c>
    </row>
    <row r="641" spans="1:7" x14ac:dyDescent="0.3">
      <c r="A641" s="32" t="s">
        <v>37</v>
      </c>
      <c r="B641" s="32" t="s">
        <v>589</v>
      </c>
      <c r="C641" s="32" t="s">
        <v>30</v>
      </c>
      <c r="D641" s="32" t="s">
        <v>31</v>
      </c>
      <c r="E641" s="32" t="s">
        <v>37</v>
      </c>
      <c r="F641" s="33">
        <v>0</v>
      </c>
      <c r="G641" s="33">
        <v>0</v>
      </c>
    </row>
    <row r="642" spans="1:7" x14ac:dyDescent="0.3">
      <c r="A642" s="32" t="s">
        <v>37</v>
      </c>
      <c r="B642" s="32" t="s">
        <v>590</v>
      </c>
      <c r="C642" s="32" t="s">
        <v>30</v>
      </c>
      <c r="D642" s="32" t="s">
        <v>31</v>
      </c>
      <c r="E642" s="32" t="s">
        <v>37</v>
      </c>
      <c r="F642" s="33">
        <v>0</v>
      </c>
      <c r="G642" s="33">
        <v>0</v>
      </c>
    </row>
    <row r="643" spans="1:7" x14ac:dyDescent="0.3">
      <c r="A643" s="32" t="s">
        <v>37</v>
      </c>
      <c r="B643" s="32" t="s">
        <v>591</v>
      </c>
      <c r="C643" s="32" t="s">
        <v>30</v>
      </c>
      <c r="D643" s="32" t="s">
        <v>31</v>
      </c>
      <c r="E643" s="32" t="s">
        <v>37</v>
      </c>
      <c r="F643" s="33">
        <v>0</v>
      </c>
      <c r="G643" s="33">
        <v>0</v>
      </c>
    </row>
    <row r="644" spans="1:7" x14ac:dyDescent="0.3">
      <c r="A644" s="32" t="s">
        <v>37</v>
      </c>
      <c r="B644" s="32" t="s">
        <v>592</v>
      </c>
      <c r="C644" s="32" t="s">
        <v>30</v>
      </c>
      <c r="D644" s="32" t="s">
        <v>31</v>
      </c>
      <c r="E644" s="32" t="s">
        <v>37</v>
      </c>
      <c r="F644" s="33">
        <v>0</v>
      </c>
      <c r="G644" s="33">
        <v>0</v>
      </c>
    </row>
    <row r="645" spans="1:7" x14ac:dyDescent="0.3">
      <c r="A645" s="32" t="s">
        <v>37</v>
      </c>
      <c r="B645" s="32" t="s">
        <v>593</v>
      </c>
      <c r="C645" s="32" t="s">
        <v>30</v>
      </c>
      <c r="D645" s="32" t="s">
        <v>31</v>
      </c>
      <c r="E645" s="32" t="s">
        <v>37</v>
      </c>
      <c r="F645" s="33">
        <v>0</v>
      </c>
      <c r="G645" s="33">
        <v>0</v>
      </c>
    </row>
    <row r="646" spans="1:7" x14ac:dyDescent="0.3">
      <c r="A646" s="32" t="s">
        <v>37</v>
      </c>
      <c r="B646" s="32" t="s">
        <v>619</v>
      </c>
      <c r="C646" s="32" t="s">
        <v>30</v>
      </c>
      <c r="D646" s="32" t="s">
        <v>31</v>
      </c>
      <c r="E646" s="32" t="s">
        <v>37</v>
      </c>
      <c r="F646" s="33">
        <v>0</v>
      </c>
      <c r="G646" s="33">
        <v>0</v>
      </c>
    </row>
    <row r="647" spans="1:7" x14ac:dyDescent="0.3">
      <c r="A647" s="32" t="s">
        <v>37</v>
      </c>
      <c r="B647" s="32" t="s">
        <v>622</v>
      </c>
      <c r="C647" s="32" t="s">
        <v>30</v>
      </c>
      <c r="D647" s="32" t="s">
        <v>31</v>
      </c>
      <c r="E647" s="32" t="s">
        <v>37</v>
      </c>
      <c r="F647" s="33">
        <v>0</v>
      </c>
      <c r="G647" s="33">
        <v>0</v>
      </c>
    </row>
    <row r="648" spans="1:7" x14ac:dyDescent="0.3">
      <c r="A648" s="32" t="s">
        <v>37</v>
      </c>
      <c r="B648" s="32" t="s">
        <v>623</v>
      </c>
      <c r="C648" s="32" t="s">
        <v>30</v>
      </c>
      <c r="D648" s="32" t="s">
        <v>31</v>
      </c>
      <c r="E648" s="32" t="s">
        <v>37</v>
      </c>
      <c r="F648" s="33">
        <v>0</v>
      </c>
      <c r="G648" s="33">
        <v>0</v>
      </c>
    </row>
    <row r="649" spans="1:7" x14ac:dyDescent="0.3">
      <c r="A649" s="32" t="s">
        <v>652</v>
      </c>
      <c r="B649" s="32" t="s">
        <v>651</v>
      </c>
      <c r="C649" s="32" t="s">
        <v>638</v>
      </c>
      <c r="D649" s="32" t="s">
        <v>628</v>
      </c>
      <c r="E649" s="32" t="s">
        <v>652</v>
      </c>
      <c r="F649" s="33">
        <v>0</v>
      </c>
      <c r="G649" s="33">
        <v>0</v>
      </c>
    </row>
    <row r="650" spans="1:7" x14ac:dyDescent="0.3">
      <c r="A650" s="32" t="s">
        <v>652</v>
      </c>
      <c r="B650" s="32" t="s">
        <v>744</v>
      </c>
      <c r="C650" s="32" t="s">
        <v>638</v>
      </c>
      <c r="D650" s="32" t="s">
        <v>628</v>
      </c>
      <c r="E650" s="32" t="s">
        <v>652</v>
      </c>
      <c r="F650" s="33">
        <v>0</v>
      </c>
      <c r="G650" s="33">
        <v>0</v>
      </c>
    </row>
    <row r="651" spans="1:7" x14ac:dyDescent="0.3">
      <c r="A651" s="32" t="s">
        <v>652</v>
      </c>
      <c r="B651" s="32" t="s">
        <v>850</v>
      </c>
      <c r="C651" s="32" t="s">
        <v>638</v>
      </c>
      <c r="D651" s="32" t="s">
        <v>628</v>
      </c>
      <c r="E651" s="32" t="s">
        <v>652</v>
      </c>
      <c r="F651" s="33">
        <v>0</v>
      </c>
      <c r="G651" s="33">
        <v>0</v>
      </c>
    </row>
    <row r="652" spans="1:7" x14ac:dyDescent="0.3">
      <c r="A652" s="32" t="s">
        <v>652</v>
      </c>
      <c r="B652" s="32" t="s">
        <v>859</v>
      </c>
      <c r="C652" s="32" t="s">
        <v>638</v>
      </c>
      <c r="D652" s="32" t="s">
        <v>628</v>
      </c>
      <c r="E652" s="32" t="s">
        <v>652</v>
      </c>
      <c r="F652" s="33">
        <v>0</v>
      </c>
      <c r="G652" s="33">
        <v>0</v>
      </c>
    </row>
    <row r="653" spans="1:7" x14ac:dyDescent="0.3">
      <c r="A653" s="32" t="s">
        <v>773</v>
      </c>
      <c r="B653" s="32" t="s">
        <v>773</v>
      </c>
      <c r="C653" s="32" t="s">
        <v>771</v>
      </c>
      <c r="D653" s="32" t="s">
        <v>628</v>
      </c>
      <c r="E653" s="32" t="s">
        <v>773</v>
      </c>
      <c r="F653" s="33">
        <v>0</v>
      </c>
      <c r="G653" s="33">
        <v>0</v>
      </c>
    </row>
    <row r="654" spans="1:7" x14ac:dyDescent="0.3">
      <c r="A654" s="32" t="s">
        <v>875</v>
      </c>
      <c r="B654" s="32" t="s">
        <v>874</v>
      </c>
      <c r="C654" s="32" t="s">
        <v>771</v>
      </c>
      <c r="D654" s="32" t="s">
        <v>628</v>
      </c>
      <c r="E654" s="32" t="s">
        <v>875</v>
      </c>
      <c r="F654" s="33">
        <v>0</v>
      </c>
      <c r="G654" s="33">
        <v>0</v>
      </c>
    </row>
    <row r="655" spans="1:7" x14ac:dyDescent="0.3">
      <c r="A655" s="32" t="s">
        <v>639</v>
      </c>
      <c r="B655" s="32" t="s">
        <v>637</v>
      </c>
      <c r="C655" s="32" t="s">
        <v>638</v>
      </c>
      <c r="D655" s="32" t="s">
        <v>628</v>
      </c>
      <c r="E655" s="32" t="s">
        <v>639</v>
      </c>
      <c r="F655" s="33">
        <v>0</v>
      </c>
      <c r="G655" s="33">
        <v>0</v>
      </c>
    </row>
    <row r="656" spans="1:7" x14ac:dyDescent="0.3">
      <c r="A656" s="32" t="s">
        <v>639</v>
      </c>
      <c r="B656" s="32" t="s">
        <v>665</v>
      </c>
      <c r="C656" s="32" t="s">
        <v>638</v>
      </c>
      <c r="D656" s="32" t="s">
        <v>628</v>
      </c>
      <c r="E656" s="32" t="s">
        <v>639</v>
      </c>
      <c r="F656" s="33">
        <v>0</v>
      </c>
      <c r="G656" s="33">
        <v>0</v>
      </c>
    </row>
    <row r="657" spans="1:7" x14ac:dyDescent="0.3">
      <c r="A657" s="32" t="s">
        <v>639</v>
      </c>
      <c r="B657" s="32" t="s">
        <v>679</v>
      </c>
      <c r="C657" s="32" t="s">
        <v>638</v>
      </c>
      <c r="D657" s="32" t="s">
        <v>628</v>
      </c>
      <c r="E657" s="32" t="s">
        <v>639</v>
      </c>
      <c r="F657" s="33">
        <v>0</v>
      </c>
      <c r="G657" s="33">
        <v>0</v>
      </c>
    </row>
    <row r="658" spans="1:7" x14ac:dyDescent="0.3">
      <c r="A658" s="32" t="s">
        <v>639</v>
      </c>
      <c r="B658" s="32" t="s">
        <v>715</v>
      </c>
      <c r="C658" s="32" t="s">
        <v>638</v>
      </c>
      <c r="D658" s="32" t="s">
        <v>628</v>
      </c>
      <c r="E658" s="32" t="s">
        <v>639</v>
      </c>
      <c r="F658" s="33">
        <v>0</v>
      </c>
      <c r="G658" s="33">
        <v>0</v>
      </c>
    </row>
    <row r="659" spans="1:7" x14ac:dyDescent="0.3">
      <c r="A659" s="32" t="s">
        <v>639</v>
      </c>
      <c r="B659" s="32" t="s">
        <v>637</v>
      </c>
      <c r="C659" s="32" t="s">
        <v>638</v>
      </c>
      <c r="D659" s="32" t="s">
        <v>628</v>
      </c>
      <c r="E659" s="32" t="s">
        <v>639</v>
      </c>
      <c r="F659" s="33">
        <v>0</v>
      </c>
      <c r="G659" s="33">
        <v>0</v>
      </c>
    </row>
    <row r="660" spans="1:7" x14ac:dyDescent="0.3">
      <c r="A660" s="32" t="s">
        <v>710</v>
      </c>
      <c r="B660" s="32" t="s">
        <v>708</v>
      </c>
      <c r="C660" s="32" t="s">
        <v>709</v>
      </c>
      <c r="D660" s="32" t="s">
        <v>628</v>
      </c>
      <c r="E660" s="32" t="s">
        <v>710</v>
      </c>
      <c r="F660" s="33">
        <v>0</v>
      </c>
      <c r="G660" s="33">
        <v>0</v>
      </c>
    </row>
    <row r="661" spans="1:7" x14ac:dyDescent="0.3">
      <c r="A661" s="32" t="s">
        <v>710</v>
      </c>
      <c r="B661" s="32" t="s">
        <v>738</v>
      </c>
      <c r="C661" s="32" t="s">
        <v>709</v>
      </c>
      <c r="D661" s="32" t="s">
        <v>628</v>
      </c>
      <c r="E661" s="32" t="s">
        <v>710</v>
      </c>
      <c r="F661" s="33">
        <v>0</v>
      </c>
      <c r="G661" s="33">
        <v>0</v>
      </c>
    </row>
    <row r="662" spans="1:7" x14ac:dyDescent="0.3">
      <c r="A662" s="32" t="s">
        <v>710</v>
      </c>
      <c r="B662" s="32" t="s">
        <v>738</v>
      </c>
      <c r="C662" s="32" t="s">
        <v>709</v>
      </c>
      <c r="D662" s="32" t="s">
        <v>628</v>
      </c>
      <c r="E662" s="32" t="s">
        <v>710</v>
      </c>
      <c r="F662" s="33">
        <v>0</v>
      </c>
      <c r="G662" s="33">
        <v>0</v>
      </c>
    </row>
    <row r="663" spans="1:7" x14ac:dyDescent="0.3">
      <c r="A663" s="32" t="s">
        <v>710</v>
      </c>
      <c r="B663" s="32" t="s">
        <v>709</v>
      </c>
      <c r="C663" s="32" t="s">
        <v>709</v>
      </c>
      <c r="D663" s="32" t="s">
        <v>628</v>
      </c>
      <c r="E663" s="32" t="s">
        <v>710</v>
      </c>
      <c r="F663" s="33">
        <v>0</v>
      </c>
      <c r="G663" s="33">
        <v>0</v>
      </c>
    </row>
    <row r="664" spans="1:7" x14ac:dyDescent="0.3">
      <c r="A664" s="32" t="s">
        <v>710</v>
      </c>
      <c r="B664" s="32" t="s">
        <v>860</v>
      </c>
      <c r="C664" s="32" t="s">
        <v>709</v>
      </c>
      <c r="D664" s="32" t="s">
        <v>628</v>
      </c>
      <c r="E664" s="32" t="s">
        <v>710</v>
      </c>
      <c r="F664" s="33">
        <v>0</v>
      </c>
      <c r="G664" s="33">
        <v>0</v>
      </c>
    </row>
    <row r="665" spans="1:7" x14ac:dyDescent="0.3">
      <c r="A665" s="32" t="s">
        <v>710</v>
      </c>
      <c r="B665" s="32" t="s">
        <v>880</v>
      </c>
      <c r="C665" s="32" t="s">
        <v>709</v>
      </c>
      <c r="D665" s="32" t="s">
        <v>628</v>
      </c>
      <c r="E665" s="32" t="s">
        <v>710</v>
      </c>
      <c r="F665" s="33">
        <v>0</v>
      </c>
      <c r="G665" s="33">
        <v>0</v>
      </c>
    </row>
    <row r="666" spans="1:7" x14ac:dyDescent="0.3">
      <c r="A666" s="32" t="s">
        <v>629</v>
      </c>
      <c r="B666" s="32" t="s">
        <v>626</v>
      </c>
      <c r="C666" s="32" t="s">
        <v>627</v>
      </c>
      <c r="D666" s="32" t="s">
        <v>628</v>
      </c>
      <c r="E666" s="32" t="s">
        <v>629</v>
      </c>
      <c r="F666" s="33">
        <v>0</v>
      </c>
      <c r="G666" s="33">
        <v>0</v>
      </c>
    </row>
    <row r="667" spans="1:7" x14ac:dyDescent="0.3">
      <c r="A667" s="32" t="s">
        <v>629</v>
      </c>
      <c r="B667" s="32" t="s">
        <v>630</v>
      </c>
      <c r="C667" s="32" t="s">
        <v>627</v>
      </c>
      <c r="D667" s="32" t="s">
        <v>628</v>
      </c>
      <c r="E667" s="32" t="s">
        <v>629</v>
      </c>
      <c r="F667" s="33">
        <v>0</v>
      </c>
      <c r="G667" s="33">
        <v>0</v>
      </c>
    </row>
    <row r="668" spans="1:7" x14ac:dyDescent="0.3">
      <c r="A668" s="32" t="s">
        <v>629</v>
      </c>
      <c r="B668" s="32" t="s">
        <v>631</v>
      </c>
      <c r="C668" s="32" t="s">
        <v>627</v>
      </c>
      <c r="D668" s="32" t="s">
        <v>628</v>
      </c>
      <c r="E668" s="32" t="s">
        <v>629</v>
      </c>
      <c r="F668" s="33">
        <v>0</v>
      </c>
      <c r="G668" s="33">
        <v>0</v>
      </c>
    </row>
    <row r="669" spans="1:7" x14ac:dyDescent="0.3">
      <c r="A669" s="32" t="s">
        <v>629</v>
      </c>
      <c r="B669" s="32" t="s">
        <v>632</v>
      </c>
      <c r="C669" s="32" t="s">
        <v>627</v>
      </c>
      <c r="D669" s="32" t="s">
        <v>628</v>
      </c>
      <c r="E669" s="32" t="s">
        <v>629</v>
      </c>
      <c r="F669" s="33">
        <v>0</v>
      </c>
      <c r="G669" s="33">
        <v>0</v>
      </c>
    </row>
    <row r="670" spans="1:7" x14ac:dyDescent="0.3">
      <c r="A670" s="32" t="s">
        <v>629</v>
      </c>
      <c r="B670" s="32" t="s">
        <v>633</v>
      </c>
      <c r="C670" s="32" t="s">
        <v>627</v>
      </c>
      <c r="D670" s="32" t="s">
        <v>628</v>
      </c>
      <c r="E670" s="32" t="s">
        <v>629</v>
      </c>
      <c r="F670" s="33">
        <v>0</v>
      </c>
      <c r="G670" s="33">
        <v>0</v>
      </c>
    </row>
    <row r="671" spans="1:7" x14ac:dyDescent="0.3">
      <c r="A671" s="32" t="s">
        <v>629</v>
      </c>
      <c r="B671" s="32" t="s">
        <v>634</v>
      </c>
      <c r="C671" s="32" t="s">
        <v>627</v>
      </c>
      <c r="D671" s="32" t="s">
        <v>628</v>
      </c>
      <c r="E671" s="32" t="s">
        <v>629</v>
      </c>
      <c r="F671" s="33">
        <v>0</v>
      </c>
      <c r="G671" s="33">
        <v>0</v>
      </c>
    </row>
    <row r="672" spans="1:7" x14ac:dyDescent="0.3">
      <c r="A672" s="32" t="s">
        <v>629</v>
      </c>
      <c r="B672" s="32" t="s">
        <v>635</v>
      </c>
      <c r="C672" s="32" t="s">
        <v>627</v>
      </c>
      <c r="D672" s="32" t="s">
        <v>628</v>
      </c>
      <c r="E672" s="32" t="s">
        <v>629</v>
      </c>
      <c r="F672" s="33">
        <v>0</v>
      </c>
      <c r="G672" s="33">
        <v>0</v>
      </c>
    </row>
    <row r="673" spans="1:7" x14ac:dyDescent="0.3">
      <c r="A673" s="32" t="s">
        <v>629</v>
      </c>
      <c r="B673" s="32" t="s">
        <v>636</v>
      </c>
      <c r="C673" s="32" t="s">
        <v>627</v>
      </c>
      <c r="D673" s="32" t="s">
        <v>628</v>
      </c>
      <c r="E673" s="32" t="s">
        <v>629</v>
      </c>
      <c r="F673" s="33">
        <v>0</v>
      </c>
      <c r="G673" s="33">
        <v>0</v>
      </c>
    </row>
    <row r="674" spans="1:7" x14ac:dyDescent="0.3">
      <c r="A674" s="32" t="s">
        <v>629</v>
      </c>
      <c r="B674" s="32" t="s">
        <v>643</v>
      </c>
      <c r="C674" s="32" t="s">
        <v>627</v>
      </c>
      <c r="D674" s="32" t="s">
        <v>628</v>
      </c>
      <c r="E674" s="32" t="s">
        <v>629</v>
      </c>
      <c r="F674" s="33">
        <v>0</v>
      </c>
      <c r="G674" s="33">
        <v>0</v>
      </c>
    </row>
    <row r="675" spans="1:7" x14ac:dyDescent="0.3">
      <c r="A675" s="32" t="s">
        <v>629</v>
      </c>
      <c r="B675" s="32" t="s">
        <v>644</v>
      </c>
      <c r="C675" s="32" t="s">
        <v>627</v>
      </c>
      <c r="D675" s="32" t="s">
        <v>628</v>
      </c>
      <c r="E675" s="32" t="s">
        <v>629</v>
      </c>
      <c r="F675" s="33">
        <v>0</v>
      </c>
      <c r="G675" s="33">
        <v>0</v>
      </c>
    </row>
    <row r="676" spans="1:7" x14ac:dyDescent="0.3">
      <c r="A676" s="32" t="s">
        <v>629</v>
      </c>
      <c r="B676" s="32" t="s">
        <v>645</v>
      </c>
      <c r="C676" s="32" t="s">
        <v>627</v>
      </c>
      <c r="D676" s="32" t="s">
        <v>628</v>
      </c>
      <c r="E676" s="32" t="s">
        <v>629</v>
      </c>
      <c r="F676" s="33">
        <v>0</v>
      </c>
      <c r="G676" s="33">
        <v>0</v>
      </c>
    </row>
    <row r="677" spans="1:7" x14ac:dyDescent="0.3">
      <c r="A677" s="32" t="s">
        <v>629</v>
      </c>
      <c r="B677" s="32" t="s">
        <v>646</v>
      </c>
      <c r="C677" s="32" t="s">
        <v>627</v>
      </c>
      <c r="D677" s="32" t="s">
        <v>628</v>
      </c>
      <c r="E677" s="32" t="s">
        <v>629</v>
      </c>
      <c r="F677" s="33">
        <v>0</v>
      </c>
      <c r="G677" s="33">
        <v>0</v>
      </c>
    </row>
    <row r="678" spans="1:7" x14ac:dyDescent="0.3">
      <c r="A678" s="32" t="s">
        <v>629</v>
      </c>
      <c r="B678" s="32" t="s">
        <v>647</v>
      </c>
      <c r="C678" s="32" t="s">
        <v>627</v>
      </c>
      <c r="D678" s="32" t="s">
        <v>628</v>
      </c>
      <c r="E678" s="32" t="s">
        <v>629</v>
      </c>
      <c r="F678" s="33">
        <v>0</v>
      </c>
      <c r="G678" s="33">
        <v>0</v>
      </c>
    </row>
    <row r="679" spans="1:7" x14ac:dyDescent="0.3">
      <c r="A679" s="32" t="s">
        <v>629</v>
      </c>
      <c r="B679" s="32" t="s">
        <v>648</v>
      </c>
      <c r="C679" s="32" t="s">
        <v>627</v>
      </c>
      <c r="D679" s="32" t="s">
        <v>628</v>
      </c>
      <c r="E679" s="32" t="s">
        <v>629</v>
      </c>
      <c r="F679" s="33">
        <v>0</v>
      </c>
      <c r="G679" s="33">
        <v>0</v>
      </c>
    </row>
    <row r="680" spans="1:7" x14ac:dyDescent="0.3">
      <c r="A680" s="32" t="s">
        <v>629</v>
      </c>
      <c r="B680" s="32" t="s">
        <v>649</v>
      </c>
      <c r="C680" s="32" t="s">
        <v>627</v>
      </c>
      <c r="D680" s="32" t="s">
        <v>628</v>
      </c>
      <c r="E680" s="32" t="s">
        <v>629</v>
      </c>
      <c r="F680" s="33">
        <v>0</v>
      </c>
      <c r="G680" s="33">
        <v>0</v>
      </c>
    </row>
    <row r="681" spans="1:7" x14ac:dyDescent="0.3">
      <c r="A681" s="32" t="s">
        <v>629</v>
      </c>
      <c r="B681" s="32" t="s">
        <v>650</v>
      </c>
      <c r="C681" s="32" t="s">
        <v>627</v>
      </c>
      <c r="D681" s="32" t="s">
        <v>628</v>
      </c>
      <c r="E681" s="32" t="s">
        <v>629</v>
      </c>
      <c r="F681" s="33">
        <v>0</v>
      </c>
      <c r="G681" s="33">
        <v>0</v>
      </c>
    </row>
    <row r="682" spans="1:7" x14ac:dyDescent="0.3">
      <c r="A682" s="32" t="s">
        <v>629</v>
      </c>
      <c r="B682" s="32" t="s">
        <v>653</v>
      </c>
      <c r="C682" s="32" t="s">
        <v>627</v>
      </c>
      <c r="D682" s="32" t="s">
        <v>628</v>
      </c>
      <c r="E682" s="32" t="s">
        <v>629</v>
      </c>
      <c r="F682" s="33">
        <v>0</v>
      </c>
      <c r="G682" s="33">
        <v>0</v>
      </c>
    </row>
    <row r="683" spans="1:7" x14ac:dyDescent="0.3">
      <c r="A683" s="32" t="s">
        <v>629</v>
      </c>
      <c r="B683" s="32" t="s">
        <v>654</v>
      </c>
      <c r="C683" s="32" t="s">
        <v>627</v>
      </c>
      <c r="D683" s="32" t="s">
        <v>628</v>
      </c>
      <c r="E683" s="32" t="s">
        <v>629</v>
      </c>
      <c r="F683" s="33">
        <v>0</v>
      </c>
      <c r="G683" s="33">
        <v>0</v>
      </c>
    </row>
    <row r="684" spans="1:7" x14ac:dyDescent="0.3">
      <c r="A684" s="32" t="s">
        <v>629</v>
      </c>
      <c r="B684" s="32" t="s">
        <v>655</v>
      </c>
      <c r="C684" s="32" t="s">
        <v>627</v>
      </c>
      <c r="D684" s="32" t="s">
        <v>628</v>
      </c>
      <c r="E684" s="32" t="s">
        <v>629</v>
      </c>
      <c r="F684" s="33">
        <v>0</v>
      </c>
      <c r="G684" s="33">
        <v>0</v>
      </c>
    </row>
    <row r="685" spans="1:7" x14ac:dyDescent="0.3">
      <c r="A685" s="32" t="s">
        <v>629</v>
      </c>
      <c r="B685" s="32" t="s">
        <v>656</v>
      </c>
      <c r="C685" s="32" t="s">
        <v>627</v>
      </c>
      <c r="D685" s="32" t="s">
        <v>628</v>
      </c>
      <c r="E685" s="32" t="s">
        <v>629</v>
      </c>
      <c r="F685" s="33">
        <v>0</v>
      </c>
      <c r="G685" s="33">
        <v>0</v>
      </c>
    </row>
    <row r="686" spans="1:7" x14ac:dyDescent="0.3">
      <c r="A686" s="32" t="s">
        <v>629</v>
      </c>
      <c r="B686" s="32" t="s">
        <v>657</v>
      </c>
      <c r="C686" s="32" t="s">
        <v>627</v>
      </c>
      <c r="D686" s="32" t="s">
        <v>628</v>
      </c>
      <c r="E686" s="32" t="s">
        <v>629</v>
      </c>
      <c r="F686" s="33">
        <v>0</v>
      </c>
      <c r="G686" s="33">
        <v>0</v>
      </c>
    </row>
    <row r="687" spans="1:7" x14ac:dyDescent="0.3">
      <c r="A687" s="32" t="s">
        <v>629</v>
      </c>
      <c r="B687" s="32" t="s">
        <v>658</v>
      </c>
      <c r="C687" s="32" t="s">
        <v>627</v>
      </c>
      <c r="D687" s="32" t="s">
        <v>628</v>
      </c>
      <c r="E687" s="32" t="s">
        <v>629</v>
      </c>
      <c r="F687" s="33">
        <v>0</v>
      </c>
      <c r="G687" s="33">
        <v>0</v>
      </c>
    </row>
    <row r="688" spans="1:7" x14ac:dyDescent="0.3">
      <c r="A688" s="32" t="s">
        <v>629</v>
      </c>
      <c r="B688" s="32" t="s">
        <v>659</v>
      </c>
      <c r="C688" s="32" t="s">
        <v>627</v>
      </c>
      <c r="D688" s="32" t="s">
        <v>628</v>
      </c>
      <c r="E688" s="32" t="s">
        <v>629</v>
      </c>
      <c r="F688" s="33">
        <v>0</v>
      </c>
      <c r="G688" s="33">
        <v>0</v>
      </c>
    </row>
    <row r="689" spans="1:7" x14ac:dyDescent="0.3">
      <c r="A689" s="32" t="s">
        <v>629</v>
      </c>
      <c r="B689" s="32" t="s">
        <v>660</v>
      </c>
      <c r="C689" s="32" t="s">
        <v>627</v>
      </c>
      <c r="D689" s="32" t="s">
        <v>628</v>
      </c>
      <c r="E689" s="32" t="s">
        <v>629</v>
      </c>
      <c r="F689" s="33">
        <v>0</v>
      </c>
      <c r="G689" s="33">
        <v>0</v>
      </c>
    </row>
    <row r="690" spans="1:7" x14ac:dyDescent="0.3">
      <c r="A690" s="32" t="s">
        <v>629</v>
      </c>
      <c r="B690" s="32" t="s">
        <v>661</v>
      </c>
      <c r="C690" s="32" t="s">
        <v>627</v>
      </c>
      <c r="D690" s="32" t="s">
        <v>628</v>
      </c>
      <c r="E690" s="32" t="s">
        <v>629</v>
      </c>
      <c r="F690" s="33">
        <v>0</v>
      </c>
      <c r="G690" s="33">
        <v>0</v>
      </c>
    </row>
    <row r="691" spans="1:7" x14ac:dyDescent="0.3">
      <c r="A691" s="32" t="s">
        <v>629</v>
      </c>
      <c r="B691" s="32" t="s">
        <v>662</v>
      </c>
      <c r="C691" s="32" t="s">
        <v>627</v>
      </c>
      <c r="D691" s="32" t="s">
        <v>628</v>
      </c>
      <c r="E691" s="32" t="s">
        <v>629</v>
      </c>
      <c r="F691" s="33">
        <v>0</v>
      </c>
      <c r="G691" s="33">
        <v>0</v>
      </c>
    </row>
    <row r="692" spans="1:7" x14ac:dyDescent="0.3">
      <c r="A692" s="32" t="s">
        <v>629</v>
      </c>
      <c r="B692" s="32" t="s">
        <v>666</v>
      </c>
      <c r="C692" s="32" t="s">
        <v>627</v>
      </c>
      <c r="D692" s="32" t="s">
        <v>628</v>
      </c>
      <c r="E692" s="32" t="s">
        <v>629</v>
      </c>
      <c r="F692" s="33">
        <v>0</v>
      </c>
      <c r="G692" s="33">
        <v>0</v>
      </c>
    </row>
    <row r="693" spans="1:7" x14ac:dyDescent="0.3">
      <c r="A693" s="32" t="s">
        <v>629</v>
      </c>
      <c r="B693" s="32" t="s">
        <v>667</v>
      </c>
      <c r="C693" s="32" t="s">
        <v>627</v>
      </c>
      <c r="D693" s="32" t="s">
        <v>628</v>
      </c>
      <c r="E693" s="32" t="s">
        <v>629</v>
      </c>
      <c r="F693" s="33">
        <v>0</v>
      </c>
      <c r="G693" s="33">
        <v>0</v>
      </c>
    </row>
    <row r="694" spans="1:7" x14ac:dyDescent="0.3">
      <c r="A694" s="32" t="s">
        <v>629</v>
      </c>
      <c r="B694" s="32" t="s">
        <v>668</v>
      </c>
      <c r="C694" s="32" t="s">
        <v>627</v>
      </c>
      <c r="D694" s="32" t="s">
        <v>628</v>
      </c>
      <c r="E694" s="32" t="s">
        <v>629</v>
      </c>
      <c r="F694" s="33">
        <v>0</v>
      </c>
      <c r="G694" s="33">
        <v>0</v>
      </c>
    </row>
    <row r="695" spans="1:7" x14ac:dyDescent="0.3">
      <c r="A695" s="32" t="s">
        <v>629</v>
      </c>
      <c r="B695" s="32" t="s">
        <v>669</v>
      </c>
      <c r="C695" s="32" t="s">
        <v>627</v>
      </c>
      <c r="D695" s="32" t="s">
        <v>628</v>
      </c>
      <c r="E695" s="32" t="s">
        <v>629</v>
      </c>
      <c r="F695" s="33">
        <v>0</v>
      </c>
      <c r="G695" s="33">
        <v>0</v>
      </c>
    </row>
    <row r="696" spans="1:7" x14ac:dyDescent="0.3">
      <c r="A696" s="32" t="s">
        <v>629</v>
      </c>
      <c r="B696" s="32" t="s">
        <v>670</v>
      </c>
      <c r="C696" s="32" t="s">
        <v>627</v>
      </c>
      <c r="D696" s="32" t="s">
        <v>628</v>
      </c>
      <c r="E696" s="32" t="s">
        <v>629</v>
      </c>
      <c r="F696" s="33">
        <v>0</v>
      </c>
      <c r="G696" s="33">
        <v>0</v>
      </c>
    </row>
    <row r="697" spans="1:7" x14ac:dyDescent="0.3">
      <c r="A697" s="32" t="s">
        <v>629</v>
      </c>
      <c r="B697" s="32" t="s">
        <v>671</v>
      </c>
      <c r="C697" s="32" t="s">
        <v>627</v>
      </c>
      <c r="D697" s="32" t="s">
        <v>628</v>
      </c>
      <c r="E697" s="32" t="s">
        <v>629</v>
      </c>
      <c r="F697" s="33">
        <v>0</v>
      </c>
      <c r="G697" s="33">
        <v>0</v>
      </c>
    </row>
    <row r="698" spans="1:7" x14ac:dyDescent="0.3">
      <c r="A698" s="32" t="s">
        <v>629</v>
      </c>
      <c r="B698" s="32" t="s">
        <v>672</v>
      </c>
      <c r="C698" s="32" t="s">
        <v>627</v>
      </c>
      <c r="D698" s="32" t="s">
        <v>628</v>
      </c>
      <c r="E698" s="32" t="s">
        <v>629</v>
      </c>
      <c r="F698" s="33">
        <v>0</v>
      </c>
      <c r="G698" s="33">
        <v>0</v>
      </c>
    </row>
    <row r="699" spans="1:7" x14ac:dyDescent="0.3">
      <c r="A699" s="32" t="s">
        <v>629</v>
      </c>
      <c r="B699" s="32" t="s">
        <v>673</v>
      </c>
      <c r="C699" s="32" t="s">
        <v>627</v>
      </c>
      <c r="D699" s="32" t="s">
        <v>628</v>
      </c>
      <c r="E699" s="32" t="s">
        <v>629</v>
      </c>
      <c r="F699" s="33">
        <v>0</v>
      </c>
      <c r="G699" s="33">
        <v>0</v>
      </c>
    </row>
    <row r="700" spans="1:7" x14ac:dyDescent="0.3">
      <c r="A700" s="32" t="s">
        <v>629</v>
      </c>
      <c r="B700" s="32" t="s">
        <v>677</v>
      </c>
      <c r="C700" s="32" t="s">
        <v>627</v>
      </c>
      <c r="D700" s="32" t="s">
        <v>628</v>
      </c>
      <c r="E700" s="32" t="s">
        <v>629</v>
      </c>
      <c r="F700" s="33">
        <v>0</v>
      </c>
      <c r="G700" s="33">
        <v>0</v>
      </c>
    </row>
    <row r="701" spans="1:7" x14ac:dyDescent="0.3">
      <c r="A701" s="32" t="s">
        <v>629</v>
      </c>
      <c r="B701" s="32" t="s">
        <v>678</v>
      </c>
      <c r="C701" s="32" t="s">
        <v>627</v>
      </c>
      <c r="D701" s="32" t="s">
        <v>628</v>
      </c>
      <c r="E701" s="32" t="s">
        <v>629</v>
      </c>
      <c r="F701" s="33">
        <v>0</v>
      </c>
      <c r="G701" s="33">
        <v>0</v>
      </c>
    </row>
    <row r="702" spans="1:7" x14ac:dyDescent="0.3">
      <c r="A702" s="32" t="s">
        <v>629</v>
      </c>
      <c r="B702" s="32" t="s">
        <v>680</v>
      </c>
      <c r="C702" s="32" t="s">
        <v>627</v>
      </c>
      <c r="D702" s="32" t="s">
        <v>628</v>
      </c>
      <c r="E702" s="32" t="s">
        <v>629</v>
      </c>
      <c r="F702" s="33">
        <v>0</v>
      </c>
      <c r="G702" s="33">
        <v>0</v>
      </c>
    </row>
    <row r="703" spans="1:7" x14ac:dyDescent="0.3">
      <c r="A703" s="32" t="s">
        <v>629</v>
      </c>
      <c r="B703" s="32" t="s">
        <v>681</v>
      </c>
      <c r="C703" s="32" t="s">
        <v>627</v>
      </c>
      <c r="D703" s="32" t="s">
        <v>628</v>
      </c>
      <c r="E703" s="32" t="s">
        <v>629</v>
      </c>
      <c r="F703" s="33">
        <v>0</v>
      </c>
      <c r="G703" s="33">
        <v>0</v>
      </c>
    </row>
    <row r="704" spans="1:7" x14ac:dyDescent="0.3">
      <c r="A704" s="32" t="s">
        <v>629</v>
      </c>
      <c r="B704" s="32" t="s">
        <v>682</v>
      </c>
      <c r="C704" s="32" t="s">
        <v>627</v>
      </c>
      <c r="D704" s="32" t="s">
        <v>628</v>
      </c>
      <c r="E704" s="32" t="s">
        <v>629</v>
      </c>
      <c r="F704" s="33">
        <v>0</v>
      </c>
      <c r="G704" s="33">
        <v>0</v>
      </c>
    </row>
    <row r="705" spans="1:7" x14ac:dyDescent="0.3">
      <c r="A705" s="32" t="s">
        <v>629</v>
      </c>
      <c r="B705" s="32" t="s">
        <v>683</v>
      </c>
      <c r="C705" s="32" t="s">
        <v>627</v>
      </c>
      <c r="D705" s="32" t="s">
        <v>628</v>
      </c>
      <c r="E705" s="32" t="s">
        <v>629</v>
      </c>
      <c r="F705" s="33">
        <v>0</v>
      </c>
      <c r="G705" s="33">
        <v>0</v>
      </c>
    </row>
    <row r="706" spans="1:7" x14ac:dyDescent="0.3">
      <c r="A706" s="32" t="s">
        <v>629</v>
      </c>
      <c r="B706" s="32" t="s">
        <v>684</v>
      </c>
      <c r="C706" s="32" t="s">
        <v>627</v>
      </c>
      <c r="D706" s="32" t="s">
        <v>628</v>
      </c>
      <c r="E706" s="32" t="s">
        <v>629</v>
      </c>
      <c r="F706" s="33">
        <v>0</v>
      </c>
      <c r="G706" s="33">
        <v>0</v>
      </c>
    </row>
    <row r="707" spans="1:7" x14ac:dyDescent="0.3">
      <c r="A707" s="32" t="s">
        <v>629</v>
      </c>
      <c r="B707" s="32" t="s">
        <v>685</v>
      </c>
      <c r="C707" s="32" t="s">
        <v>627</v>
      </c>
      <c r="D707" s="32" t="s">
        <v>628</v>
      </c>
      <c r="E707" s="32" t="s">
        <v>629</v>
      </c>
      <c r="F707" s="33">
        <v>0</v>
      </c>
      <c r="G707" s="33">
        <v>0</v>
      </c>
    </row>
    <row r="708" spans="1:7" x14ac:dyDescent="0.3">
      <c r="A708" s="32" t="s">
        <v>629</v>
      </c>
      <c r="B708" s="32" t="s">
        <v>686</v>
      </c>
      <c r="C708" s="32" t="s">
        <v>627</v>
      </c>
      <c r="D708" s="32" t="s">
        <v>628</v>
      </c>
      <c r="E708" s="32" t="s">
        <v>629</v>
      </c>
      <c r="F708" s="33">
        <v>0</v>
      </c>
      <c r="G708" s="33">
        <v>0</v>
      </c>
    </row>
    <row r="709" spans="1:7" x14ac:dyDescent="0.3">
      <c r="A709" s="32" t="s">
        <v>629</v>
      </c>
      <c r="B709" s="32" t="s">
        <v>687</v>
      </c>
      <c r="C709" s="32" t="s">
        <v>627</v>
      </c>
      <c r="D709" s="32" t="s">
        <v>628</v>
      </c>
      <c r="E709" s="32" t="s">
        <v>629</v>
      </c>
      <c r="F709" s="33">
        <v>0</v>
      </c>
      <c r="G709" s="33">
        <v>0</v>
      </c>
    </row>
    <row r="710" spans="1:7" x14ac:dyDescent="0.3">
      <c r="A710" s="32" t="s">
        <v>629</v>
      </c>
      <c r="B710" s="32" t="s">
        <v>689</v>
      </c>
      <c r="C710" s="32" t="s">
        <v>627</v>
      </c>
      <c r="D710" s="32" t="s">
        <v>628</v>
      </c>
      <c r="E710" s="32" t="s">
        <v>629</v>
      </c>
      <c r="F710" s="33">
        <v>0</v>
      </c>
      <c r="G710" s="33">
        <v>0</v>
      </c>
    </row>
    <row r="711" spans="1:7" x14ac:dyDescent="0.3">
      <c r="A711" s="32" t="s">
        <v>629</v>
      </c>
      <c r="B711" s="32" t="s">
        <v>690</v>
      </c>
      <c r="C711" s="32" t="s">
        <v>627</v>
      </c>
      <c r="D711" s="32" t="s">
        <v>628</v>
      </c>
      <c r="E711" s="32" t="s">
        <v>629</v>
      </c>
      <c r="F711" s="33">
        <v>0</v>
      </c>
      <c r="G711" s="33">
        <v>0</v>
      </c>
    </row>
    <row r="712" spans="1:7" x14ac:dyDescent="0.3">
      <c r="A712" s="32" t="s">
        <v>629</v>
      </c>
      <c r="B712" s="32" t="s">
        <v>691</v>
      </c>
      <c r="C712" s="32" t="s">
        <v>627</v>
      </c>
      <c r="D712" s="32" t="s">
        <v>628</v>
      </c>
      <c r="E712" s="32" t="s">
        <v>629</v>
      </c>
      <c r="F712" s="33">
        <v>0</v>
      </c>
      <c r="G712" s="33">
        <v>0</v>
      </c>
    </row>
    <row r="713" spans="1:7" x14ac:dyDescent="0.3">
      <c r="A713" s="32" t="s">
        <v>629</v>
      </c>
      <c r="B713" s="32" t="s">
        <v>692</v>
      </c>
      <c r="C713" s="32" t="s">
        <v>627</v>
      </c>
      <c r="D713" s="32" t="s">
        <v>628</v>
      </c>
      <c r="E713" s="32" t="s">
        <v>629</v>
      </c>
      <c r="F713" s="33">
        <v>0</v>
      </c>
      <c r="G713" s="33">
        <v>0</v>
      </c>
    </row>
    <row r="714" spans="1:7" x14ac:dyDescent="0.3">
      <c r="A714" s="32" t="s">
        <v>629</v>
      </c>
      <c r="B714" s="32" t="s">
        <v>694</v>
      </c>
      <c r="C714" s="32" t="s">
        <v>627</v>
      </c>
      <c r="D714" s="32" t="s">
        <v>628</v>
      </c>
      <c r="E714" s="32" t="s">
        <v>629</v>
      </c>
      <c r="F714" s="33">
        <v>0</v>
      </c>
      <c r="G714" s="33">
        <v>0</v>
      </c>
    </row>
    <row r="715" spans="1:7" x14ac:dyDescent="0.3">
      <c r="A715" s="32" t="s">
        <v>629</v>
      </c>
      <c r="B715" s="32" t="s">
        <v>695</v>
      </c>
      <c r="C715" s="32" t="s">
        <v>627</v>
      </c>
      <c r="D715" s="32" t="s">
        <v>628</v>
      </c>
      <c r="E715" s="32" t="s">
        <v>629</v>
      </c>
      <c r="F715" s="33">
        <v>0</v>
      </c>
      <c r="G715" s="33">
        <v>0</v>
      </c>
    </row>
    <row r="716" spans="1:7" x14ac:dyDescent="0.3">
      <c r="A716" s="32" t="s">
        <v>629</v>
      </c>
      <c r="B716" s="32" t="s">
        <v>696</v>
      </c>
      <c r="C716" s="32" t="s">
        <v>627</v>
      </c>
      <c r="D716" s="32" t="s">
        <v>628</v>
      </c>
      <c r="E716" s="32" t="s">
        <v>629</v>
      </c>
      <c r="F716" s="33">
        <v>0</v>
      </c>
      <c r="G716" s="33">
        <v>0</v>
      </c>
    </row>
    <row r="717" spans="1:7" x14ac:dyDescent="0.3">
      <c r="A717" s="32" t="s">
        <v>629</v>
      </c>
      <c r="B717" s="32" t="s">
        <v>697</v>
      </c>
      <c r="C717" s="32" t="s">
        <v>627</v>
      </c>
      <c r="D717" s="32" t="s">
        <v>628</v>
      </c>
      <c r="E717" s="32" t="s">
        <v>629</v>
      </c>
      <c r="F717" s="33">
        <v>0</v>
      </c>
      <c r="G717" s="33">
        <v>0</v>
      </c>
    </row>
    <row r="718" spans="1:7" x14ac:dyDescent="0.3">
      <c r="A718" s="32" t="s">
        <v>629</v>
      </c>
      <c r="B718" s="32" t="s">
        <v>698</v>
      </c>
      <c r="C718" s="32" t="s">
        <v>627</v>
      </c>
      <c r="D718" s="32" t="s">
        <v>628</v>
      </c>
      <c r="E718" s="32" t="s">
        <v>629</v>
      </c>
      <c r="F718" s="33">
        <v>0</v>
      </c>
      <c r="G718" s="33">
        <v>0</v>
      </c>
    </row>
    <row r="719" spans="1:7" x14ac:dyDescent="0.3">
      <c r="A719" s="32" t="s">
        <v>629</v>
      </c>
      <c r="B719" s="32" t="s">
        <v>699</v>
      </c>
      <c r="C719" s="32" t="s">
        <v>627</v>
      </c>
      <c r="D719" s="32" t="s">
        <v>628</v>
      </c>
      <c r="E719" s="32" t="s">
        <v>629</v>
      </c>
      <c r="F719" s="33">
        <v>0</v>
      </c>
      <c r="G719" s="33">
        <v>0</v>
      </c>
    </row>
    <row r="720" spans="1:7" x14ac:dyDescent="0.3">
      <c r="A720" s="32" t="s">
        <v>629</v>
      </c>
      <c r="B720" s="32" t="s">
        <v>700</v>
      </c>
      <c r="C720" s="32" t="s">
        <v>627</v>
      </c>
      <c r="D720" s="32" t="s">
        <v>628</v>
      </c>
      <c r="E720" s="32" t="s">
        <v>629</v>
      </c>
      <c r="F720" s="33">
        <v>0</v>
      </c>
      <c r="G720" s="33">
        <v>0</v>
      </c>
    </row>
    <row r="721" spans="1:7" x14ac:dyDescent="0.3">
      <c r="A721" s="32" t="s">
        <v>629</v>
      </c>
      <c r="B721" s="32" t="s">
        <v>701</v>
      </c>
      <c r="C721" s="32" t="s">
        <v>627</v>
      </c>
      <c r="D721" s="32" t="s">
        <v>628</v>
      </c>
      <c r="E721" s="32" t="s">
        <v>629</v>
      </c>
      <c r="F721" s="33">
        <v>0</v>
      </c>
      <c r="G721" s="33">
        <v>0</v>
      </c>
    </row>
    <row r="722" spans="1:7" x14ac:dyDescent="0.3">
      <c r="A722" s="32" t="s">
        <v>629</v>
      </c>
      <c r="B722" s="32" t="s">
        <v>702</v>
      </c>
      <c r="C722" s="32" t="s">
        <v>627</v>
      </c>
      <c r="D722" s="32" t="s">
        <v>628</v>
      </c>
      <c r="E722" s="32" t="s">
        <v>629</v>
      </c>
      <c r="F722" s="33">
        <v>0</v>
      </c>
      <c r="G722" s="33">
        <v>0</v>
      </c>
    </row>
    <row r="723" spans="1:7" x14ac:dyDescent="0.3">
      <c r="A723" s="32" t="s">
        <v>629</v>
      </c>
      <c r="B723" s="32" t="s">
        <v>703</v>
      </c>
      <c r="C723" s="32" t="s">
        <v>627</v>
      </c>
      <c r="D723" s="32" t="s">
        <v>628</v>
      </c>
      <c r="E723" s="32" t="s">
        <v>629</v>
      </c>
      <c r="F723" s="33">
        <v>0</v>
      </c>
      <c r="G723" s="33">
        <v>0</v>
      </c>
    </row>
    <row r="724" spans="1:7" x14ac:dyDescent="0.3">
      <c r="A724" s="32" t="s">
        <v>629</v>
      </c>
      <c r="B724" s="32" t="s">
        <v>704</v>
      </c>
      <c r="C724" s="32" t="s">
        <v>627</v>
      </c>
      <c r="D724" s="32" t="s">
        <v>628</v>
      </c>
      <c r="E724" s="32" t="s">
        <v>629</v>
      </c>
      <c r="F724" s="33">
        <v>0</v>
      </c>
      <c r="G724" s="33">
        <v>0</v>
      </c>
    </row>
    <row r="725" spans="1:7" x14ac:dyDescent="0.3">
      <c r="A725" s="32" t="s">
        <v>629</v>
      </c>
      <c r="B725" s="32" t="s">
        <v>711</v>
      </c>
      <c r="C725" s="32" t="s">
        <v>627</v>
      </c>
      <c r="D725" s="32" t="s">
        <v>628</v>
      </c>
      <c r="E725" s="32" t="s">
        <v>629</v>
      </c>
      <c r="F725" s="33">
        <v>0</v>
      </c>
      <c r="G725" s="33">
        <v>0</v>
      </c>
    </row>
    <row r="726" spans="1:7" x14ac:dyDescent="0.3">
      <c r="A726" s="32" t="s">
        <v>629</v>
      </c>
      <c r="B726" s="32" t="s">
        <v>712</v>
      </c>
      <c r="C726" s="32" t="s">
        <v>627</v>
      </c>
      <c r="D726" s="32" t="s">
        <v>628</v>
      </c>
      <c r="E726" s="32" t="s">
        <v>629</v>
      </c>
      <c r="F726" s="33">
        <v>0</v>
      </c>
      <c r="G726" s="33">
        <v>0</v>
      </c>
    </row>
    <row r="727" spans="1:7" x14ac:dyDescent="0.3">
      <c r="A727" s="32" t="s">
        <v>629</v>
      </c>
      <c r="B727" s="32" t="s">
        <v>713</v>
      </c>
      <c r="C727" s="32" t="s">
        <v>627</v>
      </c>
      <c r="D727" s="32" t="s">
        <v>628</v>
      </c>
      <c r="E727" s="32" t="s">
        <v>629</v>
      </c>
      <c r="F727" s="33">
        <v>0</v>
      </c>
      <c r="G727" s="33">
        <v>0</v>
      </c>
    </row>
    <row r="728" spans="1:7" x14ac:dyDescent="0.3">
      <c r="A728" s="32" t="s">
        <v>629</v>
      </c>
      <c r="B728" s="32" t="s">
        <v>714</v>
      </c>
      <c r="C728" s="32" t="s">
        <v>627</v>
      </c>
      <c r="D728" s="32" t="s">
        <v>628</v>
      </c>
      <c r="E728" s="32" t="s">
        <v>629</v>
      </c>
      <c r="F728" s="33">
        <v>0</v>
      </c>
      <c r="G728" s="33">
        <v>0</v>
      </c>
    </row>
    <row r="729" spans="1:7" x14ac:dyDescent="0.3">
      <c r="A729" s="32" t="s">
        <v>629</v>
      </c>
      <c r="B729" s="32" t="s">
        <v>719</v>
      </c>
      <c r="C729" s="32" t="s">
        <v>627</v>
      </c>
      <c r="D729" s="32" t="s">
        <v>628</v>
      </c>
      <c r="E729" s="32" t="s">
        <v>629</v>
      </c>
      <c r="F729" s="33">
        <v>0</v>
      </c>
      <c r="G729" s="33">
        <v>0</v>
      </c>
    </row>
    <row r="730" spans="1:7" x14ac:dyDescent="0.3">
      <c r="A730" s="32" t="s">
        <v>629</v>
      </c>
      <c r="B730" s="32" t="s">
        <v>720</v>
      </c>
      <c r="C730" s="32" t="s">
        <v>627</v>
      </c>
      <c r="D730" s="32" t="s">
        <v>628</v>
      </c>
      <c r="E730" s="32" t="s">
        <v>629</v>
      </c>
      <c r="F730" s="33">
        <v>0</v>
      </c>
      <c r="G730" s="33">
        <v>0</v>
      </c>
    </row>
    <row r="731" spans="1:7" x14ac:dyDescent="0.3">
      <c r="A731" s="32" t="s">
        <v>629</v>
      </c>
      <c r="B731" s="32" t="s">
        <v>721</v>
      </c>
      <c r="C731" s="32" t="s">
        <v>627</v>
      </c>
      <c r="D731" s="32" t="s">
        <v>628</v>
      </c>
      <c r="E731" s="32" t="s">
        <v>629</v>
      </c>
      <c r="F731" s="33">
        <v>0</v>
      </c>
      <c r="G731" s="33">
        <v>0</v>
      </c>
    </row>
    <row r="732" spans="1:7" x14ac:dyDescent="0.3">
      <c r="A732" s="32" t="s">
        <v>629</v>
      </c>
      <c r="B732" s="32" t="s">
        <v>722</v>
      </c>
      <c r="C732" s="32" t="s">
        <v>627</v>
      </c>
      <c r="D732" s="32" t="s">
        <v>628</v>
      </c>
      <c r="E732" s="32" t="s">
        <v>629</v>
      </c>
      <c r="F732" s="33">
        <v>0</v>
      </c>
      <c r="G732" s="33">
        <v>0</v>
      </c>
    </row>
    <row r="733" spans="1:7" x14ac:dyDescent="0.3">
      <c r="A733" s="32" t="s">
        <v>629</v>
      </c>
      <c r="B733" s="32" t="s">
        <v>723</v>
      </c>
      <c r="C733" s="32" t="s">
        <v>627</v>
      </c>
      <c r="D733" s="32" t="s">
        <v>628</v>
      </c>
      <c r="E733" s="32" t="s">
        <v>629</v>
      </c>
      <c r="F733" s="33">
        <v>0</v>
      </c>
      <c r="G733" s="33">
        <v>0</v>
      </c>
    </row>
    <row r="734" spans="1:7" x14ac:dyDescent="0.3">
      <c r="A734" s="32" t="s">
        <v>629</v>
      </c>
      <c r="B734" s="32" t="s">
        <v>724</v>
      </c>
      <c r="C734" s="32" t="s">
        <v>627</v>
      </c>
      <c r="D734" s="32" t="s">
        <v>628</v>
      </c>
      <c r="E734" s="32" t="s">
        <v>629</v>
      </c>
      <c r="F734" s="33">
        <v>0</v>
      </c>
      <c r="G734" s="33">
        <v>0</v>
      </c>
    </row>
    <row r="735" spans="1:7" x14ac:dyDescent="0.3">
      <c r="A735" s="32" t="s">
        <v>629</v>
      </c>
      <c r="B735" s="32" t="s">
        <v>725</v>
      </c>
      <c r="C735" s="32" t="s">
        <v>627</v>
      </c>
      <c r="D735" s="32" t="s">
        <v>628</v>
      </c>
      <c r="E735" s="32" t="s">
        <v>629</v>
      </c>
      <c r="F735" s="33">
        <v>0</v>
      </c>
      <c r="G735" s="33">
        <v>0</v>
      </c>
    </row>
    <row r="736" spans="1:7" x14ac:dyDescent="0.3">
      <c r="A736" s="32" t="s">
        <v>629</v>
      </c>
      <c r="B736" s="32" t="s">
        <v>726</v>
      </c>
      <c r="C736" s="32" t="s">
        <v>627</v>
      </c>
      <c r="D736" s="32" t="s">
        <v>628</v>
      </c>
      <c r="E736" s="32" t="s">
        <v>629</v>
      </c>
      <c r="F736" s="33">
        <v>0</v>
      </c>
      <c r="G736" s="33">
        <v>0</v>
      </c>
    </row>
    <row r="737" spans="1:7" x14ac:dyDescent="0.3">
      <c r="A737" s="32" t="s">
        <v>629</v>
      </c>
      <c r="B737" s="32" t="s">
        <v>727</v>
      </c>
      <c r="C737" s="32" t="s">
        <v>627</v>
      </c>
      <c r="D737" s="32" t="s">
        <v>628</v>
      </c>
      <c r="E737" s="32" t="s">
        <v>629</v>
      </c>
      <c r="F737" s="33">
        <v>0</v>
      </c>
      <c r="G737" s="33">
        <v>0</v>
      </c>
    </row>
    <row r="738" spans="1:7" x14ac:dyDescent="0.3">
      <c r="A738" s="32" t="s">
        <v>629</v>
      </c>
      <c r="B738" s="32" t="s">
        <v>730</v>
      </c>
      <c r="C738" s="32" t="s">
        <v>627</v>
      </c>
      <c r="D738" s="32" t="s">
        <v>628</v>
      </c>
      <c r="E738" s="32" t="s">
        <v>629</v>
      </c>
      <c r="F738" s="33">
        <v>0</v>
      </c>
      <c r="G738" s="33">
        <v>0</v>
      </c>
    </row>
    <row r="739" spans="1:7" x14ac:dyDescent="0.3">
      <c r="A739" s="32" t="s">
        <v>629</v>
      </c>
      <c r="B739" s="32" t="s">
        <v>731</v>
      </c>
      <c r="C739" s="32" t="s">
        <v>627</v>
      </c>
      <c r="D739" s="32" t="s">
        <v>628</v>
      </c>
      <c r="E739" s="32" t="s">
        <v>629</v>
      </c>
      <c r="F739" s="33">
        <v>0</v>
      </c>
      <c r="G739" s="33">
        <v>0</v>
      </c>
    </row>
    <row r="740" spans="1:7" x14ac:dyDescent="0.3">
      <c r="A740" s="32" t="s">
        <v>629</v>
      </c>
      <c r="B740" s="32" t="s">
        <v>732</v>
      </c>
      <c r="C740" s="32" t="s">
        <v>627</v>
      </c>
      <c r="D740" s="32" t="s">
        <v>628</v>
      </c>
      <c r="E740" s="32" t="s">
        <v>629</v>
      </c>
      <c r="F740" s="33">
        <v>0</v>
      </c>
      <c r="G740" s="33">
        <v>0</v>
      </c>
    </row>
    <row r="741" spans="1:7" x14ac:dyDescent="0.3">
      <c r="A741" s="32" t="s">
        <v>629</v>
      </c>
      <c r="B741" s="32" t="s">
        <v>733</v>
      </c>
      <c r="C741" s="32" t="s">
        <v>627</v>
      </c>
      <c r="D741" s="32" t="s">
        <v>628</v>
      </c>
      <c r="E741" s="32" t="s">
        <v>629</v>
      </c>
      <c r="F741" s="33">
        <v>0</v>
      </c>
      <c r="G741" s="33">
        <v>0</v>
      </c>
    </row>
    <row r="742" spans="1:7" x14ac:dyDescent="0.3">
      <c r="A742" s="32" t="s">
        <v>629</v>
      </c>
      <c r="B742" s="32" t="s">
        <v>734</v>
      </c>
      <c r="C742" s="32" t="s">
        <v>627</v>
      </c>
      <c r="D742" s="32" t="s">
        <v>628</v>
      </c>
      <c r="E742" s="32" t="s">
        <v>629</v>
      </c>
      <c r="F742" s="33">
        <v>0</v>
      </c>
      <c r="G742" s="33">
        <v>0</v>
      </c>
    </row>
    <row r="743" spans="1:7" x14ac:dyDescent="0.3">
      <c r="A743" s="32" t="s">
        <v>629</v>
      </c>
      <c r="B743" s="32" t="s">
        <v>735</v>
      </c>
      <c r="C743" s="32" t="s">
        <v>627</v>
      </c>
      <c r="D743" s="32" t="s">
        <v>628</v>
      </c>
      <c r="E743" s="32" t="s">
        <v>629</v>
      </c>
      <c r="F743" s="33">
        <v>0</v>
      </c>
      <c r="G743" s="33">
        <v>0</v>
      </c>
    </row>
    <row r="744" spans="1:7" x14ac:dyDescent="0.3">
      <c r="A744" s="32" t="s">
        <v>629</v>
      </c>
      <c r="B744" s="32" t="s">
        <v>737</v>
      </c>
      <c r="C744" s="32" t="s">
        <v>627</v>
      </c>
      <c r="D744" s="32" t="s">
        <v>628</v>
      </c>
      <c r="E744" s="32" t="s">
        <v>629</v>
      </c>
      <c r="F744" s="33">
        <v>0</v>
      </c>
      <c r="G744" s="33">
        <v>0</v>
      </c>
    </row>
    <row r="745" spans="1:7" x14ac:dyDescent="0.3">
      <c r="A745" s="32" t="s">
        <v>629</v>
      </c>
      <c r="B745" s="32" t="s">
        <v>739</v>
      </c>
      <c r="C745" s="32" t="s">
        <v>627</v>
      </c>
      <c r="D745" s="32" t="s">
        <v>628</v>
      </c>
      <c r="E745" s="32" t="s">
        <v>629</v>
      </c>
      <c r="F745" s="33">
        <v>0</v>
      </c>
      <c r="G745" s="33">
        <v>0</v>
      </c>
    </row>
    <row r="746" spans="1:7" x14ac:dyDescent="0.3">
      <c r="A746" s="32" t="s">
        <v>629</v>
      </c>
      <c r="B746" s="32" t="s">
        <v>740</v>
      </c>
      <c r="C746" s="32" t="s">
        <v>627</v>
      </c>
      <c r="D746" s="32" t="s">
        <v>628</v>
      </c>
      <c r="E746" s="32" t="s">
        <v>629</v>
      </c>
      <c r="F746" s="33">
        <v>0</v>
      </c>
      <c r="G746" s="33">
        <v>0</v>
      </c>
    </row>
    <row r="747" spans="1:7" x14ac:dyDescent="0.3">
      <c r="A747" s="32" t="s">
        <v>629</v>
      </c>
      <c r="B747" s="32" t="s">
        <v>741</v>
      </c>
      <c r="C747" s="32" t="s">
        <v>627</v>
      </c>
      <c r="D747" s="32" t="s">
        <v>628</v>
      </c>
      <c r="E747" s="32" t="s">
        <v>629</v>
      </c>
      <c r="F747" s="33">
        <v>0</v>
      </c>
      <c r="G747" s="33">
        <v>0</v>
      </c>
    </row>
    <row r="748" spans="1:7" x14ac:dyDescent="0.3">
      <c r="A748" s="32" t="s">
        <v>629</v>
      </c>
      <c r="B748" s="32" t="s">
        <v>742</v>
      </c>
      <c r="C748" s="32" t="s">
        <v>627</v>
      </c>
      <c r="D748" s="32" t="s">
        <v>628</v>
      </c>
      <c r="E748" s="32" t="s">
        <v>629</v>
      </c>
      <c r="F748" s="33">
        <v>0</v>
      </c>
      <c r="G748" s="33">
        <v>0</v>
      </c>
    </row>
    <row r="749" spans="1:7" x14ac:dyDescent="0.3">
      <c r="A749" s="32" t="s">
        <v>629</v>
      </c>
      <c r="B749" s="32" t="s">
        <v>743</v>
      </c>
      <c r="C749" s="32" t="s">
        <v>627</v>
      </c>
      <c r="D749" s="32" t="s">
        <v>628</v>
      </c>
      <c r="E749" s="32" t="s">
        <v>629</v>
      </c>
      <c r="F749" s="33">
        <v>0</v>
      </c>
      <c r="G749" s="33">
        <v>0</v>
      </c>
    </row>
    <row r="750" spans="1:7" x14ac:dyDescent="0.3">
      <c r="A750" s="32" t="s">
        <v>629</v>
      </c>
      <c r="B750" s="32" t="s">
        <v>746</v>
      </c>
      <c r="C750" s="32" t="s">
        <v>627</v>
      </c>
      <c r="D750" s="32" t="s">
        <v>628</v>
      </c>
      <c r="E750" s="32" t="s">
        <v>629</v>
      </c>
      <c r="F750" s="33">
        <v>0</v>
      </c>
      <c r="G750" s="33">
        <v>0</v>
      </c>
    </row>
    <row r="751" spans="1:7" x14ac:dyDescent="0.3">
      <c r="A751" s="32" t="s">
        <v>629</v>
      </c>
      <c r="B751" s="32" t="s">
        <v>747</v>
      </c>
      <c r="C751" s="32" t="s">
        <v>627</v>
      </c>
      <c r="D751" s="32" t="s">
        <v>628</v>
      </c>
      <c r="E751" s="32" t="s">
        <v>629</v>
      </c>
      <c r="F751" s="33">
        <v>0</v>
      </c>
      <c r="G751" s="33">
        <v>0</v>
      </c>
    </row>
    <row r="752" spans="1:7" x14ac:dyDescent="0.3">
      <c r="A752" s="32" t="s">
        <v>629</v>
      </c>
      <c r="B752" s="32" t="s">
        <v>748</v>
      </c>
      <c r="C752" s="32" t="s">
        <v>627</v>
      </c>
      <c r="D752" s="32" t="s">
        <v>628</v>
      </c>
      <c r="E752" s="32" t="s">
        <v>629</v>
      </c>
      <c r="F752" s="33">
        <v>0</v>
      </c>
      <c r="G752" s="33">
        <v>0</v>
      </c>
    </row>
    <row r="753" spans="1:7" x14ac:dyDescent="0.3">
      <c r="A753" s="32" t="s">
        <v>629</v>
      </c>
      <c r="B753" s="32" t="s">
        <v>749</v>
      </c>
      <c r="C753" s="32" t="s">
        <v>627</v>
      </c>
      <c r="D753" s="32" t="s">
        <v>628</v>
      </c>
      <c r="E753" s="32" t="s">
        <v>629</v>
      </c>
      <c r="F753" s="33">
        <v>0</v>
      </c>
      <c r="G753" s="33">
        <v>0</v>
      </c>
    </row>
    <row r="754" spans="1:7" x14ac:dyDescent="0.3">
      <c r="A754" s="32" t="s">
        <v>629</v>
      </c>
      <c r="B754" s="32" t="s">
        <v>750</v>
      </c>
      <c r="C754" s="32" t="s">
        <v>627</v>
      </c>
      <c r="D754" s="32" t="s">
        <v>628</v>
      </c>
      <c r="E754" s="32" t="s">
        <v>629</v>
      </c>
      <c r="F754" s="33">
        <v>0</v>
      </c>
      <c r="G754" s="33">
        <v>0</v>
      </c>
    </row>
    <row r="755" spans="1:7" x14ac:dyDescent="0.3">
      <c r="A755" s="32" t="s">
        <v>629</v>
      </c>
      <c r="B755" s="32" t="s">
        <v>751</v>
      </c>
      <c r="C755" s="32" t="s">
        <v>627</v>
      </c>
      <c r="D755" s="32" t="s">
        <v>628</v>
      </c>
      <c r="E755" s="32" t="s">
        <v>629</v>
      </c>
      <c r="F755" s="33">
        <v>0</v>
      </c>
      <c r="G755" s="33">
        <v>0</v>
      </c>
    </row>
    <row r="756" spans="1:7" x14ac:dyDescent="0.3">
      <c r="A756" s="32" t="s">
        <v>629</v>
      </c>
      <c r="B756" s="32" t="s">
        <v>752</v>
      </c>
      <c r="C756" s="32" t="s">
        <v>627</v>
      </c>
      <c r="D756" s="32" t="s">
        <v>628</v>
      </c>
      <c r="E756" s="32" t="s">
        <v>629</v>
      </c>
      <c r="F756" s="33">
        <v>0</v>
      </c>
      <c r="G756" s="33">
        <v>0</v>
      </c>
    </row>
    <row r="757" spans="1:7" x14ac:dyDescent="0.3">
      <c r="A757" s="32" t="s">
        <v>629</v>
      </c>
      <c r="B757" s="32" t="s">
        <v>753</v>
      </c>
      <c r="C757" s="32" t="s">
        <v>627</v>
      </c>
      <c r="D757" s="32" t="s">
        <v>628</v>
      </c>
      <c r="E757" s="32" t="s">
        <v>629</v>
      </c>
      <c r="F757" s="33">
        <v>0</v>
      </c>
      <c r="G757" s="33">
        <v>0</v>
      </c>
    </row>
    <row r="758" spans="1:7" x14ac:dyDescent="0.3">
      <c r="A758" s="32" t="s">
        <v>629</v>
      </c>
      <c r="B758" s="32" t="s">
        <v>754</v>
      </c>
      <c r="C758" s="32" t="s">
        <v>627</v>
      </c>
      <c r="D758" s="32" t="s">
        <v>628</v>
      </c>
      <c r="E758" s="32" t="s">
        <v>629</v>
      </c>
      <c r="F758" s="33">
        <v>0</v>
      </c>
      <c r="G758" s="33">
        <v>0</v>
      </c>
    </row>
    <row r="759" spans="1:7" x14ac:dyDescent="0.3">
      <c r="A759" s="32" t="s">
        <v>629</v>
      </c>
      <c r="B759" s="32" t="s">
        <v>755</v>
      </c>
      <c r="C759" s="32" t="s">
        <v>627</v>
      </c>
      <c r="D759" s="32" t="s">
        <v>628</v>
      </c>
      <c r="E759" s="32" t="s">
        <v>629</v>
      </c>
      <c r="F759" s="33">
        <v>0</v>
      </c>
      <c r="G759" s="33">
        <v>0</v>
      </c>
    </row>
    <row r="760" spans="1:7" x14ac:dyDescent="0.3">
      <c r="A760" s="32" t="s">
        <v>629</v>
      </c>
      <c r="B760" s="32" t="s">
        <v>756</v>
      </c>
      <c r="C760" s="32" t="s">
        <v>627</v>
      </c>
      <c r="D760" s="32" t="s">
        <v>628</v>
      </c>
      <c r="E760" s="32" t="s">
        <v>629</v>
      </c>
      <c r="F760" s="33">
        <v>0</v>
      </c>
      <c r="G760" s="33">
        <v>0</v>
      </c>
    </row>
    <row r="761" spans="1:7" x14ac:dyDescent="0.3">
      <c r="A761" s="32" t="s">
        <v>629</v>
      </c>
      <c r="B761" s="32" t="s">
        <v>757</v>
      </c>
      <c r="C761" s="32" t="s">
        <v>627</v>
      </c>
      <c r="D761" s="32" t="s">
        <v>628</v>
      </c>
      <c r="E761" s="32" t="s">
        <v>629</v>
      </c>
      <c r="F761" s="33">
        <v>0</v>
      </c>
      <c r="G761" s="33">
        <v>0</v>
      </c>
    </row>
    <row r="762" spans="1:7" x14ac:dyDescent="0.3">
      <c r="A762" s="32" t="s">
        <v>629</v>
      </c>
      <c r="B762" s="32" t="s">
        <v>758</v>
      </c>
      <c r="C762" s="32" t="s">
        <v>627</v>
      </c>
      <c r="D762" s="32" t="s">
        <v>628</v>
      </c>
      <c r="E762" s="32" t="s">
        <v>629</v>
      </c>
      <c r="F762" s="33">
        <v>0</v>
      </c>
      <c r="G762" s="33">
        <v>0</v>
      </c>
    </row>
    <row r="763" spans="1:7" x14ac:dyDescent="0.3">
      <c r="A763" s="32" t="s">
        <v>629</v>
      </c>
      <c r="B763" s="32" t="s">
        <v>759</v>
      </c>
      <c r="C763" s="32" t="s">
        <v>627</v>
      </c>
      <c r="D763" s="32" t="s">
        <v>628</v>
      </c>
      <c r="E763" s="32" t="s">
        <v>629</v>
      </c>
      <c r="F763" s="33">
        <v>0</v>
      </c>
      <c r="G763" s="33">
        <v>0</v>
      </c>
    </row>
    <row r="764" spans="1:7" x14ac:dyDescent="0.3">
      <c r="A764" s="32" t="s">
        <v>629</v>
      </c>
      <c r="B764" s="32" t="s">
        <v>760</v>
      </c>
      <c r="C764" s="32" t="s">
        <v>627</v>
      </c>
      <c r="D764" s="32" t="s">
        <v>628</v>
      </c>
      <c r="E764" s="32" t="s">
        <v>629</v>
      </c>
      <c r="F764" s="33">
        <v>0</v>
      </c>
      <c r="G764" s="33">
        <v>0</v>
      </c>
    </row>
    <row r="765" spans="1:7" x14ac:dyDescent="0.3">
      <c r="A765" s="32" t="s">
        <v>629</v>
      </c>
      <c r="B765" s="32" t="s">
        <v>761</v>
      </c>
      <c r="C765" s="32" t="s">
        <v>627</v>
      </c>
      <c r="D765" s="32" t="s">
        <v>628</v>
      </c>
      <c r="E765" s="32" t="s">
        <v>629</v>
      </c>
      <c r="F765" s="33">
        <v>0</v>
      </c>
      <c r="G765" s="33">
        <v>0</v>
      </c>
    </row>
    <row r="766" spans="1:7" x14ac:dyDescent="0.3">
      <c r="A766" s="32" t="s">
        <v>629</v>
      </c>
      <c r="B766" s="32" t="s">
        <v>762</v>
      </c>
      <c r="C766" s="32" t="s">
        <v>627</v>
      </c>
      <c r="D766" s="32" t="s">
        <v>628</v>
      </c>
      <c r="E766" s="32" t="s">
        <v>629</v>
      </c>
      <c r="F766" s="33">
        <v>0</v>
      </c>
      <c r="G766" s="33">
        <v>0</v>
      </c>
    </row>
    <row r="767" spans="1:7" x14ac:dyDescent="0.3">
      <c r="A767" s="32" t="s">
        <v>629</v>
      </c>
      <c r="B767" s="32" t="s">
        <v>763</v>
      </c>
      <c r="C767" s="32" t="s">
        <v>627</v>
      </c>
      <c r="D767" s="32" t="s">
        <v>628</v>
      </c>
      <c r="E767" s="32" t="s">
        <v>629</v>
      </c>
      <c r="F767" s="33">
        <v>0</v>
      </c>
      <c r="G767" s="33">
        <v>0</v>
      </c>
    </row>
    <row r="768" spans="1:7" x14ac:dyDescent="0.3">
      <c r="A768" s="32" t="s">
        <v>629</v>
      </c>
      <c r="B768" s="32" t="s">
        <v>764</v>
      </c>
      <c r="C768" s="32" t="s">
        <v>627</v>
      </c>
      <c r="D768" s="32" t="s">
        <v>628</v>
      </c>
      <c r="E768" s="32" t="s">
        <v>629</v>
      </c>
      <c r="F768" s="33">
        <v>0</v>
      </c>
      <c r="G768" s="33">
        <v>0</v>
      </c>
    </row>
    <row r="769" spans="1:7" x14ac:dyDescent="0.3">
      <c r="A769" s="32" t="s">
        <v>629</v>
      </c>
      <c r="B769" s="32" t="s">
        <v>765</v>
      </c>
      <c r="C769" s="32" t="s">
        <v>627</v>
      </c>
      <c r="D769" s="32" t="s">
        <v>628</v>
      </c>
      <c r="E769" s="32" t="s">
        <v>629</v>
      </c>
      <c r="F769" s="33">
        <v>0</v>
      </c>
      <c r="G769" s="33">
        <v>0</v>
      </c>
    </row>
    <row r="770" spans="1:7" x14ac:dyDescent="0.3">
      <c r="A770" s="32" t="s">
        <v>629</v>
      </c>
      <c r="B770" s="32" t="s">
        <v>766</v>
      </c>
      <c r="C770" s="32" t="s">
        <v>627</v>
      </c>
      <c r="D770" s="32" t="s">
        <v>628</v>
      </c>
      <c r="E770" s="32" t="s">
        <v>629</v>
      </c>
      <c r="F770" s="33">
        <v>0</v>
      </c>
      <c r="G770" s="33">
        <v>0</v>
      </c>
    </row>
    <row r="771" spans="1:7" x14ac:dyDescent="0.3">
      <c r="A771" s="32" t="s">
        <v>629</v>
      </c>
      <c r="B771" s="32" t="s">
        <v>767</v>
      </c>
      <c r="C771" s="32" t="s">
        <v>627</v>
      </c>
      <c r="D771" s="32" t="s">
        <v>628</v>
      </c>
      <c r="E771" s="32" t="s">
        <v>629</v>
      </c>
      <c r="F771" s="33">
        <v>0</v>
      </c>
      <c r="G771" s="33">
        <v>0</v>
      </c>
    </row>
    <row r="772" spans="1:7" x14ac:dyDescent="0.3">
      <c r="A772" s="32" t="s">
        <v>629</v>
      </c>
      <c r="B772" s="32" t="s">
        <v>768</v>
      </c>
      <c r="C772" s="32" t="s">
        <v>627</v>
      </c>
      <c r="D772" s="32" t="s">
        <v>628</v>
      </c>
      <c r="E772" s="32" t="s">
        <v>629</v>
      </c>
      <c r="F772" s="33">
        <v>0</v>
      </c>
      <c r="G772" s="33">
        <v>0</v>
      </c>
    </row>
    <row r="773" spans="1:7" x14ac:dyDescent="0.3">
      <c r="A773" s="32" t="s">
        <v>629</v>
      </c>
      <c r="B773" s="32" t="s">
        <v>769</v>
      </c>
      <c r="C773" s="32" t="s">
        <v>627</v>
      </c>
      <c r="D773" s="32" t="s">
        <v>628</v>
      </c>
      <c r="E773" s="32" t="s">
        <v>629</v>
      </c>
      <c r="F773" s="33">
        <v>0</v>
      </c>
      <c r="G773" s="33">
        <v>0</v>
      </c>
    </row>
    <row r="774" spans="1:7" x14ac:dyDescent="0.3">
      <c r="A774" s="32" t="s">
        <v>629</v>
      </c>
      <c r="B774" s="32" t="s">
        <v>774</v>
      </c>
      <c r="C774" s="32" t="s">
        <v>627</v>
      </c>
      <c r="D774" s="32" t="s">
        <v>628</v>
      </c>
      <c r="E774" s="32" t="s">
        <v>629</v>
      </c>
      <c r="F774" s="33">
        <v>0</v>
      </c>
      <c r="G774" s="33">
        <v>0</v>
      </c>
    </row>
    <row r="775" spans="1:7" x14ac:dyDescent="0.3">
      <c r="A775" s="32" t="s">
        <v>629</v>
      </c>
      <c r="B775" s="32" t="s">
        <v>775</v>
      </c>
      <c r="C775" s="32" t="s">
        <v>627</v>
      </c>
      <c r="D775" s="32" t="s">
        <v>628</v>
      </c>
      <c r="E775" s="32" t="s">
        <v>629</v>
      </c>
      <c r="F775" s="33">
        <v>0</v>
      </c>
      <c r="G775" s="33">
        <v>0</v>
      </c>
    </row>
    <row r="776" spans="1:7" x14ac:dyDescent="0.3">
      <c r="A776" s="32" t="s">
        <v>629</v>
      </c>
      <c r="B776" s="32" t="s">
        <v>776</v>
      </c>
      <c r="C776" s="32" t="s">
        <v>627</v>
      </c>
      <c r="D776" s="32" t="s">
        <v>628</v>
      </c>
      <c r="E776" s="32" t="s">
        <v>629</v>
      </c>
      <c r="F776" s="33">
        <v>0</v>
      </c>
      <c r="G776" s="33">
        <v>0</v>
      </c>
    </row>
    <row r="777" spans="1:7" x14ac:dyDescent="0.3">
      <c r="A777" s="32" t="s">
        <v>629</v>
      </c>
      <c r="B777" s="32" t="s">
        <v>777</v>
      </c>
      <c r="C777" s="32" t="s">
        <v>627</v>
      </c>
      <c r="D777" s="32" t="s">
        <v>628</v>
      </c>
      <c r="E777" s="32" t="s">
        <v>629</v>
      </c>
      <c r="F777" s="33">
        <v>0</v>
      </c>
      <c r="G777" s="33">
        <v>0</v>
      </c>
    </row>
    <row r="778" spans="1:7" x14ac:dyDescent="0.3">
      <c r="A778" s="32" t="s">
        <v>629</v>
      </c>
      <c r="B778" s="32" t="s">
        <v>778</v>
      </c>
      <c r="C778" s="32" t="s">
        <v>627</v>
      </c>
      <c r="D778" s="32" t="s">
        <v>628</v>
      </c>
      <c r="E778" s="32" t="s">
        <v>629</v>
      </c>
      <c r="F778" s="33">
        <v>0</v>
      </c>
      <c r="G778" s="33">
        <v>0</v>
      </c>
    </row>
    <row r="779" spans="1:7" x14ac:dyDescent="0.3">
      <c r="A779" s="32" t="s">
        <v>629</v>
      </c>
      <c r="B779" s="32" t="s">
        <v>779</v>
      </c>
      <c r="C779" s="32" t="s">
        <v>627</v>
      </c>
      <c r="D779" s="32" t="s">
        <v>628</v>
      </c>
      <c r="E779" s="32" t="s">
        <v>629</v>
      </c>
      <c r="F779" s="33">
        <v>0</v>
      </c>
      <c r="G779" s="33">
        <v>0</v>
      </c>
    </row>
    <row r="780" spans="1:7" x14ac:dyDescent="0.3">
      <c r="A780" s="32" t="s">
        <v>629</v>
      </c>
      <c r="B780" s="32" t="s">
        <v>780</v>
      </c>
      <c r="C780" s="32" t="s">
        <v>627</v>
      </c>
      <c r="D780" s="32" t="s">
        <v>628</v>
      </c>
      <c r="E780" s="32" t="s">
        <v>629</v>
      </c>
      <c r="F780" s="33">
        <v>0</v>
      </c>
      <c r="G780" s="33">
        <v>0</v>
      </c>
    </row>
    <row r="781" spans="1:7" x14ac:dyDescent="0.3">
      <c r="A781" s="32" t="s">
        <v>629</v>
      </c>
      <c r="B781" s="32" t="s">
        <v>781</v>
      </c>
      <c r="C781" s="32" t="s">
        <v>627</v>
      </c>
      <c r="D781" s="32" t="s">
        <v>628</v>
      </c>
      <c r="E781" s="32" t="s">
        <v>629</v>
      </c>
      <c r="F781" s="33">
        <v>0</v>
      </c>
      <c r="G781" s="33">
        <v>0</v>
      </c>
    </row>
    <row r="782" spans="1:7" x14ac:dyDescent="0.3">
      <c r="A782" s="32" t="s">
        <v>629</v>
      </c>
      <c r="B782" s="32" t="s">
        <v>782</v>
      </c>
      <c r="C782" s="32" t="s">
        <v>627</v>
      </c>
      <c r="D782" s="32" t="s">
        <v>628</v>
      </c>
      <c r="E782" s="32" t="s">
        <v>629</v>
      </c>
      <c r="F782" s="33">
        <v>0</v>
      </c>
      <c r="G782" s="33">
        <v>0</v>
      </c>
    </row>
    <row r="783" spans="1:7" x14ac:dyDescent="0.3">
      <c r="A783" s="32" t="s">
        <v>629</v>
      </c>
      <c r="B783" s="32" t="s">
        <v>783</v>
      </c>
      <c r="C783" s="32" t="s">
        <v>627</v>
      </c>
      <c r="D783" s="32" t="s">
        <v>628</v>
      </c>
      <c r="E783" s="32" t="s">
        <v>629</v>
      </c>
      <c r="F783" s="33">
        <v>0</v>
      </c>
      <c r="G783" s="33">
        <v>0</v>
      </c>
    </row>
    <row r="784" spans="1:7" x14ac:dyDescent="0.3">
      <c r="A784" s="32" t="s">
        <v>629</v>
      </c>
      <c r="B784" s="32" t="s">
        <v>784</v>
      </c>
      <c r="C784" s="32" t="s">
        <v>627</v>
      </c>
      <c r="D784" s="32" t="s">
        <v>628</v>
      </c>
      <c r="E784" s="32" t="s">
        <v>629</v>
      </c>
      <c r="F784" s="33">
        <v>0</v>
      </c>
      <c r="G784" s="33">
        <v>0</v>
      </c>
    </row>
    <row r="785" spans="1:7" x14ac:dyDescent="0.3">
      <c r="A785" s="32" t="s">
        <v>629</v>
      </c>
      <c r="B785" s="32" t="s">
        <v>785</v>
      </c>
      <c r="C785" s="32" t="s">
        <v>627</v>
      </c>
      <c r="D785" s="32" t="s">
        <v>628</v>
      </c>
      <c r="E785" s="32" t="s">
        <v>629</v>
      </c>
      <c r="F785" s="33">
        <v>0</v>
      </c>
      <c r="G785" s="33">
        <v>0</v>
      </c>
    </row>
    <row r="786" spans="1:7" x14ac:dyDescent="0.3">
      <c r="A786" s="32" t="s">
        <v>629</v>
      </c>
      <c r="B786" s="32" t="s">
        <v>786</v>
      </c>
      <c r="C786" s="32" t="s">
        <v>627</v>
      </c>
      <c r="D786" s="32" t="s">
        <v>628</v>
      </c>
      <c r="E786" s="32" t="s">
        <v>629</v>
      </c>
      <c r="F786" s="33">
        <v>0</v>
      </c>
      <c r="G786" s="33">
        <v>0</v>
      </c>
    </row>
    <row r="787" spans="1:7" x14ac:dyDescent="0.3">
      <c r="A787" s="32" t="s">
        <v>629</v>
      </c>
      <c r="B787" s="32" t="s">
        <v>787</v>
      </c>
      <c r="C787" s="32" t="s">
        <v>627</v>
      </c>
      <c r="D787" s="32" t="s">
        <v>628</v>
      </c>
      <c r="E787" s="32" t="s">
        <v>629</v>
      </c>
      <c r="F787" s="33">
        <v>0</v>
      </c>
      <c r="G787" s="33">
        <v>0</v>
      </c>
    </row>
    <row r="788" spans="1:7" x14ac:dyDescent="0.3">
      <c r="A788" s="32" t="s">
        <v>629</v>
      </c>
      <c r="B788" s="32" t="s">
        <v>788</v>
      </c>
      <c r="C788" s="32" t="s">
        <v>627</v>
      </c>
      <c r="D788" s="32" t="s">
        <v>628</v>
      </c>
      <c r="E788" s="32" t="s">
        <v>629</v>
      </c>
      <c r="F788" s="33">
        <v>0</v>
      </c>
      <c r="G788" s="33">
        <v>0</v>
      </c>
    </row>
    <row r="789" spans="1:7" x14ac:dyDescent="0.3">
      <c r="A789" s="32" t="s">
        <v>629</v>
      </c>
      <c r="B789" s="32" t="s">
        <v>789</v>
      </c>
      <c r="C789" s="32" t="s">
        <v>627</v>
      </c>
      <c r="D789" s="32" t="s">
        <v>628</v>
      </c>
      <c r="E789" s="32" t="s">
        <v>629</v>
      </c>
      <c r="F789" s="33">
        <v>0</v>
      </c>
      <c r="G789" s="33">
        <v>0</v>
      </c>
    </row>
    <row r="790" spans="1:7" x14ac:dyDescent="0.3">
      <c r="A790" s="32" t="s">
        <v>629</v>
      </c>
      <c r="B790" s="32" t="s">
        <v>790</v>
      </c>
      <c r="C790" s="32" t="s">
        <v>627</v>
      </c>
      <c r="D790" s="32" t="s">
        <v>628</v>
      </c>
      <c r="E790" s="32" t="s">
        <v>629</v>
      </c>
      <c r="F790" s="33">
        <v>0</v>
      </c>
      <c r="G790" s="33">
        <v>0</v>
      </c>
    </row>
    <row r="791" spans="1:7" x14ac:dyDescent="0.3">
      <c r="A791" s="32" t="s">
        <v>629</v>
      </c>
      <c r="B791" s="32" t="s">
        <v>791</v>
      </c>
      <c r="C791" s="32" t="s">
        <v>627</v>
      </c>
      <c r="D791" s="32" t="s">
        <v>628</v>
      </c>
      <c r="E791" s="32" t="s">
        <v>629</v>
      </c>
      <c r="F791" s="33">
        <v>0</v>
      </c>
      <c r="G791" s="33">
        <v>0</v>
      </c>
    </row>
    <row r="792" spans="1:7" x14ac:dyDescent="0.3">
      <c r="A792" s="32" t="s">
        <v>629</v>
      </c>
      <c r="B792" s="32" t="s">
        <v>792</v>
      </c>
      <c r="C792" s="32" t="s">
        <v>627</v>
      </c>
      <c r="D792" s="32" t="s">
        <v>628</v>
      </c>
      <c r="E792" s="32" t="s">
        <v>629</v>
      </c>
      <c r="F792" s="33">
        <v>0</v>
      </c>
      <c r="G792" s="33">
        <v>0</v>
      </c>
    </row>
    <row r="793" spans="1:7" x14ac:dyDescent="0.3">
      <c r="A793" s="32" t="s">
        <v>629</v>
      </c>
      <c r="B793" s="32" t="s">
        <v>793</v>
      </c>
      <c r="C793" s="32" t="s">
        <v>627</v>
      </c>
      <c r="D793" s="32" t="s">
        <v>628</v>
      </c>
      <c r="E793" s="32" t="s">
        <v>629</v>
      </c>
      <c r="F793" s="33">
        <v>0</v>
      </c>
      <c r="G793" s="33">
        <v>0</v>
      </c>
    </row>
    <row r="794" spans="1:7" x14ac:dyDescent="0.3">
      <c r="A794" s="32" t="s">
        <v>629</v>
      </c>
      <c r="B794" s="32" t="s">
        <v>794</v>
      </c>
      <c r="C794" s="32" t="s">
        <v>627</v>
      </c>
      <c r="D794" s="32" t="s">
        <v>628</v>
      </c>
      <c r="E794" s="32" t="s">
        <v>629</v>
      </c>
      <c r="F794" s="33">
        <v>0</v>
      </c>
      <c r="G794" s="33">
        <v>0</v>
      </c>
    </row>
    <row r="795" spans="1:7" x14ac:dyDescent="0.3">
      <c r="A795" s="32" t="s">
        <v>629</v>
      </c>
      <c r="B795" s="32" t="s">
        <v>796</v>
      </c>
      <c r="C795" s="32" t="s">
        <v>627</v>
      </c>
      <c r="D795" s="32" t="s">
        <v>628</v>
      </c>
      <c r="E795" s="32" t="s">
        <v>629</v>
      </c>
      <c r="F795" s="33">
        <v>0</v>
      </c>
      <c r="G795" s="33">
        <v>0</v>
      </c>
    </row>
    <row r="796" spans="1:7" x14ac:dyDescent="0.3">
      <c r="A796" s="32" t="s">
        <v>629</v>
      </c>
      <c r="B796" s="32" t="s">
        <v>797</v>
      </c>
      <c r="C796" s="32" t="s">
        <v>627</v>
      </c>
      <c r="D796" s="32" t="s">
        <v>628</v>
      </c>
      <c r="E796" s="32" t="s">
        <v>629</v>
      </c>
      <c r="F796" s="33">
        <v>0</v>
      </c>
      <c r="G796" s="33">
        <v>0</v>
      </c>
    </row>
    <row r="797" spans="1:7" x14ac:dyDescent="0.3">
      <c r="A797" s="32" t="s">
        <v>629</v>
      </c>
      <c r="B797" s="32" t="s">
        <v>798</v>
      </c>
      <c r="C797" s="32" t="s">
        <v>627</v>
      </c>
      <c r="D797" s="32" t="s">
        <v>628</v>
      </c>
      <c r="E797" s="32" t="s">
        <v>629</v>
      </c>
      <c r="F797" s="33">
        <v>0</v>
      </c>
      <c r="G797" s="33">
        <v>0</v>
      </c>
    </row>
    <row r="798" spans="1:7" x14ac:dyDescent="0.3">
      <c r="A798" s="32" t="s">
        <v>629</v>
      </c>
      <c r="B798" s="32" t="s">
        <v>799</v>
      </c>
      <c r="C798" s="32" t="s">
        <v>627</v>
      </c>
      <c r="D798" s="32" t="s">
        <v>628</v>
      </c>
      <c r="E798" s="32" t="s">
        <v>629</v>
      </c>
      <c r="F798" s="33">
        <v>0</v>
      </c>
      <c r="G798" s="33">
        <v>0</v>
      </c>
    </row>
    <row r="799" spans="1:7" x14ac:dyDescent="0.3">
      <c r="A799" s="32" t="s">
        <v>629</v>
      </c>
      <c r="B799" s="32" t="s">
        <v>800</v>
      </c>
      <c r="C799" s="32" t="s">
        <v>627</v>
      </c>
      <c r="D799" s="32" t="s">
        <v>628</v>
      </c>
      <c r="E799" s="32" t="s">
        <v>629</v>
      </c>
      <c r="F799" s="33">
        <v>0</v>
      </c>
      <c r="G799" s="33">
        <v>0</v>
      </c>
    </row>
    <row r="800" spans="1:7" x14ac:dyDescent="0.3">
      <c r="A800" s="32" t="s">
        <v>629</v>
      </c>
      <c r="B800" s="32" t="s">
        <v>801</v>
      </c>
      <c r="C800" s="32" t="s">
        <v>627</v>
      </c>
      <c r="D800" s="32" t="s">
        <v>628</v>
      </c>
      <c r="E800" s="32" t="s">
        <v>629</v>
      </c>
      <c r="F800" s="33">
        <v>0</v>
      </c>
      <c r="G800" s="33">
        <v>0</v>
      </c>
    </row>
    <row r="801" spans="1:7" x14ac:dyDescent="0.3">
      <c r="A801" s="32" t="s">
        <v>629</v>
      </c>
      <c r="B801" s="32" t="s">
        <v>802</v>
      </c>
      <c r="C801" s="32" t="s">
        <v>627</v>
      </c>
      <c r="D801" s="32" t="s">
        <v>628</v>
      </c>
      <c r="E801" s="32" t="s">
        <v>629</v>
      </c>
      <c r="F801" s="33">
        <v>0</v>
      </c>
      <c r="G801" s="33">
        <v>0</v>
      </c>
    </row>
    <row r="802" spans="1:7" x14ac:dyDescent="0.3">
      <c r="A802" s="32" t="s">
        <v>629</v>
      </c>
      <c r="B802" s="32" t="s">
        <v>803</v>
      </c>
      <c r="C802" s="32" t="s">
        <v>627</v>
      </c>
      <c r="D802" s="32" t="s">
        <v>628</v>
      </c>
      <c r="E802" s="32" t="s">
        <v>629</v>
      </c>
      <c r="F802" s="33">
        <v>0</v>
      </c>
      <c r="G802" s="33">
        <v>0</v>
      </c>
    </row>
    <row r="803" spans="1:7" x14ac:dyDescent="0.3">
      <c r="A803" s="32" t="s">
        <v>629</v>
      </c>
      <c r="B803" s="32" t="s">
        <v>804</v>
      </c>
      <c r="C803" s="32" t="s">
        <v>627</v>
      </c>
      <c r="D803" s="32" t="s">
        <v>628</v>
      </c>
      <c r="E803" s="32" t="s">
        <v>629</v>
      </c>
      <c r="F803" s="33">
        <v>0</v>
      </c>
      <c r="G803" s="33">
        <v>0</v>
      </c>
    </row>
    <row r="804" spans="1:7" x14ac:dyDescent="0.3">
      <c r="A804" s="32" t="s">
        <v>629</v>
      </c>
      <c r="B804" s="32" t="s">
        <v>806</v>
      </c>
      <c r="C804" s="32" t="s">
        <v>627</v>
      </c>
      <c r="D804" s="32" t="s">
        <v>628</v>
      </c>
      <c r="E804" s="32" t="s">
        <v>629</v>
      </c>
      <c r="F804" s="33">
        <v>0</v>
      </c>
      <c r="G804" s="33">
        <v>0</v>
      </c>
    </row>
    <row r="805" spans="1:7" x14ac:dyDescent="0.3">
      <c r="A805" s="32" t="s">
        <v>629</v>
      </c>
      <c r="B805" s="32" t="s">
        <v>807</v>
      </c>
      <c r="C805" s="32" t="s">
        <v>627</v>
      </c>
      <c r="D805" s="32" t="s">
        <v>628</v>
      </c>
      <c r="E805" s="32" t="s">
        <v>629</v>
      </c>
      <c r="F805" s="33">
        <v>0</v>
      </c>
      <c r="G805" s="33">
        <v>0</v>
      </c>
    </row>
    <row r="806" spans="1:7" x14ac:dyDescent="0.3">
      <c r="A806" s="32" t="s">
        <v>629</v>
      </c>
      <c r="B806" s="32" t="s">
        <v>808</v>
      </c>
      <c r="C806" s="32" t="s">
        <v>627</v>
      </c>
      <c r="D806" s="32" t="s">
        <v>628</v>
      </c>
      <c r="E806" s="32" t="s">
        <v>629</v>
      </c>
      <c r="F806" s="33">
        <v>0</v>
      </c>
      <c r="G806" s="33">
        <v>0</v>
      </c>
    </row>
    <row r="807" spans="1:7" x14ac:dyDescent="0.3">
      <c r="A807" s="32" t="s">
        <v>629</v>
      </c>
      <c r="B807" s="32" t="s">
        <v>809</v>
      </c>
      <c r="C807" s="32" t="s">
        <v>627</v>
      </c>
      <c r="D807" s="32" t="s">
        <v>628</v>
      </c>
      <c r="E807" s="32" t="s">
        <v>629</v>
      </c>
      <c r="F807" s="33">
        <v>0</v>
      </c>
      <c r="G807" s="33">
        <v>0</v>
      </c>
    </row>
    <row r="808" spans="1:7" x14ac:dyDescent="0.3">
      <c r="A808" s="32" t="s">
        <v>629</v>
      </c>
      <c r="B808" s="32" t="s">
        <v>811</v>
      </c>
      <c r="C808" s="32" t="s">
        <v>627</v>
      </c>
      <c r="D808" s="32" t="s">
        <v>628</v>
      </c>
      <c r="E808" s="32" t="s">
        <v>629</v>
      </c>
      <c r="F808" s="33">
        <v>0</v>
      </c>
      <c r="G808" s="33">
        <v>0</v>
      </c>
    </row>
    <row r="809" spans="1:7" x14ac:dyDescent="0.3">
      <c r="A809" s="32" t="s">
        <v>629</v>
      </c>
      <c r="B809" s="32" t="s">
        <v>812</v>
      </c>
      <c r="C809" s="32" t="s">
        <v>627</v>
      </c>
      <c r="D809" s="32" t="s">
        <v>628</v>
      </c>
      <c r="E809" s="32" t="s">
        <v>629</v>
      </c>
      <c r="F809" s="33">
        <v>0</v>
      </c>
      <c r="G809" s="33">
        <v>0</v>
      </c>
    </row>
    <row r="810" spans="1:7" x14ac:dyDescent="0.3">
      <c r="A810" s="32" t="s">
        <v>629</v>
      </c>
      <c r="B810" s="32" t="s">
        <v>813</v>
      </c>
      <c r="C810" s="32" t="s">
        <v>627</v>
      </c>
      <c r="D810" s="32" t="s">
        <v>628</v>
      </c>
      <c r="E810" s="32" t="s">
        <v>629</v>
      </c>
      <c r="F810" s="33">
        <v>0</v>
      </c>
      <c r="G810" s="33">
        <v>0</v>
      </c>
    </row>
    <row r="811" spans="1:7" x14ac:dyDescent="0.3">
      <c r="A811" s="32" t="s">
        <v>629</v>
      </c>
      <c r="B811" s="32" t="s">
        <v>814</v>
      </c>
      <c r="C811" s="32" t="s">
        <v>627</v>
      </c>
      <c r="D811" s="32" t="s">
        <v>628</v>
      </c>
      <c r="E811" s="32" t="s">
        <v>629</v>
      </c>
      <c r="F811" s="33">
        <v>0</v>
      </c>
      <c r="G811" s="33">
        <v>0</v>
      </c>
    </row>
    <row r="812" spans="1:7" x14ac:dyDescent="0.3">
      <c r="A812" s="32" t="s">
        <v>629</v>
      </c>
      <c r="B812" s="32" t="s">
        <v>815</v>
      </c>
      <c r="C812" s="32" t="s">
        <v>627</v>
      </c>
      <c r="D812" s="32" t="s">
        <v>628</v>
      </c>
      <c r="E812" s="32" t="s">
        <v>629</v>
      </c>
      <c r="F812" s="33">
        <v>0</v>
      </c>
      <c r="G812" s="33">
        <v>0</v>
      </c>
    </row>
    <row r="813" spans="1:7" x14ac:dyDescent="0.3">
      <c r="A813" s="32" t="s">
        <v>629</v>
      </c>
      <c r="B813" s="32" t="s">
        <v>816</v>
      </c>
      <c r="C813" s="32" t="s">
        <v>627</v>
      </c>
      <c r="D813" s="32" t="s">
        <v>628</v>
      </c>
      <c r="E813" s="32" t="s">
        <v>629</v>
      </c>
      <c r="F813" s="33">
        <v>0</v>
      </c>
      <c r="G813" s="33">
        <v>0</v>
      </c>
    </row>
    <row r="814" spans="1:7" x14ac:dyDescent="0.3">
      <c r="A814" s="32" t="s">
        <v>629</v>
      </c>
      <c r="B814" s="32" t="s">
        <v>817</v>
      </c>
      <c r="C814" s="32" t="s">
        <v>627</v>
      </c>
      <c r="D814" s="32" t="s">
        <v>628</v>
      </c>
      <c r="E814" s="32" t="s">
        <v>629</v>
      </c>
      <c r="F814" s="33">
        <v>0</v>
      </c>
      <c r="G814" s="33">
        <v>0</v>
      </c>
    </row>
    <row r="815" spans="1:7" x14ac:dyDescent="0.3">
      <c r="A815" s="32" t="s">
        <v>629</v>
      </c>
      <c r="B815" s="32" t="s">
        <v>818</v>
      </c>
      <c r="C815" s="32" t="s">
        <v>627</v>
      </c>
      <c r="D815" s="32" t="s">
        <v>628</v>
      </c>
      <c r="E815" s="32" t="s">
        <v>629</v>
      </c>
      <c r="F815" s="33">
        <v>0</v>
      </c>
      <c r="G815" s="33">
        <v>0</v>
      </c>
    </row>
    <row r="816" spans="1:7" x14ac:dyDescent="0.3">
      <c r="A816" s="32" t="s">
        <v>629</v>
      </c>
      <c r="B816" s="32" t="s">
        <v>678</v>
      </c>
      <c r="C816" s="32" t="s">
        <v>627</v>
      </c>
      <c r="D816" s="32" t="s">
        <v>628</v>
      </c>
      <c r="E816" s="32" t="s">
        <v>629</v>
      </c>
      <c r="F816" s="33">
        <v>0</v>
      </c>
      <c r="G816" s="33">
        <v>0</v>
      </c>
    </row>
    <row r="817" spans="1:7" x14ac:dyDescent="0.3">
      <c r="A817" s="32" t="s">
        <v>629</v>
      </c>
      <c r="B817" s="32" t="s">
        <v>821</v>
      </c>
      <c r="C817" s="32" t="s">
        <v>627</v>
      </c>
      <c r="D817" s="32" t="s">
        <v>628</v>
      </c>
      <c r="E817" s="32" t="s">
        <v>629</v>
      </c>
      <c r="F817" s="33">
        <v>0</v>
      </c>
      <c r="G817" s="33">
        <v>0</v>
      </c>
    </row>
    <row r="818" spans="1:7" x14ac:dyDescent="0.3">
      <c r="A818" s="32" t="s">
        <v>629</v>
      </c>
      <c r="B818" s="32" t="s">
        <v>822</v>
      </c>
      <c r="C818" s="32" t="s">
        <v>627</v>
      </c>
      <c r="D818" s="32" t="s">
        <v>628</v>
      </c>
      <c r="E818" s="32" t="s">
        <v>629</v>
      </c>
      <c r="F818" s="33">
        <v>0</v>
      </c>
      <c r="G818" s="33">
        <v>0</v>
      </c>
    </row>
    <row r="819" spans="1:7" x14ac:dyDescent="0.3">
      <c r="A819" s="32" t="s">
        <v>629</v>
      </c>
      <c r="B819" s="32" t="s">
        <v>824</v>
      </c>
      <c r="C819" s="32" t="s">
        <v>627</v>
      </c>
      <c r="D819" s="32" t="s">
        <v>628</v>
      </c>
      <c r="E819" s="32" t="s">
        <v>629</v>
      </c>
      <c r="F819" s="33">
        <v>0</v>
      </c>
      <c r="G819" s="33">
        <v>0</v>
      </c>
    </row>
    <row r="820" spans="1:7" x14ac:dyDescent="0.3">
      <c r="A820" s="32" t="s">
        <v>629</v>
      </c>
      <c r="B820" s="32" t="s">
        <v>825</v>
      </c>
      <c r="C820" s="32" t="s">
        <v>627</v>
      </c>
      <c r="D820" s="32" t="s">
        <v>628</v>
      </c>
      <c r="E820" s="32" t="s">
        <v>629</v>
      </c>
      <c r="F820" s="33">
        <v>0</v>
      </c>
      <c r="G820" s="33">
        <v>0</v>
      </c>
    </row>
    <row r="821" spans="1:7" x14ac:dyDescent="0.3">
      <c r="A821" s="32" t="s">
        <v>629</v>
      </c>
      <c r="B821" s="32" t="s">
        <v>826</v>
      </c>
      <c r="C821" s="32" t="s">
        <v>627</v>
      </c>
      <c r="D821" s="32" t="s">
        <v>628</v>
      </c>
      <c r="E821" s="32" t="s">
        <v>629</v>
      </c>
      <c r="F821" s="33">
        <v>0</v>
      </c>
      <c r="G821" s="33">
        <v>0</v>
      </c>
    </row>
    <row r="822" spans="1:7" x14ac:dyDescent="0.3">
      <c r="A822" s="32" t="s">
        <v>629</v>
      </c>
      <c r="B822" s="32" t="s">
        <v>827</v>
      </c>
      <c r="C822" s="32" t="s">
        <v>627</v>
      </c>
      <c r="D822" s="32" t="s">
        <v>628</v>
      </c>
      <c r="E822" s="32" t="s">
        <v>629</v>
      </c>
      <c r="F822" s="33">
        <v>0</v>
      </c>
      <c r="G822" s="33">
        <v>0</v>
      </c>
    </row>
    <row r="823" spans="1:7" x14ac:dyDescent="0.3">
      <c r="A823" s="32" t="s">
        <v>629</v>
      </c>
      <c r="B823" s="32" t="s">
        <v>828</v>
      </c>
      <c r="C823" s="32" t="s">
        <v>627</v>
      </c>
      <c r="D823" s="32" t="s">
        <v>628</v>
      </c>
      <c r="E823" s="32" t="s">
        <v>629</v>
      </c>
      <c r="F823" s="33">
        <v>0</v>
      </c>
      <c r="G823" s="33">
        <v>0</v>
      </c>
    </row>
    <row r="824" spans="1:7" x14ac:dyDescent="0.3">
      <c r="A824" s="32" t="s">
        <v>629</v>
      </c>
      <c r="B824" s="32" t="s">
        <v>829</v>
      </c>
      <c r="C824" s="32" t="s">
        <v>627</v>
      </c>
      <c r="D824" s="32" t="s">
        <v>628</v>
      </c>
      <c r="E824" s="32" t="s">
        <v>629</v>
      </c>
      <c r="F824" s="33">
        <v>0</v>
      </c>
      <c r="G824" s="33">
        <v>0</v>
      </c>
    </row>
    <row r="825" spans="1:7" x14ac:dyDescent="0.3">
      <c r="A825" s="32" t="s">
        <v>629</v>
      </c>
      <c r="B825" s="32" t="s">
        <v>830</v>
      </c>
      <c r="C825" s="32" t="s">
        <v>627</v>
      </c>
      <c r="D825" s="32" t="s">
        <v>628</v>
      </c>
      <c r="E825" s="32" t="s">
        <v>629</v>
      </c>
      <c r="F825" s="33">
        <v>0</v>
      </c>
      <c r="G825" s="33">
        <v>0</v>
      </c>
    </row>
    <row r="826" spans="1:7" x14ac:dyDescent="0.3">
      <c r="A826" s="32" t="s">
        <v>629</v>
      </c>
      <c r="B826" s="32" t="s">
        <v>831</v>
      </c>
      <c r="C826" s="32" t="s">
        <v>627</v>
      </c>
      <c r="D826" s="32" t="s">
        <v>628</v>
      </c>
      <c r="E826" s="32" t="s">
        <v>629</v>
      </c>
      <c r="F826" s="33">
        <v>0</v>
      </c>
      <c r="G826" s="33">
        <v>0</v>
      </c>
    </row>
    <row r="827" spans="1:7" x14ac:dyDescent="0.3">
      <c r="A827" s="32" t="s">
        <v>629</v>
      </c>
      <c r="B827" s="32" t="s">
        <v>832</v>
      </c>
      <c r="C827" s="32" t="s">
        <v>627</v>
      </c>
      <c r="D827" s="32" t="s">
        <v>628</v>
      </c>
      <c r="E827" s="32" t="s">
        <v>629</v>
      </c>
      <c r="F827" s="33">
        <v>0</v>
      </c>
      <c r="G827" s="33">
        <v>0</v>
      </c>
    </row>
    <row r="828" spans="1:7" x14ac:dyDescent="0.3">
      <c r="A828" s="32" t="s">
        <v>629</v>
      </c>
      <c r="B828" s="32" t="s">
        <v>833</v>
      </c>
      <c r="C828" s="32" t="s">
        <v>627</v>
      </c>
      <c r="D828" s="32" t="s">
        <v>628</v>
      </c>
      <c r="E828" s="32" t="s">
        <v>629</v>
      </c>
      <c r="F828" s="33">
        <v>0</v>
      </c>
      <c r="G828" s="33">
        <v>0</v>
      </c>
    </row>
    <row r="829" spans="1:7" x14ac:dyDescent="0.3">
      <c r="A829" s="32" t="s">
        <v>629</v>
      </c>
      <c r="B829" s="32" t="s">
        <v>834</v>
      </c>
      <c r="C829" s="32" t="s">
        <v>627</v>
      </c>
      <c r="D829" s="32" t="s">
        <v>628</v>
      </c>
      <c r="E829" s="32" t="s">
        <v>629</v>
      </c>
      <c r="F829" s="33">
        <v>0</v>
      </c>
      <c r="G829" s="33">
        <v>0</v>
      </c>
    </row>
    <row r="830" spans="1:7" x14ac:dyDescent="0.3">
      <c r="A830" s="32" t="s">
        <v>629</v>
      </c>
      <c r="B830" s="32" t="s">
        <v>835</v>
      </c>
      <c r="C830" s="32" t="s">
        <v>627</v>
      </c>
      <c r="D830" s="32" t="s">
        <v>628</v>
      </c>
      <c r="E830" s="32" t="s">
        <v>629</v>
      </c>
      <c r="F830" s="33">
        <v>0</v>
      </c>
      <c r="G830" s="33">
        <v>0</v>
      </c>
    </row>
    <row r="831" spans="1:7" x14ac:dyDescent="0.3">
      <c r="A831" s="32" t="s">
        <v>629</v>
      </c>
      <c r="B831" s="32" t="s">
        <v>836</v>
      </c>
      <c r="C831" s="32" t="s">
        <v>627</v>
      </c>
      <c r="D831" s="32" t="s">
        <v>628</v>
      </c>
      <c r="E831" s="32" t="s">
        <v>629</v>
      </c>
      <c r="F831" s="33">
        <v>0</v>
      </c>
      <c r="G831" s="33">
        <v>0</v>
      </c>
    </row>
    <row r="832" spans="1:7" x14ac:dyDescent="0.3">
      <c r="A832" s="32" t="s">
        <v>629</v>
      </c>
      <c r="B832" s="32" t="s">
        <v>837</v>
      </c>
      <c r="C832" s="32" t="s">
        <v>627</v>
      </c>
      <c r="D832" s="32" t="s">
        <v>628</v>
      </c>
      <c r="E832" s="32" t="s">
        <v>629</v>
      </c>
      <c r="F832" s="33">
        <v>0</v>
      </c>
      <c r="G832" s="33">
        <v>0</v>
      </c>
    </row>
    <row r="833" spans="1:7" x14ac:dyDescent="0.3">
      <c r="A833" s="32" t="s">
        <v>629</v>
      </c>
      <c r="B833" s="32" t="s">
        <v>838</v>
      </c>
      <c r="C833" s="32" t="s">
        <v>627</v>
      </c>
      <c r="D833" s="32" t="s">
        <v>628</v>
      </c>
      <c r="E833" s="32" t="s">
        <v>629</v>
      </c>
      <c r="F833" s="33">
        <v>0</v>
      </c>
      <c r="G833" s="33">
        <v>0</v>
      </c>
    </row>
    <row r="834" spans="1:7" x14ac:dyDescent="0.3">
      <c r="A834" s="32" t="s">
        <v>629</v>
      </c>
      <c r="B834" s="32" t="s">
        <v>839</v>
      </c>
      <c r="C834" s="32" t="s">
        <v>627</v>
      </c>
      <c r="D834" s="32" t="s">
        <v>628</v>
      </c>
      <c r="E834" s="32" t="s">
        <v>629</v>
      </c>
      <c r="F834" s="33">
        <v>0</v>
      </c>
      <c r="G834" s="33">
        <v>0</v>
      </c>
    </row>
    <row r="835" spans="1:7" x14ac:dyDescent="0.3">
      <c r="A835" s="32" t="s">
        <v>629</v>
      </c>
      <c r="B835" s="32" t="s">
        <v>840</v>
      </c>
      <c r="C835" s="32" t="s">
        <v>627</v>
      </c>
      <c r="D835" s="32" t="s">
        <v>628</v>
      </c>
      <c r="E835" s="32" t="s">
        <v>629</v>
      </c>
      <c r="F835" s="33">
        <v>0</v>
      </c>
      <c r="G835" s="33">
        <v>0</v>
      </c>
    </row>
    <row r="836" spans="1:7" x14ac:dyDescent="0.3">
      <c r="A836" s="32" t="s">
        <v>629</v>
      </c>
      <c r="B836" s="32" t="s">
        <v>841</v>
      </c>
      <c r="C836" s="32" t="s">
        <v>627</v>
      </c>
      <c r="D836" s="32" t="s">
        <v>628</v>
      </c>
      <c r="E836" s="32" t="s">
        <v>629</v>
      </c>
      <c r="F836" s="33">
        <v>0</v>
      </c>
      <c r="G836" s="33">
        <v>0</v>
      </c>
    </row>
    <row r="837" spans="1:7" x14ac:dyDescent="0.3">
      <c r="A837" s="32" t="s">
        <v>629</v>
      </c>
      <c r="B837" s="32" t="s">
        <v>842</v>
      </c>
      <c r="C837" s="32" t="s">
        <v>627</v>
      </c>
      <c r="D837" s="32" t="s">
        <v>628</v>
      </c>
      <c r="E837" s="32" t="s">
        <v>629</v>
      </c>
      <c r="F837" s="33">
        <v>0</v>
      </c>
      <c r="G837" s="33">
        <v>0</v>
      </c>
    </row>
    <row r="838" spans="1:7" x14ac:dyDescent="0.3">
      <c r="A838" s="32" t="s">
        <v>629</v>
      </c>
      <c r="B838" s="32" t="s">
        <v>843</v>
      </c>
      <c r="C838" s="32" t="s">
        <v>627</v>
      </c>
      <c r="D838" s="32" t="s">
        <v>628</v>
      </c>
      <c r="E838" s="32" t="s">
        <v>629</v>
      </c>
      <c r="F838" s="33">
        <v>0</v>
      </c>
      <c r="G838" s="33">
        <v>0</v>
      </c>
    </row>
    <row r="839" spans="1:7" x14ac:dyDescent="0.3">
      <c r="A839" s="32" t="s">
        <v>629</v>
      </c>
      <c r="B839" s="32" t="s">
        <v>844</v>
      </c>
      <c r="C839" s="32" t="s">
        <v>627</v>
      </c>
      <c r="D839" s="32" t="s">
        <v>628</v>
      </c>
      <c r="E839" s="32" t="s">
        <v>629</v>
      </c>
      <c r="F839" s="33">
        <v>0</v>
      </c>
      <c r="G839" s="33">
        <v>0</v>
      </c>
    </row>
    <row r="840" spans="1:7" x14ac:dyDescent="0.3">
      <c r="A840" s="32" t="s">
        <v>629</v>
      </c>
      <c r="B840" s="32" t="s">
        <v>845</v>
      </c>
      <c r="C840" s="32" t="s">
        <v>627</v>
      </c>
      <c r="D840" s="32" t="s">
        <v>628</v>
      </c>
      <c r="E840" s="32" t="s">
        <v>629</v>
      </c>
      <c r="F840" s="33">
        <v>0</v>
      </c>
      <c r="G840" s="33">
        <v>0</v>
      </c>
    </row>
    <row r="841" spans="1:7" x14ac:dyDescent="0.3">
      <c r="A841" s="32" t="s">
        <v>629</v>
      </c>
      <c r="B841" s="32" t="s">
        <v>846</v>
      </c>
      <c r="C841" s="32" t="s">
        <v>627</v>
      </c>
      <c r="D841" s="32" t="s">
        <v>628</v>
      </c>
      <c r="E841" s="32" t="s">
        <v>629</v>
      </c>
      <c r="F841" s="33">
        <v>0</v>
      </c>
      <c r="G841" s="33">
        <v>0</v>
      </c>
    </row>
    <row r="842" spans="1:7" x14ac:dyDescent="0.3">
      <c r="A842" s="32" t="s">
        <v>629</v>
      </c>
      <c r="B842" s="32" t="s">
        <v>847</v>
      </c>
      <c r="C842" s="32" t="s">
        <v>627</v>
      </c>
      <c r="D842" s="32" t="s">
        <v>628</v>
      </c>
      <c r="E842" s="32" t="s">
        <v>629</v>
      </c>
      <c r="F842" s="33">
        <v>0</v>
      </c>
      <c r="G842" s="33">
        <v>0</v>
      </c>
    </row>
    <row r="843" spans="1:7" x14ac:dyDescent="0.3">
      <c r="A843" s="32" t="s">
        <v>629</v>
      </c>
      <c r="B843" s="32" t="s">
        <v>848</v>
      </c>
      <c r="C843" s="32" t="s">
        <v>627</v>
      </c>
      <c r="D843" s="32" t="s">
        <v>628</v>
      </c>
      <c r="E843" s="32" t="s">
        <v>629</v>
      </c>
      <c r="F843" s="33">
        <v>0</v>
      </c>
      <c r="G843" s="33">
        <v>0</v>
      </c>
    </row>
    <row r="844" spans="1:7" x14ac:dyDescent="0.3">
      <c r="A844" s="32" t="s">
        <v>629</v>
      </c>
      <c r="B844" s="32" t="s">
        <v>849</v>
      </c>
      <c r="C844" s="32" t="s">
        <v>627</v>
      </c>
      <c r="D844" s="32" t="s">
        <v>628</v>
      </c>
      <c r="E844" s="32" t="s">
        <v>629</v>
      </c>
      <c r="F844" s="33">
        <v>0</v>
      </c>
      <c r="G844" s="33">
        <v>0</v>
      </c>
    </row>
    <row r="845" spans="1:7" x14ac:dyDescent="0.3">
      <c r="A845" s="32" t="s">
        <v>629</v>
      </c>
      <c r="B845" s="32" t="s">
        <v>851</v>
      </c>
      <c r="C845" s="32" t="s">
        <v>627</v>
      </c>
      <c r="D845" s="32" t="s">
        <v>628</v>
      </c>
      <c r="E845" s="32" t="s">
        <v>629</v>
      </c>
      <c r="F845" s="33">
        <v>0</v>
      </c>
      <c r="G845" s="33">
        <v>0</v>
      </c>
    </row>
    <row r="846" spans="1:7" x14ac:dyDescent="0.3">
      <c r="A846" s="32" t="s">
        <v>629</v>
      </c>
      <c r="B846" s="32" t="s">
        <v>852</v>
      </c>
      <c r="C846" s="32" t="s">
        <v>627</v>
      </c>
      <c r="D846" s="32" t="s">
        <v>628</v>
      </c>
      <c r="E846" s="32" t="s">
        <v>629</v>
      </c>
      <c r="F846" s="33">
        <v>0</v>
      </c>
      <c r="G846" s="33">
        <v>0</v>
      </c>
    </row>
    <row r="847" spans="1:7" x14ac:dyDescent="0.3">
      <c r="A847" s="32" t="s">
        <v>629</v>
      </c>
      <c r="B847" s="32" t="s">
        <v>853</v>
      </c>
      <c r="C847" s="32" t="s">
        <v>627</v>
      </c>
      <c r="D847" s="32" t="s">
        <v>628</v>
      </c>
      <c r="E847" s="32" t="s">
        <v>629</v>
      </c>
      <c r="F847" s="33">
        <v>0</v>
      </c>
      <c r="G847" s="33">
        <v>0</v>
      </c>
    </row>
    <row r="848" spans="1:7" x14ac:dyDescent="0.3">
      <c r="A848" s="32" t="s">
        <v>629</v>
      </c>
      <c r="B848" s="32" t="s">
        <v>854</v>
      </c>
      <c r="C848" s="32" t="s">
        <v>627</v>
      </c>
      <c r="D848" s="32" t="s">
        <v>628</v>
      </c>
      <c r="E848" s="32" t="s">
        <v>629</v>
      </c>
      <c r="F848" s="33">
        <v>0</v>
      </c>
      <c r="G848" s="33">
        <v>0</v>
      </c>
    </row>
    <row r="849" spans="1:7" x14ac:dyDescent="0.3">
      <c r="A849" s="32" t="s">
        <v>629</v>
      </c>
      <c r="B849" s="32" t="s">
        <v>855</v>
      </c>
      <c r="C849" s="32" t="s">
        <v>627</v>
      </c>
      <c r="D849" s="32" t="s">
        <v>628</v>
      </c>
      <c r="E849" s="32" t="s">
        <v>629</v>
      </c>
      <c r="F849" s="33">
        <v>0</v>
      </c>
      <c r="G849" s="33">
        <v>0</v>
      </c>
    </row>
    <row r="850" spans="1:7" x14ac:dyDescent="0.3">
      <c r="A850" s="32" t="s">
        <v>629</v>
      </c>
      <c r="B850" s="32" t="s">
        <v>856</v>
      </c>
      <c r="C850" s="32" t="s">
        <v>627</v>
      </c>
      <c r="D850" s="32" t="s">
        <v>628</v>
      </c>
      <c r="E850" s="32" t="s">
        <v>629</v>
      </c>
      <c r="F850" s="33">
        <v>0</v>
      </c>
      <c r="G850" s="33">
        <v>0</v>
      </c>
    </row>
    <row r="851" spans="1:7" x14ac:dyDescent="0.3">
      <c r="A851" s="32" t="s">
        <v>629</v>
      </c>
      <c r="B851" s="32" t="s">
        <v>857</v>
      </c>
      <c r="C851" s="32" t="s">
        <v>627</v>
      </c>
      <c r="D851" s="32" t="s">
        <v>628</v>
      </c>
      <c r="E851" s="32" t="s">
        <v>629</v>
      </c>
      <c r="F851" s="33">
        <v>0</v>
      </c>
      <c r="G851" s="33">
        <v>0</v>
      </c>
    </row>
    <row r="852" spans="1:7" x14ac:dyDescent="0.3">
      <c r="A852" s="32" t="s">
        <v>629</v>
      </c>
      <c r="B852" s="32" t="s">
        <v>858</v>
      </c>
      <c r="C852" s="32" t="s">
        <v>627</v>
      </c>
      <c r="D852" s="32" t="s">
        <v>628</v>
      </c>
      <c r="E852" s="32" t="s">
        <v>629</v>
      </c>
      <c r="F852" s="33">
        <v>0</v>
      </c>
      <c r="G852" s="33">
        <v>0</v>
      </c>
    </row>
    <row r="853" spans="1:7" x14ac:dyDescent="0.3">
      <c r="A853" s="32" t="s">
        <v>629</v>
      </c>
      <c r="B853" s="32" t="s">
        <v>794</v>
      </c>
      <c r="C853" s="32" t="s">
        <v>627</v>
      </c>
      <c r="D853" s="32" t="s">
        <v>628</v>
      </c>
      <c r="E853" s="32" t="s">
        <v>629</v>
      </c>
      <c r="F853" s="33">
        <v>0</v>
      </c>
      <c r="G853" s="33">
        <v>0</v>
      </c>
    </row>
    <row r="854" spans="1:7" x14ac:dyDescent="0.3">
      <c r="A854" s="32" t="s">
        <v>629</v>
      </c>
      <c r="B854" s="32" t="s">
        <v>861</v>
      </c>
      <c r="C854" s="32" t="s">
        <v>627</v>
      </c>
      <c r="D854" s="32" t="s">
        <v>628</v>
      </c>
      <c r="E854" s="32" t="s">
        <v>629</v>
      </c>
      <c r="F854" s="33">
        <v>0</v>
      </c>
      <c r="G854" s="33">
        <v>0</v>
      </c>
    </row>
    <row r="855" spans="1:7" x14ac:dyDescent="0.3">
      <c r="A855" s="32" t="s">
        <v>629</v>
      </c>
      <c r="B855" s="32" t="s">
        <v>864</v>
      </c>
      <c r="C855" s="32" t="s">
        <v>627</v>
      </c>
      <c r="D855" s="32" t="s">
        <v>628</v>
      </c>
      <c r="E855" s="32" t="s">
        <v>629</v>
      </c>
      <c r="F855" s="33">
        <v>0</v>
      </c>
      <c r="G855" s="33">
        <v>0</v>
      </c>
    </row>
    <row r="856" spans="1:7" x14ac:dyDescent="0.3">
      <c r="A856" s="32" t="s">
        <v>629</v>
      </c>
      <c r="B856" s="32" t="s">
        <v>865</v>
      </c>
      <c r="C856" s="32" t="s">
        <v>627</v>
      </c>
      <c r="D856" s="32" t="s">
        <v>628</v>
      </c>
      <c r="E856" s="32" t="s">
        <v>629</v>
      </c>
      <c r="F856" s="33">
        <v>0</v>
      </c>
      <c r="G856" s="33">
        <v>0</v>
      </c>
    </row>
    <row r="857" spans="1:7" x14ac:dyDescent="0.3">
      <c r="A857" s="32" t="s">
        <v>629</v>
      </c>
      <c r="B857" s="32" t="s">
        <v>866</v>
      </c>
      <c r="C857" s="32" t="s">
        <v>627</v>
      </c>
      <c r="D857" s="32" t="s">
        <v>628</v>
      </c>
      <c r="E857" s="32" t="s">
        <v>629</v>
      </c>
      <c r="F857" s="33">
        <v>0</v>
      </c>
      <c r="G857" s="33">
        <v>0</v>
      </c>
    </row>
    <row r="858" spans="1:7" x14ac:dyDescent="0.3">
      <c r="A858" s="32" t="s">
        <v>629</v>
      </c>
      <c r="B858" s="32" t="s">
        <v>669</v>
      </c>
      <c r="C858" s="32" t="s">
        <v>627</v>
      </c>
      <c r="D858" s="32" t="s">
        <v>628</v>
      </c>
      <c r="E858" s="32" t="s">
        <v>629</v>
      </c>
      <c r="F858" s="33">
        <v>0</v>
      </c>
      <c r="G858" s="33">
        <v>0</v>
      </c>
    </row>
    <row r="859" spans="1:7" x14ac:dyDescent="0.3">
      <c r="A859" s="32" t="s">
        <v>629</v>
      </c>
      <c r="B859" s="32" t="s">
        <v>867</v>
      </c>
      <c r="C859" s="32" t="s">
        <v>627</v>
      </c>
      <c r="D859" s="32" t="s">
        <v>628</v>
      </c>
      <c r="E859" s="32" t="s">
        <v>629</v>
      </c>
      <c r="F859" s="33">
        <v>0</v>
      </c>
      <c r="G859" s="33">
        <v>0</v>
      </c>
    </row>
    <row r="860" spans="1:7" x14ac:dyDescent="0.3">
      <c r="A860" s="32" t="s">
        <v>629</v>
      </c>
      <c r="B860" s="32" t="s">
        <v>868</v>
      </c>
      <c r="C860" s="32" t="s">
        <v>627</v>
      </c>
      <c r="D860" s="32" t="s">
        <v>628</v>
      </c>
      <c r="E860" s="32" t="s">
        <v>629</v>
      </c>
      <c r="F860" s="33">
        <v>0</v>
      </c>
      <c r="G860" s="33">
        <v>0</v>
      </c>
    </row>
    <row r="861" spans="1:7" x14ac:dyDescent="0.3">
      <c r="A861" s="32" t="s">
        <v>629</v>
      </c>
      <c r="B861" s="32" t="s">
        <v>869</v>
      </c>
      <c r="C861" s="32" t="s">
        <v>627</v>
      </c>
      <c r="D861" s="32" t="s">
        <v>628</v>
      </c>
      <c r="E861" s="32" t="s">
        <v>629</v>
      </c>
      <c r="F861" s="33">
        <v>0</v>
      </c>
      <c r="G861" s="33">
        <v>0</v>
      </c>
    </row>
    <row r="862" spans="1:7" x14ac:dyDescent="0.3">
      <c r="A862" s="32" t="s">
        <v>629</v>
      </c>
      <c r="B862" s="32" t="s">
        <v>870</v>
      </c>
      <c r="C862" s="32" t="s">
        <v>627</v>
      </c>
      <c r="D862" s="32" t="s">
        <v>628</v>
      </c>
      <c r="E862" s="32" t="s">
        <v>629</v>
      </c>
      <c r="F862" s="33">
        <v>0</v>
      </c>
      <c r="G862" s="33">
        <v>0</v>
      </c>
    </row>
    <row r="863" spans="1:7" x14ac:dyDescent="0.3">
      <c r="A863" s="32" t="s">
        <v>629</v>
      </c>
      <c r="B863" s="32" t="s">
        <v>871</v>
      </c>
      <c r="C863" s="32" t="s">
        <v>627</v>
      </c>
      <c r="D863" s="32" t="s">
        <v>628</v>
      </c>
      <c r="E863" s="32" t="s">
        <v>629</v>
      </c>
      <c r="F863" s="33">
        <v>0</v>
      </c>
      <c r="G863" s="33">
        <v>0</v>
      </c>
    </row>
    <row r="864" spans="1:7" x14ac:dyDescent="0.3">
      <c r="A864" s="32" t="s">
        <v>629</v>
      </c>
      <c r="B864" s="32" t="s">
        <v>872</v>
      </c>
      <c r="C864" s="32" t="s">
        <v>627</v>
      </c>
      <c r="D864" s="32" t="s">
        <v>628</v>
      </c>
      <c r="E864" s="32" t="s">
        <v>629</v>
      </c>
      <c r="F864" s="33">
        <v>0</v>
      </c>
      <c r="G864" s="33">
        <v>0</v>
      </c>
    </row>
    <row r="865" spans="1:7" x14ac:dyDescent="0.3">
      <c r="A865" s="32" t="s">
        <v>629</v>
      </c>
      <c r="B865" s="32" t="s">
        <v>873</v>
      </c>
      <c r="C865" s="32" t="s">
        <v>627</v>
      </c>
      <c r="D865" s="32" t="s">
        <v>628</v>
      </c>
      <c r="E865" s="32" t="s">
        <v>629</v>
      </c>
      <c r="F865" s="33">
        <v>0</v>
      </c>
      <c r="G865" s="33">
        <v>0</v>
      </c>
    </row>
    <row r="866" spans="1:7" x14ac:dyDescent="0.3">
      <c r="A866" s="32" t="s">
        <v>629</v>
      </c>
      <c r="B866" s="32" t="s">
        <v>876</v>
      </c>
      <c r="C866" s="32" t="s">
        <v>627</v>
      </c>
      <c r="D866" s="32" t="s">
        <v>628</v>
      </c>
      <c r="E866" s="32" t="s">
        <v>629</v>
      </c>
      <c r="F866" s="33">
        <v>0</v>
      </c>
      <c r="G866" s="33">
        <v>0</v>
      </c>
    </row>
    <row r="867" spans="1:7" x14ac:dyDescent="0.3">
      <c r="A867" s="32" t="s">
        <v>629</v>
      </c>
      <c r="B867" s="32" t="s">
        <v>877</v>
      </c>
      <c r="C867" s="32" t="s">
        <v>627</v>
      </c>
      <c r="D867" s="32" t="s">
        <v>628</v>
      </c>
      <c r="E867" s="32" t="s">
        <v>629</v>
      </c>
      <c r="F867" s="33">
        <v>0</v>
      </c>
      <c r="G867" s="33">
        <v>0</v>
      </c>
    </row>
    <row r="868" spans="1:7" x14ac:dyDescent="0.3">
      <c r="A868" s="32" t="s">
        <v>629</v>
      </c>
      <c r="B868" s="32" t="s">
        <v>878</v>
      </c>
      <c r="C868" s="32" t="s">
        <v>627</v>
      </c>
      <c r="D868" s="32" t="s">
        <v>628</v>
      </c>
      <c r="E868" s="32" t="s">
        <v>629</v>
      </c>
      <c r="F868" s="33">
        <v>0</v>
      </c>
      <c r="G868" s="33">
        <v>0</v>
      </c>
    </row>
    <row r="869" spans="1:7" x14ac:dyDescent="0.3">
      <c r="A869" s="32" t="s">
        <v>629</v>
      </c>
      <c r="B869" s="32" t="s">
        <v>704</v>
      </c>
      <c r="C869" s="32" t="s">
        <v>627</v>
      </c>
      <c r="D869" s="32" t="s">
        <v>628</v>
      </c>
      <c r="E869" s="32" t="s">
        <v>629</v>
      </c>
      <c r="F869" s="33">
        <v>0</v>
      </c>
      <c r="G869" s="33">
        <v>0</v>
      </c>
    </row>
    <row r="870" spans="1:7" x14ac:dyDescent="0.3">
      <c r="A870" s="32" t="s">
        <v>629</v>
      </c>
      <c r="B870" s="32" t="s">
        <v>881</v>
      </c>
      <c r="C870" s="32" t="s">
        <v>627</v>
      </c>
      <c r="D870" s="32" t="s">
        <v>628</v>
      </c>
      <c r="E870" s="32" t="s">
        <v>629</v>
      </c>
      <c r="F870" s="33">
        <v>0</v>
      </c>
      <c r="G870" s="33">
        <v>0</v>
      </c>
    </row>
    <row r="871" spans="1:7" x14ac:dyDescent="0.3">
      <c r="A871" s="32" t="s">
        <v>629</v>
      </c>
      <c r="B871" s="32" t="s">
        <v>882</v>
      </c>
      <c r="C871" s="32" t="s">
        <v>627</v>
      </c>
      <c r="D871" s="32" t="s">
        <v>628</v>
      </c>
      <c r="E871" s="32" t="s">
        <v>629</v>
      </c>
      <c r="F871" s="33">
        <v>0</v>
      </c>
      <c r="G871" s="33">
        <v>0</v>
      </c>
    </row>
    <row r="872" spans="1:7" x14ac:dyDescent="0.3">
      <c r="A872" s="32" t="s">
        <v>629</v>
      </c>
      <c r="B872" s="32" t="s">
        <v>883</v>
      </c>
      <c r="C872" s="32" t="s">
        <v>627</v>
      </c>
      <c r="D872" s="32" t="s">
        <v>628</v>
      </c>
      <c r="E872" s="32" t="s">
        <v>629</v>
      </c>
      <c r="F872" s="33">
        <v>0</v>
      </c>
      <c r="G872" s="33">
        <v>0</v>
      </c>
    </row>
    <row r="873" spans="1:7" x14ac:dyDescent="0.3">
      <c r="A873" s="32" t="s">
        <v>629</v>
      </c>
      <c r="B873" s="32" t="s">
        <v>884</v>
      </c>
      <c r="C873" s="32" t="s">
        <v>627</v>
      </c>
      <c r="D873" s="32" t="s">
        <v>628</v>
      </c>
      <c r="E873" s="32" t="s">
        <v>629</v>
      </c>
      <c r="F873" s="33">
        <v>0</v>
      </c>
      <c r="G873" s="33">
        <v>0</v>
      </c>
    </row>
    <row r="874" spans="1:7" x14ac:dyDescent="0.3">
      <c r="A874" s="32" t="s">
        <v>629</v>
      </c>
      <c r="B874" s="32" t="s">
        <v>885</v>
      </c>
      <c r="C874" s="32" t="s">
        <v>627</v>
      </c>
      <c r="D874" s="32" t="s">
        <v>628</v>
      </c>
      <c r="E874" s="32" t="s">
        <v>629</v>
      </c>
      <c r="F874" s="33">
        <v>0</v>
      </c>
      <c r="G874" s="33">
        <v>0</v>
      </c>
    </row>
    <row r="875" spans="1:7" x14ac:dyDescent="0.3">
      <c r="A875" s="32" t="s">
        <v>629</v>
      </c>
      <c r="B875" s="32" t="s">
        <v>886</v>
      </c>
      <c r="C875" s="32" t="s">
        <v>627</v>
      </c>
      <c r="D875" s="32" t="s">
        <v>628</v>
      </c>
      <c r="E875" s="32" t="s">
        <v>629</v>
      </c>
      <c r="F875" s="33">
        <v>0</v>
      </c>
      <c r="G875" s="33">
        <v>0</v>
      </c>
    </row>
    <row r="876" spans="1:7" x14ac:dyDescent="0.3">
      <c r="A876" s="32" t="s">
        <v>629</v>
      </c>
      <c r="B876" s="32" t="s">
        <v>887</v>
      </c>
      <c r="C876" s="32" t="s">
        <v>627</v>
      </c>
      <c r="D876" s="32" t="s">
        <v>628</v>
      </c>
      <c r="E876" s="32" t="s">
        <v>629</v>
      </c>
      <c r="F876" s="33">
        <v>0</v>
      </c>
      <c r="G876" s="33">
        <v>0</v>
      </c>
    </row>
    <row r="877" spans="1:7" x14ac:dyDescent="0.3">
      <c r="A877" s="32" t="s">
        <v>629</v>
      </c>
      <c r="B877" s="32" t="s">
        <v>888</v>
      </c>
      <c r="C877" s="32" t="s">
        <v>627</v>
      </c>
      <c r="D877" s="32" t="s">
        <v>628</v>
      </c>
      <c r="E877" s="32" t="s">
        <v>629</v>
      </c>
      <c r="F877" s="33">
        <v>0</v>
      </c>
      <c r="G877" s="33">
        <v>0</v>
      </c>
    </row>
    <row r="878" spans="1:7" x14ac:dyDescent="0.3">
      <c r="A878" s="32" t="s">
        <v>629</v>
      </c>
      <c r="B878" s="32" t="s">
        <v>889</v>
      </c>
      <c r="C878" s="32" t="s">
        <v>627</v>
      </c>
      <c r="D878" s="32" t="s">
        <v>628</v>
      </c>
      <c r="E878" s="32" t="s">
        <v>629</v>
      </c>
      <c r="F878" s="33">
        <v>0</v>
      </c>
      <c r="G878" s="33">
        <v>0</v>
      </c>
    </row>
    <row r="879" spans="1:7" x14ac:dyDescent="0.3">
      <c r="A879" s="32" t="s">
        <v>629</v>
      </c>
      <c r="B879" s="32" t="s">
        <v>890</v>
      </c>
      <c r="C879" s="32" t="s">
        <v>627</v>
      </c>
      <c r="D879" s="32" t="s">
        <v>628</v>
      </c>
      <c r="E879" s="32" t="s">
        <v>629</v>
      </c>
      <c r="F879" s="33">
        <v>0</v>
      </c>
      <c r="G879" s="33">
        <v>0</v>
      </c>
    </row>
    <row r="880" spans="1:7" x14ac:dyDescent="0.3">
      <c r="A880" s="32" t="s">
        <v>629</v>
      </c>
      <c r="B880" s="32" t="s">
        <v>891</v>
      </c>
      <c r="C880" s="32" t="s">
        <v>627</v>
      </c>
      <c r="D880" s="32" t="s">
        <v>628</v>
      </c>
      <c r="E880" s="32" t="s">
        <v>629</v>
      </c>
      <c r="F880" s="33">
        <v>0</v>
      </c>
      <c r="G880" s="33">
        <v>0</v>
      </c>
    </row>
    <row r="881" spans="1:7" x14ac:dyDescent="0.3">
      <c r="A881" s="32" t="s">
        <v>810</v>
      </c>
      <c r="B881" s="32" t="s">
        <v>810</v>
      </c>
      <c r="C881" s="32" t="s">
        <v>810</v>
      </c>
      <c r="D881" s="32" t="s">
        <v>628</v>
      </c>
      <c r="E881" s="32" t="s">
        <v>810</v>
      </c>
      <c r="F881" s="33">
        <v>0</v>
      </c>
      <c r="G881" s="33">
        <v>0</v>
      </c>
    </row>
    <row r="882" spans="1:7" x14ac:dyDescent="0.3">
      <c r="A882" s="32" t="s">
        <v>688</v>
      </c>
      <c r="B882" s="32" t="s">
        <v>688</v>
      </c>
      <c r="C882" s="32" t="s">
        <v>30</v>
      </c>
      <c r="D882" s="32" t="s">
        <v>628</v>
      </c>
      <c r="E882" s="32" t="s">
        <v>688</v>
      </c>
      <c r="F882" s="33">
        <v>0</v>
      </c>
      <c r="G882" s="33">
        <v>0</v>
      </c>
    </row>
    <row r="883" spans="1:7" x14ac:dyDescent="0.3">
      <c r="A883" s="32" t="s">
        <v>688</v>
      </c>
      <c r="B883" s="32" t="s">
        <v>688</v>
      </c>
      <c r="C883" s="32" t="s">
        <v>30</v>
      </c>
      <c r="D883" s="32" t="s">
        <v>628</v>
      </c>
      <c r="E883" s="32" t="s">
        <v>688</v>
      </c>
      <c r="F883" s="33">
        <v>0</v>
      </c>
      <c r="G883" s="33">
        <v>0</v>
      </c>
    </row>
    <row r="884" spans="1:7" x14ac:dyDescent="0.3">
      <c r="A884" s="32" t="s">
        <v>908</v>
      </c>
      <c r="B884" s="32" t="s">
        <v>908</v>
      </c>
      <c r="C884" s="32" t="s">
        <v>908</v>
      </c>
      <c r="D884" s="32" t="s">
        <v>893</v>
      </c>
      <c r="E884" s="32" t="s">
        <v>908</v>
      </c>
      <c r="F884" s="33">
        <v>0</v>
      </c>
      <c r="G884" s="33">
        <v>0</v>
      </c>
    </row>
    <row r="885" spans="1:7" x14ac:dyDescent="0.3">
      <c r="A885" s="32" t="s">
        <v>908</v>
      </c>
      <c r="B885" s="32" t="s">
        <v>908</v>
      </c>
      <c r="C885" s="32" t="s">
        <v>908</v>
      </c>
      <c r="D885" s="32" t="s">
        <v>893</v>
      </c>
      <c r="E885" s="32" t="s">
        <v>908</v>
      </c>
      <c r="F885" s="33">
        <v>0</v>
      </c>
      <c r="G885" s="33">
        <v>0</v>
      </c>
    </row>
    <row r="886" spans="1:7" x14ac:dyDescent="0.3">
      <c r="A886" s="32" t="s">
        <v>903</v>
      </c>
      <c r="B886" s="32" t="s">
        <v>901</v>
      </c>
      <c r="C886" s="32" t="s">
        <v>902</v>
      </c>
      <c r="D886" s="32" t="s">
        <v>893</v>
      </c>
      <c r="E886" s="32" t="s">
        <v>903</v>
      </c>
      <c r="F886" s="33">
        <v>0</v>
      </c>
      <c r="G886" s="33">
        <v>0</v>
      </c>
    </row>
    <row r="887" spans="1:7" x14ac:dyDescent="0.3">
      <c r="A887" s="32" t="s">
        <v>903</v>
      </c>
      <c r="B887" s="32" t="s">
        <v>919</v>
      </c>
      <c r="C887" s="32" t="s">
        <v>902</v>
      </c>
      <c r="D887" s="32" t="s">
        <v>893</v>
      </c>
      <c r="E887" s="32" t="s">
        <v>903</v>
      </c>
      <c r="F887" s="33">
        <v>0</v>
      </c>
      <c r="G887" s="33">
        <v>0</v>
      </c>
    </row>
    <row r="888" spans="1:7" x14ac:dyDescent="0.3">
      <c r="A888" s="32" t="s">
        <v>905</v>
      </c>
      <c r="B888" s="32" t="s">
        <v>904</v>
      </c>
      <c r="C888" s="32" t="s">
        <v>905</v>
      </c>
      <c r="D888" s="32" t="s">
        <v>893</v>
      </c>
      <c r="E888" s="32" t="s">
        <v>905</v>
      </c>
      <c r="F888" s="33">
        <v>0</v>
      </c>
      <c r="G888" s="33">
        <v>0</v>
      </c>
    </row>
    <row r="889" spans="1:7" x14ac:dyDescent="0.3">
      <c r="A889" s="32" t="s">
        <v>905</v>
      </c>
      <c r="B889" s="32" t="s">
        <v>910</v>
      </c>
      <c r="C889" s="32" t="s">
        <v>905</v>
      </c>
      <c r="D889" s="32" t="s">
        <v>893</v>
      </c>
      <c r="E889" s="32" t="s">
        <v>905</v>
      </c>
      <c r="F889" s="33">
        <v>0</v>
      </c>
      <c r="G889" s="33">
        <v>0</v>
      </c>
    </row>
    <row r="890" spans="1:7" x14ac:dyDescent="0.3">
      <c r="A890" s="32" t="s">
        <v>905</v>
      </c>
      <c r="B890" s="32" t="s">
        <v>918</v>
      </c>
      <c r="C890" s="32" t="s">
        <v>905</v>
      </c>
      <c r="D890" s="32" t="s">
        <v>893</v>
      </c>
      <c r="E890" s="32" t="s">
        <v>905</v>
      </c>
      <c r="F890" s="33">
        <v>0</v>
      </c>
      <c r="G890" s="33">
        <v>0</v>
      </c>
    </row>
    <row r="891" spans="1:7" x14ac:dyDescent="0.3">
      <c r="A891" s="32" t="s">
        <v>55</v>
      </c>
      <c r="B891" s="32" t="s">
        <v>54</v>
      </c>
      <c r="C891" s="32" t="s">
        <v>30</v>
      </c>
      <c r="D891" s="32" t="s">
        <v>31</v>
      </c>
      <c r="E891" s="32" t="s">
        <v>55</v>
      </c>
      <c r="F891" s="33">
        <v>0</v>
      </c>
      <c r="G891" s="33">
        <v>0</v>
      </c>
    </row>
    <row r="892" spans="1:7" x14ac:dyDescent="0.3">
      <c r="A892" s="32" t="s">
        <v>55</v>
      </c>
      <c r="B892" s="32" t="s">
        <v>124</v>
      </c>
      <c r="C892" s="32" t="s">
        <v>30</v>
      </c>
      <c r="D892" s="32" t="s">
        <v>31</v>
      </c>
      <c r="E892" s="32" t="s">
        <v>55</v>
      </c>
      <c r="F892" s="33">
        <v>0</v>
      </c>
      <c r="G892" s="33">
        <v>0</v>
      </c>
    </row>
    <row r="893" spans="1:7" x14ac:dyDescent="0.3">
      <c r="A893" s="32" t="s">
        <v>55</v>
      </c>
      <c r="B893" s="32" t="s">
        <v>131</v>
      </c>
      <c r="C893" s="32" t="s">
        <v>30</v>
      </c>
      <c r="D893" s="32" t="s">
        <v>31</v>
      </c>
      <c r="E893" s="32" t="s">
        <v>55</v>
      </c>
      <c r="F893" s="33">
        <v>0</v>
      </c>
      <c r="G893" s="33">
        <v>0</v>
      </c>
    </row>
    <row r="894" spans="1:7" x14ac:dyDescent="0.3">
      <c r="A894" s="32" t="s">
        <v>55</v>
      </c>
      <c r="B894" s="32" t="s">
        <v>139</v>
      </c>
      <c r="C894" s="32" t="s">
        <v>30</v>
      </c>
      <c r="D894" s="32" t="s">
        <v>31</v>
      </c>
      <c r="E894" s="32" t="s">
        <v>55</v>
      </c>
      <c r="F894" s="33">
        <v>0</v>
      </c>
      <c r="G894" s="33">
        <v>0</v>
      </c>
    </row>
    <row r="895" spans="1:7" x14ac:dyDescent="0.3">
      <c r="A895" s="32" t="s">
        <v>55</v>
      </c>
      <c r="B895" s="32" t="s">
        <v>141</v>
      </c>
      <c r="C895" s="32" t="s">
        <v>30</v>
      </c>
      <c r="D895" s="32" t="s">
        <v>31</v>
      </c>
      <c r="E895" s="32" t="s">
        <v>55</v>
      </c>
      <c r="F895" s="33">
        <v>0</v>
      </c>
      <c r="G895" s="33">
        <v>0</v>
      </c>
    </row>
    <row r="896" spans="1:7" x14ac:dyDescent="0.3">
      <c r="A896" s="32" t="s">
        <v>55</v>
      </c>
      <c r="B896" s="32" t="s">
        <v>175</v>
      </c>
      <c r="C896" s="32" t="s">
        <v>30</v>
      </c>
      <c r="D896" s="32" t="s">
        <v>31</v>
      </c>
      <c r="E896" s="32" t="s">
        <v>55</v>
      </c>
      <c r="F896" s="33">
        <v>0</v>
      </c>
      <c r="G896" s="33">
        <v>0</v>
      </c>
    </row>
    <row r="897" spans="1:7" x14ac:dyDescent="0.3">
      <c r="A897" s="32" t="s">
        <v>55</v>
      </c>
      <c r="B897" s="32" t="s">
        <v>205</v>
      </c>
      <c r="C897" s="32" t="s">
        <v>30</v>
      </c>
      <c r="D897" s="32" t="s">
        <v>31</v>
      </c>
      <c r="E897" s="32" t="s">
        <v>55</v>
      </c>
      <c r="F897" s="33">
        <v>0</v>
      </c>
      <c r="G897" s="33">
        <v>0</v>
      </c>
    </row>
    <row r="898" spans="1:7" x14ac:dyDescent="0.3">
      <c r="A898" s="32" t="s">
        <v>55</v>
      </c>
      <c r="B898" s="32" t="s">
        <v>241</v>
      </c>
      <c r="C898" s="32" t="s">
        <v>30</v>
      </c>
      <c r="D898" s="32" t="s">
        <v>31</v>
      </c>
      <c r="E898" s="32" t="s">
        <v>55</v>
      </c>
      <c r="F898" s="33">
        <v>0</v>
      </c>
      <c r="G898" s="33">
        <v>0</v>
      </c>
    </row>
    <row r="899" spans="1:7" x14ac:dyDescent="0.3">
      <c r="A899" s="32" t="s">
        <v>55</v>
      </c>
      <c r="B899" s="32" t="s">
        <v>242</v>
      </c>
      <c r="C899" s="32" t="s">
        <v>30</v>
      </c>
      <c r="D899" s="32" t="s">
        <v>31</v>
      </c>
      <c r="E899" s="32" t="s">
        <v>55</v>
      </c>
      <c r="F899" s="33">
        <v>0</v>
      </c>
      <c r="G899" s="33">
        <v>0</v>
      </c>
    </row>
    <row r="900" spans="1:7" x14ac:dyDescent="0.3">
      <c r="A900" s="32" t="s">
        <v>55</v>
      </c>
      <c r="B900" s="32" t="s">
        <v>280</v>
      </c>
      <c r="C900" s="32" t="s">
        <v>30</v>
      </c>
      <c r="D900" s="32" t="s">
        <v>31</v>
      </c>
      <c r="E900" s="32" t="s">
        <v>55</v>
      </c>
      <c r="F900" s="33">
        <v>0</v>
      </c>
      <c r="G900" s="33">
        <v>0</v>
      </c>
    </row>
    <row r="901" spans="1:7" x14ac:dyDescent="0.3">
      <c r="A901" s="32" t="s">
        <v>55</v>
      </c>
      <c r="B901" s="32" t="s">
        <v>281</v>
      </c>
      <c r="C901" s="32" t="s">
        <v>30</v>
      </c>
      <c r="D901" s="32" t="s">
        <v>31</v>
      </c>
      <c r="E901" s="32" t="s">
        <v>55</v>
      </c>
      <c r="F901" s="33">
        <v>0</v>
      </c>
      <c r="G901" s="33">
        <v>0</v>
      </c>
    </row>
    <row r="902" spans="1:7" x14ac:dyDescent="0.3">
      <c r="A902" s="32" t="s">
        <v>55</v>
      </c>
      <c r="B902" s="32" t="s">
        <v>307</v>
      </c>
      <c r="C902" s="32" t="s">
        <v>30</v>
      </c>
      <c r="D902" s="32" t="s">
        <v>31</v>
      </c>
      <c r="E902" s="32" t="s">
        <v>55</v>
      </c>
      <c r="F902" s="33">
        <v>0</v>
      </c>
      <c r="G902" s="33">
        <v>0</v>
      </c>
    </row>
    <row r="903" spans="1:7" x14ac:dyDescent="0.3">
      <c r="A903" s="32" t="s">
        <v>55</v>
      </c>
      <c r="B903" s="32" t="s">
        <v>315</v>
      </c>
      <c r="C903" s="32" t="s">
        <v>30</v>
      </c>
      <c r="D903" s="32" t="s">
        <v>31</v>
      </c>
      <c r="E903" s="32" t="s">
        <v>55</v>
      </c>
      <c r="F903" s="33">
        <v>0</v>
      </c>
      <c r="G903" s="33">
        <v>0</v>
      </c>
    </row>
    <row r="904" spans="1:7" x14ac:dyDescent="0.3">
      <c r="A904" s="32" t="s">
        <v>55</v>
      </c>
      <c r="B904" s="32" t="s">
        <v>317</v>
      </c>
      <c r="C904" s="32" t="s">
        <v>30</v>
      </c>
      <c r="D904" s="32" t="s">
        <v>31</v>
      </c>
      <c r="E904" s="32" t="s">
        <v>55</v>
      </c>
      <c r="F904" s="33">
        <v>0</v>
      </c>
      <c r="G904" s="33">
        <v>0</v>
      </c>
    </row>
    <row r="905" spans="1:7" x14ac:dyDescent="0.3">
      <c r="A905" s="32" t="s">
        <v>55</v>
      </c>
      <c r="B905" s="32" t="s">
        <v>327</v>
      </c>
      <c r="C905" s="32" t="s">
        <v>30</v>
      </c>
      <c r="D905" s="32" t="s">
        <v>31</v>
      </c>
      <c r="E905" s="32" t="s">
        <v>55</v>
      </c>
      <c r="F905" s="33">
        <v>0</v>
      </c>
      <c r="G905" s="33">
        <v>0</v>
      </c>
    </row>
    <row r="906" spans="1:7" x14ac:dyDescent="0.3">
      <c r="A906" s="32" t="s">
        <v>55</v>
      </c>
      <c r="B906" s="32" t="s">
        <v>383</v>
      </c>
      <c r="C906" s="32" t="s">
        <v>30</v>
      </c>
      <c r="D906" s="32" t="s">
        <v>31</v>
      </c>
      <c r="E906" s="32" t="s">
        <v>55</v>
      </c>
      <c r="F906" s="33">
        <v>0</v>
      </c>
      <c r="G906" s="33">
        <v>0</v>
      </c>
    </row>
    <row r="907" spans="1:7" x14ac:dyDescent="0.3">
      <c r="A907" s="32" t="s">
        <v>55</v>
      </c>
      <c r="B907" s="32" t="s">
        <v>384</v>
      </c>
      <c r="C907" s="32" t="s">
        <v>30</v>
      </c>
      <c r="D907" s="32" t="s">
        <v>31</v>
      </c>
      <c r="E907" s="32" t="s">
        <v>55</v>
      </c>
      <c r="F907" s="33">
        <v>0</v>
      </c>
      <c r="G907" s="33">
        <v>0</v>
      </c>
    </row>
    <row r="908" spans="1:7" x14ac:dyDescent="0.3">
      <c r="A908" s="32" t="s">
        <v>55</v>
      </c>
      <c r="B908" s="32" t="s">
        <v>393</v>
      </c>
      <c r="C908" s="32" t="s">
        <v>30</v>
      </c>
      <c r="D908" s="32" t="s">
        <v>31</v>
      </c>
      <c r="E908" s="32" t="s">
        <v>55</v>
      </c>
      <c r="F908" s="33">
        <v>0</v>
      </c>
      <c r="G908" s="33">
        <v>0</v>
      </c>
    </row>
    <row r="909" spans="1:7" x14ac:dyDescent="0.3">
      <c r="A909" s="32" t="s">
        <v>55</v>
      </c>
      <c r="B909" s="32" t="s">
        <v>400</v>
      </c>
      <c r="C909" s="32" t="s">
        <v>30</v>
      </c>
      <c r="D909" s="32" t="s">
        <v>31</v>
      </c>
      <c r="E909" s="32" t="s">
        <v>55</v>
      </c>
      <c r="F909" s="33">
        <v>0</v>
      </c>
      <c r="G909" s="33">
        <v>0</v>
      </c>
    </row>
    <row r="910" spans="1:7" x14ac:dyDescent="0.3">
      <c r="A910" s="32" t="s">
        <v>55</v>
      </c>
      <c r="B910" s="32" t="s">
        <v>401</v>
      </c>
      <c r="C910" s="32" t="s">
        <v>30</v>
      </c>
      <c r="D910" s="32" t="s">
        <v>31</v>
      </c>
      <c r="E910" s="32" t="s">
        <v>55</v>
      </c>
      <c r="F910" s="33">
        <v>0</v>
      </c>
      <c r="G910" s="33">
        <v>0</v>
      </c>
    </row>
    <row r="911" spans="1:7" x14ac:dyDescent="0.3">
      <c r="A911" s="32" t="s">
        <v>55</v>
      </c>
      <c r="B911" s="32" t="s">
        <v>402</v>
      </c>
      <c r="C911" s="32" t="s">
        <v>30</v>
      </c>
      <c r="D911" s="32" t="s">
        <v>31</v>
      </c>
      <c r="E911" s="32" t="s">
        <v>55</v>
      </c>
      <c r="F911" s="33">
        <v>0</v>
      </c>
      <c r="G911" s="33">
        <v>0</v>
      </c>
    </row>
    <row r="912" spans="1:7" x14ac:dyDescent="0.3">
      <c r="A912" s="32" t="s">
        <v>55</v>
      </c>
      <c r="B912" s="32" t="s">
        <v>403</v>
      </c>
      <c r="C912" s="32" t="s">
        <v>30</v>
      </c>
      <c r="D912" s="32" t="s">
        <v>31</v>
      </c>
      <c r="E912" s="32" t="s">
        <v>55</v>
      </c>
      <c r="F912" s="33">
        <v>0</v>
      </c>
      <c r="G912" s="33">
        <v>0</v>
      </c>
    </row>
    <row r="913" spans="1:7" x14ac:dyDescent="0.3">
      <c r="A913" s="32" t="s">
        <v>55</v>
      </c>
      <c r="B913" s="32" t="s">
        <v>421</v>
      </c>
      <c r="C913" s="32" t="s">
        <v>30</v>
      </c>
      <c r="D913" s="32" t="s">
        <v>31</v>
      </c>
      <c r="E913" s="32" t="s">
        <v>55</v>
      </c>
      <c r="F913" s="33">
        <v>0</v>
      </c>
      <c r="G913" s="33">
        <v>0</v>
      </c>
    </row>
    <row r="914" spans="1:7" x14ac:dyDescent="0.3">
      <c r="A914" s="32" t="s">
        <v>55</v>
      </c>
      <c r="B914" s="32" t="s">
        <v>427</v>
      </c>
      <c r="C914" s="32" t="s">
        <v>30</v>
      </c>
      <c r="D914" s="32" t="s">
        <v>31</v>
      </c>
      <c r="E914" s="32" t="s">
        <v>55</v>
      </c>
      <c r="F914" s="33">
        <v>0</v>
      </c>
      <c r="G914" s="33">
        <v>0</v>
      </c>
    </row>
    <row r="915" spans="1:7" x14ac:dyDescent="0.3">
      <c r="A915" s="32" t="s">
        <v>55</v>
      </c>
      <c r="B915" s="32" t="s">
        <v>460</v>
      </c>
      <c r="C915" s="32" t="s">
        <v>30</v>
      </c>
      <c r="D915" s="32" t="s">
        <v>31</v>
      </c>
      <c r="E915" s="32" t="s">
        <v>55</v>
      </c>
      <c r="F915" s="33">
        <v>0</v>
      </c>
      <c r="G915" s="33">
        <v>0</v>
      </c>
    </row>
    <row r="916" spans="1:7" x14ac:dyDescent="0.3">
      <c r="A916" s="32" t="s">
        <v>55</v>
      </c>
      <c r="B916" s="32" t="s">
        <v>466</v>
      </c>
      <c r="C916" s="32" t="s">
        <v>30</v>
      </c>
      <c r="D916" s="32" t="s">
        <v>31</v>
      </c>
      <c r="E916" s="32" t="s">
        <v>55</v>
      </c>
      <c r="F916" s="33">
        <v>0</v>
      </c>
      <c r="G916" s="33">
        <v>0</v>
      </c>
    </row>
    <row r="917" spans="1:7" x14ac:dyDescent="0.3">
      <c r="A917" s="32" t="s">
        <v>55</v>
      </c>
      <c r="B917" s="32" t="s">
        <v>467</v>
      </c>
      <c r="C917" s="32" t="s">
        <v>30</v>
      </c>
      <c r="D917" s="32" t="s">
        <v>31</v>
      </c>
      <c r="E917" s="32" t="s">
        <v>55</v>
      </c>
      <c r="F917" s="33">
        <v>0</v>
      </c>
      <c r="G917" s="33">
        <v>0</v>
      </c>
    </row>
    <row r="918" spans="1:7" x14ac:dyDescent="0.3">
      <c r="A918" s="32" t="s">
        <v>55</v>
      </c>
      <c r="B918" s="32" t="s">
        <v>384</v>
      </c>
      <c r="C918" s="32" t="s">
        <v>30</v>
      </c>
      <c r="D918" s="32" t="s">
        <v>31</v>
      </c>
      <c r="E918" s="32" t="s">
        <v>55</v>
      </c>
      <c r="F918" s="33">
        <v>0</v>
      </c>
      <c r="G918" s="33">
        <v>0</v>
      </c>
    </row>
    <row r="919" spans="1:7" x14ac:dyDescent="0.3">
      <c r="A919" s="32" t="s">
        <v>55</v>
      </c>
      <c r="B919" s="32" t="s">
        <v>506</v>
      </c>
      <c r="C919" s="32" t="s">
        <v>30</v>
      </c>
      <c r="D919" s="32" t="s">
        <v>31</v>
      </c>
      <c r="E919" s="32" t="s">
        <v>55</v>
      </c>
      <c r="F919" s="33">
        <v>0</v>
      </c>
      <c r="G919" s="33">
        <v>0</v>
      </c>
    </row>
    <row r="920" spans="1:7" x14ac:dyDescent="0.3">
      <c r="A920" s="32" t="s">
        <v>55</v>
      </c>
      <c r="B920" s="32" t="s">
        <v>538</v>
      </c>
      <c r="C920" s="32" t="s">
        <v>30</v>
      </c>
      <c r="D920" s="32" t="s">
        <v>31</v>
      </c>
      <c r="E920" s="32" t="s">
        <v>55</v>
      </c>
      <c r="F920" s="33">
        <v>0</v>
      </c>
      <c r="G920" s="33">
        <v>0</v>
      </c>
    </row>
    <row r="921" spans="1:7" x14ac:dyDescent="0.3">
      <c r="A921" s="32" t="s">
        <v>55</v>
      </c>
      <c r="B921" s="32" t="s">
        <v>541</v>
      </c>
      <c r="C921" s="32" t="s">
        <v>30</v>
      </c>
      <c r="D921" s="32" t="s">
        <v>31</v>
      </c>
      <c r="E921" s="32" t="s">
        <v>55</v>
      </c>
      <c r="F921" s="33">
        <v>0</v>
      </c>
      <c r="G921" s="33">
        <v>0</v>
      </c>
    </row>
    <row r="922" spans="1:7" x14ac:dyDescent="0.3">
      <c r="A922" s="32" t="s">
        <v>55</v>
      </c>
      <c r="B922" s="32" t="s">
        <v>573</v>
      </c>
      <c r="C922" s="32" t="s">
        <v>30</v>
      </c>
      <c r="D922" s="32" t="s">
        <v>31</v>
      </c>
      <c r="E922" s="32" t="s">
        <v>55</v>
      </c>
      <c r="F922" s="33">
        <v>0</v>
      </c>
      <c r="G922" s="33">
        <v>0</v>
      </c>
    </row>
    <row r="923" spans="1:7" x14ac:dyDescent="0.3">
      <c r="A923" s="32" t="s">
        <v>55</v>
      </c>
      <c r="B923" s="32" t="s">
        <v>574</v>
      </c>
      <c r="C923" s="32" t="s">
        <v>30</v>
      </c>
      <c r="D923" s="32" t="s">
        <v>31</v>
      </c>
      <c r="E923" s="32" t="s">
        <v>55</v>
      </c>
      <c r="F923" s="33">
        <v>0</v>
      </c>
      <c r="G923" s="33">
        <v>0</v>
      </c>
    </row>
    <row r="924" spans="1:7" x14ac:dyDescent="0.3">
      <c r="A924" s="32" t="s">
        <v>55</v>
      </c>
      <c r="B924" s="32" t="s">
        <v>579</v>
      </c>
      <c r="C924" s="32" t="s">
        <v>30</v>
      </c>
      <c r="D924" s="32" t="s">
        <v>31</v>
      </c>
      <c r="E924" s="32" t="s">
        <v>55</v>
      </c>
      <c r="F924" s="33">
        <v>0</v>
      </c>
      <c r="G924" s="33">
        <v>0</v>
      </c>
    </row>
    <row r="925" spans="1:7" x14ac:dyDescent="0.3">
      <c r="A925" s="32" t="s">
        <v>55</v>
      </c>
      <c r="B925" s="32" t="s">
        <v>587</v>
      </c>
      <c r="C925" s="32" t="s">
        <v>30</v>
      </c>
      <c r="D925" s="32" t="s">
        <v>31</v>
      </c>
      <c r="E925" s="32" t="s">
        <v>55</v>
      </c>
      <c r="F925" s="33">
        <v>0</v>
      </c>
      <c r="G925" s="33">
        <v>0</v>
      </c>
    </row>
    <row r="926" spans="1:7" x14ac:dyDescent="0.3">
      <c r="A926" s="32" t="s">
        <v>55</v>
      </c>
      <c r="B926" s="32" t="s">
        <v>611</v>
      </c>
      <c r="C926" s="32" t="s">
        <v>30</v>
      </c>
      <c r="D926" s="32" t="s">
        <v>31</v>
      </c>
      <c r="E926" s="32" t="s">
        <v>55</v>
      </c>
      <c r="F926" s="33">
        <v>0</v>
      </c>
      <c r="G926" s="33">
        <v>0</v>
      </c>
    </row>
    <row r="927" spans="1:7" x14ac:dyDescent="0.3">
      <c r="A927" s="32" t="s">
        <v>55</v>
      </c>
      <c r="B927" s="32" t="s">
        <v>624</v>
      </c>
      <c r="C927" s="32" t="s">
        <v>30</v>
      </c>
      <c r="D927" s="32" t="s">
        <v>31</v>
      </c>
      <c r="E927" s="32" t="s">
        <v>55</v>
      </c>
      <c r="F927" s="33">
        <v>0</v>
      </c>
      <c r="G927" s="33">
        <v>0</v>
      </c>
    </row>
    <row r="928" spans="1:7" x14ac:dyDescent="0.3">
      <c r="A928" s="32" t="s">
        <v>820</v>
      </c>
      <c r="B928" s="32" t="s">
        <v>819</v>
      </c>
      <c r="C928" s="32" t="s">
        <v>820</v>
      </c>
      <c r="D928" s="32" t="s">
        <v>628</v>
      </c>
      <c r="E928" s="32" t="s">
        <v>820</v>
      </c>
      <c r="F928" s="33">
        <v>0</v>
      </c>
      <c r="G928" s="33">
        <v>0</v>
      </c>
    </row>
  </sheetData>
  <autoFilter ref="A2:G928">
    <sortState ref="A3:G928">
      <sortCondition ref="A2:A9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649"/>
  <sheetViews>
    <sheetView tabSelected="1" topLeftCell="A100" zoomScaleNormal="100" workbookViewId="0">
      <pane xSplit="3" ySplit="2" topLeftCell="W151" activePane="bottomRight" state="frozen"/>
      <selection activeCell="A100" sqref="A100"/>
      <selection pane="topRight" activeCell="D100" sqref="D100"/>
      <selection pane="bottomLeft" activeCell="A102" sqref="A102"/>
      <selection pane="bottomRight" activeCell="W151" sqref="W151"/>
    </sheetView>
  </sheetViews>
  <sheetFormatPr defaultColWidth="8.7265625" defaultRowHeight="14.5" x14ac:dyDescent="0.35"/>
  <cols>
    <col min="1" max="1" width="9.7265625" style="1" bestFit="1" customWidth="1"/>
    <col min="2" max="2" width="19" style="1" bestFit="1" customWidth="1"/>
    <col min="3" max="3" width="30.453125" style="1" bestFit="1" customWidth="1"/>
    <col min="4" max="4" width="13.26953125" style="1" customWidth="1"/>
    <col min="5" max="5" width="16.7265625" style="1" bestFit="1" customWidth="1"/>
    <col min="6" max="6" width="11.7265625" style="1" customWidth="1"/>
    <col min="7" max="7" width="16" style="1" bestFit="1" customWidth="1"/>
    <col min="8" max="8" width="14.81640625" style="1" customWidth="1"/>
    <col min="9" max="9" width="19.453125" style="1" bestFit="1" customWidth="1"/>
    <col min="10" max="10" width="18" style="1" bestFit="1" customWidth="1"/>
    <col min="11" max="11" width="11.26953125" style="1" bestFit="1" customWidth="1"/>
    <col min="12" max="12" width="16.7265625" style="1" bestFit="1" customWidth="1"/>
    <col min="13" max="13" width="15.1796875" style="1" bestFit="1" customWidth="1"/>
    <col min="14" max="14" width="16.81640625" style="1" bestFit="1" customWidth="1"/>
    <col min="15" max="15" width="16.81640625" style="1" customWidth="1"/>
    <col min="16" max="16" width="19.26953125" style="1" bestFit="1" customWidth="1"/>
    <col min="17" max="17" width="19.54296875" style="1" hidden="1" customWidth="1"/>
    <col min="18" max="18" width="16.54296875" style="1" hidden="1" customWidth="1"/>
    <col min="19" max="19" width="16.54296875" style="1" bestFit="1" customWidth="1"/>
    <col min="20" max="20" width="21.81640625" style="1" customWidth="1"/>
    <col min="21" max="21" width="16.81640625" style="1" customWidth="1"/>
    <col min="22" max="22" width="19.26953125" style="1" bestFit="1" customWidth="1"/>
    <col min="23" max="23" width="15.26953125" style="1" bestFit="1" customWidth="1"/>
    <col min="24" max="24" width="17.26953125" style="1" customWidth="1"/>
    <col min="25" max="25" width="12" style="1" customWidth="1"/>
    <col min="26" max="26" width="13.81640625" style="1" customWidth="1"/>
    <col min="27" max="27" width="16.7265625" style="1" customWidth="1"/>
    <col min="28" max="28" width="12.453125" style="1" customWidth="1"/>
    <col min="29" max="29" width="13.26953125" style="1" customWidth="1"/>
    <col min="30" max="30" width="16.7265625" style="1" customWidth="1"/>
    <col min="31" max="31" width="18" style="1" customWidth="1"/>
    <col min="32" max="32" width="20.7265625" style="1" customWidth="1"/>
    <col min="33" max="33" width="8.453125" style="1" customWidth="1"/>
    <col min="34" max="34" width="15.453125" style="105" customWidth="1"/>
    <col min="35" max="35" width="28.26953125" style="105" customWidth="1"/>
    <col min="36" max="50" width="15.453125" style="105" customWidth="1"/>
    <col min="51" max="51" width="14.26953125" style="242" customWidth="1"/>
    <col min="52" max="52" width="12.453125" style="106" customWidth="1"/>
    <col min="53" max="53" width="13.1796875" style="106" customWidth="1"/>
    <col min="54" max="54" width="11.7265625" style="106" bestFit="1" customWidth="1"/>
    <col min="55" max="55" width="14.54296875" style="106" customWidth="1"/>
    <col min="56" max="61" width="15.453125" style="106" customWidth="1"/>
    <col min="62" max="62" width="16.26953125" style="106" customWidth="1"/>
    <col min="63" max="63" width="13.1796875" style="105" customWidth="1"/>
    <col min="64" max="64" width="12.453125" style="105" bestFit="1" customWidth="1"/>
    <col min="65" max="65" width="13.1796875" style="105" bestFit="1" customWidth="1"/>
    <col min="66" max="67" width="2" style="105" bestFit="1" customWidth="1"/>
    <col min="68" max="68" width="8.7265625" style="105"/>
    <col min="69" max="16384" width="8.7265625" style="1"/>
  </cols>
  <sheetData>
    <row r="1" spans="1:68" s="52" customFormat="1" ht="15" thickBot="1" x14ac:dyDescent="0.4"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242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5"/>
      <c r="BL1" s="105"/>
      <c r="BM1" s="105"/>
      <c r="BN1" s="105"/>
      <c r="BO1" s="105"/>
      <c r="BP1" s="105"/>
    </row>
    <row r="2" spans="1:68" s="9" customFormat="1" ht="15" thickBot="1" x14ac:dyDescent="0.3">
      <c r="A2" s="5"/>
      <c r="B2" s="5"/>
      <c r="C2" s="8"/>
      <c r="D2" s="539" t="s">
        <v>0</v>
      </c>
      <c r="E2" s="540"/>
      <c r="F2" s="540"/>
      <c r="G2" s="541" t="s">
        <v>2863</v>
      </c>
      <c r="H2" s="542"/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3"/>
      <c r="W2" s="554" t="s">
        <v>20</v>
      </c>
      <c r="X2" s="554"/>
      <c r="Y2" s="554"/>
      <c r="Z2" s="553" t="s">
        <v>929</v>
      </c>
      <c r="AA2" s="553"/>
      <c r="AB2" s="553"/>
      <c r="AC2" s="553" t="s">
        <v>21</v>
      </c>
      <c r="AD2" s="553"/>
      <c r="AE2" s="553"/>
      <c r="AF2" s="13"/>
      <c r="AG2" s="531"/>
      <c r="AH2" s="532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7"/>
      <c r="BL2" s="109"/>
      <c r="BM2" s="109"/>
      <c r="BN2" s="109"/>
      <c r="BO2" s="109"/>
      <c r="BP2" s="109"/>
    </row>
    <row r="3" spans="1:68" s="9" customFormat="1" ht="29.5" thickBot="1" x14ac:dyDescent="0.3">
      <c r="A3" s="10" t="s">
        <v>24</v>
      </c>
      <c r="B3" s="10" t="s">
        <v>924</v>
      </c>
      <c r="C3" s="10" t="s">
        <v>23</v>
      </c>
      <c r="D3" s="26" t="s">
        <v>1</v>
      </c>
      <c r="E3" s="27" t="s">
        <v>2</v>
      </c>
      <c r="F3" s="27" t="s">
        <v>3</v>
      </c>
      <c r="G3" s="27" t="s">
        <v>4</v>
      </c>
      <c r="H3" s="27" t="s">
        <v>5</v>
      </c>
      <c r="I3" s="27" t="s">
        <v>6</v>
      </c>
      <c r="J3" s="27" t="s">
        <v>7</v>
      </c>
      <c r="K3" s="27" t="s">
        <v>8</v>
      </c>
      <c r="L3" s="27" t="s">
        <v>9</v>
      </c>
      <c r="M3" s="27" t="s">
        <v>10</v>
      </c>
      <c r="N3" s="27" t="s">
        <v>11</v>
      </c>
      <c r="O3" s="27" t="s">
        <v>12</v>
      </c>
      <c r="P3" s="27" t="s">
        <v>13</v>
      </c>
      <c r="Q3" s="27" t="s">
        <v>14</v>
      </c>
      <c r="R3" s="27" t="s">
        <v>15</v>
      </c>
      <c r="S3" s="27" t="s">
        <v>16</v>
      </c>
      <c r="T3" s="27" t="s">
        <v>17</v>
      </c>
      <c r="U3" s="27" t="s">
        <v>18</v>
      </c>
      <c r="V3" s="27" t="s">
        <v>19</v>
      </c>
      <c r="W3" s="28" t="s">
        <v>1</v>
      </c>
      <c r="X3" s="28" t="s">
        <v>2</v>
      </c>
      <c r="Y3" s="28" t="s">
        <v>3</v>
      </c>
      <c r="Z3" s="28" t="s">
        <v>1</v>
      </c>
      <c r="AA3" s="50" t="s">
        <v>2</v>
      </c>
      <c r="AB3" s="27" t="s">
        <v>3</v>
      </c>
      <c r="AC3" s="27" t="s">
        <v>1</v>
      </c>
      <c r="AD3" s="27" t="s">
        <v>2</v>
      </c>
      <c r="AE3" s="27" t="s">
        <v>3</v>
      </c>
      <c r="AF3" s="55" t="s">
        <v>22</v>
      </c>
      <c r="AG3" s="59" t="s">
        <v>934</v>
      </c>
      <c r="AH3" s="110" t="s">
        <v>933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2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09"/>
      <c r="BO3" s="109"/>
      <c r="BP3" s="109"/>
    </row>
    <row r="4" spans="1:68" x14ac:dyDescent="0.35">
      <c r="A4" s="15" t="str">
        <f>VLOOKUP(C4,Master!A:D,4,0)</f>
        <v>RM</v>
      </c>
      <c r="B4" s="16" t="str">
        <f>VLOOKUP(C4,Master!A:C,3,0)</f>
        <v>Granuals</v>
      </c>
      <c r="C4" s="16" t="s">
        <v>32</v>
      </c>
      <c r="D4" s="17">
        <v>1834.7000000000003</v>
      </c>
      <c r="E4" s="17">
        <v>350</v>
      </c>
      <c r="F4" s="17">
        <v>0</v>
      </c>
      <c r="G4" s="17"/>
      <c r="H4" s="17"/>
      <c r="I4" s="71"/>
      <c r="J4" s="17">
        <v>700</v>
      </c>
      <c r="K4" s="17"/>
      <c r="L4" s="17"/>
      <c r="M4" s="17"/>
      <c r="N4" s="17"/>
      <c r="O4" s="17"/>
      <c r="P4" s="2">
        <v>287.89999999999998</v>
      </c>
      <c r="Q4" s="17"/>
      <c r="R4" s="17"/>
      <c r="S4" s="17"/>
      <c r="T4" s="17">
        <v>50</v>
      </c>
      <c r="U4" s="17">
        <f t="shared" ref="U4:V33" si="0">O4-S4</f>
        <v>0</v>
      </c>
      <c r="V4" s="17">
        <f t="shared" si="0"/>
        <v>237.89999999999998</v>
      </c>
      <c r="W4" s="17">
        <f>D4+G4+H4+I4-K4-L4-M4-V4+U4</f>
        <v>1596.8000000000002</v>
      </c>
      <c r="X4" s="17">
        <f t="shared" ref="X4" si="1">E4+J4-N4-T4+S4</f>
        <v>1000</v>
      </c>
      <c r="Y4" s="17">
        <f t="shared" ref="Y4" si="2">F4-I4+M4-R4+Q4</f>
        <v>0</v>
      </c>
      <c r="Z4" s="48">
        <v>1596.8000000000002</v>
      </c>
      <c r="AA4" s="49">
        <v>1000</v>
      </c>
      <c r="AB4" s="45">
        <v>0</v>
      </c>
      <c r="AC4" s="72">
        <f>W4-Z4</f>
        <v>0</v>
      </c>
      <c r="AD4" s="72">
        <f>X4-AA4</f>
        <v>0</v>
      </c>
      <c r="AE4" s="18">
        <f>Y4-AB4</f>
        <v>0</v>
      </c>
      <c r="AF4" s="56"/>
      <c r="AG4" s="61">
        <v>201</v>
      </c>
      <c r="AH4" s="113">
        <f>+W4*AG4</f>
        <v>320956.80000000005</v>
      </c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9"/>
      <c r="AZ4" s="115"/>
      <c r="BA4" s="243"/>
      <c r="BB4" s="115"/>
      <c r="BC4" s="115"/>
      <c r="BD4" s="115"/>
      <c r="BE4" s="115"/>
      <c r="BF4" s="115"/>
      <c r="BG4" s="115"/>
      <c r="BH4" s="115"/>
      <c r="BI4" s="115"/>
      <c r="BJ4" s="115"/>
      <c r="BK4" s="114"/>
      <c r="BL4" s="115"/>
      <c r="BM4" s="116"/>
    </row>
    <row r="5" spans="1:68" x14ac:dyDescent="0.35">
      <c r="A5" s="19" t="str">
        <f>VLOOKUP(C5,Master!A:D,4,0)</f>
        <v>RM</v>
      </c>
      <c r="B5" s="14" t="str">
        <f>VLOOKUP(C5,Master!A:C,3,0)</f>
        <v>Granuals</v>
      </c>
      <c r="C5" s="14" t="s">
        <v>37</v>
      </c>
      <c r="D5" s="2">
        <v>23534.34888799995</v>
      </c>
      <c r="E5" s="2">
        <v>579675.5</v>
      </c>
      <c r="F5" s="2">
        <v>0</v>
      </c>
      <c r="G5" s="2"/>
      <c r="H5" s="2">
        <v>112000</v>
      </c>
      <c r="I5" s="2"/>
      <c r="J5" s="2">
        <v>196000</v>
      </c>
      <c r="K5" s="2"/>
      <c r="L5" s="2"/>
      <c r="M5" s="2"/>
      <c r="N5" s="2"/>
      <c r="O5" s="2"/>
      <c r="P5" s="2">
        <v>299193.148888</v>
      </c>
      <c r="Q5" s="2"/>
      <c r="R5" s="2"/>
      <c r="S5" s="2"/>
      <c r="T5" s="2">
        <v>238057.96000000002</v>
      </c>
      <c r="U5" s="2">
        <f t="shared" si="0"/>
        <v>0</v>
      </c>
      <c r="V5" s="2">
        <f t="shared" si="0"/>
        <v>61135.188887999975</v>
      </c>
      <c r="W5" s="54">
        <f t="shared" ref="W5" si="3">D5+G5+H5+I5-K5-L5-M5-V5+U5</f>
        <v>74399.159999999974</v>
      </c>
      <c r="X5" s="2">
        <f t="shared" ref="X5" si="4">E5+J5-N5-T5+S5</f>
        <v>537617.54</v>
      </c>
      <c r="Y5" s="2">
        <f t="shared" ref="Y5" si="5">F5-I5+M5-R5+Q5</f>
        <v>0</v>
      </c>
      <c r="Z5" s="46">
        <v>74399.159999999974</v>
      </c>
      <c r="AA5" s="46">
        <v>537617.54</v>
      </c>
      <c r="AB5" s="46">
        <v>0</v>
      </c>
      <c r="AC5" s="58">
        <f t="shared" ref="AC5" si="6">W5-Z5</f>
        <v>0</v>
      </c>
      <c r="AD5" s="58">
        <f t="shared" ref="AD5" si="7">X5-AA5</f>
        <v>0</v>
      </c>
      <c r="AE5" s="12">
        <f t="shared" ref="AE5" si="8">Y5-AB5</f>
        <v>0</v>
      </c>
      <c r="AF5" s="56"/>
      <c r="AG5" s="60">
        <v>108</v>
      </c>
      <c r="AH5" s="117">
        <f>+W5*AG5</f>
        <v>8035109.2799999975</v>
      </c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9"/>
      <c r="AZ5" s="115"/>
      <c r="BA5" s="243"/>
      <c r="BB5" s="115"/>
      <c r="BC5" s="115"/>
      <c r="BD5" s="115"/>
      <c r="BE5" s="115"/>
      <c r="BF5" s="115"/>
      <c r="BG5" s="115"/>
      <c r="BH5" s="115"/>
      <c r="BI5" s="115"/>
      <c r="BJ5" s="115"/>
      <c r="BK5" s="114"/>
      <c r="BL5" s="115"/>
      <c r="BM5" s="116"/>
    </row>
    <row r="6" spans="1:68" x14ac:dyDescent="0.35">
      <c r="A6" s="19" t="str">
        <f>VLOOKUP(C6,Master!A:D,4,0)</f>
        <v>RM</v>
      </c>
      <c r="B6" s="14" t="str">
        <f>VLOOKUP(C6,Master!A:C,3,0)</f>
        <v>Granuals</v>
      </c>
      <c r="C6" s="14" t="s">
        <v>40</v>
      </c>
      <c r="D6" s="2">
        <v>0</v>
      </c>
      <c r="E6" s="2">
        <v>0</v>
      </c>
      <c r="F6" s="2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v>0</v>
      </c>
      <c r="U6" s="2">
        <f t="shared" si="0"/>
        <v>0</v>
      </c>
      <c r="V6" s="2">
        <f t="shared" si="0"/>
        <v>0</v>
      </c>
      <c r="W6" s="54">
        <f t="shared" ref="W6:W40" si="9">D6+G6+H6+I6-K6-L6-M6-V6+U6</f>
        <v>0</v>
      </c>
      <c r="X6" s="2">
        <f t="shared" ref="X6:X40" si="10">E6+J6-N6-T6+S6</f>
        <v>0</v>
      </c>
      <c r="Y6" s="2">
        <f t="shared" ref="Y6:Y40" si="11">F6-I6+M6-R6+Q6</f>
        <v>0</v>
      </c>
      <c r="Z6" s="46">
        <v>0</v>
      </c>
      <c r="AA6" s="46">
        <v>0</v>
      </c>
      <c r="AB6" s="46">
        <v>0</v>
      </c>
      <c r="AC6" s="58">
        <f t="shared" ref="AC6:AC40" si="12">W6-Z6</f>
        <v>0</v>
      </c>
      <c r="AD6" s="58">
        <f t="shared" ref="AD6:AD40" si="13">X6-AA6</f>
        <v>0</v>
      </c>
      <c r="AE6" s="12">
        <f t="shared" ref="AE6:AE40" si="14">Y6-AB6</f>
        <v>0</v>
      </c>
      <c r="AF6" s="56"/>
      <c r="AG6" s="62"/>
      <c r="AH6" s="117">
        <f t="shared" ref="AH6:AH40" si="15">+W6*AG6</f>
        <v>0</v>
      </c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9"/>
      <c r="AZ6" s="115"/>
      <c r="BA6" s="243"/>
      <c r="BB6" s="115"/>
      <c r="BC6" s="115"/>
      <c r="BD6" s="115"/>
      <c r="BE6" s="115"/>
      <c r="BF6" s="115"/>
      <c r="BG6" s="115"/>
      <c r="BH6" s="115"/>
      <c r="BI6" s="115"/>
      <c r="BJ6" s="115"/>
      <c r="BK6" s="114"/>
      <c r="BL6" s="115"/>
      <c r="BM6" s="116"/>
    </row>
    <row r="7" spans="1:68" x14ac:dyDescent="0.35">
      <c r="A7" s="19" t="str">
        <f>VLOOKUP(C7,Master!A:D,4,0)</f>
        <v>RM</v>
      </c>
      <c r="B7" s="14" t="str">
        <f>VLOOKUP(C7,Master!A:C,3,0)</f>
        <v>Granuals</v>
      </c>
      <c r="C7" s="14" t="s">
        <v>46</v>
      </c>
      <c r="D7" s="2">
        <v>0</v>
      </c>
      <c r="E7" s="2">
        <v>13000</v>
      </c>
      <c r="F7" s="2"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>
        <v>0</v>
      </c>
      <c r="U7" s="2">
        <f t="shared" si="0"/>
        <v>0</v>
      </c>
      <c r="V7" s="2">
        <f t="shared" si="0"/>
        <v>0</v>
      </c>
      <c r="W7" s="54">
        <f t="shared" si="9"/>
        <v>0</v>
      </c>
      <c r="X7" s="2">
        <f t="shared" si="10"/>
        <v>13000</v>
      </c>
      <c r="Y7" s="2">
        <f t="shared" si="11"/>
        <v>0</v>
      </c>
      <c r="Z7" s="46">
        <v>0</v>
      </c>
      <c r="AA7" s="46">
        <v>13000</v>
      </c>
      <c r="AB7" s="46">
        <v>0</v>
      </c>
      <c r="AC7" s="58">
        <f t="shared" si="12"/>
        <v>0</v>
      </c>
      <c r="AD7" s="58">
        <f t="shared" si="13"/>
        <v>0</v>
      </c>
      <c r="AE7" s="12">
        <f t="shared" si="14"/>
        <v>0</v>
      </c>
      <c r="AF7" s="56"/>
      <c r="AG7" s="62"/>
      <c r="AH7" s="117">
        <f t="shared" si="15"/>
        <v>0</v>
      </c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9"/>
      <c r="AZ7" s="115"/>
      <c r="BA7" s="243"/>
      <c r="BB7" s="115"/>
      <c r="BC7" s="115"/>
      <c r="BD7" s="115"/>
      <c r="BE7" s="115"/>
      <c r="BF7" s="115"/>
      <c r="BG7" s="115"/>
      <c r="BH7" s="115"/>
      <c r="BI7" s="115"/>
      <c r="BJ7" s="115"/>
      <c r="BK7" s="114"/>
      <c r="BL7" s="115"/>
      <c r="BM7" s="116"/>
    </row>
    <row r="8" spans="1:68" x14ac:dyDescent="0.35">
      <c r="A8" s="19" t="str">
        <f>VLOOKUP(C8,Master!A:D,4,0)</f>
        <v>RM</v>
      </c>
      <c r="B8" s="14" t="str">
        <f>VLOOKUP(C8,Master!A:C,3,0)</f>
        <v>Granuals</v>
      </c>
      <c r="C8" s="14" t="s">
        <v>49</v>
      </c>
      <c r="D8" s="2">
        <v>0</v>
      </c>
      <c r="E8" s="2">
        <v>0</v>
      </c>
      <c r="F8" s="2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0</v>
      </c>
      <c r="U8" s="2">
        <f t="shared" si="0"/>
        <v>0</v>
      </c>
      <c r="V8" s="2">
        <f t="shared" si="0"/>
        <v>0</v>
      </c>
      <c r="W8" s="54">
        <f t="shared" si="9"/>
        <v>0</v>
      </c>
      <c r="X8" s="2">
        <f t="shared" si="10"/>
        <v>0</v>
      </c>
      <c r="Y8" s="2">
        <f t="shared" si="11"/>
        <v>0</v>
      </c>
      <c r="Z8" s="46">
        <v>0</v>
      </c>
      <c r="AA8" s="46">
        <v>0</v>
      </c>
      <c r="AB8" s="46">
        <v>0</v>
      </c>
      <c r="AC8" s="58">
        <f t="shared" si="12"/>
        <v>0</v>
      </c>
      <c r="AD8" s="58">
        <f t="shared" si="13"/>
        <v>0</v>
      </c>
      <c r="AE8" s="12">
        <f t="shared" si="14"/>
        <v>0</v>
      </c>
      <c r="AF8" s="56"/>
      <c r="AG8" s="62"/>
      <c r="AH8" s="117">
        <f t="shared" si="15"/>
        <v>0</v>
      </c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9"/>
      <c r="AZ8" s="115"/>
      <c r="BA8" s="243"/>
      <c r="BB8" s="115"/>
      <c r="BC8" s="115"/>
      <c r="BD8" s="115"/>
      <c r="BE8" s="115"/>
      <c r="BF8" s="115"/>
      <c r="BG8" s="115"/>
      <c r="BH8" s="115"/>
      <c r="BI8" s="115"/>
      <c r="BJ8" s="115"/>
      <c r="BK8" s="114"/>
      <c r="BL8" s="115"/>
      <c r="BM8" s="116"/>
    </row>
    <row r="9" spans="1:68" x14ac:dyDescent="0.35">
      <c r="A9" s="19" t="str">
        <f>VLOOKUP(C9,Master!A:D,4,0)</f>
        <v>RM</v>
      </c>
      <c r="B9" s="14" t="str">
        <f>VLOOKUP(C9,Master!A:C,3,0)</f>
        <v>Granuals</v>
      </c>
      <c r="C9" s="14" t="s">
        <v>55</v>
      </c>
      <c r="D9" s="2">
        <v>0</v>
      </c>
      <c r="E9" s="2">
        <v>15000</v>
      </c>
      <c r="F9" s="2">
        <v>0</v>
      </c>
      <c r="G9" s="2"/>
      <c r="H9" s="2"/>
      <c r="I9" s="2"/>
      <c r="J9" s="2">
        <v>6575</v>
      </c>
      <c r="K9" s="2"/>
      <c r="L9" s="2"/>
      <c r="M9" s="2"/>
      <c r="N9" s="2"/>
      <c r="O9" s="2"/>
      <c r="P9" s="2"/>
      <c r="Q9" s="2"/>
      <c r="R9" s="2"/>
      <c r="S9" s="2"/>
      <c r="T9" s="2">
        <v>0</v>
      </c>
      <c r="U9" s="2">
        <f t="shared" si="0"/>
        <v>0</v>
      </c>
      <c r="V9" s="2">
        <f t="shared" si="0"/>
        <v>0</v>
      </c>
      <c r="W9" s="54">
        <f t="shared" si="9"/>
        <v>0</v>
      </c>
      <c r="X9" s="2">
        <f t="shared" si="10"/>
        <v>21575</v>
      </c>
      <c r="Y9" s="2">
        <f t="shared" si="11"/>
        <v>0</v>
      </c>
      <c r="Z9" s="46">
        <v>0</v>
      </c>
      <c r="AA9" s="46">
        <v>21575</v>
      </c>
      <c r="AB9" s="46">
        <v>0</v>
      </c>
      <c r="AC9" s="58">
        <f t="shared" si="12"/>
        <v>0</v>
      </c>
      <c r="AD9" s="58">
        <f t="shared" si="13"/>
        <v>0</v>
      </c>
      <c r="AE9" s="12">
        <f t="shared" si="14"/>
        <v>0</v>
      </c>
      <c r="AF9" s="56"/>
      <c r="AG9" s="62"/>
      <c r="AH9" s="117">
        <f t="shared" si="15"/>
        <v>0</v>
      </c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9"/>
      <c r="AZ9" s="115"/>
      <c r="BA9" s="243"/>
      <c r="BB9" s="115"/>
      <c r="BC9" s="115"/>
      <c r="BD9" s="115"/>
      <c r="BE9" s="115"/>
      <c r="BF9" s="115"/>
      <c r="BG9" s="115"/>
      <c r="BH9" s="115"/>
      <c r="BI9" s="115"/>
      <c r="BJ9" s="115"/>
      <c r="BK9" s="114"/>
      <c r="BL9" s="115"/>
      <c r="BM9" s="116"/>
    </row>
    <row r="10" spans="1:68" x14ac:dyDescent="0.35">
      <c r="A10" s="19" t="str">
        <f>VLOOKUP(C10,Master!A:D,4,0)</f>
        <v>RM</v>
      </c>
      <c r="B10" s="14" t="str">
        <f>VLOOKUP(C10,Master!A:C,3,0)</f>
        <v>FIBC Accessories</v>
      </c>
      <c r="C10" s="14" t="s">
        <v>69</v>
      </c>
      <c r="D10" s="2">
        <v>0</v>
      </c>
      <c r="E10" s="2">
        <v>0</v>
      </c>
      <c r="F10" s="2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0</v>
      </c>
      <c r="U10" s="2">
        <f t="shared" si="0"/>
        <v>0</v>
      </c>
      <c r="V10" s="2">
        <f t="shared" si="0"/>
        <v>0</v>
      </c>
      <c r="W10" s="54">
        <f t="shared" si="9"/>
        <v>0</v>
      </c>
      <c r="X10" s="2">
        <f t="shared" si="10"/>
        <v>0</v>
      </c>
      <c r="Y10" s="2">
        <f t="shared" si="11"/>
        <v>0</v>
      </c>
      <c r="Z10" s="46">
        <v>0</v>
      </c>
      <c r="AA10" s="46">
        <v>0</v>
      </c>
      <c r="AB10" s="46">
        <v>0</v>
      </c>
      <c r="AC10" s="58">
        <f t="shared" si="12"/>
        <v>0</v>
      </c>
      <c r="AD10" s="58">
        <f t="shared" si="13"/>
        <v>0</v>
      </c>
      <c r="AE10" s="12">
        <f t="shared" si="14"/>
        <v>0</v>
      </c>
      <c r="AF10" s="56"/>
      <c r="AG10" s="62"/>
      <c r="AH10" s="117">
        <f t="shared" si="15"/>
        <v>0</v>
      </c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9"/>
      <c r="AZ10" s="115"/>
      <c r="BA10" s="243"/>
      <c r="BB10" s="115"/>
      <c r="BC10" s="115"/>
      <c r="BD10" s="115"/>
      <c r="BE10" s="115"/>
      <c r="BF10" s="115"/>
      <c r="BG10" s="115"/>
      <c r="BH10" s="115"/>
      <c r="BI10" s="115"/>
      <c r="BJ10" s="115"/>
      <c r="BK10" s="114"/>
      <c r="BL10" s="115"/>
      <c r="BM10" s="116"/>
    </row>
    <row r="11" spans="1:68" x14ac:dyDescent="0.35">
      <c r="A11" s="19" t="str">
        <f>VLOOKUP(C11,Master!A:D,4,0)</f>
        <v>RM</v>
      </c>
      <c r="B11" s="14" t="str">
        <f>VLOOKUP(C11,Master!A:C,3,0)</f>
        <v>Films All</v>
      </c>
      <c r="C11" s="14" t="s">
        <v>71</v>
      </c>
      <c r="D11" s="2">
        <v>0</v>
      </c>
      <c r="E11" s="2">
        <v>0</v>
      </c>
      <c r="F11" s="2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v>0</v>
      </c>
      <c r="U11" s="2">
        <f t="shared" si="0"/>
        <v>0</v>
      </c>
      <c r="V11" s="2">
        <f t="shared" si="0"/>
        <v>0</v>
      </c>
      <c r="W11" s="54">
        <f t="shared" si="9"/>
        <v>0</v>
      </c>
      <c r="X11" s="2">
        <f t="shared" si="10"/>
        <v>0</v>
      </c>
      <c r="Y11" s="2">
        <f t="shared" si="11"/>
        <v>0</v>
      </c>
      <c r="Z11" s="46">
        <v>0</v>
      </c>
      <c r="AA11" s="46">
        <v>0</v>
      </c>
      <c r="AB11" s="46">
        <v>0</v>
      </c>
      <c r="AC11" s="58">
        <f t="shared" si="12"/>
        <v>0</v>
      </c>
      <c r="AD11" s="58">
        <f t="shared" si="13"/>
        <v>0</v>
      </c>
      <c r="AE11" s="12">
        <f t="shared" si="14"/>
        <v>0</v>
      </c>
      <c r="AF11" s="56"/>
      <c r="AG11" s="62"/>
      <c r="AH11" s="117">
        <f t="shared" si="15"/>
        <v>0</v>
      </c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9"/>
      <c r="AZ11" s="115"/>
      <c r="BA11" s="243"/>
      <c r="BB11" s="115"/>
      <c r="BC11" s="115"/>
      <c r="BD11" s="115"/>
      <c r="BE11" s="115"/>
      <c r="BF11" s="115"/>
      <c r="BG11" s="115"/>
      <c r="BH11" s="115"/>
      <c r="BI11" s="115"/>
      <c r="BJ11" s="115"/>
      <c r="BK11" s="114"/>
      <c r="BL11" s="115"/>
      <c r="BM11" s="116"/>
    </row>
    <row r="12" spans="1:68" x14ac:dyDescent="0.35">
      <c r="A12" s="19" t="str">
        <f>VLOOKUP(C12,Master!A:D,4,0)</f>
        <v>RM</v>
      </c>
      <c r="B12" s="14" t="str">
        <f>VLOOKUP(C12,Master!A:C,3,0)</f>
        <v>Granuals</v>
      </c>
      <c r="C12" s="14" t="s">
        <v>85</v>
      </c>
      <c r="D12" s="2">
        <v>0</v>
      </c>
      <c r="E12" s="2">
        <v>0</v>
      </c>
      <c r="F12" s="2">
        <v>0</v>
      </c>
      <c r="G12" s="2"/>
      <c r="H12" s="2"/>
      <c r="I12" s="2"/>
      <c r="J12" s="2">
        <v>6000</v>
      </c>
      <c r="K12" s="2"/>
      <c r="L12" s="2"/>
      <c r="M12" s="2"/>
      <c r="N12" s="2"/>
      <c r="O12" s="2"/>
      <c r="P12" s="2"/>
      <c r="Q12" s="2"/>
      <c r="R12" s="2"/>
      <c r="S12" s="2"/>
      <c r="T12" s="2">
        <v>0</v>
      </c>
      <c r="U12" s="2">
        <f t="shared" si="0"/>
        <v>0</v>
      </c>
      <c r="V12" s="2">
        <f t="shared" si="0"/>
        <v>0</v>
      </c>
      <c r="W12" s="54">
        <f t="shared" si="9"/>
        <v>0</v>
      </c>
      <c r="X12" s="2">
        <f t="shared" si="10"/>
        <v>6000</v>
      </c>
      <c r="Y12" s="2">
        <f t="shared" si="11"/>
        <v>0</v>
      </c>
      <c r="Z12" s="46">
        <v>0</v>
      </c>
      <c r="AA12" s="46">
        <v>6000</v>
      </c>
      <c r="AB12" s="46">
        <v>0</v>
      </c>
      <c r="AC12" s="58">
        <f t="shared" si="12"/>
        <v>0</v>
      </c>
      <c r="AD12" s="58">
        <f t="shared" si="13"/>
        <v>0</v>
      </c>
      <c r="AE12" s="12">
        <f t="shared" si="14"/>
        <v>0</v>
      </c>
      <c r="AF12" s="56"/>
      <c r="AG12" s="62"/>
      <c r="AH12" s="117">
        <f t="shared" si="15"/>
        <v>0</v>
      </c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9"/>
      <c r="AZ12" s="115"/>
      <c r="BA12" s="243"/>
      <c r="BB12" s="115"/>
      <c r="BC12" s="115"/>
      <c r="BD12" s="115"/>
      <c r="BE12" s="115"/>
      <c r="BF12" s="115"/>
      <c r="BG12" s="115"/>
      <c r="BH12" s="115"/>
      <c r="BI12" s="115"/>
      <c r="BJ12" s="115"/>
      <c r="BK12" s="114"/>
      <c r="BL12" s="115"/>
      <c r="BM12" s="116"/>
    </row>
    <row r="13" spans="1:68" x14ac:dyDescent="0.35">
      <c r="A13" s="19" t="str">
        <f>VLOOKUP(C13,Master!A:D,4,0)</f>
        <v>RM</v>
      </c>
      <c r="B13" s="14" t="str">
        <f>VLOOKUP(C13,Master!A:C,3,0)</f>
        <v>Films All</v>
      </c>
      <c r="C13" s="14" t="s">
        <v>180</v>
      </c>
      <c r="D13" s="2">
        <v>0</v>
      </c>
      <c r="E13" s="2">
        <v>0</v>
      </c>
      <c r="F13" s="2"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0</v>
      </c>
      <c r="U13" s="2">
        <f t="shared" si="0"/>
        <v>0</v>
      </c>
      <c r="V13" s="2">
        <f t="shared" si="0"/>
        <v>0</v>
      </c>
      <c r="W13" s="54">
        <f t="shared" si="9"/>
        <v>0</v>
      </c>
      <c r="X13" s="2">
        <f t="shared" si="10"/>
        <v>0</v>
      </c>
      <c r="Y13" s="2">
        <f t="shared" si="11"/>
        <v>0</v>
      </c>
      <c r="Z13" s="46">
        <v>0</v>
      </c>
      <c r="AA13" s="46">
        <v>0</v>
      </c>
      <c r="AB13" s="46">
        <v>0</v>
      </c>
      <c r="AC13" s="58">
        <f t="shared" si="12"/>
        <v>0</v>
      </c>
      <c r="AD13" s="58">
        <f t="shared" si="13"/>
        <v>0</v>
      </c>
      <c r="AE13" s="12">
        <f t="shared" si="14"/>
        <v>0</v>
      </c>
      <c r="AF13" s="56"/>
      <c r="AG13" s="62"/>
      <c r="AH13" s="117">
        <f t="shared" si="15"/>
        <v>0</v>
      </c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9"/>
      <c r="AZ13" s="115"/>
      <c r="BA13" s="243"/>
      <c r="BB13" s="115"/>
      <c r="BC13" s="115"/>
      <c r="BD13" s="115"/>
      <c r="BE13" s="115"/>
      <c r="BF13" s="115"/>
      <c r="BG13" s="115"/>
      <c r="BH13" s="115"/>
      <c r="BI13" s="115"/>
      <c r="BJ13" s="115"/>
      <c r="BK13" s="114"/>
      <c r="BL13" s="115"/>
      <c r="BM13" s="116"/>
    </row>
    <row r="14" spans="1:68" x14ac:dyDescent="0.35">
      <c r="A14" s="19" t="str">
        <f>VLOOKUP(C14,Master!A:D,4,0)</f>
        <v>RM</v>
      </c>
      <c r="B14" s="14" t="str">
        <f>VLOOKUP(C14,Master!A:C,3,0)</f>
        <v>Granuals</v>
      </c>
      <c r="C14" s="14" t="s">
        <v>277</v>
      </c>
      <c r="D14" s="2">
        <v>0</v>
      </c>
      <c r="E14" s="2">
        <v>0</v>
      </c>
      <c r="F14" s="2"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v>0</v>
      </c>
      <c r="U14" s="2">
        <f t="shared" si="0"/>
        <v>0</v>
      </c>
      <c r="V14" s="2">
        <f t="shared" si="0"/>
        <v>0</v>
      </c>
      <c r="W14" s="54">
        <f t="shared" si="9"/>
        <v>0</v>
      </c>
      <c r="X14" s="2">
        <f t="shared" si="10"/>
        <v>0</v>
      </c>
      <c r="Y14" s="2">
        <f t="shared" si="11"/>
        <v>0</v>
      </c>
      <c r="Z14" s="46">
        <v>0</v>
      </c>
      <c r="AA14" s="46">
        <v>0</v>
      </c>
      <c r="AB14" s="46">
        <v>0</v>
      </c>
      <c r="AC14" s="58">
        <f t="shared" si="12"/>
        <v>0</v>
      </c>
      <c r="AD14" s="58">
        <f t="shared" si="13"/>
        <v>0</v>
      </c>
      <c r="AE14" s="12">
        <f t="shared" si="14"/>
        <v>0</v>
      </c>
      <c r="AF14" s="56"/>
      <c r="AG14" s="62"/>
      <c r="AH14" s="117">
        <f t="shared" si="15"/>
        <v>0</v>
      </c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9"/>
      <c r="AZ14" s="115"/>
      <c r="BA14" s="243"/>
      <c r="BB14" s="115"/>
      <c r="BC14" s="115"/>
      <c r="BD14" s="115"/>
      <c r="BE14" s="115"/>
      <c r="BF14" s="115"/>
      <c r="BG14" s="115"/>
      <c r="BH14" s="115"/>
      <c r="BI14" s="115"/>
      <c r="BJ14" s="115"/>
      <c r="BK14" s="114"/>
      <c r="BL14" s="115"/>
      <c r="BM14" s="116"/>
    </row>
    <row r="15" spans="1:68" x14ac:dyDescent="0.35">
      <c r="A15" s="19" t="str">
        <f>VLOOKUP(C15,Master!A:D,4,0)</f>
        <v>RM</v>
      </c>
      <c r="B15" s="14" t="str">
        <f>VLOOKUP(C15,Master!A:C,3,0)</f>
        <v>Granuals</v>
      </c>
      <c r="C15" s="14" t="s">
        <v>387</v>
      </c>
      <c r="D15" s="2">
        <v>0</v>
      </c>
      <c r="E15" s="2">
        <v>0</v>
      </c>
      <c r="F15" s="2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v>0</v>
      </c>
      <c r="U15" s="2">
        <f t="shared" si="0"/>
        <v>0</v>
      </c>
      <c r="V15" s="2">
        <f t="shared" si="0"/>
        <v>0</v>
      </c>
      <c r="W15" s="54">
        <f t="shared" si="9"/>
        <v>0</v>
      </c>
      <c r="X15" s="2">
        <f t="shared" si="10"/>
        <v>0</v>
      </c>
      <c r="Y15" s="2">
        <f t="shared" si="11"/>
        <v>0</v>
      </c>
      <c r="Z15" s="46">
        <v>0</v>
      </c>
      <c r="AA15" s="46">
        <v>0</v>
      </c>
      <c r="AB15" s="46">
        <v>0</v>
      </c>
      <c r="AC15" s="58">
        <f t="shared" si="12"/>
        <v>0</v>
      </c>
      <c r="AD15" s="58">
        <f t="shared" si="13"/>
        <v>0</v>
      </c>
      <c r="AE15" s="12">
        <f t="shared" si="14"/>
        <v>0</v>
      </c>
      <c r="AF15" s="56"/>
      <c r="AG15" s="62"/>
      <c r="AH15" s="117">
        <f t="shared" si="15"/>
        <v>0</v>
      </c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9"/>
      <c r="AZ15" s="115"/>
      <c r="BA15" s="243"/>
      <c r="BB15" s="115"/>
      <c r="BC15" s="115"/>
      <c r="BD15" s="115"/>
      <c r="BE15" s="115"/>
      <c r="BF15" s="115"/>
      <c r="BG15" s="115"/>
      <c r="BH15" s="115"/>
      <c r="BI15" s="115"/>
      <c r="BJ15" s="115"/>
      <c r="BK15" s="114"/>
      <c r="BL15" s="115"/>
      <c r="BM15" s="116"/>
    </row>
    <row r="16" spans="1:68" x14ac:dyDescent="0.35">
      <c r="A16" s="19" t="str">
        <f>VLOOKUP(C16,Master!A:D,4,0)</f>
        <v>RM</v>
      </c>
      <c r="B16" s="14" t="str">
        <f>VLOOKUP(C16,Master!A:C,3,0)</f>
        <v>Films All</v>
      </c>
      <c r="C16" s="14" t="s">
        <v>398</v>
      </c>
      <c r="D16" s="2">
        <v>0</v>
      </c>
      <c r="E16" s="2">
        <v>0</v>
      </c>
      <c r="F16" s="2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v>0</v>
      </c>
      <c r="U16" s="2">
        <f t="shared" si="0"/>
        <v>0</v>
      </c>
      <c r="V16" s="2">
        <f t="shared" si="0"/>
        <v>0</v>
      </c>
      <c r="W16" s="54">
        <f t="shared" si="9"/>
        <v>0</v>
      </c>
      <c r="X16" s="2">
        <f t="shared" si="10"/>
        <v>0</v>
      </c>
      <c r="Y16" s="2">
        <f t="shared" si="11"/>
        <v>0</v>
      </c>
      <c r="Z16" s="46">
        <v>0</v>
      </c>
      <c r="AA16" s="46">
        <v>0</v>
      </c>
      <c r="AB16" s="46">
        <v>0</v>
      </c>
      <c r="AC16" s="58">
        <f t="shared" si="12"/>
        <v>0</v>
      </c>
      <c r="AD16" s="58">
        <f t="shared" si="13"/>
        <v>0</v>
      </c>
      <c r="AE16" s="12">
        <f t="shared" si="14"/>
        <v>0</v>
      </c>
      <c r="AF16" s="56"/>
      <c r="AG16" s="62"/>
      <c r="AH16" s="117">
        <f t="shared" si="15"/>
        <v>0</v>
      </c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9"/>
      <c r="AZ16" s="115"/>
      <c r="BA16" s="243"/>
      <c r="BB16" s="115"/>
      <c r="BC16" s="115"/>
      <c r="BD16" s="115"/>
      <c r="BE16" s="115"/>
      <c r="BF16" s="115"/>
      <c r="BG16" s="115"/>
      <c r="BH16" s="115"/>
      <c r="BI16" s="115"/>
      <c r="BJ16" s="115"/>
      <c r="BK16" s="114"/>
      <c r="BL16" s="115"/>
      <c r="BM16" s="116"/>
    </row>
    <row r="17" spans="1:65" x14ac:dyDescent="0.35">
      <c r="A17" s="19" t="str">
        <f>VLOOKUP(C17,Master!A:D,4,0)</f>
        <v>RM</v>
      </c>
      <c r="B17" s="14" t="str">
        <f>VLOOKUP(C17,Master!A:C,3,0)</f>
        <v>Granuals</v>
      </c>
      <c r="C17" s="14" t="s">
        <v>417</v>
      </c>
      <c r="D17" s="2">
        <v>0</v>
      </c>
      <c r="E17" s="2">
        <v>0</v>
      </c>
      <c r="F17" s="2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0</v>
      </c>
      <c r="U17" s="2">
        <f t="shared" si="0"/>
        <v>0</v>
      </c>
      <c r="V17" s="2">
        <f t="shared" si="0"/>
        <v>0</v>
      </c>
      <c r="W17" s="54">
        <f t="shared" si="9"/>
        <v>0</v>
      </c>
      <c r="X17" s="2">
        <f t="shared" si="10"/>
        <v>0</v>
      </c>
      <c r="Y17" s="2">
        <f t="shared" si="11"/>
        <v>0</v>
      </c>
      <c r="Z17" s="46">
        <v>0</v>
      </c>
      <c r="AA17" s="46">
        <v>0</v>
      </c>
      <c r="AB17" s="46">
        <v>0</v>
      </c>
      <c r="AC17" s="58">
        <f t="shared" si="12"/>
        <v>0</v>
      </c>
      <c r="AD17" s="58">
        <f t="shared" si="13"/>
        <v>0</v>
      </c>
      <c r="AE17" s="12">
        <f t="shared" si="14"/>
        <v>0</v>
      </c>
      <c r="AF17" s="56"/>
      <c r="AG17" s="62"/>
      <c r="AH17" s="117">
        <f t="shared" si="15"/>
        <v>0</v>
      </c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9"/>
      <c r="AZ17" s="115"/>
      <c r="BA17" s="243"/>
      <c r="BB17" s="115"/>
      <c r="BC17" s="115"/>
      <c r="BD17" s="115"/>
      <c r="BE17" s="115"/>
      <c r="BF17" s="115"/>
      <c r="BG17" s="115"/>
      <c r="BH17" s="115"/>
      <c r="BI17" s="115"/>
      <c r="BJ17" s="115"/>
      <c r="BK17" s="114"/>
      <c r="BL17" s="115"/>
      <c r="BM17" s="116"/>
    </row>
    <row r="18" spans="1:65" x14ac:dyDescent="0.35">
      <c r="A18" s="19" t="str">
        <f>VLOOKUP(C18,Master!A:D,4,0)</f>
        <v>SF</v>
      </c>
      <c r="B18" s="14" t="str">
        <f>VLOOKUP(C18,Master!A:C,3,0)</f>
        <v>Yarn All</v>
      </c>
      <c r="C18" s="14" t="s">
        <v>629</v>
      </c>
      <c r="D18" s="2">
        <v>0</v>
      </c>
      <c r="E18" s="2">
        <v>15276.140000000003</v>
      </c>
      <c r="F18" s="2">
        <v>0</v>
      </c>
      <c r="G18" s="2"/>
      <c r="H18" s="2">
        <v>3286.76</v>
      </c>
      <c r="I18" s="2"/>
      <c r="J18" s="2">
        <v>13674.699999999999</v>
      </c>
      <c r="K18" s="2"/>
      <c r="L18" s="2"/>
      <c r="M18" s="2"/>
      <c r="N18" s="2"/>
      <c r="O18" s="2">
        <v>1796.3</v>
      </c>
      <c r="P18" s="2">
        <v>16825.600000000002</v>
      </c>
      <c r="Q18" s="2"/>
      <c r="R18" s="2"/>
      <c r="S18" s="2"/>
      <c r="T18" s="2">
        <v>11742.54</v>
      </c>
      <c r="U18" s="2">
        <f t="shared" si="0"/>
        <v>1796.3</v>
      </c>
      <c r="V18" s="2">
        <f t="shared" si="0"/>
        <v>5083.0600000000013</v>
      </c>
      <c r="W18" s="54">
        <f t="shared" si="9"/>
        <v>0</v>
      </c>
      <c r="X18" s="2">
        <f t="shared" si="10"/>
        <v>17208.300000000003</v>
      </c>
      <c r="Y18" s="2"/>
      <c r="Z18" s="46">
        <v>0</v>
      </c>
      <c r="AA18" s="46">
        <v>17208.300000000003</v>
      </c>
      <c r="AB18" s="46">
        <v>0</v>
      </c>
      <c r="AC18" s="58">
        <f t="shared" si="12"/>
        <v>0</v>
      </c>
      <c r="AD18" s="58">
        <f t="shared" si="13"/>
        <v>0</v>
      </c>
      <c r="AE18" s="12">
        <f t="shared" si="14"/>
        <v>0</v>
      </c>
      <c r="AF18" s="56"/>
      <c r="AG18" s="62"/>
      <c r="AH18" s="117">
        <f t="shared" si="15"/>
        <v>0</v>
      </c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9"/>
      <c r="AZ18" s="115"/>
      <c r="BA18" s="243"/>
      <c r="BB18" s="115"/>
      <c r="BC18" s="115"/>
      <c r="BD18" s="115"/>
      <c r="BE18" s="115"/>
      <c r="BF18" s="115"/>
      <c r="BG18" s="115"/>
      <c r="BH18" s="115"/>
      <c r="BI18" s="115"/>
      <c r="BJ18" s="115"/>
      <c r="BK18" s="114"/>
      <c r="BL18" s="115"/>
      <c r="BM18" s="116"/>
    </row>
    <row r="19" spans="1:65" x14ac:dyDescent="0.35">
      <c r="A19" s="19" t="str">
        <f>VLOOKUP(C19,Master!A:D,4,0)</f>
        <v>SF</v>
      </c>
      <c r="B19" s="14" t="str">
        <f>VLOOKUP(C19,Master!A:C,3,0)</f>
        <v>PP/PE Fabric</v>
      </c>
      <c r="C19" s="14" t="s">
        <v>639</v>
      </c>
      <c r="D19" s="2">
        <v>0</v>
      </c>
      <c r="E19" s="2">
        <v>11815</v>
      </c>
      <c r="F19" s="2">
        <v>0</v>
      </c>
      <c r="G19" s="2"/>
      <c r="H19" s="2">
        <v>767.8</v>
      </c>
      <c r="I19" s="2"/>
      <c r="J19" s="2">
        <v>47218.899999999994</v>
      </c>
      <c r="K19" s="2">
        <v>27139.1</v>
      </c>
      <c r="L19" s="2"/>
      <c r="M19" s="2"/>
      <c r="N19" s="2"/>
      <c r="O19" s="2">
        <v>156688</v>
      </c>
      <c r="P19" s="2">
        <v>142132</v>
      </c>
      <c r="Q19" s="2"/>
      <c r="R19" s="2"/>
      <c r="S19" s="2"/>
      <c r="T19" s="2">
        <v>11815.300000000003</v>
      </c>
      <c r="U19" s="2">
        <f t="shared" si="0"/>
        <v>156688</v>
      </c>
      <c r="V19" s="2">
        <f t="shared" si="0"/>
        <v>130316.7</v>
      </c>
      <c r="W19" s="54">
        <f t="shared" si="9"/>
        <v>0</v>
      </c>
      <c r="X19" s="2">
        <f t="shared" si="10"/>
        <v>47218.599999999991</v>
      </c>
      <c r="Y19" s="2">
        <f t="shared" si="11"/>
        <v>0</v>
      </c>
      <c r="Z19" s="46">
        <v>0</v>
      </c>
      <c r="AA19" s="46">
        <v>47218.599999999991</v>
      </c>
      <c r="AB19" s="46">
        <v>0</v>
      </c>
      <c r="AC19" s="58">
        <f t="shared" si="12"/>
        <v>0</v>
      </c>
      <c r="AD19" s="58">
        <f t="shared" si="13"/>
        <v>0</v>
      </c>
      <c r="AE19" s="12">
        <f t="shared" si="14"/>
        <v>0</v>
      </c>
      <c r="AF19" s="56"/>
      <c r="AG19" s="62"/>
      <c r="AH19" s="117">
        <f t="shared" si="15"/>
        <v>0</v>
      </c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9"/>
      <c r="AZ19" s="115"/>
      <c r="BA19" s="243"/>
      <c r="BB19" s="115"/>
      <c r="BC19" s="115"/>
      <c r="BD19" s="115"/>
      <c r="BE19" s="115"/>
      <c r="BF19" s="115"/>
      <c r="BG19" s="115"/>
      <c r="BH19" s="115"/>
      <c r="BI19" s="115"/>
      <c r="BJ19" s="115"/>
      <c r="BK19" s="114"/>
      <c r="BL19" s="115"/>
      <c r="BM19" s="116"/>
    </row>
    <row r="20" spans="1:65" x14ac:dyDescent="0.35">
      <c r="A20" s="19" t="str">
        <f>VLOOKUP(C20,Master!A:D,4,0)</f>
        <v>SF</v>
      </c>
      <c r="B20" s="14" t="str">
        <f>VLOOKUP(C20,Master!A:C,3,0)</f>
        <v>Flexitank Accessories</v>
      </c>
      <c r="C20" s="14" t="s">
        <v>641</v>
      </c>
      <c r="D20" s="2">
        <v>0</v>
      </c>
      <c r="E20" s="2">
        <v>0</v>
      </c>
      <c r="F20" s="2"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v>0</v>
      </c>
      <c r="U20" s="2">
        <f t="shared" si="0"/>
        <v>0</v>
      </c>
      <c r="V20" s="2">
        <f t="shared" si="0"/>
        <v>0</v>
      </c>
      <c r="W20" s="54">
        <f t="shared" si="9"/>
        <v>0</v>
      </c>
      <c r="X20" s="2">
        <f t="shared" si="10"/>
        <v>0</v>
      </c>
      <c r="Y20" s="2">
        <f t="shared" si="11"/>
        <v>0</v>
      </c>
      <c r="Z20" s="46">
        <v>0</v>
      </c>
      <c r="AA20" s="46">
        <v>0</v>
      </c>
      <c r="AB20" s="46">
        <v>0</v>
      </c>
      <c r="AC20" s="58">
        <f t="shared" si="12"/>
        <v>0</v>
      </c>
      <c r="AD20" s="58">
        <f t="shared" si="13"/>
        <v>0</v>
      </c>
      <c r="AE20" s="12">
        <f t="shared" si="14"/>
        <v>0</v>
      </c>
      <c r="AF20" s="56"/>
      <c r="AG20" s="62"/>
      <c r="AH20" s="117">
        <f t="shared" si="15"/>
        <v>0</v>
      </c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9"/>
      <c r="AZ20" s="115"/>
      <c r="BA20" s="243"/>
      <c r="BB20" s="115"/>
      <c r="BC20" s="115"/>
      <c r="BD20" s="115"/>
      <c r="BE20" s="115"/>
      <c r="BF20" s="115"/>
      <c r="BG20" s="115"/>
      <c r="BH20" s="115"/>
      <c r="BI20" s="115"/>
      <c r="BJ20" s="115"/>
      <c r="BK20" s="114"/>
      <c r="BL20" s="115"/>
      <c r="BM20" s="116"/>
    </row>
    <row r="21" spans="1:65" x14ac:dyDescent="0.35">
      <c r="A21" s="19" t="str">
        <f>VLOOKUP(C21,Master!A:D,4,0)</f>
        <v>SF</v>
      </c>
      <c r="B21" s="14" t="str">
        <f>VLOOKUP(C21,Master!A:C,3,0)</f>
        <v>PP/PE Fabric</v>
      </c>
      <c r="C21" s="14" t="s">
        <v>652</v>
      </c>
      <c r="D21" s="2">
        <v>0</v>
      </c>
      <c r="E21" s="2">
        <v>9587</v>
      </c>
      <c r="F21" s="2">
        <v>0</v>
      </c>
      <c r="G21" s="2"/>
      <c r="H21" s="2"/>
      <c r="I21" s="2"/>
      <c r="J21" s="2">
        <v>18916</v>
      </c>
      <c r="K21" s="2"/>
      <c r="L21" s="2"/>
      <c r="M21" s="2"/>
      <c r="N21" s="2"/>
      <c r="O21" s="2">
        <v>106320</v>
      </c>
      <c r="P21" s="2">
        <v>115906.7</v>
      </c>
      <c r="Q21" s="2"/>
      <c r="R21" s="2"/>
      <c r="S21" s="2"/>
      <c r="T21" s="2">
        <v>9586.6999999999971</v>
      </c>
      <c r="U21" s="2">
        <f t="shared" si="0"/>
        <v>106320</v>
      </c>
      <c r="V21" s="2">
        <f t="shared" si="0"/>
        <v>106320</v>
      </c>
      <c r="W21" s="54">
        <f t="shared" si="9"/>
        <v>0</v>
      </c>
      <c r="X21" s="2">
        <f t="shared" si="10"/>
        <v>18916.300000000003</v>
      </c>
      <c r="Y21" s="2">
        <f t="shared" si="11"/>
        <v>0</v>
      </c>
      <c r="Z21" s="46">
        <v>0</v>
      </c>
      <c r="AA21" s="46">
        <v>18916.300000000003</v>
      </c>
      <c r="AB21" s="46">
        <v>0</v>
      </c>
      <c r="AC21" s="58">
        <f t="shared" si="12"/>
        <v>0</v>
      </c>
      <c r="AD21" s="58">
        <f t="shared" si="13"/>
        <v>0</v>
      </c>
      <c r="AE21" s="12">
        <f t="shared" si="14"/>
        <v>0</v>
      </c>
      <c r="AF21" s="56"/>
      <c r="AG21" s="62"/>
      <c r="AH21" s="117">
        <f t="shared" si="15"/>
        <v>0</v>
      </c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9"/>
      <c r="AZ21" s="115"/>
      <c r="BA21" s="243"/>
      <c r="BB21" s="115"/>
      <c r="BC21" s="115"/>
      <c r="BD21" s="115"/>
      <c r="BE21" s="115"/>
      <c r="BF21" s="115"/>
      <c r="BG21" s="115"/>
      <c r="BH21" s="115"/>
      <c r="BI21" s="115"/>
      <c r="BJ21" s="115"/>
      <c r="BK21" s="114"/>
      <c r="BL21" s="115"/>
      <c r="BM21" s="116"/>
    </row>
    <row r="22" spans="1:65" x14ac:dyDescent="0.35">
      <c r="A22" s="19" t="str">
        <f>VLOOKUP(C22,Master!A:D,4,0)</f>
        <v>SF</v>
      </c>
      <c r="B22" s="14" t="str">
        <f>VLOOKUP(C22,Master!A:C,3,0)</f>
        <v>PP/PE Fabric</v>
      </c>
      <c r="C22" s="14" t="s">
        <v>664</v>
      </c>
      <c r="D22" s="2">
        <v>0</v>
      </c>
      <c r="E22" s="2">
        <v>0</v>
      </c>
      <c r="F22" s="2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0</v>
      </c>
      <c r="U22" s="2">
        <f t="shared" si="0"/>
        <v>0</v>
      </c>
      <c r="V22" s="2">
        <f t="shared" si="0"/>
        <v>0</v>
      </c>
      <c r="W22" s="54">
        <f t="shared" si="9"/>
        <v>0</v>
      </c>
      <c r="X22" s="2">
        <f t="shared" si="10"/>
        <v>0</v>
      </c>
      <c r="Y22" s="2">
        <f t="shared" si="11"/>
        <v>0</v>
      </c>
      <c r="Z22" s="46">
        <v>0</v>
      </c>
      <c r="AA22" s="46">
        <v>0</v>
      </c>
      <c r="AB22" s="46">
        <v>0</v>
      </c>
      <c r="AC22" s="58">
        <f t="shared" si="12"/>
        <v>0</v>
      </c>
      <c r="AD22" s="58">
        <f t="shared" si="13"/>
        <v>0</v>
      </c>
      <c r="AE22" s="12">
        <f t="shared" si="14"/>
        <v>0</v>
      </c>
      <c r="AF22" s="56"/>
      <c r="AG22" s="62"/>
      <c r="AH22" s="117">
        <f t="shared" si="15"/>
        <v>0</v>
      </c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9"/>
      <c r="AZ22" s="115"/>
      <c r="BA22" s="243"/>
      <c r="BB22" s="115"/>
      <c r="BC22" s="115"/>
      <c r="BD22" s="115"/>
      <c r="BE22" s="115"/>
      <c r="BF22" s="115"/>
      <c r="BG22" s="115"/>
      <c r="BH22" s="115"/>
      <c r="BI22" s="115"/>
      <c r="BJ22" s="115"/>
      <c r="BK22" s="114"/>
      <c r="BL22" s="115"/>
      <c r="BM22" s="116"/>
    </row>
    <row r="23" spans="1:65" x14ac:dyDescent="0.35">
      <c r="A23" s="19" t="str">
        <f>VLOOKUP(C23,Master!A:D,4,0)</f>
        <v>SF</v>
      </c>
      <c r="B23" s="14" t="str">
        <f>VLOOKUP(C23,Master!A:C,3,0)</f>
        <v>PP/PE Fabric</v>
      </c>
      <c r="C23" s="14" t="s">
        <v>675</v>
      </c>
      <c r="D23" s="2">
        <v>0</v>
      </c>
      <c r="E23" s="2">
        <v>0</v>
      </c>
      <c r="F23" s="2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0</v>
      </c>
      <c r="U23" s="2">
        <f t="shared" si="0"/>
        <v>0</v>
      </c>
      <c r="V23" s="2">
        <f t="shared" si="0"/>
        <v>0</v>
      </c>
      <c r="W23" s="54">
        <f t="shared" si="9"/>
        <v>0</v>
      </c>
      <c r="X23" s="2">
        <f t="shared" si="10"/>
        <v>0</v>
      </c>
      <c r="Y23" s="2">
        <f t="shared" si="11"/>
        <v>0</v>
      </c>
      <c r="Z23" s="46">
        <v>0</v>
      </c>
      <c r="AA23" s="46">
        <v>0</v>
      </c>
      <c r="AB23" s="46">
        <v>0</v>
      </c>
      <c r="AC23" s="58">
        <f t="shared" si="12"/>
        <v>0</v>
      </c>
      <c r="AD23" s="58">
        <f t="shared" si="13"/>
        <v>0</v>
      </c>
      <c r="AE23" s="12">
        <f t="shared" si="14"/>
        <v>0</v>
      </c>
      <c r="AF23" s="56"/>
      <c r="AG23" s="62"/>
      <c r="AH23" s="117">
        <f t="shared" si="15"/>
        <v>0</v>
      </c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9"/>
      <c r="AZ23" s="115"/>
      <c r="BA23" s="243"/>
      <c r="BB23" s="115"/>
      <c r="BC23" s="115"/>
      <c r="BD23" s="115"/>
      <c r="BE23" s="115"/>
      <c r="BF23" s="115"/>
      <c r="BG23" s="115"/>
      <c r="BH23" s="115"/>
      <c r="BI23" s="115"/>
      <c r="BJ23" s="115"/>
      <c r="BK23" s="114"/>
      <c r="BL23" s="115"/>
      <c r="BM23" s="116"/>
    </row>
    <row r="24" spans="1:65" x14ac:dyDescent="0.35">
      <c r="A24" s="19" t="str">
        <f>VLOOKUP(C24,Master!A:D,4,0)</f>
        <v>SF</v>
      </c>
      <c r="B24" s="14" t="str">
        <f>VLOOKUP(C24,Master!A:C,3,0)</f>
        <v>Granuals</v>
      </c>
      <c r="C24" s="14" t="s">
        <v>688</v>
      </c>
      <c r="D24" s="2">
        <v>46952.750000000189</v>
      </c>
      <c r="E24" s="2">
        <v>0</v>
      </c>
      <c r="F24" s="2">
        <v>0</v>
      </c>
      <c r="G24" s="2"/>
      <c r="H24" s="2"/>
      <c r="I24" s="6"/>
      <c r="J24" s="2">
        <v>3000</v>
      </c>
      <c r="K24" s="2">
        <v>76000</v>
      </c>
      <c r="L24" s="2"/>
      <c r="M24" s="2"/>
      <c r="N24" s="2"/>
      <c r="O24" s="2">
        <v>64525</v>
      </c>
      <c r="P24" s="2">
        <v>35477.750000000196</v>
      </c>
      <c r="Q24" s="2"/>
      <c r="R24" s="2"/>
      <c r="S24" s="2"/>
      <c r="T24" s="2">
        <v>0</v>
      </c>
      <c r="U24" s="2">
        <f t="shared" si="0"/>
        <v>64525</v>
      </c>
      <c r="V24" s="2">
        <f t="shared" si="0"/>
        <v>35477.750000000196</v>
      </c>
      <c r="W24" s="54">
        <f t="shared" si="9"/>
        <v>0</v>
      </c>
      <c r="X24" s="2">
        <f t="shared" si="10"/>
        <v>3000</v>
      </c>
      <c r="Y24" s="2">
        <f t="shared" si="11"/>
        <v>0</v>
      </c>
      <c r="Z24" s="46">
        <v>0</v>
      </c>
      <c r="AA24" s="46">
        <v>3000</v>
      </c>
      <c r="AB24" s="46">
        <v>0</v>
      </c>
      <c r="AC24" s="58">
        <f t="shared" si="12"/>
        <v>0</v>
      </c>
      <c r="AD24" s="58">
        <f t="shared" si="13"/>
        <v>0</v>
      </c>
      <c r="AE24" s="12">
        <f t="shared" si="14"/>
        <v>0</v>
      </c>
      <c r="AF24" s="56"/>
      <c r="AG24" s="62"/>
      <c r="AH24" s="117">
        <f t="shared" si="15"/>
        <v>0</v>
      </c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9"/>
      <c r="AZ24" s="115"/>
      <c r="BA24" s="243"/>
      <c r="BB24" s="115"/>
      <c r="BC24" s="115"/>
      <c r="BD24" s="115"/>
      <c r="BE24" s="115"/>
      <c r="BF24" s="115"/>
      <c r="BG24" s="115"/>
      <c r="BH24" s="115"/>
      <c r="BI24" s="115"/>
      <c r="BJ24" s="115"/>
      <c r="BK24" s="114"/>
      <c r="BL24" s="115"/>
      <c r="BM24" s="116"/>
    </row>
    <row r="25" spans="1:65" x14ac:dyDescent="0.35">
      <c r="A25" s="19" t="str">
        <f>VLOOKUP(C25,Master!A:D,4,0)</f>
        <v>SF</v>
      </c>
      <c r="B25" s="14" t="str">
        <f>VLOOKUP(C25,Master!A:C,3,0)</f>
        <v>Liners</v>
      </c>
      <c r="C25" s="14" t="s">
        <v>707</v>
      </c>
      <c r="D25" s="2">
        <v>0</v>
      </c>
      <c r="E25" s="2">
        <v>0</v>
      </c>
      <c r="F25" s="2"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>
        <v>0</v>
      </c>
      <c r="U25" s="2">
        <f t="shared" si="0"/>
        <v>0</v>
      </c>
      <c r="V25" s="2">
        <f t="shared" si="0"/>
        <v>0</v>
      </c>
      <c r="W25" s="54">
        <f t="shared" si="9"/>
        <v>0</v>
      </c>
      <c r="X25" s="2">
        <f t="shared" si="10"/>
        <v>0</v>
      </c>
      <c r="Y25" s="2">
        <f t="shared" si="11"/>
        <v>0</v>
      </c>
      <c r="Z25" s="46">
        <v>0</v>
      </c>
      <c r="AA25" s="46">
        <v>0</v>
      </c>
      <c r="AB25" s="46">
        <v>0</v>
      </c>
      <c r="AC25" s="58">
        <f t="shared" si="12"/>
        <v>0</v>
      </c>
      <c r="AD25" s="58">
        <f t="shared" si="13"/>
        <v>0</v>
      </c>
      <c r="AE25" s="12">
        <f t="shared" si="14"/>
        <v>0</v>
      </c>
      <c r="AF25" s="56"/>
      <c r="AG25" s="62"/>
      <c r="AH25" s="117">
        <f t="shared" si="15"/>
        <v>0</v>
      </c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9"/>
      <c r="AZ25" s="115"/>
      <c r="BA25" s="243"/>
      <c r="BB25" s="115"/>
      <c r="BC25" s="115"/>
      <c r="BD25" s="115"/>
      <c r="BE25" s="115"/>
      <c r="BF25" s="115"/>
      <c r="BG25" s="115"/>
      <c r="BH25" s="115"/>
      <c r="BI25" s="115"/>
      <c r="BJ25" s="115"/>
      <c r="BK25" s="114"/>
      <c r="BL25" s="115"/>
      <c r="BM25" s="116"/>
    </row>
    <row r="26" spans="1:65" x14ac:dyDescent="0.35">
      <c r="A26" s="19" t="str">
        <f>VLOOKUP(C26,Master!A:D,4,0)</f>
        <v>SF</v>
      </c>
      <c r="B26" s="14" t="str">
        <f>VLOOKUP(C26,Master!A:C,3,0)</f>
        <v>Webbing</v>
      </c>
      <c r="C26" s="14" t="s">
        <v>710</v>
      </c>
      <c r="D26" s="2">
        <v>0</v>
      </c>
      <c r="E26" s="2">
        <v>1656.1</v>
      </c>
      <c r="F26" s="2">
        <v>0</v>
      </c>
      <c r="G26" s="2"/>
      <c r="H26" s="2"/>
      <c r="I26" s="2"/>
      <c r="J26" s="2">
        <v>81</v>
      </c>
      <c r="K26" s="2">
        <v>5343.7999999999993</v>
      </c>
      <c r="L26" s="2"/>
      <c r="M26" s="2"/>
      <c r="N26" s="2"/>
      <c r="O26" s="2">
        <v>57195.199999999997</v>
      </c>
      <c r="P26" s="2">
        <v>51851.4</v>
      </c>
      <c r="Q26" s="2"/>
      <c r="R26" s="2"/>
      <c r="S26" s="2"/>
      <c r="T26" s="2">
        <v>0</v>
      </c>
      <c r="U26" s="2">
        <f t="shared" si="0"/>
        <v>57195.199999999997</v>
      </c>
      <c r="V26" s="2">
        <f t="shared" si="0"/>
        <v>51851.4</v>
      </c>
      <c r="W26" s="54">
        <f t="shared" si="9"/>
        <v>0</v>
      </c>
      <c r="X26" s="2">
        <f t="shared" si="10"/>
        <v>1737.1</v>
      </c>
      <c r="Y26" s="2">
        <f t="shared" si="11"/>
        <v>0</v>
      </c>
      <c r="Z26" s="46">
        <v>0</v>
      </c>
      <c r="AA26" s="46">
        <v>1737.1</v>
      </c>
      <c r="AB26" s="46">
        <v>0</v>
      </c>
      <c r="AC26" s="58">
        <f t="shared" si="12"/>
        <v>0</v>
      </c>
      <c r="AD26" s="58">
        <f t="shared" si="13"/>
        <v>0</v>
      </c>
      <c r="AE26" s="12">
        <f t="shared" si="14"/>
        <v>0</v>
      </c>
      <c r="AF26" s="56"/>
      <c r="AG26" s="62"/>
      <c r="AH26" s="117">
        <f t="shared" si="15"/>
        <v>0</v>
      </c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9"/>
      <c r="AZ26" s="115"/>
      <c r="BA26" s="243"/>
      <c r="BB26" s="115"/>
      <c r="BC26" s="115"/>
      <c r="BD26" s="115"/>
      <c r="BE26" s="115"/>
      <c r="BF26" s="115"/>
      <c r="BG26" s="115"/>
      <c r="BH26" s="115"/>
      <c r="BI26" s="115"/>
      <c r="BJ26" s="115"/>
      <c r="BK26" s="114"/>
      <c r="BL26" s="115"/>
      <c r="BM26" s="116"/>
    </row>
    <row r="27" spans="1:65" x14ac:dyDescent="0.35">
      <c r="A27" s="19" t="str">
        <f>VLOOKUP(C27,Master!A:D,4,0)</f>
        <v>SF</v>
      </c>
      <c r="B27" s="14" t="str">
        <f>VLOOKUP(C27,Master!A:C,3,0)</f>
        <v>Liners</v>
      </c>
      <c r="C27" s="14" t="s">
        <v>729</v>
      </c>
      <c r="D27" s="2">
        <v>0</v>
      </c>
      <c r="E27" s="2">
        <v>8281.3000000000029</v>
      </c>
      <c r="F27" s="2">
        <v>0</v>
      </c>
      <c r="G27" s="2"/>
      <c r="H27" s="2"/>
      <c r="I27" s="2"/>
      <c r="J27" s="2">
        <v>39624.800000000003</v>
      </c>
      <c r="K27" s="2"/>
      <c r="L27" s="2"/>
      <c r="M27" s="2"/>
      <c r="N27" s="2"/>
      <c r="O27" s="2"/>
      <c r="P27" s="2">
        <v>8281.3000000000065</v>
      </c>
      <c r="Q27" s="2"/>
      <c r="R27" s="2"/>
      <c r="S27" s="2"/>
      <c r="T27" s="2">
        <v>8281.3000000000065</v>
      </c>
      <c r="U27" s="2">
        <f t="shared" si="0"/>
        <v>0</v>
      </c>
      <c r="V27" s="2">
        <f t="shared" si="0"/>
        <v>0</v>
      </c>
      <c r="W27" s="54">
        <f t="shared" si="9"/>
        <v>0</v>
      </c>
      <c r="X27" s="2">
        <f t="shared" si="10"/>
        <v>39624.800000000003</v>
      </c>
      <c r="Y27" s="2">
        <f t="shared" si="11"/>
        <v>0</v>
      </c>
      <c r="Z27" s="46">
        <v>0</v>
      </c>
      <c r="AA27" s="46">
        <v>39624.800000000003</v>
      </c>
      <c r="AB27" s="46">
        <v>0</v>
      </c>
      <c r="AC27" s="58">
        <f t="shared" si="12"/>
        <v>0</v>
      </c>
      <c r="AD27" s="58">
        <f t="shared" si="13"/>
        <v>0</v>
      </c>
      <c r="AE27" s="12">
        <f t="shared" si="14"/>
        <v>0</v>
      </c>
      <c r="AF27" s="56"/>
      <c r="AG27" s="62"/>
      <c r="AH27" s="117">
        <f t="shared" si="15"/>
        <v>0</v>
      </c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9"/>
      <c r="AZ27" s="115"/>
      <c r="BA27" s="243"/>
      <c r="BB27" s="115"/>
      <c r="BC27" s="115"/>
      <c r="BD27" s="115"/>
      <c r="BE27" s="115"/>
      <c r="BF27" s="115"/>
      <c r="BG27" s="115"/>
      <c r="BH27" s="115"/>
      <c r="BI27" s="115"/>
      <c r="BJ27" s="115"/>
      <c r="BK27" s="114"/>
      <c r="BL27" s="115"/>
      <c r="BM27" s="116"/>
    </row>
    <row r="28" spans="1:65" x14ac:dyDescent="0.35">
      <c r="A28" s="19" t="str">
        <f>VLOOKUP(C28,Master!A:D,4,0)</f>
        <v>SF</v>
      </c>
      <c r="B28" s="14" t="str">
        <f>VLOOKUP(C28,Master!A:C,3,0)</f>
        <v>Tape Stock</v>
      </c>
      <c r="C28" s="14" t="s">
        <v>772</v>
      </c>
      <c r="D28" s="2">
        <v>0</v>
      </c>
      <c r="E28" s="2">
        <v>0</v>
      </c>
      <c r="F28" s="2">
        <v>0</v>
      </c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v>0</v>
      </c>
      <c r="U28" s="2">
        <f t="shared" si="0"/>
        <v>0</v>
      </c>
      <c r="V28" s="2">
        <f t="shared" si="0"/>
        <v>0</v>
      </c>
      <c r="W28" s="54">
        <f t="shared" si="9"/>
        <v>0</v>
      </c>
      <c r="X28" s="2">
        <f t="shared" si="10"/>
        <v>0</v>
      </c>
      <c r="Y28" s="2">
        <f t="shared" si="11"/>
        <v>0</v>
      </c>
      <c r="Z28" s="46">
        <v>0</v>
      </c>
      <c r="AA28" s="46">
        <v>0</v>
      </c>
      <c r="AB28" s="46">
        <v>0</v>
      </c>
      <c r="AC28" s="58">
        <f t="shared" si="12"/>
        <v>0</v>
      </c>
      <c r="AD28" s="58">
        <f t="shared" si="13"/>
        <v>0</v>
      </c>
      <c r="AE28" s="12">
        <f t="shared" si="14"/>
        <v>0</v>
      </c>
      <c r="AF28" s="56"/>
      <c r="AG28" s="62"/>
      <c r="AH28" s="117">
        <f t="shared" si="15"/>
        <v>0</v>
      </c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9"/>
      <c r="AZ28" s="115"/>
      <c r="BA28" s="243"/>
      <c r="BB28" s="115"/>
      <c r="BC28" s="115"/>
      <c r="BD28" s="115"/>
      <c r="BE28" s="115"/>
      <c r="BF28" s="115"/>
      <c r="BG28" s="115"/>
      <c r="BH28" s="115"/>
      <c r="BI28" s="115"/>
      <c r="BJ28" s="115"/>
      <c r="BK28" s="114"/>
      <c r="BL28" s="115"/>
      <c r="BM28" s="116"/>
    </row>
    <row r="29" spans="1:65" x14ac:dyDescent="0.35">
      <c r="A29" s="19" t="str">
        <f>VLOOKUP(C29,Master!A:D,4,0)</f>
        <v>SF</v>
      </c>
      <c r="B29" s="14" t="str">
        <f>VLOOKUP(C29,Master!A:C,3,0)</f>
        <v>Tape Stock</v>
      </c>
      <c r="C29" s="14" t="s">
        <v>773</v>
      </c>
      <c r="D29" s="2">
        <v>0</v>
      </c>
      <c r="E29" s="2">
        <v>3243.1999999999971</v>
      </c>
      <c r="F29" s="2">
        <v>0</v>
      </c>
      <c r="G29" s="2"/>
      <c r="H29" s="2"/>
      <c r="I29" s="2"/>
      <c r="J29" s="2">
        <v>8730.6</v>
      </c>
      <c r="K29" s="2"/>
      <c r="L29" s="2"/>
      <c r="M29" s="2"/>
      <c r="N29" s="2"/>
      <c r="O29" s="2">
        <v>193076</v>
      </c>
      <c r="P29" s="2">
        <v>196319.2</v>
      </c>
      <c r="Q29" s="2"/>
      <c r="R29" s="2"/>
      <c r="S29" s="2"/>
      <c r="T29" s="2">
        <v>3243.1999999999971</v>
      </c>
      <c r="U29" s="2">
        <f t="shared" si="0"/>
        <v>193076</v>
      </c>
      <c r="V29" s="53">
        <f t="shared" si="0"/>
        <v>193076</v>
      </c>
      <c r="W29" s="54">
        <f t="shared" si="9"/>
        <v>0</v>
      </c>
      <c r="X29" s="2">
        <f t="shared" si="10"/>
        <v>8730.6</v>
      </c>
      <c r="Y29" s="2">
        <f t="shared" si="11"/>
        <v>0</v>
      </c>
      <c r="Z29" s="46">
        <v>0</v>
      </c>
      <c r="AA29" s="46">
        <v>8730.6</v>
      </c>
      <c r="AB29" s="46">
        <v>0</v>
      </c>
      <c r="AC29" s="58">
        <f t="shared" si="12"/>
        <v>0</v>
      </c>
      <c r="AD29" s="58">
        <f t="shared" si="13"/>
        <v>0</v>
      </c>
      <c r="AE29" s="12">
        <f t="shared" si="14"/>
        <v>0</v>
      </c>
      <c r="AF29" s="56"/>
      <c r="AG29" s="62"/>
      <c r="AH29" s="117">
        <f t="shared" si="15"/>
        <v>0</v>
      </c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9"/>
      <c r="AZ29" s="115"/>
      <c r="BA29" s="243"/>
      <c r="BB29" s="115"/>
      <c r="BC29" s="115"/>
      <c r="BD29" s="115"/>
      <c r="BE29" s="115"/>
      <c r="BF29" s="115"/>
      <c r="BG29" s="115"/>
      <c r="BH29" s="115"/>
      <c r="BI29" s="115"/>
      <c r="BJ29" s="115"/>
      <c r="BK29" s="114"/>
      <c r="BL29" s="115"/>
      <c r="BM29" s="116"/>
    </row>
    <row r="30" spans="1:65" x14ac:dyDescent="0.35">
      <c r="A30" s="19" t="str">
        <f>VLOOKUP(C30,Master!A:D,4,0)</f>
        <v>SF</v>
      </c>
      <c r="B30" s="14" t="str">
        <f>VLOOKUP(C30,Master!A:C,3,0)</f>
        <v>RP Agglo</v>
      </c>
      <c r="C30" s="14" t="s">
        <v>810</v>
      </c>
      <c r="D30" s="2">
        <v>0</v>
      </c>
      <c r="E30" s="2">
        <v>0</v>
      </c>
      <c r="F30" s="2"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v>0</v>
      </c>
      <c r="U30" s="2">
        <f t="shared" si="0"/>
        <v>0</v>
      </c>
      <c r="V30" s="2">
        <f t="shared" si="0"/>
        <v>0</v>
      </c>
      <c r="W30" s="54">
        <f t="shared" si="9"/>
        <v>0</v>
      </c>
      <c r="X30" s="2">
        <f t="shared" si="10"/>
        <v>0</v>
      </c>
      <c r="Y30" s="2">
        <f t="shared" si="11"/>
        <v>0</v>
      </c>
      <c r="Z30" s="46">
        <v>0</v>
      </c>
      <c r="AA30" s="46">
        <v>0</v>
      </c>
      <c r="AB30" s="46">
        <v>0</v>
      </c>
      <c r="AC30" s="58">
        <f t="shared" si="12"/>
        <v>0</v>
      </c>
      <c r="AD30" s="58">
        <f t="shared" si="13"/>
        <v>0</v>
      </c>
      <c r="AE30" s="12">
        <f t="shared" si="14"/>
        <v>0</v>
      </c>
      <c r="AF30" s="56"/>
      <c r="AG30" s="62"/>
      <c r="AH30" s="117">
        <f t="shared" si="15"/>
        <v>0</v>
      </c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9"/>
      <c r="AZ30" s="115"/>
      <c r="BA30" s="243"/>
      <c r="BB30" s="115"/>
      <c r="BC30" s="115"/>
      <c r="BD30" s="115"/>
      <c r="BE30" s="115"/>
      <c r="BF30" s="115"/>
      <c r="BG30" s="115"/>
      <c r="BH30" s="115"/>
      <c r="BI30" s="115"/>
      <c r="BJ30" s="115"/>
      <c r="BK30" s="114"/>
      <c r="BL30" s="115"/>
      <c r="BM30" s="116"/>
    </row>
    <row r="31" spans="1:65" x14ac:dyDescent="0.35">
      <c r="A31" s="19" t="str">
        <f>VLOOKUP(C31,Master!A:D,4,0)</f>
        <v>SF</v>
      </c>
      <c r="B31" s="14" t="str">
        <f>VLOOKUP(C31,Master!A:C,3,0)</f>
        <v>Wastage/Scrap</v>
      </c>
      <c r="C31" s="14" t="s">
        <v>820</v>
      </c>
      <c r="D31" s="2">
        <v>17957.960000000006</v>
      </c>
      <c r="E31" s="2">
        <v>0</v>
      </c>
      <c r="F31" s="2">
        <v>0</v>
      </c>
      <c r="G31" s="2"/>
      <c r="H31" s="2">
        <v>20774</v>
      </c>
      <c r="I31" s="2"/>
      <c r="J31" s="2"/>
      <c r="K31" s="2">
        <v>16000</v>
      </c>
      <c r="L31" s="2"/>
      <c r="M31" s="2"/>
      <c r="N31" s="2">
        <v>20774</v>
      </c>
      <c r="O31" s="2">
        <v>39203</v>
      </c>
      <c r="P31" s="2">
        <v>11334.5</v>
      </c>
      <c r="Q31" s="2"/>
      <c r="R31" s="2"/>
      <c r="S31" s="2">
        <v>20774</v>
      </c>
      <c r="T31" s="2">
        <v>0</v>
      </c>
      <c r="U31" s="2">
        <f t="shared" si="0"/>
        <v>18429</v>
      </c>
      <c r="V31" s="2">
        <f t="shared" si="0"/>
        <v>11334.5</v>
      </c>
      <c r="W31" s="54">
        <f t="shared" si="9"/>
        <v>29826.460000000006</v>
      </c>
      <c r="X31" s="2">
        <f t="shared" si="10"/>
        <v>0</v>
      </c>
      <c r="Y31" s="2">
        <f t="shared" si="11"/>
        <v>0</v>
      </c>
      <c r="Z31" s="46">
        <v>29826.460000000006</v>
      </c>
      <c r="AA31" s="46">
        <v>0</v>
      </c>
      <c r="AB31" s="46">
        <v>0</v>
      </c>
      <c r="AC31" s="58">
        <f t="shared" si="12"/>
        <v>0</v>
      </c>
      <c r="AD31" s="58">
        <f t="shared" si="13"/>
        <v>0</v>
      </c>
      <c r="AE31" s="12">
        <f t="shared" si="14"/>
        <v>0</v>
      </c>
      <c r="AF31" s="56"/>
      <c r="AG31" s="62">
        <v>60</v>
      </c>
      <c r="AH31" s="117">
        <f t="shared" si="15"/>
        <v>1789587.6000000003</v>
      </c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9"/>
      <c r="AZ31" s="115"/>
      <c r="BA31" s="243"/>
      <c r="BB31" s="115"/>
      <c r="BC31" s="115"/>
      <c r="BD31" s="115"/>
      <c r="BE31" s="115"/>
      <c r="BF31" s="115"/>
      <c r="BG31" s="115"/>
      <c r="BH31" s="115"/>
      <c r="BI31" s="115"/>
      <c r="BJ31" s="115"/>
      <c r="BK31" s="114"/>
      <c r="BL31" s="115"/>
      <c r="BM31" s="116"/>
    </row>
    <row r="32" spans="1:65" x14ac:dyDescent="0.35">
      <c r="A32" s="19" t="str">
        <f>VLOOKUP(C32,Master!A:D,4,0)</f>
        <v>FG</v>
      </c>
      <c r="B32" s="14" t="str">
        <f>VLOOKUP(C32,Master!A:C,3,0)</f>
        <v>FIBC WIP</v>
      </c>
      <c r="C32" s="14" t="s">
        <v>892</v>
      </c>
      <c r="D32" s="2">
        <v>40456.999999999942</v>
      </c>
      <c r="E32" s="2">
        <v>0</v>
      </c>
      <c r="F32" s="2">
        <v>0</v>
      </c>
      <c r="G32" s="2"/>
      <c r="H32" s="2"/>
      <c r="I32" s="2"/>
      <c r="J32" s="2"/>
      <c r="K32" s="2"/>
      <c r="L32" s="2"/>
      <c r="M32" s="2"/>
      <c r="N32" s="2"/>
      <c r="O32" s="2">
        <v>296532</v>
      </c>
      <c r="P32" s="2">
        <v>301629.00111199979</v>
      </c>
      <c r="Q32" s="2"/>
      <c r="R32" s="2"/>
      <c r="S32" s="2"/>
      <c r="T32" s="2">
        <v>0</v>
      </c>
      <c r="U32" s="2">
        <f t="shared" si="0"/>
        <v>296532</v>
      </c>
      <c r="V32" s="2">
        <f t="shared" si="0"/>
        <v>301629.00111199979</v>
      </c>
      <c r="W32" s="54">
        <f t="shared" si="9"/>
        <v>35359.998888000147</v>
      </c>
      <c r="X32" s="2">
        <f t="shared" si="10"/>
        <v>0</v>
      </c>
      <c r="Y32" s="2">
        <f t="shared" si="11"/>
        <v>0</v>
      </c>
      <c r="Z32" s="46">
        <v>35359.998888000147</v>
      </c>
      <c r="AA32" s="46">
        <v>0</v>
      </c>
      <c r="AB32" s="46">
        <v>0</v>
      </c>
      <c r="AC32" s="58">
        <f t="shared" si="12"/>
        <v>0</v>
      </c>
      <c r="AD32" s="58">
        <f t="shared" si="13"/>
        <v>0</v>
      </c>
      <c r="AE32" s="12">
        <f t="shared" si="14"/>
        <v>0</v>
      </c>
      <c r="AF32" s="56"/>
      <c r="AG32" s="62">
        <v>135</v>
      </c>
      <c r="AH32" s="117">
        <f t="shared" si="15"/>
        <v>4773599.8498800201</v>
      </c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9"/>
      <c r="AZ32" s="115"/>
      <c r="BA32" s="243"/>
      <c r="BB32" s="115"/>
      <c r="BC32" s="115"/>
      <c r="BD32" s="115"/>
      <c r="BE32" s="115"/>
      <c r="BF32" s="115"/>
      <c r="BG32" s="115"/>
      <c r="BH32" s="115"/>
      <c r="BI32" s="115"/>
      <c r="BJ32" s="115"/>
      <c r="BK32" s="114"/>
      <c r="BL32" s="115"/>
      <c r="BM32" s="118"/>
    </row>
    <row r="33" spans="1:65" x14ac:dyDescent="0.35">
      <c r="A33" s="19" t="str">
        <f>VLOOKUP(C33,Master!A:D,4,0)</f>
        <v>FG</v>
      </c>
      <c r="B33" s="14" t="str">
        <f>VLOOKUP(C33,Master!A:C,3,0)</f>
        <v>Label Div</v>
      </c>
      <c r="C33" s="14" t="s">
        <v>895</v>
      </c>
      <c r="D33" s="2">
        <v>0</v>
      </c>
      <c r="E33" s="2">
        <v>0</v>
      </c>
      <c r="F33" s="2"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0</v>
      </c>
      <c r="U33" s="2">
        <f t="shared" si="0"/>
        <v>0</v>
      </c>
      <c r="V33" s="2">
        <f t="shared" si="0"/>
        <v>0</v>
      </c>
      <c r="W33" s="54">
        <f t="shared" si="9"/>
        <v>0</v>
      </c>
      <c r="X33" s="2">
        <f t="shared" si="10"/>
        <v>0</v>
      </c>
      <c r="Y33" s="2">
        <f t="shared" si="11"/>
        <v>0</v>
      </c>
      <c r="Z33" s="46">
        <v>0</v>
      </c>
      <c r="AA33" s="46">
        <v>0</v>
      </c>
      <c r="AB33" s="46">
        <v>0</v>
      </c>
      <c r="AC33" s="58">
        <f t="shared" si="12"/>
        <v>0</v>
      </c>
      <c r="AD33" s="58">
        <f t="shared" si="13"/>
        <v>0</v>
      </c>
      <c r="AE33" s="12">
        <f t="shared" si="14"/>
        <v>0</v>
      </c>
      <c r="AF33" s="56"/>
      <c r="AG33" s="62"/>
      <c r="AH33" s="117">
        <f t="shared" si="15"/>
        <v>0</v>
      </c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9"/>
      <c r="AZ33" s="115"/>
      <c r="BA33" s="243"/>
      <c r="BB33" s="115"/>
      <c r="BC33" s="115"/>
      <c r="BD33" s="115"/>
      <c r="BE33" s="115"/>
      <c r="BF33" s="115"/>
      <c r="BG33" s="115"/>
      <c r="BH33" s="115"/>
      <c r="BI33" s="115"/>
      <c r="BJ33" s="115"/>
      <c r="BK33" s="114"/>
      <c r="BL33" s="119"/>
      <c r="BM33" s="116"/>
    </row>
    <row r="34" spans="1:65" x14ac:dyDescent="0.35">
      <c r="A34" s="19" t="str">
        <f>VLOOKUP(C34,Master!A:D,4,0)</f>
        <v>FG</v>
      </c>
      <c r="B34" s="14" t="str">
        <f>VLOOKUP(C34,Master!A:C,3,0)</f>
        <v>FIBC Bags</v>
      </c>
      <c r="C34" s="14" t="s">
        <v>897</v>
      </c>
      <c r="D34" s="2">
        <v>0</v>
      </c>
      <c r="E34" s="2">
        <v>0</v>
      </c>
      <c r="F34" s="2">
        <v>0</v>
      </c>
      <c r="G34" s="2"/>
      <c r="H34" s="2"/>
      <c r="I34" s="2"/>
      <c r="J34" s="2"/>
      <c r="K34" s="2">
        <v>1900</v>
      </c>
      <c r="L34" s="2"/>
      <c r="M34" s="2"/>
      <c r="N34" s="2">
        <v>262003</v>
      </c>
      <c r="O34" s="2">
        <v>263903</v>
      </c>
      <c r="P34" s="2"/>
      <c r="Q34" s="2"/>
      <c r="R34" s="2"/>
      <c r="S34" s="2">
        <v>262003</v>
      </c>
      <c r="T34" s="2">
        <v>0</v>
      </c>
      <c r="U34" s="2">
        <f t="shared" ref="U34:U40" si="16">O34-S34</f>
        <v>1900</v>
      </c>
      <c r="V34" s="2">
        <f t="shared" ref="V34:V40" si="17">P34-T34</f>
        <v>0</v>
      </c>
      <c r="W34" s="54">
        <f t="shared" si="9"/>
        <v>0</v>
      </c>
      <c r="X34" s="2">
        <f t="shared" si="10"/>
        <v>0</v>
      </c>
      <c r="Y34" s="2">
        <f t="shared" si="11"/>
        <v>0</v>
      </c>
      <c r="Z34" s="46">
        <v>0</v>
      </c>
      <c r="AA34" s="46">
        <v>0</v>
      </c>
      <c r="AB34" s="46">
        <v>0</v>
      </c>
      <c r="AC34" s="58">
        <f t="shared" si="12"/>
        <v>0</v>
      </c>
      <c r="AD34" s="58">
        <f t="shared" si="13"/>
        <v>0</v>
      </c>
      <c r="AE34" s="12">
        <f t="shared" si="14"/>
        <v>0</v>
      </c>
      <c r="AF34" s="56"/>
      <c r="AG34" s="62"/>
      <c r="AH34" s="117">
        <f t="shared" si="15"/>
        <v>0</v>
      </c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9"/>
      <c r="AZ34" s="115"/>
      <c r="BA34" s="243"/>
      <c r="BB34" s="115"/>
      <c r="BC34" s="115"/>
      <c r="BD34" s="115"/>
      <c r="BE34" s="115"/>
      <c r="BF34" s="115"/>
      <c r="BG34" s="115"/>
      <c r="BH34" s="115"/>
      <c r="BI34" s="115"/>
      <c r="BJ34" s="115"/>
      <c r="BK34" s="114"/>
      <c r="BL34" s="115"/>
      <c r="BM34" s="116"/>
    </row>
    <row r="35" spans="1:65" x14ac:dyDescent="0.35">
      <c r="A35" s="19" t="str">
        <f>VLOOKUP(C35,Master!A:D,4,0)</f>
        <v>FG</v>
      </c>
      <c r="B35" s="14" t="str">
        <f>VLOOKUP(C35,Master!A:C,3,0)</f>
        <v>Small Bags</v>
      </c>
      <c r="C35" s="14" t="s">
        <v>900</v>
      </c>
      <c r="D35" s="2">
        <v>0</v>
      </c>
      <c r="E35" s="2">
        <v>0</v>
      </c>
      <c r="F35" s="2">
        <v>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>
        <v>0</v>
      </c>
      <c r="U35" s="2">
        <f t="shared" si="16"/>
        <v>0</v>
      </c>
      <c r="V35" s="2">
        <f t="shared" si="17"/>
        <v>0</v>
      </c>
      <c r="W35" s="54">
        <f t="shared" si="9"/>
        <v>0</v>
      </c>
      <c r="X35" s="2">
        <f t="shared" si="10"/>
        <v>0</v>
      </c>
      <c r="Y35" s="2">
        <f t="shared" si="11"/>
        <v>0</v>
      </c>
      <c r="Z35" s="46">
        <v>0</v>
      </c>
      <c r="AA35" s="46">
        <v>0</v>
      </c>
      <c r="AB35" s="46">
        <v>0</v>
      </c>
      <c r="AC35" s="58">
        <f t="shared" si="12"/>
        <v>0</v>
      </c>
      <c r="AD35" s="58">
        <f t="shared" si="13"/>
        <v>0</v>
      </c>
      <c r="AE35" s="12">
        <f t="shared" si="14"/>
        <v>0</v>
      </c>
      <c r="AF35" s="56"/>
      <c r="AG35" s="62"/>
      <c r="AH35" s="117">
        <f t="shared" si="15"/>
        <v>0</v>
      </c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9"/>
      <c r="AZ35" s="115"/>
      <c r="BA35" s="243"/>
      <c r="BB35" s="244"/>
      <c r="BC35" s="115"/>
      <c r="BD35" s="115"/>
      <c r="BE35" s="115"/>
      <c r="BF35" s="115"/>
      <c r="BG35" s="115"/>
      <c r="BH35" s="115"/>
      <c r="BI35" s="115"/>
      <c r="BJ35" s="115"/>
      <c r="BK35" s="114"/>
      <c r="BL35" s="115"/>
      <c r="BM35" s="116"/>
    </row>
    <row r="36" spans="1:65" x14ac:dyDescent="0.35">
      <c r="A36" s="19" t="str">
        <f>VLOOKUP(C36,Master!A:D,4,0)</f>
        <v>FG</v>
      </c>
      <c r="B36" s="14" t="str">
        <f>VLOOKUP(C36,Master!A:C,3,0)</f>
        <v>Tarps</v>
      </c>
      <c r="C36" s="14" t="s">
        <v>903</v>
      </c>
      <c r="D36" s="2">
        <v>0</v>
      </c>
      <c r="E36" s="2">
        <v>0</v>
      </c>
      <c r="F36" s="2">
        <v>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>
        <v>0</v>
      </c>
      <c r="U36" s="2">
        <f t="shared" si="16"/>
        <v>0</v>
      </c>
      <c r="V36" s="2">
        <f t="shared" si="17"/>
        <v>0</v>
      </c>
      <c r="W36" s="54">
        <f t="shared" si="9"/>
        <v>0</v>
      </c>
      <c r="X36" s="2">
        <f t="shared" si="10"/>
        <v>0</v>
      </c>
      <c r="Y36" s="2">
        <f t="shared" si="11"/>
        <v>0</v>
      </c>
      <c r="Z36" s="46">
        <v>0</v>
      </c>
      <c r="AA36" s="46">
        <v>0</v>
      </c>
      <c r="AB36" s="46">
        <v>0</v>
      </c>
      <c r="AC36" s="58">
        <f t="shared" si="12"/>
        <v>0</v>
      </c>
      <c r="AD36" s="58">
        <f t="shared" si="13"/>
        <v>0</v>
      </c>
      <c r="AE36" s="12">
        <f t="shared" si="14"/>
        <v>0</v>
      </c>
      <c r="AF36" s="56"/>
      <c r="AG36" s="62"/>
      <c r="AH36" s="117">
        <f t="shared" si="15"/>
        <v>0</v>
      </c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9"/>
      <c r="AZ36" s="115"/>
      <c r="BA36" s="243"/>
      <c r="BB36" s="115"/>
      <c r="BC36" s="115"/>
      <c r="BD36" s="115"/>
      <c r="BE36" s="115"/>
      <c r="BF36" s="115"/>
      <c r="BG36" s="115"/>
      <c r="BH36" s="115"/>
      <c r="BI36" s="115"/>
      <c r="BJ36" s="115"/>
      <c r="BK36" s="114"/>
      <c r="BL36" s="115"/>
      <c r="BM36" s="116"/>
    </row>
    <row r="37" spans="1:65" x14ac:dyDescent="0.35">
      <c r="A37" s="19" t="str">
        <f>VLOOKUP(C37,Master!A:D,4,0)</f>
        <v>FG</v>
      </c>
      <c r="B37" s="14" t="str">
        <f>VLOOKUP(C37,Master!A:C,3,0)</f>
        <v>Trading Items</v>
      </c>
      <c r="C37" s="14" t="s">
        <v>905</v>
      </c>
      <c r="D37" s="2">
        <v>0</v>
      </c>
      <c r="E37" s="2">
        <v>0</v>
      </c>
      <c r="F37" s="2">
        <v>0</v>
      </c>
      <c r="G37" s="6"/>
      <c r="H37" s="6"/>
      <c r="I37" s="6"/>
      <c r="J37" s="2"/>
      <c r="K37" s="6"/>
      <c r="L37" s="6"/>
      <c r="M37" s="6"/>
      <c r="N37" s="6"/>
      <c r="O37" s="6"/>
      <c r="P37" s="6"/>
      <c r="Q37" s="2"/>
      <c r="R37" s="6"/>
      <c r="S37" s="6"/>
      <c r="T37" s="6">
        <v>0</v>
      </c>
      <c r="U37" s="2">
        <f t="shared" si="16"/>
        <v>0</v>
      </c>
      <c r="V37" s="2">
        <f t="shared" si="17"/>
        <v>0</v>
      </c>
      <c r="W37" s="54">
        <f t="shared" si="9"/>
        <v>0</v>
      </c>
      <c r="X37" s="2">
        <f t="shared" si="10"/>
        <v>0</v>
      </c>
      <c r="Y37" s="2">
        <f t="shared" si="11"/>
        <v>0</v>
      </c>
      <c r="Z37" s="46">
        <v>0</v>
      </c>
      <c r="AA37" s="46">
        <v>0</v>
      </c>
      <c r="AB37" s="46">
        <v>0</v>
      </c>
      <c r="AC37" s="58">
        <f t="shared" si="12"/>
        <v>0</v>
      </c>
      <c r="AD37" s="58">
        <f t="shared" si="13"/>
        <v>0</v>
      </c>
      <c r="AE37" s="12">
        <f t="shared" si="14"/>
        <v>0</v>
      </c>
      <c r="AF37" s="56"/>
      <c r="AG37" s="62"/>
      <c r="AH37" s="117">
        <f t="shared" si="15"/>
        <v>0</v>
      </c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9"/>
      <c r="AZ37" s="115"/>
      <c r="BA37" s="243"/>
      <c r="BB37" s="115"/>
      <c r="BC37" s="115"/>
      <c r="BD37" s="115"/>
      <c r="BE37" s="115"/>
      <c r="BF37" s="115"/>
      <c r="BG37" s="115"/>
      <c r="BH37" s="115"/>
      <c r="BI37" s="115"/>
      <c r="BJ37" s="115"/>
      <c r="BK37" s="114"/>
      <c r="BL37" s="115"/>
      <c r="BM37" s="116"/>
    </row>
    <row r="38" spans="1:65" x14ac:dyDescent="0.35">
      <c r="A38" s="19" t="str">
        <f>VLOOKUP(C38,Master!A:D,4,0)</f>
        <v>FG</v>
      </c>
      <c r="B38" s="14" t="str">
        <f>VLOOKUP(C38,Master!A:C,3,0)</f>
        <v>Small Bags</v>
      </c>
      <c r="C38" s="14" t="s">
        <v>907</v>
      </c>
      <c r="D38" s="2">
        <v>0</v>
      </c>
      <c r="E38" s="2">
        <v>0</v>
      </c>
      <c r="F38" s="2">
        <v>0</v>
      </c>
      <c r="G38" s="6"/>
      <c r="H38" s="2"/>
      <c r="I38" s="6"/>
      <c r="J38" s="2"/>
      <c r="K38" s="6"/>
      <c r="L38" s="6"/>
      <c r="M38" s="6"/>
      <c r="N38" s="6"/>
      <c r="O38" s="6"/>
      <c r="P38" s="6"/>
      <c r="Q38" s="2"/>
      <c r="R38" s="6"/>
      <c r="S38" s="6"/>
      <c r="T38" s="6">
        <v>0</v>
      </c>
      <c r="U38" s="2">
        <f t="shared" si="16"/>
        <v>0</v>
      </c>
      <c r="V38" s="2">
        <f t="shared" si="17"/>
        <v>0</v>
      </c>
      <c r="W38" s="54">
        <f t="shared" si="9"/>
        <v>0</v>
      </c>
      <c r="X38" s="2">
        <f t="shared" si="10"/>
        <v>0</v>
      </c>
      <c r="Y38" s="2">
        <f t="shared" si="11"/>
        <v>0</v>
      </c>
      <c r="Z38" s="46">
        <v>0</v>
      </c>
      <c r="AA38" s="46">
        <v>0</v>
      </c>
      <c r="AB38" s="46">
        <v>0</v>
      </c>
      <c r="AC38" s="58">
        <f t="shared" si="12"/>
        <v>0</v>
      </c>
      <c r="AD38" s="58">
        <f t="shared" si="13"/>
        <v>0</v>
      </c>
      <c r="AE38" s="12">
        <f t="shared" si="14"/>
        <v>0</v>
      </c>
      <c r="AF38" s="56"/>
      <c r="AG38" s="62"/>
      <c r="AH38" s="117">
        <f t="shared" si="15"/>
        <v>0</v>
      </c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9"/>
      <c r="AZ38" s="115"/>
      <c r="BA38" s="243"/>
      <c r="BB38" s="115"/>
      <c r="BC38" s="115"/>
      <c r="BD38" s="115"/>
      <c r="BE38" s="115"/>
      <c r="BF38" s="115"/>
      <c r="BG38" s="115"/>
      <c r="BH38" s="115"/>
      <c r="BI38" s="115"/>
      <c r="BJ38" s="115"/>
      <c r="BK38" s="114"/>
      <c r="BL38" s="115"/>
      <c r="BM38" s="116"/>
    </row>
    <row r="39" spans="1:65" x14ac:dyDescent="0.35">
      <c r="A39" s="19" t="str">
        <f>VLOOKUP(C39,Master!A:D,4,0)</f>
        <v>FG</v>
      </c>
      <c r="B39" s="14" t="str">
        <f>VLOOKUP(C39,Master!A:C,3,0)</f>
        <v>Small Bags WIP</v>
      </c>
      <c r="C39" s="14" t="s">
        <v>908</v>
      </c>
      <c r="D39" s="2">
        <v>0</v>
      </c>
      <c r="E39" s="2">
        <v>0</v>
      </c>
      <c r="F39" s="2">
        <v>0</v>
      </c>
      <c r="G39" s="7"/>
      <c r="H39" s="2"/>
      <c r="I39" s="7"/>
      <c r="J39" s="11"/>
      <c r="K39" s="7"/>
      <c r="L39" s="7"/>
      <c r="M39" s="7"/>
      <c r="N39" s="7"/>
      <c r="O39" s="7"/>
      <c r="P39" s="6"/>
      <c r="Q39" s="2"/>
      <c r="R39" s="7"/>
      <c r="S39" s="7"/>
      <c r="T39" s="6">
        <v>0</v>
      </c>
      <c r="U39" s="2">
        <f t="shared" si="16"/>
        <v>0</v>
      </c>
      <c r="V39" s="2">
        <f t="shared" si="17"/>
        <v>0</v>
      </c>
      <c r="W39" s="54">
        <f t="shared" si="9"/>
        <v>0</v>
      </c>
      <c r="X39" s="2">
        <f t="shared" si="10"/>
        <v>0</v>
      </c>
      <c r="Y39" s="2">
        <f t="shared" si="11"/>
        <v>0</v>
      </c>
      <c r="Z39" s="46">
        <v>0</v>
      </c>
      <c r="AA39" s="46">
        <v>0</v>
      </c>
      <c r="AB39" s="46">
        <v>0</v>
      </c>
      <c r="AC39" s="58">
        <f t="shared" si="12"/>
        <v>0</v>
      </c>
      <c r="AD39" s="58">
        <f t="shared" si="13"/>
        <v>0</v>
      </c>
      <c r="AE39" s="12">
        <f t="shared" si="14"/>
        <v>0</v>
      </c>
      <c r="AF39" s="56"/>
      <c r="AG39" s="62"/>
      <c r="AH39" s="117">
        <f t="shared" si="15"/>
        <v>0</v>
      </c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9"/>
      <c r="AZ39" s="115"/>
      <c r="BA39" s="243"/>
      <c r="BB39" s="115"/>
      <c r="BC39" s="115"/>
      <c r="BD39" s="115"/>
      <c r="BE39" s="115"/>
      <c r="BF39" s="115"/>
      <c r="BG39" s="115"/>
      <c r="BH39" s="115"/>
      <c r="BI39" s="115"/>
      <c r="BJ39" s="115"/>
      <c r="BK39" s="114"/>
      <c r="BL39" s="115"/>
      <c r="BM39" s="116"/>
    </row>
    <row r="40" spans="1:65" ht="15" thickBot="1" x14ac:dyDescent="0.4">
      <c r="A40" s="20" t="str">
        <f>VLOOKUP(C40,Master!A:D,4,0)</f>
        <v>FG</v>
      </c>
      <c r="B40" s="21" t="str">
        <f>VLOOKUP(C40,Master!A:C,3,0)</f>
        <v>Flexitank</v>
      </c>
      <c r="C40" s="21" t="s">
        <v>718</v>
      </c>
      <c r="D40" s="2">
        <v>0</v>
      </c>
      <c r="E40" s="2">
        <v>0</v>
      </c>
      <c r="F40" s="2">
        <v>0</v>
      </c>
      <c r="G40" s="22"/>
      <c r="H40" s="22"/>
      <c r="I40" s="22"/>
      <c r="J40" s="24"/>
      <c r="K40" s="22"/>
      <c r="L40" s="22"/>
      <c r="M40" s="22"/>
      <c r="N40" s="22"/>
      <c r="O40" s="22"/>
      <c r="P40" s="22"/>
      <c r="Q40" s="2"/>
      <c r="R40" s="22"/>
      <c r="S40" s="22"/>
      <c r="T40" s="22">
        <v>0</v>
      </c>
      <c r="U40" s="2">
        <f t="shared" si="16"/>
        <v>0</v>
      </c>
      <c r="V40" s="2">
        <f t="shared" si="17"/>
        <v>0</v>
      </c>
      <c r="W40" s="54">
        <f t="shared" si="9"/>
        <v>0</v>
      </c>
      <c r="X40" s="2">
        <f t="shared" si="10"/>
        <v>0</v>
      </c>
      <c r="Y40" s="2">
        <f t="shared" si="11"/>
        <v>0</v>
      </c>
      <c r="Z40" s="46">
        <v>0</v>
      </c>
      <c r="AA40" s="46">
        <v>0</v>
      </c>
      <c r="AB40" s="46">
        <v>0</v>
      </c>
      <c r="AC40" s="58">
        <f t="shared" si="12"/>
        <v>0</v>
      </c>
      <c r="AD40" s="58">
        <f t="shared" si="13"/>
        <v>0</v>
      </c>
      <c r="AE40" s="12">
        <f t="shared" si="14"/>
        <v>0</v>
      </c>
      <c r="AF40" s="56"/>
      <c r="AG40" s="65"/>
      <c r="AH40" s="117">
        <f t="shared" si="15"/>
        <v>0</v>
      </c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9"/>
      <c r="AZ40" s="115"/>
      <c r="BA40" s="243"/>
      <c r="BB40" s="115"/>
      <c r="BC40" s="115"/>
      <c r="BD40" s="115"/>
      <c r="BE40" s="115"/>
      <c r="BF40" s="115"/>
      <c r="BG40" s="115"/>
      <c r="BH40" s="115"/>
      <c r="BI40" s="115"/>
      <c r="BJ40" s="115"/>
      <c r="BK40" s="114"/>
      <c r="BL40" s="115"/>
      <c r="BM40" s="116"/>
    </row>
    <row r="41" spans="1:65" x14ac:dyDescent="0.35">
      <c r="A41" s="536" t="s">
        <v>928</v>
      </c>
      <c r="B41" s="537"/>
      <c r="C41" s="538"/>
      <c r="D41" s="17">
        <f t="shared" ref="D41:AF41" si="18">SUM(D4:D40)</f>
        <v>130736.75888800008</v>
      </c>
      <c r="E41" s="17">
        <f t="shared" si="18"/>
        <v>657884.24</v>
      </c>
      <c r="F41" s="17">
        <f t="shared" si="18"/>
        <v>0</v>
      </c>
      <c r="G41" s="17">
        <f t="shared" si="18"/>
        <v>0</v>
      </c>
      <c r="H41" s="17">
        <f t="shared" si="18"/>
        <v>136828.56</v>
      </c>
      <c r="I41" s="17">
        <f t="shared" si="18"/>
        <v>0</v>
      </c>
      <c r="J41" s="17">
        <f t="shared" si="18"/>
        <v>340520.99999999994</v>
      </c>
      <c r="K41" s="17">
        <f t="shared" si="18"/>
        <v>126382.90000000001</v>
      </c>
      <c r="L41" s="17">
        <f t="shared" si="18"/>
        <v>0</v>
      </c>
      <c r="M41" s="17">
        <f t="shared" si="18"/>
        <v>0</v>
      </c>
      <c r="N41" s="17">
        <f t="shared" si="18"/>
        <v>282777</v>
      </c>
      <c r="O41" s="17">
        <f t="shared" si="18"/>
        <v>1179238.5</v>
      </c>
      <c r="P41" s="17">
        <f t="shared" si="18"/>
        <v>1179238.5000000002</v>
      </c>
      <c r="Q41" s="17">
        <f t="shared" si="18"/>
        <v>0</v>
      </c>
      <c r="R41" s="17">
        <f t="shared" si="18"/>
        <v>0</v>
      </c>
      <c r="S41" s="17">
        <f t="shared" si="18"/>
        <v>282777</v>
      </c>
      <c r="T41" s="17">
        <f t="shared" si="18"/>
        <v>282777.00000000006</v>
      </c>
      <c r="U41" s="17">
        <f t="shared" si="18"/>
        <v>896461.5</v>
      </c>
      <c r="V41" s="17">
        <f t="shared" si="18"/>
        <v>896461.5</v>
      </c>
      <c r="W41" s="17">
        <f t="shared" si="18"/>
        <v>141182.41888800013</v>
      </c>
      <c r="X41" s="17">
        <f t="shared" si="18"/>
        <v>715628.24000000011</v>
      </c>
      <c r="Y41" s="17">
        <f t="shared" si="18"/>
        <v>0</v>
      </c>
      <c r="Z41" s="17">
        <f t="shared" si="18"/>
        <v>141182.41888800013</v>
      </c>
      <c r="AA41" s="94">
        <f t="shared" si="18"/>
        <v>715628.24000000011</v>
      </c>
      <c r="AB41" s="17">
        <f t="shared" si="18"/>
        <v>0</v>
      </c>
      <c r="AC41" s="17">
        <f t="shared" si="18"/>
        <v>0</v>
      </c>
      <c r="AD41" s="17">
        <f t="shared" si="18"/>
        <v>0</v>
      </c>
      <c r="AE41" s="17">
        <f t="shared" si="18"/>
        <v>0</v>
      </c>
      <c r="AF41" s="57">
        <f t="shared" si="18"/>
        <v>0</v>
      </c>
      <c r="AG41" s="61"/>
      <c r="AH41" s="120">
        <f>SUM(AH4:AH40)</f>
        <v>14919253.529880017</v>
      </c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15"/>
      <c r="AZ41" s="115"/>
      <c r="BA41" s="115"/>
      <c r="BB41" s="122"/>
      <c r="BC41" s="122"/>
      <c r="BD41" s="122"/>
      <c r="BE41" s="122"/>
      <c r="BF41" s="122"/>
      <c r="BG41" s="122"/>
      <c r="BH41" s="122"/>
      <c r="BI41" s="122"/>
      <c r="BJ41" s="115"/>
      <c r="BK41" s="114"/>
      <c r="BL41" s="115"/>
      <c r="BM41" s="116"/>
    </row>
    <row r="42" spans="1:65" x14ac:dyDescent="0.35">
      <c r="A42" s="533" t="s">
        <v>927</v>
      </c>
      <c r="B42" s="534"/>
      <c r="C42" s="535"/>
      <c r="D42" s="11"/>
      <c r="E42" s="11"/>
      <c r="F42" s="11"/>
      <c r="G42" s="11"/>
      <c r="H42" s="11">
        <v>136828.56</v>
      </c>
      <c r="I42" s="11"/>
      <c r="J42" s="2">
        <v>340521</v>
      </c>
      <c r="K42" s="11">
        <v>128662.9</v>
      </c>
      <c r="L42" s="11"/>
      <c r="M42" s="11"/>
      <c r="N42" s="11">
        <v>282777</v>
      </c>
      <c r="O42" s="11"/>
      <c r="P42" s="11"/>
      <c r="Q42" s="11"/>
      <c r="R42" s="11"/>
      <c r="S42" s="11"/>
      <c r="T42" s="11"/>
      <c r="U42" s="11"/>
      <c r="V42" s="11"/>
      <c r="W42" s="238"/>
      <c r="X42" s="11"/>
      <c r="Y42" s="12"/>
      <c r="Z42" s="11"/>
      <c r="AA42" s="236">
        <v>715628.24</v>
      </c>
      <c r="AB42" s="11"/>
      <c r="AC42" s="11"/>
      <c r="AD42" s="11"/>
      <c r="AE42" s="11"/>
      <c r="AF42" s="4"/>
      <c r="AG42" s="62"/>
      <c r="AH42" s="117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4"/>
      <c r="BL42" s="115"/>
      <c r="BM42" s="116"/>
    </row>
    <row r="43" spans="1:65" ht="15" thickBot="1" x14ac:dyDescent="0.4">
      <c r="A43" s="547" t="s">
        <v>21</v>
      </c>
      <c r="B43" s="548"/>
      <c r="C43" s="549"/>
      <c r="D43" s="23"/>
      <c r="E43" s="23"/>
      <c r="F43" s="23"/>
      <c r="G43" s="24"/>
      <c r="H43" s="24">
        <f t="shared" ref="H43:N43" si="19">H41-H42</f>
        <v>0</v>
      </c>
      <c r="I43" s="24"/>
      <c r="J43" s="24">
        <f t="shared" si="19"/>
        <v>0</v>
      </c>
      <c r="K43" s="24">
        <f t="shared" si="19"/>
        <v>-2279.9999999999854</v>
      </c>
      <c r="L43" s="24"/>
      <c r="M43" s="24"/>
      <c r="N43" s="24">
        <f t="shared" si="19"/>
        <v>0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4">
        <f>+AA41-AA42</f>
        <v>0</v>
      </c>
      <c r="AB43" s="23"/>
      <c r="AC43" s="23"/>
      <c r="AD43" s="23"/>
      <c r="AE43" s="23"/>
      <c r="AF43" s="25"/>
      <c r="AG43" s="63"/>
      <c r="AH43" s="123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24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4"/>
      <c r="BL43" s="115"/>
      <c r="BM43" s="116"/>
    </row>
    <row r="44" spans="1:65" x14ac:dyDescent="0.35">
      <c r="O44" s="51" t="s">
        <v>970</v>
      </c>
      <c r="P44" s="70">
        <f>+O41-P41</f>
        <v>0</v>
      </c>
      <c r="S44" s="51" t="s">
        <v>970</v>
      </c>
      <c r="T44" s="70">
        <f>+S41-T41</f>
        <v>0</v>
      </c>
      <c r="W44" s="47"/>
      <c r="X44" s="47"/>
      <c r="BL44" s="124"/>
    </row>
    <row r="45" spans="1:65" x14ac:dyDescent="0.35">
      <c r="A45" s="29"/>
      <c r="O45" s="64"/>
      <c r="S45" s="47"/>
      <c r="W45" s="47">
        <f>+D41+H41-K41</f>
        <v>141182.41888800007</v>
      </c>
      <c r="X45" s="47">
        <f>+E41+J41-N41</f>
        <v>715628.24</v>
      </c>
      <c r="AH45" s="116">
        <f>+AH4+AH7+AH18+AH5</f>
        <v>8356066.0799999973</v>
      </c>
      <c r="AI45" s="105" t="s">
        <v>932</v>
      </c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246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K45" s="116"/>
      <c r="BL45" s="124"/>
    </row>
    <row r="46" spans="1:65" x14ac:dyDescent="0.35">
      <c r="W46" s="64">
        <f>+W41-W45</f>
        <v>0</v>
      </c>
      <c r="X46" s="64">
        <f>+X41-X45</f>
        <v>0</v>
      </c>
      <c r="Y46" s="64"/>
      <c r="AH46" s="116">
        <f>+AH32</f>
        <v>4773599.8498800201</v>
      </c>
      <c r="AI46" s="105" t="s">
        <v>931</v>
      </c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246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K46" s="116"/>
      <c r="BL46" s="124"/>
    </row>
    <row r="47" spans="1:65" x14ac:dyDescent="0.35">
      <c r="AH47" s="116">
        <f>+AH24+AH31</f>
        <v>1789587.6000000003</v>
      </c>
      <c r="AI47" s="105" t="s">
        <v>930</v>
      </c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246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K47" s="116"/>
    </row>
    <row r="48" spans="1:65" x14ac:dyDescent="0.35">
      <c r="AH48" s="116">
        <f>+AH41-AH45-AH46-AH47</f>
        <v>0</v>
      </c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246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16"/>
    </row>
    <row r="50" spans="1:63" ht="15.5" customHeight="1" thickBot="1" x14ac:dyDescent="0.4"/>
    <row r="51" spans="1:63" ht="15" thickBot="1" x14ac:dyDescent="0.4">
      <c r="A51" s="5"/>
      <c r="B51" s="5"/>
      <c r="C51" s="8"/>
      <c r="D51" s="539" t="s">
        <v>0</v>
      </c>
      <c r="E51" s="540"/>
      <c r="F51" s="540"/>
      <c r="G51" s="541" t="s">
        <v>2973</v>
      </c>
      <c r="H51" s="542"/>
      <c r="I51" s="542"/>
      <c r="J51" s="542"/>
      <c r="K51" s="542"/>
      <c r="L51" s="542"/>
      <c r="M51" s="542"/>
      <c r="N51" s="542"/>
      <c r="O51" s="542"/>
      <c r="P51" s="542"/>
      <c r="Q51" s="542"/>
      <c r="R51" s="542"/>
      <c r="S51" s="542"/>
      <c r="T51" s="542"/>
      <c r="U51" s="542"/>
      <c r="V51" s="543"/>
      <c r="W51" s="554" t="s">
        <v>20</v>
      </c>
      <c r="X51" s="554"/>
      <c r="Y51" s="554"/>
      <c r="Z51" s="553" t="s">
        <v>929</v>
      </c>
      <c r="AA51" s="553"/>
      <c r="AB51" s="553"/>
      <c r="AC51" s="553" t="s">
        <v>21</v>
      </c>
      <c r="AD51" s="553"/>
      <c r="AE51" s="553"/>
      <c r="AF51" s="13"/>
      <c r="AG51" s="531"/>
      <c r="AH51" s="532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</row>
    <row r="52" spans="1:63" ht="29.5" thickBot="1" x14ac:dyDescent="0.4">
      <c r="A52" s="10" t="s">
        <v>24</v>
      </c>
      <c r="B52" s="10" t="s">
        <v>924</v>
      </c>
      <c r="C52" s="10" t="s">
        <v>23</v>
      </c>
      <c r="D52" s="26" t="s">
        <v>1</v>
      </c>
      <c r="E52" s="27" t="s">
        <v>2</v>
      </c>
      <c r="F52" s="27" t="s">
        <v>3</v>
      </c>
      <c r="G52" s="27" t="s">
        <v>4</v>
      </c>
      <c r="H52" s="27" t="s">
        <v>5</v>
      </c>
      <c r="I52" s="27" t="s">
        <v>6</v>
      </c>
      <c r="J52" s="27" t="s">
        <v>7</v>
      </c>
      <c r="K52" s="27" t="s">
        <v>8</v>
      </c>
      <c r="L52" s="27" t="s">
        <v>9</v>
      </c>
      <c r="M52" s="27" t="s">
        <v>10</v>
      </c>
      <c r="N52" s="27" t="s">
        <v>11</v>
      </c>
      <c r="O52" s="27" t="s">
        <v>12</v>
      </c>
      <c r="P52" s="27" t="s">
        <v>13</v>
      </c>
      <c r="Q52" s="27" t="s">
        <v>14</v>
      </c>
      <c r="R52" s="27" t="s">
        <v>15</v>
      </c>
      <c r="S52" s="27" t="s">
        <v>16</v>
      </c>
      <c r="T52" s="27" t="s">
        <v>17</v>
      </c>
      <c r="U52" s="50" t="s">
        <v>18</v>
      </c>
      <c r="V52" s="50" t="s">
        <v>19</v>
      </c>
      <c r="W52" s="28" t="s">
        <v>1</v>
      </c>
      <c r="X52" s="28" t="s">
        <v>2</v>
      </c>
      <c r="Y52" s="28" t="s">
        <v>3</v>
      </c>
      <c r="Z52" s="28" t="s">
        <v>1</v>
      </c>
      <c r="AA52" s="50" t="s">
        <v>2</v>
      </c>
      <c r="AB52" s="27" t="s">
        <v>3</v>
      </c>
      <c r="AC52" s="27" t="s">
        <v>1</v>
      </c>
      <c r="AD52" s="27" t="s">
        <v>2</v>
      </c>
      <c r="AE52" s="27" t="s">
        <v>3</v>
      </c>
      <c r="AF52" s="55" t="s">
        <v>22</v>
      </c>
      <c r="AG52" s="59" t="s">
        <v>934</v>
      </c>
      <c r="AH52" s="110" t="s">
        <v>933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2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</row>
    <row r="53" spans="1:63" ht="15" thickBot="1" x14ac:dyDescent="0.4">
      <c r="A53" s="15" t="str">
        <f>VLOOKUP(C53,Master!A:D,4,0)</f>
        <v>RM</v>
      </c>
      <c r="B53" s="16" t="str">
        <f>VLOOKUP(C53,Master!A:C,3,0)</f>
        <v>Granuals</v>
      </c>
      <c r="C53" s="16" t="s">
        <v>32</v>
      </c>
      <c r="D53" s="17">
        <f t="shared" ref="D53:D89" si="20">+W4</f>
        <v>1596.8000000000002</v>
      </c>
      <c r="E53" s="17">
        <f t="shared" ref="E53:E89" si="21">+X4</f>
        <v>1000</v>
      </c>
      <c r="F53" s="17">
        <f t="shared" ref="F53:F89" si="22">+Y4</f>
        <v>0</v>
      </c>
      <c r="G53" s="17"/>
      <c r="H53" s="17"/>
      <c r="I53" s="71"/>
      <c r="J53" s="17"/>
      <c r="K53" s="17"/>
      <c r="L53" s="17"/>
      <c r="M53" s="17"/>
      <c r="N53" s="17"/>
      <c r="O53" s="17"/>
      <c r="P53" s="17">
        <v>477</v>
      </c>
      <c r="Q53" s="17"/>
      <c r="R53" s="17"/>
      <c r="S53" s="17"/>
      <c r="T53" s="17">
        <v>450</v>
      </c>
      <c r="U53" s="241">
        <f t="shared" ref="U53" si="23">O53-S53</f>
        <v>0</v>
      </c>
      <c r="V53" s="241">
        <f t="shared" ref="V53" si="24">P53-T53</f>
        <v>27</v>
      </c>
      <c r="W53" s="17">
        <f>D53+G53+H53+I53-K53-L53-M53-V53+U53</f>
        <v>1569.8000000000002</v>
      </c>
      <c r="X53" s="17">
        <f t="shared" ref="X53:X54" si="25">E53+J53-N53-T53+S53</f>
        <v>550</v>
      </c>
      <c r="Y53" s="17">
        <f t="shared" ref="Y53:Y54" si="26">F53-I53+M53-R53+Q53</f>
        <v>0</v>
      </c>
      <c r="Z53" s="48">
        <f>+W53</f>
        <v>1569.8000000000002</v>
      </c>
      <c r="AA53" s="45">
        <v>550</v>
      </c>
      <c r="AB53" s="45">
        <v>0</v>
      </c>
      <c r="AC53" s="78">
        <f>W53-Z53</f>
        <v>0</v>
      </c>
      <c r="AD53" s="78">
        <f>X53-AA53</f>
        <v>0</v>
      </c>
      <c r="AE53" s="18">
        <f>Y53-AB53</f>
        <v>0</v>
      </c>
      <c r="AF53" s="56"/>
      <c r="AG53" s="61">
        <v>201</v>
      </c>
      <c r="AH53" s="113">
        <f>+W53*AG53</f>
        <v>315529.80000000005</v>
      </c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9"/>
      <c r="AZ53" s="115"/>
      <c r="BA53" s="243"/>
      <c r="BB53" s="115"/>
      <c r="BC53" s="115"/>
      <c r="BD53" s="115"/>
      <c r="BE53" s="115"/>
      <c r="BF53" s="115"/>
      <c r="BG53" s="115"/>
      <c r="BH53" s="115"/>
      <c r="BI53" s="115"/>
      <c r="BJ53" s="115"/>
      <c r="BK53" s="116"/>
    </row>
    <row r="54" spans="1:63" x14ac:dyDescent="0.35">
      <c r="A54" s="19" t="str">
        <f>VLOOKUP(C54,Master!A:D,4,0)</f>
        <v>RM</v>
      </c>
      <c r="B54" s="14" t="str">
        <f>VLOOKUP(C54,Master!A:C,3,0)</f>
        <v>Granuals</v>
      </c>
      <c r="C54" s="14" t="s">
        <v>37</v>
      </c>
      <c r="D54" s="2">
        <f t="shared" si="20"/>
        <v>74399.159999999974</v>
      </c>
      <c r="E54" s="2">
        <f t="shared" si="21"/>
        <v>537617.54</v>
      </c>
      <c r="F54" s="2">
        <f t="shared" si="22"/>
        <v>0</v>
      </c>
      <c r="G54" s="2"/>
      <c r="H54" s="2"/>
      <c r="I54" s="6"/>
      <c r="J54" s="2"/>
      <c r="K54" s="2"/>
      <c r="L54" s="2"/>
      <c r="M54" s="2"/>
      <c r="N54" s="2"/>
      <c r="O54" s="2"/>
      <c r="P54" s="2">
        <v>207661.97</v>
      </c>
      <c r="Q54" s="2"/>
      <c r="R54" s="2"/>
      <c r="S54" s="2"/>
      <c r="T54" s="2">
        <v>153341.97000000003</v>
      </c>
      <c r="U54" s="2">
        <f t="shared" ref="U54:U89" si="27">O54-S54</f>
        <v>0</v>
      </c>
      <c r="V54" s="2">
        <f t="shared" ref="V54:V89" si="28">P54-T54</f>
        <v>54319.999999999971</v>
      </c>
      <c r="W54" s="2">
        <f t="shared" ref="W54" si="29">D54+G54+H54+I54-K54-L54-M54-V54+U54</f>
        <v>20079.160000000003</v>
      </c>
      <c r="X54" s="2">
        <f t="shared" si="25"/>
        <v>384275.57</v>
      </c>
      <c r="Y54" s="2">
        <f t="shared" si="26"/>
        <v>0</v>
      </c>
      <c r="Z54" s="46">
        <f>+W54</f>
        <v>20079.160000000003</v>
      </c>
      <c r="AA54" s="46">
        <v>384275.57</v>
      </c>
      <c r="AB54" s="46">
        <v>0</v>
      </c>
      <c r="AC54" s="58">
        <f t="shared" ref="AC54" si="30">W54-Z54</f>
        <v>0</v>
      </c>
      <c r="AD54" s="58">
        <f t="shared" ref="AD54" si="31">X54-AA54</f>
        <v>0</v>
      </c>
      <c r="AE54" s="12">
        <f t="shared" ref="AE54" si="32">Y54-AB54</f>
        <v>0</v>
      </c>
      <c r="AF54" s="56"/>
      <c r="AG54" s="61">
        <v>108</v>
      </c>
      <c r="AH54" s="117">
        <f>+W54*AG54</f>
        <v>2168549.2800000003</v>
      </c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9"/>
      <c r="AZ54" s="115"/>
      <c r="BA54" s="243"/>
      <c r="BB54" s="115"/>
      <c r="BC54" s="115"/>
      <c r="BD54" s="115"/>
      <c r="BE54" s="115"/>
      <c r="BF54" s="115"/>
      <c r="BG54" s="115"/>
      <c r="BH54" s="115"/>
      <c r="BI54" s="115"/>
      <c r="BJ54" s="115"/>
      <c r="BK54" s="116"/>
    </row>
    <row r="55" spans="1:63" x14ac:dyDescent="0.35">
      <c r="A55" s="19" t="str">
        <f>VLOOKUP(C55,Master!A:D,4,0)</f>
        <v>RM</v>
      </c>
      <c r="B55" s="14" t="str">
        <f>VLOOKUP(C55,Master!A:C,3,0)</f>
        <v>Granuals</v>
      </c>
      <c r="C55" s="14" t="s">
        <v>40</v>
      </c>
      <c r="D55" s="2">
        <f t="shared" si="20"/>
        <v>0</v>
      </c>
      <c r="E55" s="2">
        <f t="shared" si="21"/>
        <v>0</v>
      </c>
      <c r="F55" s="2">
        <f t="shared" si="22"/>
        <v>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>
        <v>0</v>
      </c>
      <c r="U55" s="2">
        <f t="shared" si="27"/>
        <v>0</v>
      </c>
      <c r="V55" s="2">
        <f t="shared" si="28"/>
        <v>0</v>
      </c>
      <c r="W55" s="2">
        <f t="shared" ref="W55:W89" si="33">D55+G55+H55+I55-K55-L55-M55-V55+U55</f>
        <v>0</v>
      </c>
      <c r="X55" s="2">
        <f t="shared" ref="X55:X89" si="34">E55+J55-N55-T55+S55</f>
        <v>0</v>
      </c>
      <c r="Y55" s="2">
        <f t="shared" ref="Y55:Y89" si="35">F55-I55+M55-R55+Q55</f>
        <v>0</v>
      </c>
      <c r="Z55" s="46">
        <f t="shared" ref="Z55:Z89" si="36">+W55</f>
        <v>0</v>
      </c>
      <c r="AA55" s="46">
        <v>0</v>
      </c>
      <c r="AB55" s="46">
        <v>0</v>
      </c>
      <c r="AC55" s="58">
        <f t="shared" ref="AC55:AC89" si="37">W55-Z55</f>
        <v>0</v>
      </c>
      <c r="AD55" s="58">
        <f t="shared" ref="AD55:AD89" si="38">X55-AA55</f>
        <v>0</v>
      </c>
      <c r="AE55" s="12">
        <f t="shared" ref="AE55:AE89" si="39">Y55-AB55</f>
        <v>0</v>
      </c>
      <c r="AF55" s="56"/>
      <c r="AG55" s="62"/>
      <c r="AH55" s="117">
        <f t="shared" ref="AH55:AH89" si="40">+W55*AG55</f>
        <v>0</v>
      </c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9"/>
      <c r="AZ55" s="115"/>
      <c r="BA55" s="243"/>
      <c r="BB55" s="115"/>
      <c r="BC55" s="115"/>
      <c r="BD55" s="115"/>
      <c r="BE55" s="115"/>
      <c r="BF55" s="115"/>
      <c r="BG55" s="115"/>
      <c r="BH55" s="115"/>
      <c r="BI55" s="115"/>
      <c r="BJ55" s="115"/>
      <c r="BK55" s="116"/>
    </row>
    <row r="56" spans="1:63" x14ac:dyDescent="0.35">
      <c r="A56" s="19" t="str">
        <f>VLOOKUP(C56,Master!A:D,4,0)</f>
        <v>RM</v>
      </c>
      <c r="B56" s="14" t="str">
        <f>VLOOKUP(C56,Master!A:C,3,0)</f>
        <v>Granuals</v>
      </c>
      <c r="C56" s="14" t="s">
        <v>46</v>
      </c>
      <c r="D56" s="2">
        <f t="shared" si="20"/>
        <v>0</v>
      </c>
      <c r="E56" s="2">
        <f t="shared" si="21"/>
        <v>13000</v>
      </c>
      <c r="F56" s="2">
        <f t="shared" si="22"/>
        <v>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>
        <v>0</v>
      </c>
      <c r="U56" s="2">
        <f t="shared" si="27"/>
        <v>0</v>
      </c>
      <c r="V56" s="2">
        <f t="shared" si="28"/>
        <v>0</v>
      </c>
      <c r="W56" s="2">
        <f t="shared" si="33"/>
        <v>0</v>
      </c>
      <c r="X56" s="2">
        <f t="shared" si="34"/>
        <v>13000</v>
      </c>
      <c r="Y56" s="2">
        <f t="shared" si="35"/>
        <v>0</v>
      </c>
      <c r="Z56" s="46">
        <f t="shared" si="36"/>
        <v>0</v>
      </c>
      <c r="AA56" s="46">
        <v>13000</v>
      </c>
      <c r="AB56" s="46">
        <v>0</v>
      </c>
      <c r="AC56" s="58">
        <f t="shared" si="37"/>
        <v>0</v>
      </c>
      <c r="AD56" s="58">
        <f t="shared" si="38"/>
        <v>0</v>
      </c>
      <c r="AE56" s="12">
        <f t="shared" si="39"/>
        <v>0</v>
      </c>
      <c r="AF56" s="56"/>
      <c r="AG56" s="62"/>
      <c r="AH56" s="117">
        <f t="shared" si="40"/>
        <v>0</v>
      </c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9"/>
      <c r="AZ56" s="115"/>
      <c r="BA56" s="243"/>
      <c r="BB56" s="115"/>
      <c r="BC56" s="115"/>
      <c r="BD56" s="115"/>
      <c r="BE56" s="115"/>
      <c r="BF56" s="115"/>
      <c r="BG56" s="115"/>
      <c r="BH56" s="115"/>
      <c r="BI56" s="115"/>
      <c r="BJ56" s="115"/>
      <c r="BK56" s="116"/>
    </row>
    <row r="57" spans="1:63" x14ac:dyDescent="0.35">
      <c r="A57" s="19" t="str">
        <f>VLOOKUP(C57,Master!A:D,4,0)</f>
        <v>RM</v>
      </c>
      <c r="B57" s="14" t="str">
        <f>VLOOKUP(C57,Master!A:C,3,0)</f>
        <v>Granuals</v>
      </c>
      <c r="C57" s="14" t="s">
        <v>49</v>
      </c>
      <c r="D57" s="2">
        <f t="shared" si="20"/>
        <v>0</v>
      </c>
      <c r="E57" s="2">
        <f t="shared" si="21"/>
        <v>0</v>
      </c>
      <c r="F57" s="2">
        <f t="shared" si="22"/>
        <v>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>
        <v>0</v>
      </c>
      <c r="U57" s="2">
        <f t="shared" si="27"/>
        <v>0</v>
      </c>
      <c r="V57" s="2">
        <f t="shared" si="28"/>
        <v>0</v>
      </c>
      <c r="W57" s="2">
        <f t="shared" si="33"/>
        <v>0</v>
      </c>
      <c r="X57" s="2">
        <f t="shared" si="34"/>
        <v>0</v>
      </c>
      <c r="Y57" s="2">
        <f t="shared" si="35"/>
        <v>0</v>
      </c>
      <c r="Z57" s="46">
        <f t="shared" si="36"/>
        <v>0</v>
      </c>
      <c r="AA57" s="46">
        <v>0</v>
      </c>
      <c r="AB57" s="46">
        <v>0</v>
      </c>
      <c r="AC57" s="58">
        <f t="shared" si="37"/>
        <v>0</v>
      </c>
      <c r="AD57" s="58">
        <f t="shared" si="38"/>
        <v>0</v>
      </c>
      <c r="AE57" s="12">
        <f t="shared" si="39"/>
        <v>0</v>
      </c>
      <c r="AF57" s="56"/>
      <c r="AG57" s="62"/>
      <c r="AH57" s="117">
        <f t="shared" si="40"/>
        <v>0</v>
      </c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9"/>
      <c r="AZ57" s="115"/>
      <c r="BA57" s="243"/>
      <c r="BB57" s="115"/>
      <c r="BC57" s="115"/>
      <c r="BD57" s="115"/>
      <c r="BE57" s="115"/>
      <c r="BF57" s="115"/>
      <c r="BG57" s="115"/>
      <c r="BH57" s="115"/>
      <c r="BI57" s="115"/>
      <c r="BJ57" s="115"/>
      <c r="BK57" s="116"/>
    </row>
    <row r="58" spans="1:63" x14ac:dyDescent="0.35">
      <c r="A58" s="19" t="str">
        <f>VLOOKUP(C58,Master!A:D,4,0)</f>
        <v>RM</v>
      </c>
      <c r="B58" s="14" t="str">
        <f>VLOOKUP(C58,Master!A:C,3,0)</f>
        <v>Granuals</v>
      </c>
      <c r="C58" s="14" t="s">
        <v>55</v>
      </c>
      <c r="D58" s="2">
        <f t="shared" si="20"/>
        <v>0</v>
      </c>
      <c r="E58" s="2">
        <f t="shared" si="21"/>
        <v>21575</v>
      </c>
      <c r="F58" s="2">
        <f t="shared" si="22"/>
        <v>0</v>
      </c>
      <c r="G58" s="2"/>
      <c r="H58" s="2"/>
      <c r="I58" s="2"/>
      <c r="J58" s="2">
        <v>800</v>
      </c>
      <c r="K58" s="2"/>
      <c r="L58" s="2"/>
      <c r="M58" s="2"/>
      <c r="N58" s="2"/>
      <c r="O58" s="2"/>
      <c r="P58" s="2"/>
      <c r="Q58" s="2"/>
      <c r="R58" s="2"/>
      <c r="S58" s="2"/>
      <c r="T58" s="2">
        <v>0</v>
      </c>
      <c r="U58" s="2">
        <f t="shared" si="27"/>
        <v>0</v>
      </c>
      <c r="V58" s="2">
        <f t="shared" si="28"/>
        <v>0</v>
      </c>
      <c r="W58" s="2">
        <f t="shared" si="33"/>
        <v>0</v>
      </c>
      <c r="X58" s="2">
        <f t="shared" si="34"/>
        <v>22375</v>
      </c>
      <c r="Y58" s="2">
        <f t="shared" si="35"/>
        <v>0</v>
      </c>
      <c r="Z58" s="46">
        <f t="shared" si="36"/>
        <v>0</v>
      </c>
      <c r="AA58" s="46">
        <v>22375</v>
      </c>
      <c r="AB58" s="46">
        <v>0</v>
      </c>
      <c r="AC58" s="58">
        <f t="shared" si="37"/>
        <v>0</v>
      </c>
      <c r="AD58" s="58">
        <f t="shared" si="38"/>
        <v>0</v>
      </c>
      <c r="AE58" s="12">
        <f t="shared" si="39"/>
        <v>0</v>
      </c>
      <c r="AF58" s="56"/>
      <c r="AG58" s="62"/>
      <c r="AH58" s="117">
        <f t="shared" si="40"/>
        <v>0</v>
      </c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9"/>
      <c r="AZ58" s="115"/>
      <c r="BA58" s="243"/>
      <c r="BB58" s="115"/>
      <c r="BC58" s="115"/>
      <c r="BD58" s="115"/>
      <c r="BE58" s="115"/>
      <c r="BF58" s="115"/>
      <c r="BG58" s="115"/>
      <c r="BH58" s="115"/>
      <c r="BI58" s="115"/>
      <c r="BJ58" s="115"/>
      <c r="BK58" s="116"/>
    </row>
    <row r="59" spans="1:63" x14ac:dyDescent="0.35">
      <c r="A59" s="19" t="str">
        <f>VLOOKUP(C59,Master!A:D,4,0)</f>
        <v>RM</v>
      </c>
      <c r="B59" s="14" t="str">
        <f>VLOOKUP(C59,Master!A:C,3,0)</f>
        <v>FIBC Accessories</v>
      </c>
      <c r="C59" s="14" t="s">
        <v>69</v>
      </c>
      <c r="D59" s="2">
        <f t="shared" si="20"/>
        <v>0</v>
      </c>
      <c r="E59" s="2">
        <f t="shared" si="21"/>
        <v>0</v>
      </c>
      <c r="F59" s="2">
        <f t="shared" si="22"/>
        <v>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>
        <v>0</v>
      </c>
      <c r="U59" s="2">
        <f t="shared" si="27"/>
        <v>0</v>
      </c>
      <c r="V59" s="2">
        <f t="shared" si="28"/>
        <v>0</v>
      </c>
      <c r="W59" s="2">
        <f t="shared" si="33"/>
        <v>0</v>
      </c>
      <c r="X59" s="2">
        <f t="shared" si="34"/>
        <v>0</v>
      </c>
      <c r="Y59" s="2">
        <f t="shared" si="35"/>
        <v>0</v>
      </c>
      <c r="Z59" s="46">
        <f t="shared" si="36"/>
        <v>0</v>
      </c>
      <c r="AA59" s="46">
        <v>0</v>
      </c>
      <c r="AB59" s="46">
        <v>0</v>
      </c>
      <c r="AC59" s="58">
        <f t="shared" si="37"/>
        <v>0</v>
      </c>
      <c r="AD59" s="58">
        <f t="shared" si="38"/>
        <v>0</v>
      </c>
      <c r="AE59" s="12">
        <f t="shared" si="39"/>
        <v>0</v>
      </c>
      <c r="AF59" s="56"/>
      <c r="AG59" s="62"/>
      <c r="AH59" s="117">
        <f t="shared" si="40"/>
        <v>0</v>
      </c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9"/>
      <c r="AZ59" s="115"/>
      <c r="BA59" s="243"/>
      <c r="BB59" s="115"/>
      <c r="BC59" s="115"/>
      <c r="BD59" s="115"/>
      <c r="BE59" s="115"/>
      <c r="BF59" s="115"/>
      <c r="BG59" s="115"/>
      <c r="BH59" s="115"/>
      <c r="BI59" s="115"/>
      <c r="BJ59" s="115"/>
      <c r="BK59" s="116"/>
    </row>
    <row r="60" spans="1:63" x14ac:dyDescent="0.35">
      <c r="A60" s="19" t="str">
        <f>VLOOKUP(C60,Master!A:D,4,0)</f>
        <v>RM</v>
      </c>
      <c r="B60" s="14" t="str">
        <f>VLOOKUP(C60,Master!A:C,3,0)</f>
        <v>Films All</v>
      </c>
      <c r="C60" s="14" t="s">
        <v>71</v>
      </c>
      <c r="D60" s="2">
        <f t="shared" si="20"/>
        <v>0</v>
      </c>
      <c r="E60" s="2">
        <f t="shared" si="21"/>
        <v>0</v>
      </c>
      <c r="F60" s="2">
        <f t="shared" si="22"/>
        <v>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v>0</v>
      </c>
      <c r="U60" s="2">
        <f t="shared" si="27"/>
        <v>0</v>
      </c>
      <c r="V60" s="2">
        <f t="shared" si="28"/>
        <v>0</v>
      </c>
      <c r="W60" s="2">
        <f t="shared" si="33"/>
        <v>0</v>
      </c>
      <c r="X60" s="2">
        <f t="shared" si="34"/>
        <v>0</v>
      </c>
      <c r="Y60" s="2">
        <f t="shared" si="35"/>
        <v>0</v>
      </c>
      <c r="Z60" s="46">
        <f t="shared" si="36"/>
        <v>0</v>
      </c>
      <c r="AA60" s="46">
        <v>0</v>
      </c>
      <c r="AB60" s="46">
        <v>0</v>
      </c>
      <c r="AC60" s="58">
        <f t="shared" si="37"/>
        <v>0</v>
      </c>
      <c r="AD60" s="58">
        <f t="shared" si="38"/>
        <v>0</v>
      </c>
      <c r="AE60" s="12">
        <f t="shared" si="39"/>
        <v>0</v>
      </c>
      <c r="AF60" s="56"/>
      <c r="AG60" s="62"/>
      <c r="AH60" s="117">
        <f t="shared" si="40"/>
        <v>0</v>
      </c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9"/>
      <c r="AZ60" s="115"/>
      <c r="BA60" s="243"/>
      <c r="BB60" s="115"/>
      <c r="BC60" s="115"/>
      <c r="BD60" s="115"/>
      <c r="BE60" s="115"/>
      <c r="BF60" s="115"/>
      <c r="BG60" s="115"/>
      <c r="BH60" s="115"/>
      <c r="BI60" s="115"/>
      <c r="BJ60" s="115"/>
      <c r="BK60" s="116"/>
    </row>
    <row r="61" spans="1:63" x14ac:dyDescent="0.35">
      <c r="A61" s="19" t="str">
        <f>VLOOKUP(C61,Master!A:D,4,0)</f>
        <v>RM</v>
      </c>
      <c r="B61" s="14" t="str">
        <f>VLOOKUP(C61,Master!A:C,3,0)</f>
        <v>Granuals</v>
      </c>
      <c r="C61" s="14" t="s">
        <v>85</v>
      </c>
      <c r="D61" s="2">
        <f t="shared" si="20"/>
        <v>0</v>
      </c>
      <c r="E61" s="2">
        <f t="shared" si="21"/>
        <v>6000</v>
      </c>
      <c r="F61" s="2">
        <f t="shared" si="22"/>
        <v>0</v>
      </c>
      <c r="G61" s="2"/>
      <c r="H61" s="2"/>
      <c r="I61" s="6"/>
      <c r="J61" s="2">
        <v>2000</v>
      </c>
      <c r="K61" s="2"/>
      <c r="L61" s="2"/>
      <c r="M61" s="2"/>
      <c r="N61" s="2"/>
      <c r="O61" s="2"/>
      <c r="P61" s="2">
        <v>6000</v>
      </c>
      <c r="Q61" s="2"/>
      <c r="R61" s="2"/>
      <c r="S61" s="2"/>
      <c r="T61" s="2">
        <v>6000</v>
      </c>
      <c r="U61" s="2">
        <f t="shared" si="27"/>
        <v>0</v>
      </c>
      <c r="V61" s="2">
        <f t="shared" si="28"/>
        <v>0</v>
      </c>
      <c r="W61" s="2">
        <f t="shared" si="33"/>
        <v>0</v>
      </c>
      <c r="X61" s="2">
        <f t="shared" si="34"/>
        <v>2000</v>
      </c>
      <c r="Y61" s="2">
        <f t="shared" si="35"/>
        <v>0</v>
      </c>
      <c r="Z61" s="46">
        <f t="shared" si="36"/>
        <v>0</v>
      </c>
      <c r="AA61" s="46">
        <v>2000</v>
      </c>
      <c r="AB61" s="46">
        <v>0</v>
      </c>
      <c r="AC61" s="58">
        <f t="shared" si="37"/>
        <v>0</v>
      </c>
      <c r="AD61" s="58">
        <f t="shared" si="38"/>
        <v>0</v>
      </c>
      <c r="AE61" s="12">
        <f t="shared" si="39"/>
        <v>0</v>
      </c>
      <c r="AF61" s="56"/>
      <c r="AG61" s="62"/>
      <c r="AH61" s="117">
        <f t="shared" si="40"/>
        <v>0</v>
      </c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9"/>
      <c r="AZ61" s="115"/>
      <c r="BA61" s="243"/>
      <c r="BB61" s="115"/>
      <c r="BC61" s="115"/>
      <c r="BD61" s="115"/>
      <c r="BE61" s="115"/>
      <c r="BF61" s="115"/>
      <c r="BG61" s="115"/>
      <c r="BH61" s="115"/>
      <c r="BI61" s="115"/>
      <c r="BJ61" s="115"/>
      <c r="BK61" s="116"/>
    </row>
    <row r="62" spans="1:63" x14ac:dyDescent="0.35">
      <c r="A62" s="19" t="str">
        <f>VLOOKUP(C62,Master!A:D,4,0)</f>
        <v>RM</v>
      </c>
      <c r="B62" s="14" t="str">
        <f>VLOOKUP(C62,Master!A:C,3,0)</f>
        <v>Films All</v>
      </c>
      <c r="C62" s="14" t="s">
        <v>180</v>
      </c>
      <c r="D62" s="2">
        <f t="shared" si="20"/>
        <v>0</v>
      </c>
      <c r="E62" s="2">
        <f t="shared" si="21"/>
        <v>0</v>
      </c>
      <c r="F62" s="2">
        <f t="shared" si="22"/>
        <v>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>
        <v>0</v>
      </c>
      <c r="U62" s="2">
        <f t="shared" si="27"/>
        <v>0</v>
      </c>
      <c r="V62" s="2">
        <f t="shared" si="28"/>
        <v>0</v>
      </c>
      <c r="W62" s="2">
        <f t="shared" si="33"/>
        <v>0</v>
      </c>
      <c r="X62" s="2">
        <f t="shared" si="34"/>
        <v>0</v>
      </c>
      <c r="Y62" s="2">
        <f t="shared" si="35"/>
        <v>0</v>
      </c>
      <c r="Z62" s="46">
        <f t="shared" si="36"/>
        <v>0</v>
      </c>
      <c r="AA62" s="46">
        <v>0</v>
      </c>
      <c r="AB62" s="46">
        <v>0</v>
      </c>
      <c r="AC62" s="58">
        <f t="shared" si="37"/>
        <v>0</v>
      </c>
      <c r="AD62" s="58">
        <f t="shared" si="38"/>
        <v>0</v>
      </c>
      <c r="AE62" s="12">
        <f t="shared" si="39"/>
        <v>0</v>
      </c>
      <c r="AF62" s="56"/>
      <c r="AG62" s="62"/>
      <c r="AH62" s="117">
        <f t="shared" si="40"/>
        <v>0</v>
      </c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9"/>
      <c r="AZ62" s="115"/>
      <c r="BA62" s="243"/>
      <c r="BB62" s="115"/>
      <c r="BC62" s="115"/>
      <c r="BD62" s="115"/>
      <c r="BE62" s="115"/>
      <c r="BF62" s="115"/>
      <c r="BG62" s="115"/>
      <c r="BH62" s="115"/>
      <c r="BI62" s="115"/>
      <c r="BJ62" s="115"/>
      <c r="BK62" s="116"/>
    </row>
    <row r="63" spans="1:63" x14ac:dyDescent="0.35">
      <c r="A63" s="19" t="str">
        <f>VLOOKUP(C63,Master!A:D,4,0)</f>
        <v>RM</v>
      </c>
      <c r="B63" s="14" t="str">
        <f>VLOOKUP(C63,Master!A:C,3,0)</f>
        <v>Granuals</v>
      </c>
      <c r="C63" s="14" t="s">
        <v>277</v>
      </c>
      <c r="D63" s="2">
        <f t="shared" si="20"/>
        <v>0</v>
      </c>
      <c r="E63" s="2">
        <f t="shared" si="21"/>
        <v>0</v>
      </c>
      <c r="F63" s="2">
        <f t="shared" si="22"/>
        <v>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>
        <v>0</v>
      </c>
      <c r="U63" s="2">
        <f t="shared" si="27"/>
        <v>0</v>
      </c>
      <c r="V63" s="2">
        <f t="shared" si="28"/>
        <v>0</v>
      </c>
      <c r="W63" s="2">
        <f t="shared" si="33"/>
        <v>0</v>
      </c>
      <c r="X63" s="2">
        <f t="shared" si="34"/>
        <v>0</v>
      </c>
      <c r="Y63" s="2">
        <f t="shared" si="35"/>
        <v>0</v>
      </c>
      <c r="Z63" s="46">
        <f t="shared" si="36"/>
        <v>0</v>
      </c>
      <c r="AA63" s="46">
        <v>0</v>
      </c>
      <c r="AB63" s="46">
        <v>0</v>
      </c>
      <c r="AC63" s="58">
        <f t="shared" si="37"/>
        <v>0</v>
      </c>
      <c r="AD63" s="58">
        <f t="shared" si="38"/>
        <v>0</v>
      </c>
      <c r="AE63" s="12">
        <f t="shared" si="39"/>
        <v>0</v>
      </c>
      <c r="AF63" s="56"/>
      <c r="AG63" s="62"/>
      <c r="AH63" s="117">
        <f t="shared" si="40"/>
        <v>0</v>
      </c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9"/>
      <c r="AZ63" s="115"/>
      <c r="BA63" s="243"/>
      <c r="BB63" s="115"/>
      <c r="BC63" s="115"/>
      <c r="BD63" s="115"/>
      <c r="BE63" s="115"/>
      <c r="BF63" s="115"/>
      <c r="BG63" s="115"/>
      <c r="BH63" s="115"/>
      <c r="BI63" s="115"/>
      <c r="BJ63" s="115"/>
      <c r="BK63" s="116"/>
    </row>
    <row r="64" spans="1:63" x14ac:dyDescent="0.35">
      <c r="A64" s="19" t="str">
        <f>VLOOKUP(C64,Master!A:D,4,0)</f>
        <v>RM</v>
      </c>
      <c r="B64" s="14" t="str">
        <f>VLOOKUP(C64,Master!A:C,3,0)</f>
        <v>Granuals</v>
      </c>
      <c r="C64" s="14" t="s">
        <v>387</v>
      </c>
      <c r="D64" s="2">
        <f t="shared" si="20"/>
        <v>0</v>
      </c>
      <c r="E64" s="2">
        <f t="shared" si="21"/>
        <v>0</v>
      </c>
      <c r="F64" s="2">
        <f t="shared" si="22"/>
        <v>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>
        <v>0</v>
      </c>
      <c r="U64" s="2">
        <f t="shared" si="27"/>
        <v>0</v>
      </c>
      <c r="V64" s="2">
        <f t="shared" si="28"/>
        <v>0</v>
      </c>
      <c r="W64" s="2">
        <f t="shared" si="33"/>
        <v>0</v>
      </c>
      <c r="X64" s="2">
        <f t="shared" si="34"/>
        <v>0</v>
      </c>
      <c r="Y64" s="2">
        <f t="shared" si="35"/>
        <v>0</v>
      </c>
      <c r="Z64" s="46">
        <f t="shared" si="36"/>
        <v>0</v>
      </c>
      <c r="AA64" s="46">
        <v>0</v>
      </c>
      <c r="AB64" s="46">
        <v>0</v>
      </c>
      <c r="AC64" s="58">
        <f t="shared" si="37"/>
        <v>0</v>
      </c>
      <c r="AD64" s="58">
        <f t="shared" si="38"/>
        <v>0</v>
      </c>
      <c r="AE64" s="12">
        <f t="shared" si="39"/>
        <v>0</v>
      </c>
      <c r="AF64" s="56"/>
      <c r="AG64" s="62"/>
      <c r="AH64" s="117">
        <f t="shared" si="40"/>
        <v>0</v>
      </c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9"/>
      <c r="AZ64" s="115"/>
      <c r="BA64" s="243"/>
      <c r="BB64" s="115"/>
      <c r="BC64" s="115"/>
      <c r="BD64" s="115"/>
      <c r="BE64" s="115"/>
      <c r="BF64" s="115"/>
      <c r="BG64" s="115"/>
      <c r="BH64" s="115"/>
      <c r="BI64" s="115"/>
      <c r="BJ64" s="115"/>
      <c r="BK64" s="116"/>
    </row>
    <row r="65" spans="1:63" x14ac:dyDescent="0.35">
      <c r="A65" s="19" t="str">
        <f>VLOOKUP(C65,Master!A:D,4,0)</f>
        <v>RM</v>
      </c>
      <c r="B65" s="14" t="str">
        <f>VLOOKUP(C65,Master!A:C,3,0)</f>
        <v>Films All</v>
      </c>
      <c r="C65" s="14" t="s">
        <v>398</v>
      </c>
      <c r="D65" s="2">
        <f t="shared" si="20"/>
        <v>0</v>
      </c>
      <c r="E65" s="2">
        <f t="shared" si="21"/>
        <v>0</v>
      </c>
      <c r="F65" s="2">
        <f t="shared" si="22"/>
        <v>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>
        <v>0</v>
      </c>
      <c r="U65" s="2">
        <f t="shared" si="27"/>
        <v>0</v>
      </c>
      <c r="V65" s="2">
        <f t="shared" si="28"/>
        <v>0</v>
      </c>
      <c r="W65" s="2">
        <f t="shared" si="33"/>
        <v>0</v>
      </c>
      <c r="X65" s="2">
        <f t="shared" si="34"/>
        <v>0</v>
      </c>
      <c r="Y65" s="2">
        <f t="shared" si="35"/>
        <v>0</v>
      </c>
      <c r="Z65" s="46">
        <f t="shared" si="36"/>
        <v>0</v>
      </c>
      <c r="AA65" s="46">
        <v>0</v>
      </c>
      <c r="AB65" s="46">
        <v>0</v>
      </c>
      <c r="AC65" s="58">
        <f t="shared" si="37"/>
        <v>0</v>
      </c>
      <c r="AD65" s="58">
        <f t="shared" si="38"/>
        <v>0</v>
      </c>
      <c r="AE65" s="12">
        <f t="shared" si="39"/>
        <v>0</v>
      </c>
      <c r="AF65" s="56"/>
      <c r="AG65" s="62"/>
      <c r="AH65" s="117">
        <f t="shared" si="40"/>
        <v>0</v>
      </c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9"/>
      <c r="AZ65" s="115"/>
      <c r="BA65" s="243"/>
      <c r="BB65" s="115"/>
      <c r="BC65" s="115"/>
      <c r="BD65" s="115"/>
      <c r="BE65" s="115"/>
      <c r="BF65" s="115"/>
      <c r="BG65" s="115"/>
      <c r="BH65" s="115"/>
      <c r="BI65" s="115"/>
      <c r="BJ65" s="115"/>
      <c r="BK65" s="116"/>
    </row>
    <row r="66" spans="1:63" x14ac:dyDescent="0.35">
      <c r="A66" s="19" t="str">
        <f>VLOOKUP(C66,Master!A:D,4,0)</f>
        <v>RM</v>
      </c>
      <c r="B66" s="14" t="str">
        <f>VLOOKUP(C66,Master!A:C,3,0)</f>
        <v>Granuals</v>
      </c>
      <c r="C66" s="14" t="s">
        <v>417</v>
      </c>
      <c r="D66" s="2">
        <f t="shared" si="20"/>
        <v>0</v>
      </c>
      <c r="E66" s="2">
        <f t="shared" si="21"/>
        <v>0</v>
      </c>
      <c r="F66" s="2">
        <f t="shared" si="22"/>
        <v>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>
        <v>0</v>
      </c>
      <c r="U66" s="2">
        <f t="shared" si="27"/>
        <v>0</v>
      </c>
      <c r="V66" s="2">
        <f t="shared" si="28"/>
        <v>0</v>
      </c>
      <c r="W66" s="2">
        <f t="shared" si="33"/>
        <v>0</v>
      </c>
      <c r="X66" s="2">
        <f t="shared" si="34"/>
        <v>0</v>
      </c>
      <c r="Y66" s="2">
        <f t="shared" si="35"/>
        <v>0</v>
      </c>
      <c r="Z66" s="46">
        <f t="shared" si="36"/>
        <v>0</v>
      </c>
      <c r="AA66" s="46">
        <v>0</v>
      </c>
      <c r="AB66" s="46">
        <v>0</v>
      </c>
      <c r="AC66" s="58">
        <f t="shared" si="37"/>
        <v>0</v>
      </c>
      <c r="AD66" s="58">
        <f t="shared" si="38"/>
        <v>0</v>
      </c>
      <c r="AE66" s="12">
        <f t="shared" si="39"/>
        <v>0</v>
      </c>
      <c r="AF66" s="56"/>
      <c r="AG66" s="62"/>
      <c r="AH66" s="117">
        <f t="shared" si="40"/>
        <v>0</v>
      </c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9"/>
      <c r="AZ66" s="115"/>
      <c r="BA66" s="243"/>
      <c r="BB66" s="115"/>
      <c r="BC66" s="115"/>
      <c r="BD66" s="115"/>
      <c r="BE66" s="115"/>
      <c r="BF66" s="115"/>
      <c r="BG66" s="115"/>
      <c r="BH66" s="115"/>
      <c r="BI66" s="115"/>
      <c r="BJ66" s="115"/>
      <c r="BK66" s="116"/>
    </row>
    <row r="67" spans="1:63" x14ac:dyDescent="0.35">
      <c r="A67" s="19" t="str">
        <f>VLOOKUP(C67,Master!A:D,4,0)</f>
        <v>SF</v>
      </c>
      <c r="B67" s="14" t="str">
        <f>VLOOKUP(C67,Master!A:C,3,0)</f>
        <v>Yarn All</v>
      </c>
      <c r="C67" s="14" t="s">
        <v>629</v>
      </c>
      <c r="D67" s="2">
        <f t="shared" si="20"/>
        <v>0</v>
      </c>
      <c r="E67" s="2">
        <f t="shared" si="21"/>
        <v>17208.300000000003</v>
      </c>
      <c r="F67" s="2">
        <f t="shared" si="22"/>
        <v>0</v>
      </c>
      <c r="G67" s="2"/>
      <c r="H67" s="2">
        <v>7163.78</v>
      </c>
      <c r="I67" s="6"/>
      <c r="J67" s="2">
        <v>15419.3</v>
      </c>
      <c r="K67" s="2"/>
      <c r="L67" s="2"/>
      <c r="M67" s="2"/>
      <c r="N67" s="2"/>
      <c r="O67" s="2">
        <v>832.8</v>
      </c>
      <c r="P67" s="2">
        <v>19937.48</v>
      </c>
      <c r="Q67" s="2"/>
      <c r="R67" s="2"/>
      <c r="S67" s="2"/>
      <c r="T67" s="2">
        <v>12588.900000000005</v>
      </c>
      <c r="U67" s="2">
        <f t="shared" si="27"/>
        <v>832.8</v>
      </c>
      <c r="V67" s="2">
        <f t="shared" si="28"/>
        <v>7348.5799999999945</v>
      </c>
      <c r="W67" s="2">
        <f t="shared" si="33"/>
        <v>648.00000000000523</v>
      </c>
      <c r="X67" s="2">
        <f>E67+J67-N67-T67+S67</f>
        <v>20038.699999999997</v>
      </c>
      <c r="Y67" s="2">
        <f t="shared" si="35"/>
        <v>0</v>
      </c>
      <c r="Z67" s="46">
        <f t="shared" si="36"/>
        <v>648.00000000000523</v>
      </c>
      <c r="AA67" s="46">
        <v>20038.699999999997</v>
      </c>
      <c r="AB67" s="46">
        <v>0</v>
      </c>
      <c r="AC67" s="58">
        <f t="shared" si="37"/>
        <v>0</v>
      </c>
      <c r="AD67" s="58">
        <f t="shared" si="38"/>
        <v>0</v>
      </c>
      <c r="AE67" s="12">
        <f t="shared" si="39"/>
        <v>0</v>
      </c>
      <c r="AF67" s="56"/>
      <c r="AG67" s="62">
        <v>123.63752097356424</v>
      </c>
      <c r="AH67" s="117">
        <f t="shared" si="40"/>
        <v>80117.113590870271</v>
      </c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9"/>
      <c r="AZ67" s="115"/>
      <c r="BA67" s="243"/>
      <c r="BB67" s="115"/>
      <c r="BC67" s="115"/>
      <c r="BD67" s="115"/>
      <c r="BE67" s="115"/>
      <c r="BF67" s="115"/>
      <c r="BG67" s="115"/>
      <c r="BH67" s="115"/>
      <c r="BI67" s="115"/>
      <c r="BJ67" s="115"/>
      <c r="BK67" s="116"/>
    </row>
    <row r="68" spans="1:63" x14ac:dyDescent="0.35">
      <c r="A68" s="19" t="str">
        <f>VLOOKUP(C68,Master!A:D,4,0)</f>
        <v>SF</v>
      </c>
      <c r="B68" s="14" t="str">
        <f>VLOOKUP(C68,Master!A:C,3,0)</f>
        <v>PP/PE Fabric</v>
      </c>
      <c r="C68" s="14" t="s">
        <v>639</v>
      </c>
      <c r="D68" s="2">
        <f t="shared" si="20"/>
        <v>0</v>
      </c>
      <c r="E68" s="2">
        <f t="shared" si="21"/>
        <v>47218.599999999991</v>
      </c>
      <c r="F68" s="2">
        <f t="shared" si="22"/>
        <v>0</v>
      </c>
      <c r="G68" s="2"/>
      <c r="H68" s="2"/>
      <c r="I68" s="2"/>
      <c r="J68" s="2">
        <v>42872.100000000006</v>
      </c>
      <c r="K68" s="2">
        <v>34349</v>
      </c>
      <c r="L68" s="2"/>
      <c r="M68" s="2"/>
      <c r="N68" s="2"/>
      <c r="O68" s="2">
        <v>160931</v>
      </c>
      <c r="P68" s="2">
        <v>162472.4</v>
      </c>
      <c r="Q68" s="2"/>
      <c r="R68" s="2"/>
      <c r="S68" s="2"/>
      <c r="T68" s="2">
        <v>35890.400000000001</v>
      </c>
      <c r="U68" s="2">
        <f t="shared" si="27"/>
        <v>160931</v>
      </c>
      <c r="V68" s="2">
        <f t="shared" si="28"/>
        <v>126582</v>
      </c>
      <c r="W68" s="2">
        <f t="shared" si="33"/>
        <v>0</v>
      </c>
      <c r="X68" s="2">
        <f t="shared" si="34"/>
        <v>54200.299999999996</v>
      </c>
      <c r="Y68" s="2">
        <f t="shared" si="35"/>
        <v>0</v>
      </c>
      <c r="Z68" s="46">
        <f t="shared" si="36"/>
        <v>0</v>
      </c>
      <c r="AA68" s="46">
        <v>54200.299999999996</v>
      </c>
      <c r="AB68" s="46">
        <v>0</v>
      </c>
      <c r="AC68" s="58">
        <f t="shared" si="37"/>
        <v>0</v>
      </c>
      <c r="AD68" s="58">
        <f t="shared" si="38"/>
        <v>0</v>
      </c>
      <c r="AE68" s="12">
        <f t="shared" si="39"/>
        <v>0</v>
      </c>
      <c r="AF68" s="56"/>
      <c r="AG68" s="62"/>
      <c r="AH68" s="117">
        <f t="shared" si="40"/>
        <v>0</v>
      </c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9"/>
      <c r="AZ68" s="115"/>
      <c r="BA68" s="243"/>
      <c r="BB68" s="115"/>
      <c r="BC68" s="115"/>
      <c r="BD68" s="115"/>
      <c r="BE68" s="115"/>
      <c r="BF68" s="115"/>
      <c r="BG68" s="115"/>
      <c r="BH68" s="115"/>
      <c r="BI68" s="115"/>
      <c r="BJ68" s="115"/>
      <c r="BK68" s="116"/>
    </row>
    <row r="69" spans="1:63" x14ac:dyDescent="0.35">
      <c r="A69" s="19" t="str">
        <f>VLOOKUP(C69,Master!A:D,4,0)</f>
        <v>SF</v>
      </c>
      <c r="B69" s="14" t="str">
        <f>VLOOKUP(C69,Master!A:C,3,0)</f>
        <v>Flexitank Accessories</v>
      </c>
      <c r="C69" s="14" t="s">
        <v>641</v>
      </c>
      <c r="D69" s="2">
        <f t="shared" si="20"/>
        <v>0</v>
      </c>
      <c r="E69" s="2">
        <f t="shared" si="21"/>
        <v>0</v>
      </c>
      <c r="F69" s="2">
        <f t="shared" si="22"/>
        <v>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>
        <v>0</v>
      </c>
      <c r="U69" s="2">
        <f t="shared" si="27"/>
        <v>0</v>
      </c>
      <c r="V69" s="2">
        <f t="shared" si="28"/>
        <v>0</v>
      </c>
      <c r="W69" s="2">
        <f t="shared" si="33"/>
        <v>0</v>
      </c>
      <c r="X69" s="2">
        <f t="shared" si="34"/>
        <v>0</v>
      </c>
      <c r="Y69" s="2">
        <f t="shared" si="35"/>
        <v>0</v>
      </c>
      <c r="Z69" s="46">
        <f t="shared" si="36"/>
        <v>0</v>
      </c>
      <c r="AA69" s="46">
        <v>0</v>
      </c>
      <c r="AB69" s="46">
        <v>0</v>
      </c>
      <c r="AC69" s="58">
        <f t="shared" si="37"/>
        <v>0</v>
      </c>
      <c r="AD69" s="58">
        <f t="shared" si="38"/>
        <v>0</v>
      </c>
      <c r="AE69" s="12">
        <f t="shared" si="39"/>
        <v>0</v>
      </c>
      <c r="AF69" s="56"/>
      <c r="AG69" s="62"/>
      <c r="AH69" s="117">
        <f t="shared" si="40"/>
        <v>0</v>
      </c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9"/>
      <c r="AZ69" s="115"/>
      <c r="BA69" s="243"/>
      <c r="BB69" s="115"/>
      <c r="BC69" s="115"/>
      <c r="BD69" s="115"/>
      <c r="BE69" s="115"/>
      <c r="BF69" s="115"/>
      <c r="BG69" s="115"/>
      <c r="BH69" s="115"/>
      <c r="BI69" s="115"/>
      <c r="BJ69" s="115"/>
      <c r="BK69" s="116"/>
    </row>
    <row r="70" spans="1:63" x14ac:dyDescent="0.35">
      <c r="A70" s="19" t="str">
        <f>VLOOKUP(C70,Master!A:D,4,0)</f>
        <v>SF</v>
      </c>
      <c r="B70" s="14" t="str">
        <f>VLOOKUP(C70,Master!A:C,3,0)</f>
        <v>PP/PE Fabric</v>
      </c>
      <c r="C70" s="14" t="s">
        <v>652</v>
      </c>
      <c r="D70" s="2">
        <f t="shared" si="20"/>
        <v>0</v>
      </c>
      <c r="E70" s="2">
        <f t="shared" si="21"/>
        <v>18916.300000000003</v>
      </c>
      <c r="F70" s="2">
        <f t="shared" si="22"/>
        <v>0</v>
      </c>
      <c r="G70" s="2"/>
      <c r="H70" s="2"/>
      <c r="I70" s="2"/>
      <c r="J70" s="2">
        <v>2331</v>
      </c>
      <c r="K70" s="2"/>
      <c r="L70" s="2"/>
      <c r="M70" s="2"/>
      <c r="N70" s="2"/>
      <c r="O70" s="2">
        <v>104076</v>
      </c>
      <c r="P70" s="2">
        <v>122887.3</v>
      </c>
      <c r="Q70" s="2"/>
      <c r="R70" s="2"/>
      <c r="S70" s="2"/>
      <c r="T70" s="2">
        <v>18811.300000000003</v>
      </c>
      <c r="U70" s="2">
        <f t="shared" si="27"/>
        <v>104076</v>
      </c>
      <c r="V70" s="2">
        <f t="shared" si="28"/>
        <v>104076</v>
      </c>
      <c r="W70" s="2">
        <f t="shared" si="33"/>
        <v>0</v>
      </c>
      <c r="X70" s="2">
        <f t="shared" si="34"/>
        <v>2436</v>
      </c>
      <c r="Y70" s="2">
        <f t="shared" si="35"/>
        <v>0</v>
      </c>
      <c r="Z70" s="46">
        <f t="shared" si="36"/>
        <v>0</v>
      </c>
      <c r="AA70" s="46">
        <v>2436</v>
      </c>
      <c r="AB70" s="46">
        <v>0</v>
      </c>
      <c r="AC70" s="58">
        <f t="shared" si="37"/>
        <v>0</v>
      </c>
      <c r="AD70" s="58">
        <f t="shared" si="38"/>
        <v>0</v>
      </c>
      <c r="AE70" s="12">
        <f t="shared" si="39"/>
        <v>0</v>
      </c>
      <c r="AF70" s="56"/>
      <c r="AG70" s="62"/>
      <c r="AH70" s="117">
        <f t="shared" si="40"/>
        <v>0</v>
      </c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9"/>
      <c r="AZ70" s="115"/>
      <c r="BA70" s="243"/>
      <c r="BB70" s="115"/>
      <c r="BC70" s="115"/>
      <c r="BD70" s="115"/>
      <c r="BE70" s="115"/>
      <c r="BF70" s="115"/>
      <c r="BG70" s="115"/>
      <c r="BH70" s="115"/>
      <c r="BI70" s="115"/>
      <c r="BJ70" s="115"/>
      <c r="BK70" s="116"/>
    </row>
    <row r="71" spans="1:63" x14ac:dyDescent="0.35">
      <c r="A71" s="19" t="str">
        <f>VLOOKUP(C71,Master!A:D,4,0)</f>
        <v>SF</v>
      </c>
      <c r="B71" s="14" t="str">
        <f>VLOOKUP(C71,Master!A:C,3,0)</f>
        <v>PP/PE Fabric</v>
      </c>
      <c r="C71" s="14" t="s">
        <v>664</v>
      </c>
      <c r="D71" s="2">
        <f t="shared" si="20"/>
        <v>0</v>
      </c>
      <c r="E71" s="2">
        <f t="shared" si="21"/>
        <v>0</v>
      </c>
      <c r="F71" s="2">
        <f t="shared" si="22"/>
        <v>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0</v>
      </c>
      <c r="U71" s="2">
        <f t="shared" si="27"/>
        <v>0</v>
      </c>
      <c r="V71" s="2">
        <f t="shared" si="28"/>
        <v>0</v>
      </c>
      <c r="W71" s="2">
        <f t="shared" si="33"/>
        <v>0</v>
      </c>
      <c r="X71" s="2">
        <f t="shared" si="34"/>
        <v>0</v>
      </c>
      <c r="Y71" s="2">
        <f t="shared" si="35"/>
        <v>0</v>
      </c>
      <c r="Z71" s="46">
        <f t="shared" si="36"/>
        <v>0</v>
      </c>
      <c r="AA71" s="46">
        <v>0</v>
      </c>
      <c r="AB71" s="46">
        <v>0</v>
      </c>
      <c r="AC71" s="58">
        <f t="shared" si="37"/>
        <v>0</v>
      </c>
      <c r="AD71" s="58">
        <f t="shared" si="38"/>
        <v>0</v>
      </c>
      <c r="AE71" s="12">
        <f t="shared" si="39"/>
        <v>0</v>
      </c>
      <c r="AF71" s="56"/>
      <c r="AG71" s="62"/>
      <c r="AH71" s="117">
        <f t="shared" si="40"/>
        <v>0</v>
      </c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9"/>
      <c r="AZ71" s="115"/>
      <c r="BA71" s="243"/>
      <c r="BB71" s="115"/>
      <c r="BC71" s="115"/>
      <c r="BD71" s="115"/>
      <c r="BE71" s="115"/>
      <c r="BF71" s="115"/>
      <c r="BG71" s="115"/>
      <c r="BH71" s="115"/>
      <c r="BI71" s="115"/>
      <c r="BJ71" s="115"/>
      <c r="BK71" s="116"/>
    </row>
    <row r="72" spans="1:63" x14ac:dyDescent="0.35">
      <c r="A72" s="19" t="str">
        <f>VLOOKUP(C72,Master!A:D,4,0)</f>
        <v>SF</v>
      </c>
      <c r="B72" s="14" t="str">
        <f>VLOOKUP(C72,Master!A:C,3,0)</f>
        <v>PP/PE Fabric</v>
      </c>
      <c r="C72" s="14" t="s">
        <v>675</v>
      </c>
      <c r="D72" s="2">
        <f t="shared" si="20"/>
        <v>0</v>
      </c>
      <c r="E72" s="2">
        <f t="shared" si="21"/>
        <v>0</v>
      </c>
      <c r="F72" s="2">
        <f t="shared" si="22"/>
        <v>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>
        <v>0</v>
      </c>
      <c r="U72" s="2">
        <f t="shared" si="27"/>
        <v>0</v>
      </c>
      <c r="V72" s="2">
        <f t="shared" si="28"/>
        <v>0</v>
      </c>
      <c r="W72" s="2">
        <f t="shared" si="33"/>
        <v>0</v>
      </c>
      <c r="X72" s="2">
        <f t="shared" si="34"/>
        <v>0</v>
      </c>
      <c r="Y72" s="2">
        <f t="shared" si="35"/>
        <v>0</v>
      </c>
      <c r="Z72" s="46">
        <f t="shared" si="36"/>
        <v>0</v>
      </c>
      <c r="AA72" s="46">
        <v>0</v>
      </c>
      <c r="AB72" s="46">
        <v>0</v>
      </c>
      <c r="AC72" s="58">
        <f t="shared" si="37"/>
        <v>0</v>
      </c>
      <c r="AD72" s="58">
        <f t="shared" si="38"/>
        <v>0</v>
      </c>
      <c r="AE72" s="12">
        <f t="shared" si="39"/>
        <v>0</v>
      </c>
      <c r="AF72" s="56"/>
      <c r="AG72" s="62"/>
      <c r="AH72" s="117">
        <f t="shared" si="40"/>
        <v>0</v>
      </c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9"/>
      <c r="AZ72" s="115"/>
      <c r="BA72" s="243"/>
      <c r="BB72" s="115"/>
      <c r="BC72" s="115"/>
      <c r="BD72" s="115"/>
      <c r="BE72" s="115"/>
      <c r="BF72" s="115"/>
      <c r="BG72" s="115"/>
      <c r="BH72" s="115"/>
      <c r="BI72" s="115"/>
      <c r="BJ72" s="115"/>
      <c r="BK72" s="116"/>
    </row>
    <row r="73" spans="1:63" x14ac:dyDescent="0.35">
      <c r="A73" s="19" t="str">
        <f>VLOOKUP(C73,Master!A:D,4,0)</f>
        <v>SF</v>
      </c>
      <c r="B73" s="14" t="str">
        <f>VLOOKUP(C73,Master!A:C,3,0)</f>
        <v>Granuals</v>
      </c>
      <c r="C73" s="14" t="s">
        <v>688</v>
      </c>
      <c r="D73" s="2">
        <f t="shared" si="20"/>
        <v>0</v>
      </c>
      <c r="E73" s="2">
        <f t="shared" si="21"/>
        <v>3000</v>
      </c>
      <c r="F73" s="2">
        <f t="shared" si="22"/>
        <v>0</v>
      </c>
      <c r="G73" s="2"/>
      <c r="H73" s="2"/>
      <c r="I73" s="6"/>
      <c r="J73" s="2">
        <v>1000</v>
      </c>
      <c r="K73" s="2">
        <v>46000</v>
      </c>
      <c r="L73" s="2"/>
      <c r="M73" s="2"/>
      <c r="N73" s="2"/>
      <c r="O73" s="2">
        <v>63600</v>
      </c>
      <c r="P73" s="2">
        <v>3000</v>
      </c>
      <c r="Q73" s="2"/>
      <c r="R73" s="2"/>
      <c r="S73" s="2"/>
      <c r="T73" s="2">
        <v>3000</v>
      </c>
      <c r="U73" s="2">
        <f t="shared" si="27"/>
        <v>63600</v>
      </c>
      <c r="V73" s="2">
        <f t="shared" si="28"/>
        <v>0</v>
      </c>
      <c r="W73" s="2">
        <f>D73+G73+H73+I73-K73-L73-M73-V73+U73</f>
        <v>17600</v>
      </c>
      <c r="X73" s="2">
        <f t="shared" si="34"/>
        <v>1000</v>
      </c>
      <c r="Y73" s="2">
        <f t="shared" si="35"/>
        <v>0</v>
      </c>
      <c r="Z73" s="46">
        <f t="shared" si="36"/>
        <v>17600</v>
      </c>
      <c r="AA73" s="46">
        <v>1000</v>
      </c>
      <c r="AB73" s="46">
        <v>0</v>
      </c>
      <c r="AC73" s="58">
        <f t="shared" si="37"/>
        <v>0</v>
      </c>
      <c r="AD73" s="58">
        <f t="shared" si="38"/>
        <v>0</v>
      </c>
      <c r="AE73" s="12">
        <f t="shared" si="39"/>
        <v>0</v>
      </c>
      <c r="AF73" s="56"/>
      <c r="AG73" s="62">
        <v>52</v>
      </c>
      <c r="AH73" s="117">
        <f t="shared" si="40"/>
        <v>915200</v>
      </c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9"/>
      <c r="AZ73" s="115"/>
      <c r="BA73" s="243"/>
      <c r="BB73" s="115"/>
      <c r="BC73" s="115"/>
      <c r="BD73" s="115"/>
      <c r="BE73" s="115"/>
      <c r="BF73" s="115"/>
      <c r="BG73" s="115"/>
      <c r="BH73" s="115"/>
      <c r="BI73" s="115"/>
      <c r="BJ73" s="115"/>
      <c r="BK73" s="116"/>
    </row>
    <row r="74" spans="1:63" x14ac:dyDescent="0.35">
      <c r="A74" s="19" t="str">
        <f>VLOOKUP(C74,Master!A:D,4,0)</f>
        <v>SF</v>
      </c>
      <c r="B74" s="14" t="str">
        <f>VLOOKUP(C74,Master!A:C,3,0)</f>
        <v>Liners</v>
      </c>
      <c r="C74" s="14" t="s">
        <v>707</v>
      </c>
      <c r="D74" s="2">
        <f t="shared" si="20"/>
        <v>0</v>
      </c>
      <c r="E74" s="2">
        <f t="shared" si="21"/>
        <v>0</v>
      </c>
      <c r="F74" s="2">
        <f t="shared" si="22"/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v>0</v>
      </c>
      <c r="U74" s="2">
        <f t="shared" si="27"/>
        <v>0</v>
      </c>
      <c r="V74" s="2">
        <f t="shared" si="28"/>
        <v>0</v>
      </c>
      <c r="W74" s="2">
        <f t="shared" si="33"/>
        <v>0</v>
      </c>
      <c r="X74" s="2">
        <f t="shared" si="34"/>
        <v>0</v>
      </c>
      <c r="Y74" s="2">
        <f t="shared" si="35"/>
        <v>0</v>
      </c>
      <c r="Z74" s="46">
        <f t="shared" si="36"/>
        <v>0</v>
      </c>
      <c r="AA74" s="46">
        <v>0</v>
      </c>
      <c r="AB74" s="46">
        <v>0</v>
      </c>
      <c r="AC74" s="58">
        <f t="shared" si="37"/>
        <v>0</v>
      </c>
      <c r="AD74" s="58">
        <f t="shared" si="38"/>
        <v>0</v>
      </c>
      <c r="AE74" s="12">
        <f t="shared" si="39"/>
        <v>0</v>
      </c>
      <c r="AF74" s="56"/>
      <c r="AG74" s="62"/>
      <c r="AH74" s="117">
        <f t="shared" si="40"/>
        <v>0</v>
      </c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9"/>
      <c r="AZ74" s="115"/>
      <c r="BA74" s="243"/>
      <c r="BB74" s="115"/>
      <c r="BC74" s="115"/>
      <c r="BD74" s="115"/>
      <c r="BE74" s="115"/>
      <c r="BF74" s="115"/>
      <c r="BG74" s="115"/>
      <c r="BH74" s="115"/>
      <c r="BI74" s="115"/>
      <c r="BJ74" s="115"/>
      <c r="BK74" s="116"/>
    </row>
    <row r="75" spans="1:63" x14ac:dyDescent="0.35">
      <c r="A75" s="19" t="str">
        <f>VLOOKUP(C75,Master!A:D,4,0)</f>
        <v>SF</v>
      </c>
      <c r="B75" s="14" t="str">
        <f>VLOOKUP(C75,Master!A:C,3,0)</f>
        <v>Webbing</v>
      </c>
      <c r="C75" s="14" t="s">
        <v>710</v>
      </c>
      <c r="D75" s="2">
        <f t="shared" si="20"/>
        <v>0</v>
      </c>
      <c r="E75" s="2">
        <f t="shared" si="21"/>
        <v>1737.1</v>
      </c>
      <c r="F75" s="2">
        <f t="shared" si="22"/>
        <v>0</v>
      </c>
      <c r="G75" s="2"/>
      <c r="H75" s="2"/>
      <c r="I75" s="2"/>
      <c r="J75" s="2">
        <v>468.90000000000003</v>
      </c>
      <c r="K75" s="2">
        <v>411.3</v>
      </c>
      <c r="L75" s="2"/>
      <c r="M75" s="2"/>
      <c r="N75" s="2"/>
      <c r="O75" s="2">
        <v>45595.6</v>
      </c>
      <c r="P75" s="2">
        <v>45265.299999999996</v>
      </c>
      <c r="Q75" s="2"/>
      <c r="R75" s="2"/>
      <c r="S75" s="2"/>
      <c r="T75" s="2">
        <v>81</v>
      </c>
      <c r="U75" s="2">
        <f t="shared" si="27"/>
        <v>45595.6</v>
      </c>
      <c r="V75" s="2">
        <f t="shared" si="28"/>
        <v>45184.299999999996</v>
      </c>
      <c r="W75" s="2">
        <f t="shared" si="33"/>
        <v>0</v>
      </c>
      <c r="X75" s="2">
        <f t="shared" si="34"/>
        <v>2125</v>
      </c>
      <c r="Y75" s="2">
        <f t="shared" si="35"/>
        <v>0</v>
      </c>
      <c r="Z75" s="46">
        <f t="shared" si="36"/>
        <v>0</v>
      </c>
      <c r="AA75" s="46">
        <v>2125</v>
      </c>
      <c r="AB75" s="46">
        <v>0</v>
      </c>
      <c r="AC75" s="58">
        <f t="shared" si="37"/>
        <v>0</v>
      </c>
      <c r="AD75" s="58">
        <f t="shared" si="38"/>
        <v>0</v>
      </c>
      <c r="AE75" s="12">
        <f t="shared" si="39"/>
        <v>0</v>
      </c>
      <c r="AF75" s="56"/>
      <c r="AG75" s="62"/>
      <c r="AH75" s="117">
        <f t="shared" si="40"/>
        <v>0</v>
      </c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9"/>
      <c r="AZ75" s="115"/>
      <c r="BA75" s="243"/>
      <c r="BB75" s="115"/>
      <c r="BC75" s="115"/>
      <c r="BD75" s="115"/>
      <c r="BE75" s="115"/>
      <c r="BF75" s="115"/>
      <c r="BG75" s="115"/>
      <c r="BH75" s="115"/>
      <c r="BI75" s="115"/>
      <c r="BJ75" s="115"/>
      <c r="BK75" s="116"/>
    </row>
    <row r="76" spans="1:63" x14ac:dyDescent="0.35">
      <c r="A76" s="19" t="str">
        <f>VLOOKUP(C76,Master!A:D,4,0)</f>
        <v>SF</v>
      </c>
      <c r="B76" s="14" t="str">
        <f>VLOOKUP(C76,Master!A:C,3,0)</f>
        <v>Liners</v>
      </c>
      <c r="C76" s="14" t="s">
        <v>729</v>
      </c>
      <c r="D76" s="2">
        <f t="shared" si="20"/>
        <v>0</v>
      </c>
      <c r="E76" s="2">
        <f t="shared" si="21"/>
        <v>39624.800000000003</v>
      </c>
      <c r="F76" s="2">
        <f t="shared" si="22"/>
        <v>0</v>
      </c>
      <c r="G76" s="2"/>
      <c r="H76" s="2"/>
      <c r="I76" s="2"/>
      <c r="J76" s="2">
        <v>79673.2</v>
      </c>
      <c r="K76" s="2"/>
      <c r="L76" s="2"/>
      <c r="M76" s="2"/>
      <c r="N76" s="2"/>
      <c r="O76" s="2"/>
      <c r="P76" s="2">
        <v>23451.800000000003</v>
      </c>
      <c r="Q76" s="2"/>
      <c r="R76" s="2"/>
      <c r="S76" s="2"/>
      <c r="T76" s="2">
        <v>23451.800000000003</v>
      </c>
      <c r="U76" s="2">
        <f t="shared" si="27"/>
        <v>0</v>
      </c>
      <c r="V76" s="2">
        <f t="shared" si="28"/>
        <v>0</v>
      </c>
      <c r="W76" s="2">
        <f t="shared" si="33"/>
        <v>0</v>
      </c>
      <c r="X76" s="2">
        <f t="shared" si="34"/>
        <v>95846.2</v>
      </c>
      <c r="Y76" s="2">
        <f t="shared" si="35"/>
        <v>0</v>
      </c>
      <c r="Z76" s="46">
        <f t="shared" si="36"/>
        <v>0</v>
      </c>
      <c r="AA76" s="46">
        <v>95846.2</v>
      </c>
      <c r="AB76" s="46">
        <v>0</v>
      </c>
      <c r="AC76" s="58">
        <f t="shared" si="37"/>
        <v>0</v>
      </c>
      <c r="AD76" s="58">
        <f t="shared" si="38"/>
        <v>0</v>
      </c>
      <c r="AE76" s="12">
        <f t="shared" si="39"/>
        <v>0</v>
      </c>
      <c r="AF76" s="56"/>
      <c r="AG76" s="62"/>
      <c r="AH76" s="117">
        <f t="shared" si="40"/>
        <v>0</v>
      </c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9"/>
      <c r="AZ76" s="115"/>
      <c r="BA76" s="243"/>
      <c r="BB76" s="115"/>
      <c r="BC76" s="115"/>
      <c r="BD76" s="115"/>
      <c r="BE76" s="115"/>
      <c r="BF76" s="115"/>
      <c r="BG76" s="115"/>
      <c r="BH76" s="115"/>
      <c r="BI76" s="115"/>
      <c r="BJ76" s="115"/>
      <c r="BK76" s="116"/>
    </row>
    <row r="77" spans="1:63" x14ac:dyDescent="0.35">
      <c r="A77" s="19" t="str">
        <f>VLOOKUP(C77,Master!A:D,4,0)</f>
        <v>SF</v>
      </c>
      <c r="B77" s="14" t="str">
        <f>VLOOKUP(C77,Master!A:C,3,0)</f>
        <v>Tape Stock</v>
      </c>
      <c r="C77" s="14" t="s">
        <v>772</v>
      </c>
      <c r="D77" s="2">
        <f t="shared" si="20"/>
        <v>0</v>
      </c>
      <c r="E77" s="2">
        <f t="shared" si="21"/>
        <v>0</v>
      </c>
      <c r="F77" s="2">
        <f t="shared" si="22"/>
        <v>0</v>
      </c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v>0</v>
      </c>
      <c r="U77" s="2">
        <f t="shared" si="27"/>
        <v>0</v>
      </c>
      <c r="V77" s="2">
        <f t="shared" si="28"/>
        <v>0</v>
      </c>
      <c r="W77" s="2">
        <f t="shared" si="33"/>
        <v>0</v>
      </c>
      <c r="X77" s="2">
        <f t="shared" si="34"/>
        <v>0</v>
      </c>
      <c r="Y77" s="2">
        <f t="shared" si="35"/>
        <v>0</v>
      </c>
      <c r="Z77" s="46">
        <f t="shared" si="36"/>
        <v>0</v>
      </c>
      <c r="AA77" s="46">
        <v>0</v>
      </c>
      <c r="AB77" s="46">
        <v>0</v>
      </c>
      <c r="AC77" s="58">
        <f t="shared" si="37"/>
        <v>0</v>
      </c>
      <c r="AD77" s="58">
        <f t="shared" si="38"/>
        <v>0</v>
      </c>
      <c r="AE77" s="12">
        <f t="shared" si="39"/>
        <v>0</v>
      </c>
      <c r="AF77" s="56"/>
      <c r="AG77" s="62"/>
      <c r="AH77" s="117">
        <f t="shared" si="40"/>
        <v>0</v>
      </c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9"/>
      <c r="AZ77" s="115"/>
      <c r="BA77" s="243"/>
      <c r="BB77" s="115"/>
      <c r="BC77" s="115"/>
      <c r="BD77" s="115"/>
      <c r="BE77" s="115"/>
      <c r="BF77" s="115"/>
      <c r="BG77" s="115"/>
      <c r="BH77" s="115"/>
      <c r="BI77" s="115"/>
      <c r="BJ77" s="115"/>
      <c r="BK77" s="116"/>
    </row>
    <row r="78" spans="1:63" x14ac:dyDescent="0.35">
      <c r="A78" s="19" t="str">
        <f>VLOOKUP(C78,Master!A:D,4,0)</f>
        <v>SF</v>
      </c>
      <c r="B78" s="14" t="str">
        <f>VLOOKUP(C78,Master!A:C,3,0)</f>
        <v>Tape Stock</v>
      </c>
      <c r="C78" s="14" t="s">
        <v>773</v>
      </c>
      <c r="D78" s="2">
        <f t="shared" si="20"/>
        <v>0</v>
      </c>
      <c r="E78" s="2">
        <f t="shared" si="21"/>
        <v>8730.6</v>
      </c>
      <c r="F78" s="2">
        <f t="shared" si="22"/>
        <v>0</v>
      </c>
      <c r="G78" s="2"/>
      <c r="H78" s="2"/>
      <c r="I78" s="2"/>
      <c r="J78" s="2">
        <v>135746.04999999999</v>
      </c>
      <c r="K78" s="2"/>
      <c r="L78" s="2"/>
      <c r="M78" s="2"/>
      <c r="N78" s="2"/>
      <c r="O78" s="2">
        <v>66554</v>
      </c>
      <c r="P78" s="2">
        <v>71812.600000000006</v>
      </c>
      <c r="Q78" s="2"/>
      <c r="R78" s="2"/>
      <c r="S78" s="2"/>
      <c r="T78" s="2">
        <v>5258.6000000000058</v>
      </c>
      <c r="U78" s="2">
        <f t="shared" si="27"/>
        <v>66554</v>
      </c>
      <c r="V78" s="2">
        <f t="shared" si="28"/>
        <v>66554</v>
      </c>
      <c r="W78" s="2">
        <f t="shared" si="33"/>
        <v>0</v>
      </c>
      <c r="X78" s="2">
        <f t="shared" si="34"/>
        <v>139218.04999999999</v>
      </c>
      <c r="Y78" s="2">
        <f t="shared" si="35"/>
        <v>0</v>
      </c>
      <c r="Z78" s="46">
        <f t="shared" si="36"/>
        <v>0</v>
      </c>
      <c r="AA78" s="46">
        <v>139218.04999999999</v>
      </c>
      <c r="AB78" s="46">
        <v>0</v>
      </c>
      <c r="AC78" s="58">
        <f t="shared" si="37"/>
        <v>0</v>
      </c>
      <c r="AD78" s="58">
        <f t="shared" si="38"/>
        <v>0</v>
      </c>
      <c r="AE78" s="12">
        <f t="shared" si="39"/>
        <v>0</v>
      </c>
      <c r="AF78" s="56"/>
      <c r="AG78" s="62"/>
      <c r="AH78" s="117">
        <f t="shared" si="40"/>
        <v>0</v>
      </c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9"/>
      <c r="AZ78" s="115"/>
      <c r="BA78" s="243"/>
      <c r="BB78" s="115"/>
      <c r="BC78" s="115"/>
      <c r="BD78" s="115"/>
      <c r="BE78" s="115"/>
      <c r="BF78" s="115"/>
      <c r="BG78" s="115"/>
      <c r="BH78" s="115"/>
      <c r="BI78" s="115"/>
      <c r="BJ78" s="115"/>
      <c r="BK78" s="116"/>
    </row>
    <row r="79" spans="1:63" x14ac:dyDescent="0.35">
      <c r="A79" s="19" t="str">
        <f>VLOOKUP(C79,Master!A:D,4,0)</f>
        <v>SF</v>
      </c>
      <c r="B79" s="14" t="str">
        <f>VLOOKUP(C79,Master!A:C,3,0)</f>
        <v>RP Agglo</v>
      </c>
      <c r="C79" s="14" t="s">
        <v>810</v>
      </c>
      <c r="D79" s="2">
        <f t="shared" si="20"/>
        <v>0</v>
      </c>
      <c r="E79" s="2">
        <f t="shared" si="21"/>
        <v>0</v>
      </c>
      <c r="F79" s="2">
        <f t="shared" si="22"/>
        <v>0</v>
      </c>
      <c r="G79" s="2"/>
      <c r="H79" s="2"/>
      <c r="I79" s="2"/>
      <c r="J79" s="2"/>
      <c r="K79" s="2"/>
      <c r="L79" s="2"/>
      <c r="M79" s="2"/>
      <c r="N79" s="2"/>
      <c r="O79" s="2"/>
      <c r="P79" s="2">
        <v>0</v>
      </c>
      <c r="Q79" s="2"/>
      <c r="R79" s="2"/>
      <c r="S79" s="2"/>
      <c r="T79" s="2">
        <v>0</v>
      </c>
      <c r="U79" s="2">
        <f t="shared" si="27"/>
        <v>0</v>
      </c>
      <c r="V79" s="2">
        <f t="shared" si="28"/>
        <v>0</v>
      </c>
      <c r="W79" s="2">
        <f t="shared" si="33"/>
        <v>0</v>
      </c>
      <c r="X79" s="2">
        <f t="shared" si="34"/>
        <v>0</v>
      </c>
      <c r="Y79" s="2">
        <f t="shared" si="35"/>
        <v>0</v>
      </c>
      <c r="Z79" s="46">
        <f t="shared" si="36"/>
        <v>0</v>
      </c>
      <c r="AA79" s="46">
        <v>0</v>
      </c>
      <c r="AB79" s="46">
        <v>0</v>
      </c>
      <c r="AC79" s="58">
        <f t="shared" si="37"/>
        <v>0</v>
      </c>
      <c r="AD79" s="58">
        <f t="shared" si="38"/>
        <v>0</v>
      </c>
      <c r="AE79" s="12">
        <f t="shared" si="39"/>
        <v>0</v>
      </c>
      <c r="AF79" s="56"/>
      <c r="AG79" s="62"/>
      <c r="AH79" s="117">
        <f t="shared" si="40"/>
        <v>0</v>
      </c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9"/>
      <c r="AZ79" s="115"/>
      <c r="BA79" s="243"/>
      <c r="BB79" s="115"/>
      <c r="BC79" s="115"/>
      <c r="BD79" s="115"/>
      <c r="BE79" s="115"/>
      <c r="BF79" s="115"/>
      <c r="BG79" s="115"/>
      <c r="BH79" s="115"/>
      <c r="BI79" s="115"/>
      <c r="BJ79" s="115"/>
      <c r="BK79" s="116"/>
    </row>
    <row r="80" spans="1:63" x14ac:dyDescent="0.35">
      <c r="A80" s="19" t="str">
        <f>VLOOKUP(C80,Master!A:D,4,0)</f>
        <v>SF</v>
      </c>
      <c r="B80" s="14" t="str">
        <f>VLOOKUP(C80,Master!A:C,3,0)</f>
        <v>Wastage/Scrap</v>
      </c>
      <c r="C80" s="14" t="s">
        <v>820</v>
      </c>
      <c r="D80" s="2">
        <f t="shared" si="20"/>
        <v>29826.460000000006</v>
      </c>
      <c r="E80" s="2">
        <f t="shared" si="21"/>
        <v>0</v>
      </c>
      <c r="F80" s="2">
        <f t="shared" si="22"/>
        <v>0</v>
      </c>
      <c r="G80" s="2"/>
      <c r="H80" s="2"/>
      <c r="I80" s="2"/>
      <c r="J80" s="2"/>
      <c r="K80" s="2"/>
      <c r="L80" s="2"/>
      <c r="M80" s="2"/>
      <c r="N80" s="2">
        <v>7291.97</v>
      </c>
      <c r="O80" s="2">
        <v>29019</v>
      </c>
      <c r="P80" s="2">
        <v>51553.490000000005</v>
      </c>
      <c r="Q80" s="2"/>
      <c r="R80" s="2"/>
      <c r="S80" s="2">
        <v>7291.97</v>
      </c>
      <c r="T80" s="2">
        <v>0</v>
      </c>
      <c r="U80" s="2">
        <f t="shared" si="27"/>
        <v>21727.03</v>
      </c>
      <c r="V80" s="2">
        <f t="shared" si="28"/>
        <v>51553.490000000005</v>
      </c>
      <c r="W80" s="2">
        <f t="shared" si="33"/>
        <v>0</v>
      </c>
      <c r="X80" s="2">
        <f t="shared" si="34"/>
        <v>0</v>
      </c>
      <c r="Y80" s="2">
        <f t="shared" si="35"/>
        <v>0</v>
      </c>
      <c r="Z80" s="46">
        <f t="shared" si="36"/>
        <v>0</v>
      </c>
      <c r="AA80" s="46">
        <v>0</v>
      </c>
      <c r="AB80" s="46">
        <v>0</v>
      </c>
      <c r="AC80" s="58">
        <f t="shared" si="37"/>
        <v>0</v>
      </c>
      <c r="AD80" s="58">
        <f t="shared" si="38"/>
        <v>0</v>
      </c>
      <c r="AE80" s="12">
        <f t="shared" si="39"/>
        <v>0</v>
      </c>
      <c r="AF80" s="56"/>
      <c r="AG80" s="62"/>
      <c r="AH80" s="117">
        <f t="shared" si="40"/>
        <v>0</v>
      </c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9"/>
      <c r="AZ80" s="115"/>
      <c r="BA80" s="243"/>
      <c r="BB80" s="115"/>
      <c r="BC80" s="115"/>
      <c r="BD80" s="115"/>
      <c r="BE80" s="115"/>
      <c r="BF80" s="115"/>
      <c r="BG80" s="115"/>
      <c r="BH80" s="115"/>
      <c r="BI80" s="115"/>
      <c r="BJ80" s="115"/>
      <c r="BK80" s="116"/>
    </row>
    <row r="81" spans="1:63" x14ac:dyDescent="0.35">
      <c r="A81" s="19" t="str">
        <f>VLOOKUP(C81,Master!A:D,4,0)</f>
        <v>FG</v>
      </c>
      <c r="B81" s="14" t="str">
        <f>VLOOKUP(C81,Master!A:C,3,0)</f>
        <v>FIBC WIP</v>
      </c>
      <c r="C81" s="14" t="s">
        <v>892</v>
      </c>
      <c r="D81" s="2">
        <f t="shared" si="20"/>
        <v>35359.998888000147</v>
      </c>
      <c r="E81" s="2">
        <f t="shared" si="21"/>
        <v>0</v>
      </c>
      <c r="F81" s="2">
        <f t="shared" si="22"/>
        <v>0</v>
      </c>
      <c r="G81" s="2"/>
      <c r="H81" s="2"/>
      <c r="I81" s="2"/>
      <c r="J81" s="2"/>
      <c r="K81" s="2"/>
      <c r="L81" s="2"/>
      <c r="M81" s="2"/>
      <c r="N81" s="2"/>
      <c r="O81" s="2">
        <v>24647.938888000201</v>
      </c>
      <c r="P81" s="2">
        <v>36007.998888000096</v>
      </c>
      <c r="Q81" s="2"/>
      <c r="R81" s="2"/>
      <c r="S81" s="2"/>
      <c r="T81" s="2">
        <v>0</v>
      </c>
      <c r="U81" s="2">
        <f t="shared" si="27"/>
        <v>24647.938888000201</v>
      </c>
      <c r="V81" s="2">
        <f t="shared" si="28"/>
        <v>36007.998888000096</v>
      </c>
      <c r="W81" s="2">
        <f t="shared" si="33"/>
        <v>23999.938888000252</v>
      </c>
      <c r="X81" s="2">
        <f t="shared" si="34"/>
        <v>0</v>
      </c>
      <c r="Y81" s="2">
        <f t="shared" si="35"/>
        <v>0</v>
      </c>
      <c r="Z81" s="46">
        <f t="shared" si="36"/>
        <v>23999.938888000252</v>
      </c>
      <c r="AA81" s="46">
        <v>0</v>
      </c>
      <c r="AB81" s="46">
        <v>0</v>
      </c>
      <c r="AC81" s="58">
        <f t="shared" si="37"/>
        <v>0</v>
      </c>
      <c r="AD81" s="58">
        <f t="shared" si="38"/>
        <v>0</v>
      </c>
      <c r="AE81" s="12">
        <f t="shared" si="39"/>
        <v>0</v>
      </c>
      <c r="AF81" s="56"/>
      <c r="AG81" s="62">
        <v>135</v>
      </c>
      <c r="AH81" s="117">
        <f t="shared" si="40"/>
        <v>3239991.749880034</v>
      </c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9"/>
      <c r="AZ81" s="115"/>
      <c r="BA81" s="243"/>
      <c r="BB81" s="115"/>
      <c r="BC81" s="115"/>
      <c r="BD81" s="115"/>
      <c r="BE81" s="115"/>
      <c r="BF81" s="115"/>
      <c r="BG81" s="115"/>
      <c r="BH81" s="115"/>
      <c r="BI81" s="115"/>
      <c r="BJ81" s="115"/>
      <c r="BK81" s="116"/>
    </row>
    <row r="82" spans="1:63" x14ac:dyDescent="0.35">
      <c r="A82" s="19" t="str">
        <f>VLOOKUP(C82,Master!A:D,4,0)</f>
        <v>FG</v>
      </c>
      <c r="B82" s="14" t="str">
        <f>VLOOKUP(C82,Master!A:C,3,0)</f>
        <v>Label Div</v>
      </c>
      <c r="C82" s="14" t="s">
        <v>895</v>
      </c>
      <c r="D82" s="2">
        <f t="shared" si="20"/>
        <v>0</v>
      </c>
      <c r="E82" s="2">
        <f t="shared" si="21"/>
        <v>0</v>
      </c>
      <c r="F82" s="2">
        <f t="shared" si="22"/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>
        <v>0</v>
      </c>
      <c r="U82" s="2">
        <f t="shared" si="27"/>
        <v>0</v>
      </c>
      <c r="V82" s="2">
        <f t="shared" si="28"/>
        <v>0</v>
      </c>
      <c r="W82" s="2">
        <f t="shared" si="33"/>
        <v>0</v>
      </c>
      <c r="X82" s="2">
        <f t="shared" si="34"/>
        <v>0</v>
      </c>
      <c r="Y82" s="2">
        <f t="shared" si="35"/>
        <v>0</v>
      </c>
      <c r="Z82" s="46">
        <f t="shared" si="36"/>
        <v>0</v>
      </c>
      <c r="AA82" s="46">
        <v>0</v>
      </c>
      <c r="AB82" s="46">
        <v>0</v>
      </c>
      <c r="AC82" s="58">
        <f t="shared" si="37"/>
        <v>0</v>
      </c>
      <c r="AD82" s="58">
        <f t="shared" si="38"/>
        <v>0</v>
      </c>
      <c r="AE82" s="12">
        <f t="shared" si="39"/>
        <v>0</v>
      </c>
      <c r="AF82" s="56"/>
      <c r="AG82" s="62"/>
      <c r="AH82" s="117">
        <f t="shared" si="40"/>
        <v>0</v>
      </c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9"/>
      <c r="AZ82" s="115"/>
      <c r="BA82" s="243"/>
      <c r="BB82" s="115"/>
      <c r="BC82" s="115"/>
      <c r="BD82" s="115"/>
      <c r="BE82" s="115"/>
      <c r="BF82" s="115"/>
      <c r="BG82" s="115"/>
      <c r="BH82" s="115"/>
      <c r="BI82" s="115"/>
      <c r="BJ82" s="119"/>
      <c r="BK82" s="116"/>
    </row>
    <row r="83" spans="1:63" x14ac:dyDescent="0.35">
      <c r="A83" s="19" t="str">
        <f>VLOOKUP(C83,Master!A:D,4,0)</f>
        <v>FG</v>
      </c>
      <c r="B83" s="14" t="str">
        <f>VLOOKUP(C83,Master!A:C,3,0)</f>
        <v>FIBC Bags</v>
      </c>
      <c r="C83" s="14" t="s">
        <v>897</v>
      </c>
      <c r="D83" s="2">
        <f t="shared" si="20"/>
        <v>0</v>
      </c>
      <c r="E83" s="2">
        <f t="shared" si="21"/>
        <v>0</v>
      </c>
      <c r="F83" s="2">
        <f t="shared" si="22"/>
        <v>0</v>
      </c>
      <c r="G83" s="2"/>
      <c r="H83" s="2"/>
      <c r="I83" s="2"/>
      <c r="J83" s="2"/>
      <c r="K83" s="2">
        <v>3689</v>
      </c>
      <c r="L83" s="2"/>
      <c r="M83" s="2"/>
      <c r="N83" s="2">
        <v>251582</v>
      </c>
      <c r="O83" s="2">
        <v>255271</v>
      </c>
      <c r="P83" s="2"/>
      <c r="Q83" s="2"/>
      <c r="R83" s="2"/>
      <c r="S83" s="2">
        <v>251582</v>
      </c>
      <c r="T83" s="2">
        <v>0</v>
      </c>
      <c r="U83" s="2">
        <f t="shared" si="27"/>
        <v>3689</v>
      </c>
      <c r="V83" s="2">
        <f t="shared" si="28"/>
        <v>0</v>
      </c>
      <c r="W83" s="2">
        <f t="shared" si="33"/>
        <v>0</v>
      </c>
      <c r="X83" s="2">
        <f t="shared" si="34"/>
        <v>0</v>
      </c>
      <c r="Y83" s="2">
        <f t="shared" si="35"/>
        <v>0</v>
      </c>
      <c r="Z83" s="46">
        <f t="shared" si="36"/>
        <v>0</v>
      </c>
      <c r="AA83" s="46">
        <v>0</v>
      </c>
      <c r="AB83" s="46">
        <v>0</v>
      </c>
      <c r="AC83" s="58">
        <f t="shared" si="37"/>
        <v>0</v>
      </c>
      <c r="AD83" s="58">
        <f t="shared" si="38"/>
        <v>0</v>
      </c>
      <c r="AE83" s="12">
        <f t="shared" si="39"/>
        <v>0</v>
      </c>
      <c r="AF83" s="56"/>
      <c r="AG83" s="62"/>
      <c r="AH83" s="117">
        <f t="shared" si="40"/>
        <v>0</v>
      </c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9"/>
      <c r="AZ83" s="115"/>
      <c r="BA83" s="243"/>
      <c r="BB83" s="115"/>
      <c r="BC83" s="115"/>
      <c r="BD83" s="115"/>
      <c r="BE83" s="115"/>
      <c r="BF83" s="115"/>
      <c r="BG83" s="115"/>
      <c r="BH83" s="115"/>
      <c r="BI83" s="115"/>
      <c r="BJ83" s="115"/>
      <c r="BK83" s="116"/>
    </row>
    <row r="84" spans="1:63" x14ac:dyDescent="0.35">
      <c r="A84" s="19" t="str">
        <f>VLOOKUP(C84,Master!A:D,4,0)</f>
        <v>FG</v>
      </c>
      <c r="B84" s="14" t="str">
        <f>VLOOKUP(C84,Master!A:C,3,0)</f>
        <v>Small Bags</v>
      </c>
      <c r="C84" s="14" t="s">
        <v>900</v>
      </c>
      <c r="D84" s="2">
        <f t="shared" si="20"/>
        <v>0</v>
      </c>
      <c r="E84" s="2">
        <f t="shared" si="21"/>
        <v>0</v>
      </c>
      <c r="F84" s="2">
        <f t="shared" si="22"/>
        <v>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0</v>
      </c>
      <c r="U84" s="2">
        <f t="shared" si="27"/>
        <v>0</v>
      </c>
      <c r="V84" s="2">
        <f t="shared" si="28"/>
        <v>0</v>
      </c>
      <c r="W84" s="2">
        <f t="shared" si="33"/>
        <v>0</v>
      </c>
      <c r="X84" s="2">
        <f t="shared" si="34"/>
        <v>0</v>
      </c>
      <c r="Y84" s="2">
        <f t="shared" si="35"/>
        <v>0</v>
      </c>
      <c r="Z84" s="46">
        <f t="shared" si="36"/>
        <v>0</v>
      </c>
      <c r="AA84" s="46">
        <v>0</v>
      </c>
      <c r="AB84" s="46">
        <v>0</v>
      </c>
      <c r="AC84" s="58">
        <f t="shared" si="37"/>
        <v>0</v>
      </c>
      <c r="AD84" s="58">
        <f t="shared" si="38"/>
        <v>0</v>
      </c>
      <c r="AE84" s="12">
        <f t="shared" si="39"/>
        <v>0</v>
      </c>
      <c r="AF84" s="56"/>
      <c r="AG84" s="62"/>
      <c r="AH84" s="117">
        <f t="shared" si="40"/>
        <v>0</v>
      </c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9"/>
      <c r="AZ84" s="115"/>
      <c r="BA84" s="243"/>
      <c r="BB84" s="115"/>
      <c r="BC84" s="115"/>
      <c r="BD84" s="115"/>
      <c r="BE84" s="115"/>
      <c r="BF84" s="115"/>
      <c r="BG84" s="115"/>
      <c r="BH84" s="115"/>
      <c r="BI84" s="115"/>
      <c r="BJ84" s="115"/>
      <c r="BK84" s="116"/>
    </row>
    <row r="85" spans="1:63" x14ac:dyDescent="0.35">
      <c r="A85" s="19" t="str">
        <f>VLOOKUP(C85,Master!A:D,4,0)</f>
        <v>FG</v>
      </c>
      <c r="B85" s="14" t="str">
        <f>VLOOKUP(C85,Master!A:C,3,0)</f>
        <v>Tarps</v>
      </c>
      <c r="C85" s="14" t="s">
        <v>903</v>
      </c>
      <c r="D85" s="2">
        <f t="shared" si="20"/>
        <v>0</v>
      </c>
      <c r="E85" s="2">
        <f t="shared" si="21"/>
        <v>0</v>
      </c>
      <c r="F85" s="2">
        <f t="shared" si="22"/>
        <v>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>
        <v>0</v>
      </c>
      <c r="U85" s="2">
        <f t="shared" si="27"/>
        <v>0</v>
      </c>
      <c r="V85" s="2">
        <f t="shared" si="28"/>
        <v>0</v>
      </c>
      <c r="W85" s="2">
        <f t="shared" si="33"/>
        <v>0</v>
      </c>
      <c r="X85" s="2">
        <f t="shared" si="34"/>
        <v>0</v>
      </c>
      <c r="Y85" s="2">
        <f t="shared" si="35"/>
        <v>0</v>
      </c>
      <c r="Z85" s="46">
        <f t="shared" si="36"/>
        <v>0</v>
      </c>
      <c r="AA85" s="46">
        <v>0</v>
      </c>
      <c r="AB85" s="46">
        <v>0</v>
      </c>
      <c r="AC85" s="58">
        <f t="shared" si="37"/>
        <v>0</v>
      </c>
      <c r="AD85" s="58">
        <f t="shared" si="38"/>
        <v>0</v>
      </c>
      <c r="AE85" s="12">
        <f t="shared" si="39"/>
        <v>0</v>
      </c>
      <c r="AF85" s="56"/>
      <c r="AG85" s="62"/>
      <c r="AH85" s="117">
        <f t="shared" si="40"/>
        <v>0</v>
      </c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9"/>
      <c r="AZ85" s="115"/>
      <c r="BA85" s="243"/>
      <c r="BB85" s="115"/>
      <c r="BC85" s="115"/>
      <c r="BD85" s="115"/>
      <c r="BE85" s="115"/>
      <c r="BF85" s="115"/>
      <c r="BG85" s="115"/>
      <c r="BH85" s="115"/>
      <c r="BI85" s="115"/>
      <c r="BJ85" s="115"/>
      <c r="BK85" s="116"/>
    </row>
    <row r="86" spans="1:63" x14ac:dyDescent="0.35">
      <c r="A86" s="19" t="str">
        <f>VLOOKUP(C86,Master!A:D,4,0)</f>
        <v>FG</v>
      </c>
      <c r="B86" s="14" t="str">
        <f>VLOOKUP(C86,Master!A:C,3,0)</f>
        <v>Trading Items</v>
      </c>
      <c r="C86" s="14" t="s">
        <v>905</v>
      </c>
      <c r="D86" s="2">
        <f t="shared" si="20"/>
        <v>0</v>
      </c>
      <c r="E86" s="2">
        <f t="shared" si="21"/>
        <v>0</v>
      </c>
      <c r="F86" s="2">
        <f t="shared" si="22"/>
        <v>0</v>
      </c>
      <c r="G86" s="6"/>
      <c r="H86" s="6"/>
      <c r="I86" s="6"/>
      <c r="J86" s="2"/>
      <c r="K86" s="6"/>
      <c r="L86" s="6"/>
      <c r="M86" s="6"/>
      <c r="N86" s="6"/>
      <c r="O86" s="6"/>
      <c r="P86" s="6"/>
      <c r="Q86" s="2"/>
      <c r="R86" s="6"/>
      <c r="S86" s="6"/>
      <c r="T86" s="2">
        <v>0</v>
      </c>
      <c r="U86" s="2">
        <f t="shared" si="27"/>
        <v>0</v>
      </c>
      <c r="V86" s="2">
        <f t="shared" si="28"/>
        <v>0</v>
      </c>
      <c r="W86" s="2">
        <f t="shared" si="33"/>
        <v>0</v>
      </c>
      <c r="X86" s="2">
        <f t="shared" si="34"/>
        <v>0</v>
      </c>
      <c r="Y86" s="2">
        <f t="shared" si="35"/>
        <v>0</v>
      </c>
      <c r="Z86" s="46">
        <f t="shared" si="36"/>
        <v>0</v>
      </c>
      <c r="AA86" s="46">
        <v>0</v>
      </c>
      <c r="AB86" s="46">
        <v>0</v>
      </c>
      <c r="AC86" s="58">
        <f t="shared" si="37"/>
        <v>0</v>
      </c>
      <c r="AD86" s="58">
        <f t="shared" si="38"/>
        <v>0</v>
      </c>
      <c r="AE86" s="12">
        <f t="shared" si="39"/>
        <v>0</v>
      </c>
      <c r="AF86" s="56"/>
      <c r="AG86" s="62"/>
      <c r="AH86" s="117">
        <f t="shared" si="40"/>
        <v>0</v>
      </c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9"/>
      <c r="AZ86" s="115"/>
      <c r="BA86" s="243"/>
      <c r="BB86" s="115"/>
      <c r="BC86" s="115"/>
      <c r="BD86" s="115"/>
      <c r="BE86" s="115"/>
      <c r="BF86" s="115"/>
      <c r="BG86" s="115"/>
      <c r="BH86" s="115"/>
      <c r="BI86" s="115"/>
      <c r="BJ86" s="115"/>
      <c r="BK86" s="116"/>
    </row>
    <row r="87" spans="1:63" x14ac:dyDescent="0.35">
      <c r="A87" s="19" t="str">
        <f>VLOOKUP(C87,Master!A:D,4,0)</f>
        <v>FG</v>
      </c>
      <c r="B87" s="14" t="str">
        <f>VLOOKUP(C87,Master!A:C,3,0)</f>
        <v>Small Bags</v>
      </c>
      <c r="C87" s="14" t="s">
        <v>907</v>
      </c>
      <c r="D87" s="2">
        <f t="shared" si="20"/>
        <v>0</v>
      </c>
      <c r="E87" s="2">
        <f t="shared" si="21"/>
        <v>0</v>
      </c>
      <c r="F87" s="2">
        <f t="shared" si="22"/>
        <v>0</v>
      </c>
      <c r="G87" s="6"/>
      <c r="H87" s="2"/>
      <c r="I87" s="6"/>
      <c r="J87" s="2"/>
      <c r="K87" s="6"/>
      <c r="L87" s="6"/>
      <c r="M87" s="6"/>
      <c r="N87" s="6"/>
      <c r="O87" s="6"/>
      <c r="P87" s="6"/>
      <c r="Q87" s="2"/>
      <c r="R87" s="6"/>
      <c r="S87" s="6"/>
      <c r="T87" s="2">
        <v>0</v>
      </c>
      <c r="U87" s="2">
        <f t="shared" si="27"/>
        <v>0</v>
      </c>
      <c r="V87" s="2">
        <f t="shared" si="28"/>
        <v>0</v>
      </c>
      <c r="W87" s="2">
        <f t="shared" si="33"/>
        <v>0</v>
      </c>
      <c r="X87" s="2">
        <f t="shared" si="34"/>
        <v>0</v>
      </c>
      <c r="Y87" s="2">
        <f t="shared" si="35"/>
        <v>0</v>
      </c>
      <c r="Z87" s="46">
        <f t="shared" si="36"/>
        <v>0</v>
      </c>
      <c r="AA87" s="46">
        <v>0</v>
      </c>
      <c r="AB87" s="46">
        <v>0</v>
      </c>
      <c r="AC87" s="58">
        <f t="shared" si="37"/>
        <v>0</v>
      </c>
      <c r="AD87" s="58">
        <f t="shared" si="38"/>
        <v>0</v>
      </c>
      <c r="AE87" s="12">
        <f t="shared" si="39"/>
        <v>0</v>
      </c>
      <c r="AF87" s="56"/>
      <c r="AG87" s="62"/>
      <c r="AH87" s="117">
        <f t="shared" si="40"/>
        <v>0</v>
      </c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9"/>
      <c r="AZ87" s="115"/>
      <c r="BA87" s="243"/>
      <c r="BB87" s="115"/>
      <c r="BC87" s="115"/>
      <c r="BD87" s="115"/>
      <c r="BE87" s="115"/>
      <c r="BF87" s="115"/>
      <c r="BG87" s="115"/>
      <c r="BH87" s="115"/>
      <c r="BI87" s="115"/>
      <c r="BJ87" s="115"/>
      <c r="BK87" s="116"/>
    </row>
    <row r="88" spans="1:63" x14ac:dyDescent="0.35">
      <c r="A88" s="19" t="str">
        <f>VLOOKUP(C88,Master!A:D,4,0)</f>
        <v>FG</v>
      </c>
      <c r="B88" s="14" t="str">
        <f>VLOOKUP(C88,Master!A:C,3,0)</f>
        <v>Small Bags WIP</v>
      </c>
      <c r="C88" s="14" t="s">
        <v>908</v>
      </c>
      <c r="D88" s="2">
        <f t="shared" si="20"/>
        <v>0</v>
      </c>
      <c r="E88" s="2">
        <f t="shared" si="21"/>
        <v>0</v>
      </c>
      <c r="F88" s="2">
        <f t="shared" si="22"/>
        <v>0</v>
      </c>
      <c r="G88" s="7"/>
      <c r="H88" s="2"/>
      <c r="I88" s="7"/>
      <c r="J88" s="11"/>
      <c r="K88" s="7"/>
      <c r="L88" s="7"/>
      <c r="M88" s="7"/>
      <c r="N88" s="7"/>
      <c r="O88" s="7"/>
      <c r="P88" s="6"/>
      <c r="Q88" s="2"/>
      <c r="R88" s="7"/>
      <c r="S88" s="7"/>
      <c r="T88" s="2">
        <v>0</v>
      </c>
      <c r="U88" s="2">
        <f t="shared" si="27"/>
        <v>0</v>
      </c>
      <c r="V88" s="2">
        <f t="shared" si="28"/>
        <v>0</v>
      </c>
      <c r="W88" s="2">
        <f t="shared" si="33"/>
        <v>0</v>
      </c>
      <c r="X88" s="2">
        <f t="shared" si="34"/>
        <v>0</v>
      </c>
      <c r="Y88" s="2">
        <f t="shared" si="35"/>
        <v>0</v>
      </c>
      <c r="Z88" s="46">
        <f t="shared" si="36"/>
        <v>0</v>
      </c>
      <c r="AA88" s="46">
        <v>0</v>
      </c>
      <c r="AB88" s="46">
        <v>0</v>
      </c>
      <c r="AC88" s="58">
        <f t="shared" si="37"/>
        <v>0</v>
      </c>
      <c r="AD88" s="58">
        <f t="shared" si="38"/>
        <v>0</v>
      </c>
      <c r="AE88" s="12">
        <f t="shared" si="39"/>
        <v>0</v>
      </c>
      <c r="AF88" s="56"/>
      <c r="AG88" s="62"/>
      <c r="AH88" s="117">
        <f t="shared" si="40"/>
        <v>0</v>
      </c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9"/>
      <c r="AZ88" s="115"/>
      <c r="BA88" s="243"/>
      <c r="BB88" s="115"/>
      <c r="BC88" s="115"/>
      <c r="BD88" s="115"/>
      <c r="BE88" s="115"/>
      <c r="BF88" s="115"/>
      <c r="BG88" s="115"/>
      <c r="BH88" s="115"/>
      <c r="BI88" s="115"/>
      <c r="BJ88" s="115"/>
      <c r="BK88" s="116"/>
    </row>
    <row r="89" spans="1:63" ht="15" thickBot="1" x14ac:dyDescent="0.4">
      <c r="A89" s="20" t="str">
        <f>VLOOKUP(C89,Master!A:D,4,0)</f>
        <v>FG</v>
      </c>
      <c r="B89" s="21" t="str">
        <f>VLOOKUP(C89,Master!A:C,3,0)</f>
        <v>Flexitank</v>
      </c>
      <c r="C89" s="21" t="s">
        <v>718</v>
      </c>
      <c r="D89" s="2">
        <f t="shared" si="20"/>
        <v>0</v>
      </c>
      <c r="E89" s="2">
        <f t="shared" si="21"/>
        <v>0</v>
      </c>
      <c r="F89" s="2">
        <f t="shared" si="22"/>
        <v>0</v>
      </c>
      <c r="G89" s="22"/>
      <c r="H89" s="22"/>
      <c r="I89" s="22"/>
      <c r="J89" s="24"/>
      <c r="K89" s="22"/>
      <c r="L89" s="22"/>
      <c r="M89" s="22"/>
      <c r="N89" s="22"/>
      <c r="O89" s="22"/>
      <c r="P89" s="22"/>
      <c r="Q89" s="2"/>
      <c r="R89" s="22"/>
      <c r="S89" s="22"/>
      <c r="T89" s="2">
        <v>0</v>
      </c>
      <c r="U89" s="2">
        <f t="shared" si="27"/>
        <v>0</v>
      </c>
      <c r="V89" s="2">
        <f t="shared" si="28"/>
        <v>0</v>
      </c>
      <c r="W89" s="2">
        <f t="shared" si="33"/>
        <v>0</v>
      </c>
      <c r="X89" s="2">
        <f t="shared" si="34"/>
        <v>0</v>
      </c>
      <c r="Y89" s="2">
        <f t="shared" si="35"/>
        <v>0</v>
      </c>
      <c r="Z89" s="46">
        <f t="shared" si="36"/>
        <v>0</v>
      </c>
      <c r="AA89" s="46">
        <v>0</v>
      </c>
      <c r="AB89" s="46">
        <v>0</v>
      </c>
      <c r="AC89" s="58">
        <f t="shared" si="37"/>
        <v>0</v>
      </c>
      <c r="AD89" s="58">
        <f t="shared" si="38"/>
        <v>0</v>
      </c>
      <c r="AE89" s="12">
        <f t="shared" si="39"/>
        <v>0</v>
      </c>
      <c r="AF89" s="56"/>
      <c r="AG89" s="65"/>
      <c r="AH89" s="117">
        <f t="shared" si="40"/>
        <v>0</v>
      </c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9"/>
      <c r="AZ89" s="115"/>
      <c r="BA89" s="243"/>
      <c r="BB89" s="115"/>
      <c r="BC89" s="115"/>
      <c r="BD89" s="115"/>
      <c r="BE89" s="115"/>
      <c r="BF89" s="115"/>
      <c r="BG89" s="115"/>
      <c r="BH89" s="115"/>
      <c r="BI89" s="115"/>
      <c r="BJ89" s="115"/>
      <c r="BK89" s="116"/>
    </row>
    <row r="90" spans="1:63" x14ac:dyDescent="0.35">
      <c r="A90" s="536" t="s">
        <v>928</v>
      </c>
      <c r="B90" s="537"/>
      <c r="C90" s="538"/>
      <c r="D90" s="17">
        <f>SUM(D53:D89)</f>
        <v>141182.41888800013</v>
      </c>
      <c r="E90" s="17">
        <f t="shared" ref="E90:Z90" si="41">SUM(E53:E89)</f>
        <v>715628.24000000011</v>
      </c>
      <c r="F90" s="17">
        <f t="shared" si="41"/>
        <v>0</v>
      </c>
      <c r="G90" s="17">
        <f t="shared" si="41"/>
        <v>0</v>
      </c>
      <c r="H90" s="17">
        <f t="shared" si="41"/>
        <v>7163.78</v>
      </c>
      <c r="I90" s="17">
        <f t="shared" si="41"/>
        <v>0</v>
      </c>
      <c r="J90" s="17">
        <f t="shared" si="41"/>
        <v>280310.55</v>
      </c>
      <c r="K90" s="17">
        <f t="shared" si="41"/>
        <v>84449.3</v>
      </c>
      <c r="L90" s="17">
        <f t="shared" si="41"/>
        <v>0</v>
      </c>
      <c r="M90" s="17">
        <f t="shared" si="41"/>
        <v>0</v>
      </c>
      <c r="N90" s="17">
        <f t="shared" si="41"/>
        <v>258873.97</v>
      </c>
      <c r="O90" s="17">
        <f t="shared" si="41"/>
        <v>750527.33888800023</v>
      </c>
      <c r="P90" s="17">
        <f t="shared" si="41"/>
        <v>750527.33888800011</v>
      </c>
      <c r="Q90" s="17">
        <f t="shared" si="41"/>
        <v>0</v>
      </c>
      <c r="R90" s="17">
        <f t="shared" si="41"/>
        <v>0</v>
      </c>
      <c r="S90" s="17">
        <f t="shared" si="41"/>
        <v>258873.97</v>
      </c>
      <c r="T90" s="17">
        <f t="shared" si="41"/>
        <v>258873.97</v>
      </c>
      <c r="U90" s="17">
        <f t="shared" si="41"/>
        <v>491653.36888800014</v>
      </c>
      <c r="V90" s="17">
        <f t="shared" si="41"/>
        <v>491653.36888800003</v>
      </c>
      <c r="W90" s="17">
        <f t="shared" si="41"/>
        <v>63896.898888000258</v>
      </c>
      <c r="X90" s="17">
        <f t="shared" si="41"/>
        <v>737064.82000000007</v>
      </c>
      <c r="Y90" s="17">
        <f t="shared" si="41"/>
        <v>0</v>
      </c>
      <c r="Z90" s="17">
        <f t="shared" si="41"/>
        <v>63896.898888000258</v>
      </c>
      <c r="AA90" s="17">
        <f>SUM(AA53:AA89)</f>
        <v>737064.82000000007</v>
      </c>
      <c r="AB90" s="17">
        <f t="shared" ref="AB90:AF90" si="42">SUM(AB53:AB89)</f>
        <v>0</v>
      </c>
      <c r="AC90" s="17">
        <f t="shared" si="42"/>
        <v>0</v>
      </c>
      <c r="AD90" s="17">
        <f t="shared" si="42"/>
        <v>0</v>
      </c>
      <c r="AE90" s="17">
        <f t="shared" si="42"/>
        <v>0</v>
      </c>
      <c r="AF90" s="57">
        <f t="shared" si="42"/>
        <v>0</v>
      </c>
      <c r="AG90" s="61"/>
      <c r="AH90" s="120">
        <f t="shared" ref="AH90" si="43">SUM(AH53:AH89)</f>
        <v>6719387.9434709046</v>
      </c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247"/>
      <c r="AZ90" s="248"/>
      <c r="BA90" s="248"/>
      <c r="BB90" s="115"/>
      <c r="BC90" s="115"/>
      <c r="BD90" s="115"/>
      <c r="BE90" s="115"/>
      <c r="BF90" s="115"/>
      <c r="BG90" s="115"/>
      <c r="BH90" s="115"/>
      <c r="BI90" s="115"/>
      <c r="BJ90" s="115"/>
      <c r="BK90" s="116"/>
    </row>
    <row r="91" spans="1:63" x14ac:dyDescent="0.35">
      <c r="A91" s="533" t="s">
        <v>927</v>
      </c>
      <c r="B91" s="534"/>
      <c r="C91" s="535"/>
      <c r="D91" s="11"/>
      <c r="E91" s="11"/>
      <c r="F91" s="11"/>
      <c r="G91" s="11"/>
      <c r="H91" s="11">
        <v>7163.78</v>
      </c>
      <c r="I91" s="11"/>
      <c r="J91" s="2">
        <v>280310.55000000005</v>
      </c>
      <c r="K91" s="11">
        <v>84449.3</v>
      </c>
      <c r="L91" s="11"/>
      <c r="M91" s="11"/>
      <c r="N91" s="11">
        <v>258873.97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1"/>
      <c r="AA91" s="11">
        <v>737064.82000000007</v>
      </c>
      <c r="AB91" s="11"/>
      <c r="AC91" s="11"/>
      <c r="AD91" s="11"/>
      <c r="AE91" s="11"/>
      <c r="AF91" s="4"/>
      <c r="AG91" s="62"/>
      <c r="AH91" s="117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9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6"/>
    </row>
    <row r="92" spans="1:63" ht="15" thickBot="1" x14ac:dyDescent="0.4">
      <c r="A92" s="547" t="s">
        <v>21</v>
      </c>
      <c r="B92" s="548"/>
      <c r="C92" s="549"/>
      <c r="D92" s="23"/>
      <c r="E92" s="23"/>
      <c r="F92" s="23"/>
      <c r="G92" s="24">
        <f>G90-G91</f>
        <v>0</v>
      </c>
      <c r="H92" s="24">
        <f t="shared" ref="H92:N92" si="44">H90-H91</f>
        <v>0</v>
      </c>
      <c r="I92" s="24">
        <f t="shared" si="44"/>
        <v>0</v>
      </c>
      <c r="J92" s="24">
        <f t="shared" si="44"/>
        <v>0</v>
      </c>
      <c r="K92" s="24">
        <f t="shared" si="44"/>
        <v>0</v>
      </c>
      <c r="L92" s="24">
        <f t="shared" si="44"/>
        <v>0</v>
      </c>
      <c r="M92" s="24">
        <f t="shared" si="44"/>
        <v>0</v>
      </c>
      <c r="N92" s="24">
        <f t="shared" si="44"/>
        <v>0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79"/>
      <c r="AA92" s="79">
        <f>+AA90-AA91</f>
        <v>0</v>
      </c>
      <c r="AB92" s="79"/>
      <c r="AC92" s="23"/>
      <c r="AD92" s="23"/>
      <c r="AE92" s="23"/>
      <c r="AF92" s="25"/>
      <c r="AG92" s="63"/>
      <c r="AH92" s="123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24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6"/>
    </row>
    <row r="93" spans="1:63" x14ac:dyDescent="0.35">
      <c r="O93" s="51" t="s">
        <v>970</v>
      </c>
      <c r="P93" s="70">
        <f>+O90-P90</f>
        <v>0</v>
      </c>
      <c r="S93" s="51" t="s">
        <v>970</v>
      </c>
      <c r="T93" s="70">
        <f>+S90-T90</f>
        <v>0</v>
      </c>
      <c r="BJ93" s="115"/>
    </row>
    <row r="94" spans="1:63" x14ac:dyDescent="0.35">
      <c r="A94" s="29"/>
      <c r="O94" s="64"/>
      <c r="S94" s="47"/>
      <c r="W94" s="47">
        <f>+D90+H90-K90</f>
        <v>63896.898888000127</v>
      </c>
      <c r="X94" s="47">
        <f>+E90+J90-N90</f>
        <v>737064.82000000007</v>
      </c>
      <c r="AH94" s="116">
        <f>+AH53+AH67+AH68+AH70+AH75+AH78+AH54+AH56+AH61</f>
        <v>2564196.1935908706</v>
      </c>
      <c r="AI94" s="105" t="s">
        <v>932</v>
      </c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246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</row>
    <row r="95" spans="1:63" x14ac:dyDescent="0.35">
      <c r="W95" s="64">
        <f>+W90-W94</f>
        <v>1.3096723705530167E-10</v>
      </c>
      <c r="X95" s="64">
        <f>+X90-X94</f>
        <v>0</v>
      </c>
      <c r="AH95" s="116">
        <f>+AH81</f>
        <v>3239991.749880034</v>
      </c>
      <c r="AI95" s="105" t="s">
        <v>931</v>
      </c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246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5"/>
      <c r="BK95" s="126"/>
    </row>
    <row r="96" spans="1:63" x14ac:dyDescent="0.35">
      <c r="AH96" s="116">
        <f>+AH73+AH80+AH83+AH87</f>
        <v>915200</v>
      </c>
      <c r="AI96" s="105" t="s">
        <v>930</v>
      </c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246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</row>
    <row r="97" spans="1:16384" x14ac:dyDescent="0.35">
      <c r="AH97" s="116">
        <f>+AH90-AH94-AH95-AH96</f>
        <v>0</v>
      </c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246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</row>
    <row r="99" spans="1:16384" ht="15" thickBot="1" x14ac:dyDescent="0.4"/>
    <row r="100" spans="1:16384" ht="15" thickBot="1" x14ac:dyDescent="0.4">
      <c r="A100" s="5"/>
      <c r="B100" s="5"/>
      <c r="C100" s="8"/>
      <c r="D100" s="539" t="s">
        <v>0</v>
      </c>
      <c r="E100" s="540"/>
      <c r="F100" s="540"/>
      <c r="G100" s="541" t="s">
        <v>2972</v>
      </c>
      <c r="H100" s="542"/>
      <c r="I100" s="542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  <c r="T100" s="542"/>
      <c r="U100" s="542"/>
      <c r="V100" s="543"/>
      <c r="W100" s="554" t="s">
        <v>20</v>
      </c>
      <c r="X100" s="554"/>
      <c r="Y100" s="554"/>
      <c r="Z100" s="553" t="s">
        <v>929</v>
      </c>
      <c r="AA100" s="553"/>
      <c r="AB100" s="553"/>
      <c r="AC100" s="553" t="s">
        <v>21</v>
      </c>
      <c r="AD100" s="553"/>
      <c r="AE100" s="553"/>
      <c r="AF100" s="13"/>
      <c r="AG100" s="531"/>
      <c r="AH100" s="532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</row>
    <row r="101" spans="1:16384" ht="29.5" thickBot="1" x14ac:dyDescent="0.4">
      <c r="A101" s="10" t="s">
        <v>24</v>
      </c>
      <c r="B101" s="10" t="s">
        <v>924</v>
      </c>
      <c r="C101" s="10" t="s">
        <v>23</v>
      </c>
      <c r="D101" s="26" t="s">
        <v>1</v>
      </c>
      <c r="E101" s="27" t="s">
        <v>2</v>
      </c>
      <c r="F101" s="27" t="s">
        <v>3</v>
      </c>
      <c r="G101" s="27" t="s">
        <v>4</v>
      </c>
      <c r="H101" s="27" t="s">
        <v>5</v>
      </c>
      <c r="I101" s="27" t="s">
        <v>6</v>
      </c>
      <c r="J101" s="27" t="s">
        <v>7</v>
      </c>
      <c r="K101" s="27" t="s">
        <v>8</v>
      </c>
      <c r="L101" s="27" t="s">
        <v>9</v>
      </c>
      <c r="M101" s="27" t="s">
        <v>10</v>
      </c>
      <c r="N101" s="27" t="s">
        <v>11</v>
      </c>
      <c r="O101" s="27" t="s">
        <v>12</v>
      </c>
      <c r="P101" s="27" t="s">
        <v>13</v>
      </c>
      <c r="Q101" s="27" t="s">
        <v>14</v>
      </c>
      <c r="R101" s="27" t="s">
        <v>15</v>
      </c>
      <c r="S101" s="27" t="s">
        <v>16</v>
      </c>
      <c r="T101" s="27" t="s">
        <v>17</v>
      </c>
      <c r="U101" s="27" t="s">
        <v>18</v>
      </c>
      <c r="V101" s="27" t="s">
        <v>19</v>
      </c>
      <c r="W101" s="28" t="s">
        <v>1</v>
      </c>
      <c r="X101" s="28" t="s">
        <v>2</v>
      </c>
      <c r="Y101" s="28" t="s">
        <v>3</v>
      </c>
      <c r="Z101" s="28" t="s">
        <v>1</v>
      </c>
      <c r="AA101" s="50" t="s">
        <v>2</v>
      </c>
      <c r="AB101" s="27" t="s">
        <v>3</v>
      </c>
      <c r="AC101" s="27" t="s">
        <v>1</v>
      </c>
      <c r="AD101" s="27" t="s">
        <v>2</v>
      </c>
      <c r="AE101" s="27" t="s">
        <v>3</v>
      </c>
      <c r="AF101" s="55" t="s">
        <v>22</v>
      </c>
      <c r="AG101" s="59" t="s">
        <v>934</v>
      </c>
      <c r="AH101" s="110" t="s">
        <v>933</v>
      </c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1"/>
      <c r="AZ101" s="111"/>
      <c r="BA101" s="111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4"/>
      <c r="BL101" s="114"/>
      <c r="BM101" s="114"/>
      <c r="BN101" s="114"/>
      <c r="BO101" s="114"/>
      <c r="BP101" s="114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  <c r="JD101" s="73"/>
      <c r="JE101" s="73"/>
      <c r="JF101" s="73"/>
      <c r="JG101" s="73"/>
      <c r="JH101" s="73"/>
      <c r="JI101" s="73"/>
      <c r="JJ101" s="73"/>
      <c r="JK101" s="73"/>
      <c r="JL101" s="73"/>
      <c r="JM101" s="73"/>
      <c r="JN101" s="73"/>
      <c r="JO101" s="73"/>
      <c r="JP101" s="73"/>
      <c r="JQ101" s="73"/>
      <c r="JR101" s="73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73"/>
      <c r="MQ101" s="73"/>
      <c r="MR101" s="73"/>
      <c r="MS101" s="73"/>
      <c r="MT101" s="73"/>
      <c r="MU101" s="73"/>
      <c r="MV101" s="73"/>
      <c r="MW101" s="73"/>
      <c r="MX101" s="73"/>
      <c r="MY101" s="73"/>
      <c r="MZ101" s="73"/>
      <c r="NA101" s="73"/>
      <c r="NB101" s="73"/>
      <c r="NC101" s="73"/>
      <c r="ND101" s="73"/>
      <c r="NE101" s="73"/>
      <c r="NF101" s="73"/>
      <c r="NG101" s="73"/>
      <c r="NH101" s="73"/>
      <c r="NI101" s="73"/>
      <c r="NJ101" s="73"/>
      <c r="NK101" s="73"/>
      <c r="NL101" s="73"/>
      <c r="NM101" s="73"/>
      <c r="NN101" s="73"/>
      <c r="NO101" s="73"/>
      <c r="NP101" s="73"/>
      <c r="NQ101" s="73"/>
      <c r="NR101" s="73"/>
      <c r="NS101" s="73"/>
      <c r="NT101" s="73"/>
      <c r="NU101" s="73"/>
      <c r="NV101" s="73"/>
      <c r="NW101" s="73"/>
      <c r="NX101" s="73"/>
      <c r="NY101" s="73"/>
      <c r="NZ101" s="73"/>
      <c r="OA101" s="73"/>
      <c r="OB101" s="73"/>
      <c r="OC101" s="73"/>
      <c r="OD101" s="73"/>
      <c r="OE101" s="73"/>
      <c r="OF101" s="73"/>
      <c r="OG101" s="73"/>
      <c r="OH101" s="73"/>
      <c r="OI101" s="73"/>
      <c r="OJ101" s="73"/>
      <c r="OK101" s="73"/>
      <c r="OL101" s="73"/>
      <c r="OM101" s="73"/>
      <c r="ON101" s="73"/>
      <c r="OO101" s="73"/>
      <c r="OP101" s="73"/>
      <c r="OQ101" s="73"/>
      <c r="OR101" s="73"/>
      <c r="OS101" s="73"/>
      <c r="OT101" s="73"/>
      <c r="OU101" s="73"/>
      <c r="OV101" s="73"/>
      <c r="OW101" s="73"/>
      <c r="OX101" s="73"/>
      <c r="OY101" s="73"/>
      <c r="OZ101" s="73"/>
      <c r="PA101" s="73"/>
      <c r="PB101" s="73"/>
      <c r="PC101" s="73"/>
      <c r="PD101" s="73"/>
      <c r="PE101" s="73"/>
      <c r="PF101" s="73"/>
      <c r="PG101" s="73"/>
      <c r="PH101" s="73"/>
      <c r="PI101" s="73"/>
      <c r="PJ101" s="73"/>
      <c r="PK101" s="73"/>
      <c r="PL101" s="73"/>
      <c r="PM101" s="73"/>
      <c r="PN101" s="73"/>
      <c r="PO101" s="73"/>
      <c r="PP101" s="73"/>
      <c r="PQ101" s="73"/>
      <c r="PR101" s="73"/>
      <c r="PS101" s="73"/>
      <c r="PT101" s="73"/>
      <c r="PU101" s="73"/>
      <c r="PV101" s="73"/>
      <c r="PW101" s="73"/>
      <c r="PX101" s="73"/>
      <c r="PY101" s="73"/>
      <c r="PZ101" s="73"/>
      <c r="QA101" s="73"/>
      <c r="QB101" s="73"/>
      <c r="QC101" s="73"/>
      <c r="QD101" s="73"/>
      <c r="QE101" s="73"/>
      <c r="QF101" s="73"/>
      <c r="QG101" s="73"/>
      <c r="QH101" s="73"/>
      <c r="QI101" s="73"/>
      <c r="QJ101" s="73"/>
      <c r="QK101" s="73"/>
      <c r="QL101" s="73"/>
      <c r="QM101" s="73"/>
      <c r="QN101" s="73"/>
      <c r="QO101" s="73"/>
      <c r="QP101" s="73"/>
      <c r="QQ101" s="73"/>
      <c r="QR101" s="73"/>
      <c r="QS101" s="73"/>
      <c r="QT101" s="73"/>
      <c r="QU101" s="73"/>
      <c r="QV101" s="73"/>
      <c r="QW101" s="73"/>
      <c r="QX101" s="73"/>
      <c r="QY101" s="73"/>
      <c r="QZ101" s="73"/>
      <c r="RA101" s="73"/>
      <c r="RB101" s="73"/>
      <c r="RC101" s="73"/>
      <c r="RD101" s="73"/>
      <c r="RE101" s="73"/>
      <c r="RF101" s="73"/>
      <c r="RG101" s="73"/>
      <c r="RH101" s="73"/>
      <c r="RI101" s="73"/>
      <c r="RJ101" s="73"/>
      <c r="RK101" s="73"/>
      <c r="RL101" s="73"/>
      <c r="RM101" s="73"/>
      <c r="RN101" s="73"/>
      <c r="RO101" s="73"/>
      <c r="RP101" s="73"/>
      <c r="RQ101" s="73"/>
      <c r="RR101" s="73"/>
      <c r="RS101" s="73"/>
      <c r="RT101" s="73"/>
      <c r="RU101" s="73"/>
      <c r="RV101" s="73"/>
      <c r="RW101" s="73"/>
      <c r="RX101" s="73"/>
      <c r="RY101" s="73"/>
      <c r="RZ101" s="73"/>
      <c r="SA101" s="73"/>
      <c r="SB101" s="73"/>
      <c r="SC101" s="73"/>
      <c r="SD101" s="73"/>
      <c r="SE101" s="73"/>
      <c r="SF101" s="73"/>
      <c r="SG101" s="73"/>
      <c r="SH101" s="73"/>
      <c r="SI101" s="73"/>
      <c r="SJ101" s="73"/>
      <c r="SK101" s="73"/>
      <c r="SL101" s="73"/>
      <c r="SM101" s="73"/>
      <c r="SN101" s="73"/>
      <c r="SO101" s="73"/>
      <c r="SP101" s="73"/>
      <c r="SQ101" s="73"/>
      <c r="SR101" s="73"/>
      <c r="SS101" s="73"/>
      <c r="ST101" s="73"/>
      <c r="SU101" s="73"/>
      <c r="SV101" s="73"/>
      <c r="SW101" s="73"/>
      <c r="SX101" s="73"/>
      <c r="SY101" s="73"/>
      <c r="SZ101" s="73"/>
      <c r="TA101" s="73"/>
      <c r="TB101" s="73"/>
      <c r="TC101" s="73"/>
      <c r="TD101" s="73"/>
      <c r="TE101" s="73"/>
      <c r="TF101" s="73"/>
      <c r="TG101" s="73"/>
      <c r="TH101" s="73"/>
      <c r="TI101" s="73"/>
      <c r="TJ101" s="73"/>
      <c r="TK101" s="73"/>
      <c r="TL101" s="73"/>
      <c r="TM101" s="73"/>
      <c r="TN101" s="73"/>
      <c r="TO101" s="73"/>
      <c r="TP101" s="73"/>
      <c r="TQ101" s="73"/>
      <c r="TR101" s="73"/>
      <c r="TS101" s="73"/>
      <c r="TT101" s="73"/>
      <c r="TU101" s="73"/>
      <c r="TV101" s="73"/>
      <c r="TW101" s="73"/>
      <c r="TX101" s="73"/>
      <c r="TY101" s="73"/>
      <c r="TZ101" s="73"/>
      <c r="UA101" s="73"/>
      <c r="UB101" s="73"/>
      <c r="UC101" s="73"/>
      <c r="UD101" s="73"/>
      <c r="UE101" s="73"/>
      <c r="UF101" s="73"/>
      <c r="UG101" s="73"/>
      <c r="UH101" s="73"/>
      <c r="UI101" s="73"/>
      <c r="UJ101" s="73"/>
      <c r="UK101" s="73"/>
      <c r="UL101" s="73"/>
      <c r="UM101" s="73"/>
      <c r="UN101" s="73"/>
      <c r="UO101" s="73"/>
      <c r="UP101" s="73"/>
      <c r="UQ101" s="73"/>
      <c r="UR101" s="73"/>
      <c r="US101" s="73"/>
      <c r="UT101" s="73"/>
      <c r="UU101" s="73"/>
      <c r="UV101" s="73"/>
      <c r="UW101" s="73"/>
      <c r="UX101" s="73"/>
      <c r="UY101" s="73"/>
      <c r="UZ101" s="73"/>
      <c r="VA101" s="73"/>
      <c r="VB101" s="73"/>
      <c r="VC101" s="73"/>
      <c r="VD101" s="73"/>
      <c r="VE101" s="73"/>
      <c r="VF101" s="73"/>
      <c r="VG101" s="73"/>
      <c r="VH101" s="73"/>
      <c r="VI101" s="73"/>
      <c r="VJ101" s="73"/>
      <c r="VK101" s="73"/>
      <c r="VL101" s="73"/>
      <c r="VM101" s="73"/>
      <c r="VN101" s="73"/>
      <c r="VO101" s="73"/>
      <c r="VP101" s="73"/>
      <c r="VQ101" s="73"/>
      <c r="VR101" s="73"/>
      <c r="VS101" s="73"/>
      <c r="VT101" s="73"/>
      <c r="VU101" s="73"/>
      <c r="VV101" s="73"/>
      <c r="VW101" s="73"/>
      <c r="VX101" s="73"/>
      <c r="VY101" s="73"/>
      <c r="VZ101" s="73"/>
      <c r="WA101" s="73"/>
      <c r="WB101" s="73"/>
      <c r="WC101" s="73"/>
      <c r="WD101" s="73"/>
      <c r="WE101" s="73"/>
      <c r="WF101" s="73"/>
      <c r="WG101" s="73"/>
      <c r="WH101" s="73"/>
      <c r="WI101" s="73"/>
      <c r="WJ101" s="73"/>
      <c r="WK101" s="73"/>
      <c r="WL101" s="73"/>
      <c r="WM101" s="73"/>
      <c r="WN101" s="73"/>
      <c r="WO101" s="73"/>
      <c r="WP101" s="73"/>
      <c r="WQ101" s="73"/>
      <c r="WR101" s="73"/>
      <c r="WS101" s="73"/>
      <c r="WT101" s="73"/>
      <c r="WU101" s="73"/>
      <c r="WV101" s="73"/>
      <c r="WW101" s="73"/>
      <c r="WX101" s="73"/>
      <c r="WY101" s="73"/>
      <c r="WZ101" s="73"/>
      <c r="XA101" s="73"/>
      <c r="XB101" s="73"/>
      <c r="XC101" s="73"/>
      <c r="XD101" s="73"/>
      <c r="XE101" s="73"/>
      <c r="XF101" s="73"/>
      <c r="XG101" s="73"/>
      <c r="XH101" s="73"/>
      <c r="XI101" s="73"/>
      <c r="XJ101" s="73"/>
      <c r="XK101" s="73"/>
      <c r="XL101" s="73"/>
      <c r="XM101" s="73"/>
      <c r="XN101" s="73"/>
      <c r="XO101" s="73"/>
      <c r="XP101" s="73"/>
      <c r="XQ101" s="73"/>
      <c r="XR101" s="73"/>
      <c r="XS101" s="73"/>
      <c r="XT101" s="73"/>
      <c r="XU101" s="73"/>
      <c r="XV101" s="73"/>
      <c r="XW101" s="73"/>
      <c r="XX101" s="73"/>
      <c r="XY101" s="73"/>
      <c r="XZ101" s="73"/>
      <c r="YA101" s="73"/>
      <c r="YB101" s="73"/>
      <c r="YC101" s="73"/>
      <c r="YD101" s="73"/>
      <c r="YE101" s="73"/>
      <c r="YF101" s="73"/>
      <c r="YG101" s="73"/>
      <c r="YH101" s="73"/>
      <c r="YI101" s="73"/>
      <c r="YJ101" s="73"/>
      <c r="YK101" s="73"/>
      <c r="YL101" s="73"/>
      <c r="YM101" s="73"/>
      <c r="YN101" s="73"/>
      <c r="YO101" s="73"/>
      <c r="YP101" s="73"/>
      <c r="YQ101" s="73"/>
      <c r="YR101" s="73"/>
      <c r="YS101" s="73"/>
      <c r="YT101" s="73"/>
      <c r="YU101" s="73"/>
      <c r="YV101" s="73"/>
      <c r="YW101" s="73"/>
      <c r="YX101" s="73"/>
      <c r="YY101" s="73"/>
      <c r="YZ101" s="73"/>
      <c r="ZA101" s="73"/>
      <c r="ZB101" s="73"/>
      <c r="ZC101" s="73"/>
      <c r="ZD101" s="73"/>
      <c r="ZE101" s="73"/>
      <c r="ZF101" s="73"/>
      <c r="ZG101" s="73"/>
      <c r="ZH101" s="73"/>
      <c r="ZI101" s="73"/>
      <c r="ZJ101" s="73"/>
      <c r="ZK101" s="73"/>
      <c r="ZL101" s="73"/>
      <c r="ZM101" s="73"/>
      <c r="ZN101" s="73"/>
      <c r="ZO101" s="73"/>
      <c r="ZP101" s="73"/>
      <c r="ZQ101" s="73"/>
      <c r="ZR101" s="73"/>
      <c r="ZS101" s="73"/>
      <c r="ZT101" s="73"/>
      <c r="ZU101" s="73"/>
      <c r="ZV101" s="73"/>
      <c r="ZW101" s="73"/>
      <c r="ZX101" s="73"/>
      <c r="ZY101" s="73"/>
      <c r="ZZ101" s="73"/>
      <c r="AAA101" s="73"/>
      <c r="AAB101" s="73"/>
      <c r="AAC101" s="73"/>
      <c r="AAD101" s="73"/>
      <c r="AAE101" s="73"/>
      <c r="AAF101" s="73"/>
      <c r="AAG101" s="73"/>
      <c r="AAH101" s="73"/>
      <c r="AAI101" s="73"/>
      <c r="AAJ101" s="73"/>
      <c r="AAK101" s="73"/>
      <c r="AAL101" s="73"/>
      <c r="AAM101" s="73"/>
      <c r="AAN101" s="73"/>
      <c r="AAO101" s="73"/>
      <c r="AAP101" s="73"/>
      <c r="AAQ101" s="73"/>
      <c r="AAR101" s="73"/>
      <c r="AAS101" s="73"/>
      <c r="AAT101" s="73"/>
      <c r="AAU101" s="73"/>
      <c r="AAV101" s="73"/>
      <c r="AAW101" s="73"/>
      <c r="AAX101" s="73"/>
      <c r="AAY101" s="73"/>
      <c r="AAZ101" s="73"/>
      <c r="ABA101" s="73"/>
      <c r="ABB101" s="73"/>
      <c r="ABC101" s="73"/>
      <c r="ABD101" s="73"/>
      <c r="ABE101" s="73"/>
      <c r="ABF101" s="73"/>
      <c r="ABG101" s="73"/>
      <c r="ABH101" s="73"/>
      <c r="ABI101" s="73"/>
      <c r="ABJ101" s="73"/>
      <c r="ABK101" s="73"/>
      <c r="ABL101" s="73"/>
      <c r="ABM101" s="73"/>
      <c r="ABN101" s="73"/>
      <c r="ABO101" s="73"/>
      <c r="ABP101" s="73"/>
      <c r="ABQ101" s="73"/>
      <c r="ABR101" s="73"/>
      <c r="ABS101" s="73"/>
      <c r="ABT101" s="73"/>
      <c r="ABU101" s="73"/>
      <c r="ABV101" s="73"/>
      <c r="ABW101" s="73"/>
      <c r="ABX101" s="73"/>
      <c r="ABY101" s="73"/>
      <c r="ABZ101" s="73"/>
      <c r="ACA101" s="73"/>
      <c r="ACB101" s="73"/>
      <c r="ACC101" s="73"/>
      <c r="ACD101" s="73"/>
      <c r="ACE101" s="73"/>
      <c r="ACF101" s="73"/>
      <c r="ACG101" s="73"/>
      <c r="ACH101" s="73"/>
      <c r="ACI101" s="73"/>
      <c r="ACJ101" s="73"/>
      <c r="ACK101" s="73"/>
      <c r="ACL101" s="73"/>
      <c r="ACM101" s="73"/>
      <c r="ACN101" s="73"/>
      <c r="ACO101" s="73"/>
      <c r="ACP101" s="73"/>
      <c r="ACQ101" s="73"/>
      <c r="ACR101" s="73"/>
      <c r="ACS101" s="73"/>
      <c r="ACT101" s="73"/>
      <c r="ACU101" s="73"/>
      <c r="ACV101" s="73"/>
      <c r="ACW101" s="73"/>
      <c r="ACX101" s="73"/>
      <c r="ACY101" s="73"/>
      <c r="ACZ101" s="73"/>
      <c r="ADA101" s="73"/>
      <c r="ADB101" s="73"/>
      <c r="ADC101" s="73"/>
      <c r="ADD101" s="73"/>
      <c r="ADE101" s="73"/>
      <c r="ADF101" s="73"/>
      <c r="ADG101" s="73"/>
      <c r="ADH101" s="73"/>
      <c r="ADI101" s="73"/>
      <c r="ADJ101" s="73"/>
      <c r="ADK101" s="73"/>
      <c r="ADL101" s="73"/>
      <c r="ADM101" s="73"/>
      <c r="ADN101" s="73"/>
      <c r="ADO101" s="73"/>
      <c r="ADP101" s="73"/>
      <c r="ADQ101" s="73"/>
      <c r="ADR101" s="73"/>
      <c r="ADS101" s="73"/>
      <c r="ADT101" s="73"/>
      <c r="ADU101" s="73"/>
      <c r="ADV101" s="73"/>
      <c r="ADW101" s="73"/>
      <c r="ADX101" s="73"/>
      <c r="ADY101" s="73"/>
      <c r="ADZ101" s="73"/>
      <c r="AEA101" s="73"/>
      <c r="AEB101" s="73"/>
      <c r="AEC101" s="73"/>
      <c r="AED101" s="73"/>
      <c r="AEE101" s="73"/>
      <c r="AEF101" s="73"/>
      <c r="AEG101" s="73"/>
      <c r="AEH101" s="73"/>
      <c r="AEI101" s="73"/>
      <c r="AEJ101" s="73"/>
      <c r="AEK101" s="73"/>
      <c r="AEL101" s="73"/>
      <c r="AEM101" s="73"/>
      <c r="AEN101" s="73"/>
      <c r="AEO101" s="73"/>
      <c r="AEP101" s="73"/>
      <c r="AEQ101" s="73"/>
      <c r="AER101" s="73"/>
      <c r="AES101" s="73"/>
      <c r="AET101" s="73"/>
      <c r="AEU101" s="73"/>
      <c r="AEV101" s="73"/>
      <c r="AEW101" s="73"/>
      <c r="AEX101" s="73"/>
      <c r="AEY101" s="73"/>
      <c r="AEZ101" s="73"/>
      <c r="AFA101" s="73"/>
      <c r="AFB101" s="73"/>
      <c r="AFC101" s="73"/>
      <c r="AFD101" s="73"/>
      <c r="AFE101" s="73"/>
      <c r="AFF101" s="73"/>
      <c r="AFG101" s="73"/>
      <c r="AFH101" s="73"/>
      <c r="AFI101" s="73"/>
      <c r="AFJ101" s="73"/>
      <c r="AFK101" s="73"/>
      <c r="AFL101" s="73"/>
      <c r="AFM101" s="73"/>
      <c r="AFN101" s="73"/>
      <c r="AFO101" s="73"/>
      <c r="AFP101" s="73"/>
      <c r="AFQ101" s="73"/>
      <c r="AFR101" s="73"/>
      <c r="AFS101" s="73"/>
      <c r="AFT101" s="73"/>
      <c r="AFU101" s="73"/>
      <c r="AFV101" s="73"/>
      <c r="AFW101" s="73"/>
      <c r="AFX101" s="73"/>
      <c r="AFY101" s="73"/>
      <c r="AFZ101" s="73"/>
      <c r="AGA101" s="73"/>
      <c r="AGB101" s="73"/>
      <c r="AGC101" s="73"/>
      <c r="AGD101" s="73"/>
      <c r="AGE101" s="73"/>
      <c r="AGF101" s="73"/>
      <c r="AGG101" s="73"/>
      <c r="AGH101" s="73"/>
      <c r="AGI101" s="73"/>
      <c r="AGJ101" s="73"/>
      <c r="AGK101" s="73"/>
      <c r="AGL101" s="73"/>
      <c r="AGM101" s="73"/>
      <c r="AGN101" s="73"/>
      <c r="AGO101" s="73"/>
      <c r="AGP101" s="73"/>
      <c r="AGQ101" s="73"/>
      <c r="AGR101" s="73"/>
      <c r="AGS101" s="73"/>
      <c r="AGT101" s="73"/>
      <c r="AGU101" s="73"/>
      <c r="AGV101" s="73"/>
      <c r="AGW101" s="73"/>
      <c r="AGX101" s="73"/>
      <c r="AGY101" s="73"/>
      <c r="AGZ101" s="73"/>
      <c r="AHA101" s="73"/>
      <c r="AHB101" s="73"/>
      <c r="AHC101" s="73"/>
      <c r="AHD101" s="73"/>
      <c r="AHE101" s="73"/>
      <c r="AHF101" s="73"/>
      <c r="AHG101" s="73"/>
      <c r="AHH101" s="73"/>
      <c r="AHI101" s="73"/>
      <c r="AHJ101" s="73"/>
      <c r="AHK101" s="73"/>
      <c r="AHL101" s="73"/>
      <c r="AHM101" s="73"/>
      <c r="AHN101" s="73"/>
      <c r="AHO101" s="73"/>
      <c r="AHP101" s="73"/>
      <c r="AHQ101" s="73"/>
      <c r="AHR101" s="73"/>
      <c r="AHS101" s="73"/>
      <c r="AHT101" s="73"/>
      <c r="AHU101" s="73"/>
      <c r="AHV101" s="73"/>
      <c r="AHW101" s="73"/>
      <c r="AHX101" s="73"/>
      <c r="AHY101" s="73"/>
      <c r="AHZ101" s="73"/>
      <c r="AIA101" s="73"/>
      <c r="AIB101" s="73"/>
      <c r="AIC101" s="73"/>
      <c r="AID101" s="73"/>
      <c r="AIE101" s="73"/>
      <c r="AIF101" s="73"/>
      <c r="AIG101" s="73"/>
      <c r="AIH101" s="73"/>
      <c r="AII101" s="73"/>
      <c r="AIJ101" s="73"/>
      <c r="AIK101" s="73"/>
      <c r="AIL101" s="73"/>
      <c r="AIM101" s="73"/>
      <c r="AIN101" s="73"/>
      <c r="AIO101" s="73"/>
      <c r="AIP101" s="73"/>
      <c r="AIQ101" s="73"/>
      <c r="AIR101" s="73"/>
      <c r="AIS101" s="73"/>
      <c r="AIT101" s="73"/>
      <c r="AIU101" s="73"/>
      <c r="AIV101" s="73"/>
      <c r="AIW101" s="73"/>
      <c r="AIX101" s="73"/>
      <c r="AIY101" s="73"/>
      <c r="AIZ101" s="73"/>
      <c r="AJA101" s="73"/>
      <c r="AJB101" s="73"/>
      <c r="AJC101" s="73"/>
      <c r="AJD101" s="73"/>
      <c r="AJE101" s="73"/>
      <c r="AJF101" s="73"/>
      <c r="AJG101" s="73"/>
      <c r="AJH101" s="73"/>
      <c r="AJI101" s="73"/>
      <c r="AJJ101" s="73"/>
      <c r="AJK101" s="73"/>
      <c r="AJL101" s="73"/>
      <c r="AJM101" s="73"/>
      <c r="AJN101" s="73"/>
      <c r="AJO101" s="73"/>
      <c r="AJP101" s="73"/>
      <c r="AJQ101" s="73"/>
      <c r="AJR101" s="73"/>
      <c r="AJS101" s="73"/>
      <c r="AJT101" s="73"/>
      <c r="AJU101" s="73"/>
      <c r="AJV101" s="73"/>
      <c r="AJW101" s="73"/>
      <c r="AJX101" s="73"/>
      <c r="AJY101" s="73"/>
      <c r="AJZ101" s="73"/>
      <c r="AKA101" s="73"/>
      <c r="AKB101" s="73"/>
      <c r="AKC101" s="73"/>
      <c r="AKD101" s="73"/>
      <c r="AKE101" s="73"/>
      <c r="AKF101" s="73"/>
      <c r="AKG101" s="73"/>
      <c r="AKH101" s="73"/>
      <c r="AKI101" s="73"/>
      <c r="AKJ101" s="73"/>
      <c r="AKK101" s="73"/>
      <c r="AKL101" s="73"/>
      <c r="AKM101" s="73"/>
      <c r="AKN101" s="73"/>
      <c r="AKO101" s="73"/>
      <c r="AKP101" s="73"/>
      <c r="AKQ101" s="73"/>
      <c r="AKR101" s="73"/>
      <c r="AKS101" s="73"/>
      <c r="AKT101" s="73"/>
      <c r="AKU101" s="73"/>
      <c r="AKV101" s="73"/>
      <c r="AKW101" s="73"/>
      <c r="AKX101" s="73"/>
      <c r="AKY101" s="73"/>
      <c r="AKZ101" s="73"/>
      <c r="ALA101" s="73"/>
      <c r="ALB101" s="73"/>
      <c r="ALC101" s="73"/>
      <c r="ALD101" s="73"/>
      <c r="ALE101" s="73"/>
      <c r="ALF101" s="73"/>
      <c r="ALG101" s="73"/>
      <c r="ALH101" s="73"/>
      <c r="ALI101" s="73"/>
      <c r="ALJ101" s="73"/>
      <c r="ALK101" s="73"/>
      <c r="ALL101" s="73"/>
      <c r="ALM101" s="73"/>
      <c r="ALN101" s="73"/>
      <c r="ALO101" s="73"/>
      <c r="ALP101" s="73"/>
      <c r="ALQ101" s="73"/>
      <c r="ALR101" s="73"/>
      <c r="ALS101" s="73"/>
      <c r="ALT101" s="73"/>
      <c r="ALU101" s="73"/>
      <c r="ALV101" s="73"/>
      <c r="ALW101" s="73"/>
      <c r="ALX101" s="73"/>
      <c r="ALY101" s="73"/>
      <c r="ALZ101" s="73"/>
      <c r="AMA101" s="73"/>
      <c r="AMB101" s="73"/>
      <c r="AMC101" s="73"/>
      <c r="AMD101" s="73"/>
      <c r="AME101" s="73"/>
      <c r="AMF101" s="73"/>
      <c r="AMG101" s="73"/>
      <c r="AMH101" s="73"/>
      <c r="AMI101" s="73"/>
      <c r="AMJ101" s="73"/>
      <c r="AMK101" s="73"/>
      <c r="AML101" s="73"/>
      <c r="AMM101" s="73"/>
      <c r="AMN101" s="73"/>
      <c r="AMO101" s="73"/>
      <c r="AMP101" s="73"/>
      <c r="AMQ101" s="73"/>
      <c r="AMR101" s="73"/>
      <c r="AMS101" s="73"/>
      <c r="AMT101" s="73"/>
      <c r="AMU101" s="73"/>
      <c r="AMV101" s="73"/>
      <c r="AMW101" s="73"/>
      <c r="AMX101" s="73"/>
      <c r="AMY101" s="73"/>
      <c r="AMZ101" s="73"/>
      <c r="ANA101" s="73"/>
      <c r="ANB101" s="73"/>
      <c r="ANC101" s="73"/>
      <c r="AND101" s="73"/>
      <c r="ANE101" s="73"/>
      <c r="ANF101" s="73"/>
      <c r="ANG101" s="73"/>
      <c r="ANH101" s="73"/>
      <c r="ANI101" s="73"/>
      <c r="ANJ101" s="73"/>
      <c r="ANK101" s="73"/>
      <c r="ANL101" s="73"/>
      <c r="ANM101" s="73"/>
      <c r="ANN101" s="73"/>
      <c r="ANO101" s="73"/>
      <c r="ANP101" s="73"/>
      <c r="ANQ101" s="73"/>
      <c r="ANR101" s="73"/>
      <c r="ANS101" s="73"/>
      <c r="ANT101" s="73"/>
      <c r="ANU101" s="73"/>
      <c r="ANV101" s="73"/>
      <c r="ANW101" s="73"/>
      <c r="ANX101" s="73"/>
      <c r="ANY101" s="73"/>
      <c r="ANZ101" s="73"/>
      <c r="AOA101" s="73"/>
      <c r="AOB101" s="73"/>
      <c r="AOC101" s="73"/>
      <c r="AOD101" s="73"/>
      <c r="AOE101" s="73"/>
      <c r="AOF101" s="73"/>
      <c r="AOG101" s="73"/>
      <c r="AOH101" s="73"/>
      <c r="AOI101" s="73"/>
      <c r="AOJ101" s="73"/>
      <c r="AOK101" s="73"/>
      <c r="AOL101" s="73"/>
      <c r="AOM101" s="73"/>
      <c r="AON101" s="73"/>
      <c r="AOO101" s="73"/>
      <c r="AOP101" s="73"/>
      <c r="AOQ101" s="73"/>
      <c r="AOR101" s="73"/>
      <c r="AOS101" s="73"/>
      <c r="AOT101" s="73"/>
      <c r="AOU101" s="73"/>
      <c r="AOV101" s="73"/>
      <c r="AOW101" s="73"/>
      <c r="AOX101" s="73"/>
      <c r="AOY101" s="73"/>
      <c r="AOZ101" s="73"/>
      <c r="APA101" s="73"/>
      <c r="APB101" s="73"/>
      <c r="APC101" s="73"/>
      <c r="APD101" s="73"/>
      <c r="APE101" s="73"/>
      <c r="APF101" s="73"/>
      <c r="APG101" s="73"/>
      <c r="APH101" s="73"/>
      <c r="API101" s="73"/>
      <c r="APJ101" s="73"/>
      <c r="APK101" s="73"/>
      <c r="APL101" s="73"/>
      <c r="APM101" s="73"/>
      <c r="APN101" s="73"/>
      <c r="APO101" s="73"/>
      <c r="APP101" s="73"/>
      <c r="APQ101" s="73"/>
      <c r="APR101" s="73"/>
      <c r="APS101" s="73"/>
      <c r="APT101" s="73"/>
      <c r="APU101" s="73"/>
      <c r="APV101" s="73"/>
      <c r="APW101" s="73"/>
      <c r="APX101" s="73"/>
      <c r="APY101" s="73"/>
      <c r="APZ101" s="73"/>
      <c r="AQA101" s="73"/>
      <c r="AQB101" s="73"/>
      <c r="AQC101" s="73"/>
      <c r="AQD101" s="73"/>
      <c r="AQE101" s="73"/>
      <c r="AQF101" s="73"/>
      <c r="AQG101" s="73"/>
      <c r="AQH101" s="73"/>
      <c r="AQI101" s="73"/>
      <c r="AQJ101" s="73"/>
      <c r="AQK101" s="73"/>
      <c r="AQL101" s="73"/>
      <c r="AQM101" s="73"/>
      <c r="AQN101" s="73"/>
      <c r="AQO101" s="73"/>
      <c r="AQP101" s="73"/>
      <c r="AQQ101" s="73"/>
      <c r="AQR101" s="73"/>
      <c r="AQS101" s="73"/>
      <c r="AQT101" s="73"/>
      <c r="AQU101" s="73"/>
      <c r="AQV101" s="73"/>
      <c r="AQW101" s="73"/>
      <c r="AQX101" s="73"/>
      <c r="AQY101" s="73"/>
      <c r="AQZ101" s="73"/>
      <c r="ARA101" s="73"/>
      <c r="ARB101" s="73"/>
      <c r="ARC101" s="73"/>
      <c r="ARD101" s="73"/>
      <c r="ARE101" s="73"/>
      <c r="ARF101" s="73"/>
      <c r="ARG101" s="73"/>
      <c r="ARH101" s="73"/>
      <c r="ARI101" s="73"/>
      <c r="ARJ101" s="73"/>
      <c r="ARK101" s="73"/>
      <c r="ARL101" s="73"/>
      <c r="ARM101" s="73"/>
      <c r="ARN101" s="73"/>
      <c r="ARO101" s="73"/>
      <c r="ARP101" s="73"/>
      <c r="ARQ101" s="73"/>
      <c r="ARR101" s="73"/>
      <c r="ARS101" s="73"/>
      <c r="ART101" s="73"/>
      <c r="ARU101" s="73"/>
      <c r="ARV101" s="73"/>
      <c r="ARW101" s="73"/>
      <c r="ARX101" s="73"/>
      <c r="ARY101" s="73"/>
      <c r="ARZ101" s="73"/>
      <c r="ASA101" s="73"/>
      <c r="ASB101" s="73"/>
      <c r="ASC101" s="73"/>
      <c r="ASD101" s="73"/>
      <c r="ASE101" s="73"/>
      <c r="ASF101" s="73"/>
      <c r="ASG101" s="73"/>
      <c r="ASH101" s="73"/>
      <c r="ASI101" s="73"/>
      <c r="ASJ101" s="73"/>
      <c r="ASK101" s="73"/>
      <c r="ASL101" s="73"/>
      <c r="ASM101" s="73"/>
      <c r="ASN101" s="73"/>
      <c r="ASO101" s="73"/>
      <c r="ASP101" s="73"/>
      <c r="ASQ101" s="73"/>
      <c r="ASR101" s="73"/>
      <c r="ASS101" s="73"/>
      <c r="AST101" s="73"/>
      <c r="ASU101" s="73"/>
      <c r="ASV101" s="73"/>
      <c r="ASW101" s="73"/>
      <c r="ASX101" s="73"/>
      <c r="ASY101" s="73"/>
      <c r="ASZ101" s="73"/>
      <c r="ATA101" s="73"/>
      <c r="ATB101" s="73"/>
      <c r="ATC101" s="73"/>
      <c r="ATD101" s="73"/>
      <c r="ATE101" s="73"/>
      <c r="ATF101" s="73"/>
      <c r="ATG101" s="73"/>
      <c r="ATH101" s="73"/>
      <c r="ATI101" s="73"/>
      <c r="ATJ101" s="73"/>
      <c r="ATK101" s="73"/>
      <c r="ATL101" s="73"/>
      <c r="ATM101" s="73"/>
      <c r="ATN101" s="73"/>
      <c r="ATO101" s="73"/>
      <c r="ATP101" s="73"/>
      <c r="ATQ101" s="73"/>
      <c r="ATR101" s="73"/>
      <c r="ATS101" s="73"/>
      <c r="ATT101" s="73"/>
      <c r="ATU101" s="73"/>
      <c r="ATV101" s="73"/>
      <c r="ATW101" s="73"/>
      <c r="ATX101" s="73"/>
      <c r="ATY101" s="73"/>
      <c r="ATZ101" s="73"/>
      <c r="AUA101" s="73"/>
      <c r="AUB101" s="73"/>
      <c r="AUC101" s="73"/>
      <c r="AUD101" s="73"/>
      <c r="AUE101" s="73"/>
      <c r="AUF101" s="73"/>
      <c r="AUG101" s="73"/>
      <c r="AUH101" s="73"/>
      <c r="AUI101" s="73"/>
      <c r="AUJ101" s="73"/>
      <c r="AUK101" s="73"/>
      <c r="AUL101" s="73"/>
      <c r="AUM101" s="73"/>
      <c r="AUN101" s="73"/>
      <c r="AUO101" s="73"/>
      <c r="AUP101" s="73"/>
      <c r="AUQ101" s="73"/>
      <c r="AUR101" s="73"/>
      <c r="AUS101" s="73"/>
      <c r="AUT101" s="73"/>
      <c r="AUU101" s="73"/>
      <c r="AUV101" s="73"/>
      <c r="AUW101" s="73"/>
      <c r="AUX101" s="73"/>
      <c r="AUY101" s="73"/>
      <c r="AUZ101" s="73"/>
      <c r="AVA101" s="73"/>
      <c r="AVB101" s="73"/>
      <c r="AVC101" s="73"/>
      <c r="AVD101" s="73"/>
      <c r="AVE101" s="73"/>
      <c r="AVF101" s="73"/>
      <c r="AVG101" s="73"/>
      <c r="AVH101" s="73"/>
      <c r="AVI101" s="73"/>
      <c r="AVJ101" s="73"/>
      <c r="AVK101" s="73"/>
      <c r="AVL101" s="73"/>
      <c r="AVM101" s="73"/>
      <c r="AVN101" s="73"/>
      <c r="AVO101" s="73"/>
      <c r="AVP101" s="73"/>
      <c r="AVQ101" s="73"/>
      <c r="AVR101" s="73"/>
      <c r="AVS101" s="73"/>
      <c r="AVT101" s="73"/>
      <c r="AVU101" s="73"/>
      <c r="AVV101" s="73"/>
      <c r="AVW101" s="73"/>
      <c r="AVX101" s="73"/>
      <c r="AVY101" s="73"/>
      <c r="AVZ101" s="73"/>
      <c r="AWA101" s="73"/>
      <c r="AWB101" s="73"/>
      <c r="AWC101" s="73"/>
      <c r="AWD101" s="73"/>
      <c r="AWE101" s="73"/>
      <c r="AWF101" s="73"/>
      <c r="AWG101" s="73"/>
      <c r="AWH101" s="73"/>
      <c r="AWI101" s="73"/>
      <c r="AWJ101" s="73"/>
      <c r="AWK101" s="73"/>
      <c r="AWL101" s="73"/>
      <c r="AWM101" s="73"/>
      <c r="AWN101" s="73"/>
      <c r="AWO101" s="73"/>
      <c r="AWP101" s="73"/>
      <c r="AWQ101" s="73"/>
      <c r="AWR101" s="73"/>
      <c r="AWS101" s="73"/>
      <c r="AWT101" s="73"/>
      <c r="AWU101" s="73"/>
      <c r="AWV101" s="73"/>
      <c r="AWW101" s="73"/>
      <c r="AWX101" s="73"/>
      <c r="AWY101" s="73"/>
      <c r="AWZ101" s="73"/>
      <c r="AXA101" s="73"/>
      <c r="AXB101" s="73"/>
      <c r="AXC101" s="73"/>
      <c r="AXD101" s="73"/>
      <c r="AXE101" s="73"/>
      <c r="AXF101" s="73"/>
      <c r="AXG101" s="73"/>
      <c r="AXH101" s="73"/>
      <c r="AXI101" s="73"/>
      <c r="AXJ101" s="73"/>
      <c r="AXK101" s="73"/>
      <c r="AXL101" s="73"/>
      <c r="AXM101" s="73"/>
      <c r="AXN101" s="73"/>
      <c r="AXO101" s="73"/>
      <c r="AXP101" s="73"/>
      <c r="AXQ101" s="73"/>
      <c r="AXR101" s="73"/>
      <c r="AXS101" s="73"/>
      <c r="AXT101" s="73"/>
      <c r="AXU101" s="73"/>
      <c r="AXV101" s="73"/>
      <c r="AXW101" s="73"/>
      <c r="AXX101" s="73"/>
      <c r="AXY101" s="73"/>
      <c r="AXZ101" s="73"/>
      <c r="AYA101" s="73"/>
      <c r="AYB101" s="73"/>
      <c r="AYC101" s="73"/>
      <c r="AYD101" s="73"/>
      <c r="AYE101" s="73"/>
      <c r="AYF101" s="73"/>
      <c r="AYG101" s="73"/>
      <c r="AYH101" s="73"/>
      <c r="AYI101" s="73"/>
      <c r="AYJ101" s="73"/>
      <c r="AYK101" s="73"/>
      <c r="AYL101" s="73"/>
      <c r="AYM101" s="73"/>
      <c r="AYN101" s="73"/>
      <c r="AYO101" s="73"/>
      <c r="AYP101" s="73"/>
      <c r="AYQ101" s="73"/>
      <c r="AYR101" s="73"/>
      <c r="AYS101" s="73"/>
      <c r="AYT101" s="73"/>
      <c r="AYU101" s="73"/>
      <c r="AYV101" s="73"/>
      <c r="AYW101" s="73"/>
      <c r="AYX101" s="73"/>
      <c r="AYY101" s="73"/>
      <c r="AYZ101" s="73"/>
      <c r="AZA101" s="73"/>
      <c r="AZB101" s="73"/>
      <c r="AZC101" s="73"/>
      <c r="AZD101" s="73"/>
      <c r="AZE101" s="73"/>
      <c r="AZF101" s="73"/>
      <c r="AZG101" s="73"/>
      <c r="AZH101" s="73"/>
      <c r="AZI101" s="73"/>
      <c r="AZJ101" s="73"/>
      <c r="AZK101" s="73"/>
      <c r="AZL101" s="73"/>
      <c r="AZM101" s="73"/>
      <c r="AZN101" s="73"/>
      <c r="AZO101" s="73"/>
      <c r="AZP101" s="73"/>
      <c r="AZQ101" s="73"/>
      <c r="AZR101" s="73"/>
      <c r="AZS101" s="73"/>
      <c r="AZT101" s="73"/>
      <c r="AZU101" s="73"/>
      <c r="AZV101" s="73"/>
      <c r="AZW101" s="73"/>
      <c r="AZX101" s="73"/>
      <c r="AZY101" s="73"/>
      <c r="AZZ101" s="73"/>
      <c r="BAA101" s="73"/>
      <c r="BAB101" s="73"/>
      <c r="BAC101" s="73"/>
      <c r="BAD101" s="73"/>
      <c r="BAE101" s="73"/>
      <c r="BAF101" s="73"/>
      <c r="BAG101" s="73"/>
      <c r="BAH101" s="73"/>
      <c r="BAI101" s="73"/>
      <c r="BAJ101" s="73"/>
      <c r="BAK101" s="73"/>
      <c r="BAL101" s="73"/>
      <c r="BAM101" s="73"/>
      <c r="BAN101" s="73"/>
      <c r="BAO101" s="73"/>
      <c r="BAP101" s="73"/>
      <c r="BAQ101" s="73"/>
      <c r="BAR101" s="73"/>
      <c r="BAS101" s="73"/>
      <c r="BAT101" s="73"/>
      <c r="BAU101" s="73"/>
      <c r="BAV101" s="73"/>
      <c r="BAW101" s="73"/>
      <c r="BAX101" s="73"/>
      <c r="BAY101" s="73"/>
      <c r="BAZ101" s="73"/>
      <c r="BBA101" s="73"/>
      <c r="BBB101" s="73"/>
      <c r="BBC101" s="73"/>
      <c r="BBD101" s="73"/>
      <c r="BBE101" s="73"/>
      <c r="BBF101" s="73"/>
      <c r="BBG101" s="73"/>
      <c r="BBH101" s="73"/>
      <c r="BBI101" s="73"/>
      <c r="BBJ101" s="73"/>
      <c r="BBK101" s="73"/>
      <c r="BBL101" s="73"/>
      <c r="BBM101" s="73"/>
      <c r="BBN101" s="73"/>
      <c r="BBO101" s="73"/>
      <c r="BBP101" s="73"/>
      <c r="BBQ101" s="73"/>
      <c r="BBR101" s="73"/>
      <c r="BBS101" s="73"/>
      <c r="BBT101" s="73"/>
      <c r="BBU101" s="73"/>
      <c r="BBV101" s="73"/>
      <c r="BBW101" s="73"/>
      <c r="BBX101" s="73"/>
      <c r="BBY101" s="73"/>
      <c r="BBZ101" s="73"/>
      <c r="BCA101" s="73"/>
      <c r="BCB101" s="73"/>
      <c r="BCC101" s="73"/>
      <c r="BCD101" s="73"/>
      <c r="BCE101" s="73"/>
      <c r="BCF101" s="73"/>
      <c r="BCG101" s="73"/>
      <c r="BCH101" s="73"/>
      <c r="BCI101" s="73"/>
      <c r="BCJ101" s="73"/>
      <c r="BCK101" s="73"/>
      <c r="BCL101" s="73"/>
      <c r="BCM101" s="73"/>
      <c r="BCN101" s="73"/>
      <c r="BCO101" s="73"/>
      <c r="BCP101" s="73"/>
      <c r="BCQ101" s="73"/>
      <c r="BCR101" s="73"/>
      <c r="BCS101" s="73"/>
      <c r="BCT101" s="73"/>
      <c r="BCU101" s="73"/>
      <c r="BCV101" s="73"/>
      <c r="BCW101" s="73"/>
      <c r="BCX101" s="73"/>
      <c r="BCY101" s="73"/>
      <c r="BCZ101" s="73"/>
      <c r="BDA101" s="73"/>
      <c r="BDB101" s="73"/>
      <c r="BDC101" s="73"/>
      <c r="BDD101" s="73"/>
      <c r="BDE101" s="73"/>
      <c r="BDF101" s="73"/>
      <c r="BDG101" s="73"/>
      <c r="BDH101" s="73"/>
      <c r="BDI101" s="73"/>
      <c r="BDJ101" s="73"/>
      <c r="BDK101" s="73"/>
      <c r="BDL101" s="73"/>
      <c r="BDM101" s="73"/>
      <c r="BDN101" s="73"/>
      <c r="BDO101" s="73"/>
      <c r="BDP101" s="73"/>
      <c r="BDQ101" s="73"/>
      <c r="BDR101" s="73"/>
      <c r="BDS101" s="73"/>
      <c r="BDT101" s="73"/>
      <c r="BDU101" s="73"/>
      <c r="BDV101" s="73"/>
      <c r="BDW101" s="73"/>
      <c r="BDX101" s="73"/>
      <c r="BDY101" s="73"/>
      <c r="BDZ101" s="73"/>
      <c r="BEA101" s="73"/>
      <c r="BEB101" s="73"/>
      <c r="BEC101" s="73"/>
      <c r="BED101" s="73"/>
      <c r="BEE101" s="73"/>
      <c r="BEF101" s="73"/>
      <c r="BEG101" s="73"/>
      <c r="BEH101" s="73"/>
      <c r="BEI101" s="73"/>
      <c r="BEJ101" s="73"/>
      <c r="BEK101" s="73"/>
      <c r="BEL101" s="73"/>
      <c r="BEM101" s="73"/>
      <c r="BEN101" s="73"/>
      <c r="BEO101" s="73"/>
      <c r="BEP101" s="73"/>
      <c r="BEQ101" s="73"/>
      <c r="BER101" s="73"/>
      <c r="BES101" s="73"/>
      <c r="BET101" s="73"/>
      <c r="BEU101" s="73"/>
      <c r="BEV101" s="73"/>
      <c r="BEW101" s="73"/>
      <c r="BEX101" s="73"/>
      <c r="BEY101" s="73"/>
      <c r="BEZ101" s="73"/>
      <c r="BFA101" s="73"/>
      <c r="BFB101" s="73"/>
      <c r="BFC101" s="73"/>
      <c r="BFD101" s="73"/>
      <c r="BFE101" s="73"/>
      <c r="BFF101" s="73"/>
      <c r="BFG101" s="73"/>
      <c r="BFH101" s="73"/>
      <c r="BFI101" s="73"/>
      <c r="BFJ101" s="73"/>
      <c r="BFK101" s="73"/>
      <c r="BFL101" s="73"/>
      <c r="BFM101" s="73"/>
      <c r="BFN101" s="73"/>
      <c r="BFO101" s="73"/>
      <c r="BFP101" s="73"/>
      <c r="BFQ101" s="73"/>
      <c r="BFR101" s="73"/>
      <c r="BFS101" s="73"/>
      <c r="BFT101" s="73"/>
      <c r="BFU101" s="73"/>
      <c r="BFV101" s="73"/>
      <c r="BFW101" s="73"/>
      <c r="BFX101" s="73"/>
      <c r="BFY101" s="73"/>
      <c r="BFZ101" s="73"/>
      <c r="BGA101" s="73"/>
      <c r="BGB101" s="73"/>
      <c r="BGC101" s="73"/>
      <c r="BGD101" s="73"/>
      <c r="BGE101" s="73"/>
      <c r="BGF101" s="73"/>
      <c r="BGG101" s="73"/>
      <c r="BGH101" s="73"/>
      <c r="BGI101" s="73"/>
      <c r="BGJ101" s="73"/>
      <c r="BGK101" s="73"/>
      <c r="BGL101" s="73"/>
      <c r="BGM101" s="73"/>
      <c r="BGN101" s="73"/>
      <c r="BGO101" s="73"/>
      <c r="BGP101" s="73"/>
      <c r="BGQ101" s="73"/>
      <c r="BGR101" s="73"/>
      <c r="BGS101" s="73"/>
      <c r="BGT101" s="73"/>
      <c r="BGU101" s="73"/>
      <c r="BGV101" s="73"/>
      <c r="BGW101" s="73"/>
      <c r="BGX101" s="73"/>
      <c r="BGY101" s="73"/>
      <c r="BGZ101" s="73"/>
      <c r="BHA101" s="73"/>
      <c r="BHB101" s="73"/>
      <c r="BHC101" s="73"/>
      <c r="BHD101" s="73"/>
      <c r="BHE101" s="73"/>
      <c r="BHF101" s="73"/>
      <c r="BHG101" s="73"/>
      <c r="BHH101" s="73"/>
      <c r="BHI101" s="73"/>
      <c r="BHJ101" s="73"/>
      <c r="BHK101" s="73"/>
      <c r="BHL101" s="73"/>
      <c r="BHM101" s="73"/>
      <c r="BHN101" s="73"/>
      <c r="BHO101" s="73"/>
      <c r="BHP101" s="73"/>
      <c r="BHQ101" s="73"/>
      <c r="BHR101" s="73"/>
      <c r="BHS101" s="73"/>
      <c r="BHT101" s="73"/>
      <c r="BHU101" s="73"/>
      <c r="BHV101" s="73"/>
      <c r="BHW101" s="73"/>
      <c r="BHX101" s="73"/>
      <c r="BHY101" s="73"/>
      <c r="BHZ101" s="73"/>
      <c r="BIA101" s="73"/>
      <c r="BIB101" s="73"/>
      <c r="BIC101" s="73"/>
      <c r="BID101" s="73"/>
      <c r="BIE101" s="73"/>
      <c r="BIF101" s="73"/>
      <c r="BIG101" s="73"/>
      <c r="BIH101" s="73"/>
      <c r="BII101" s="73"/>
      <c r="BIJ101" s="73"/>
      <c r="BIK101" s="73"/>
      <c r="BIL101" s="73"/>
      <c r="BIM101" s="73"/>
      <c r="BIN101" s="73"/>
      <c r="BIO101" s="73"/>
      <c r="BIP101" s="73"/>
      <c r="BIQ101" s="73"/>
      <c r="BIR101" s="73"/>
      <c r="BIS101" s="73"/>
      <c r="BIT101" s="73"/>
      <c r="BIU101" s="73"/>
      <c r="BIV101" s="73"/>
      <c r="BIW101" s="73"/>
      <c r="BIX101" s="73"/>
      <c r="BIY101" s="73"/>
      <c r="BIZ101" s="73"/>
      <c r="BJA101" s="73"/>
      <c r="BJB101" s="73"/>
      <c r="BJC101" s="73"/>
      <c r="BJD101" s="73"/>
      <c r="BJE101" s="73"/>
      <c r="BJF101" s="73"/>
      <c r="BJG101" s="73"/>
      <c r="BJH101" s="73"/>
      <c r="BJI101" s="73"/>
      <c r="BJJ101" s="73"/>
      <c r="BJK101" s="73"/>
      <c r="BJL101" s="73"/>
      <c r="BJM101" s="73"/>
      <c r="BJN101" s="73"/>
      <c r="BJO101" s="73"/>
      <c r="BJP101" s="73"/>
      <c r="BJQ101" s="73"/>
      <c r="BJR101" s="73"/>
      <c r="BJS101" s="73"/>
      <c r="BJT101" s="73"/>
      <c r="BJU101" s="73"/>
      <c r="BJV101" s="73"/>
      <c r="BJW101" s="73"/>
      <c r="BJX101" s="73"/>
      <c r="BJY101" s="73"/>
      <c r="BJZ101" s="73"/>
      <c r="BKA101" s="73"/>
      <c r="BKB101" s="73"/>
      <c r="BKC101" s="73"/>
      <c r="BKD101" s="73"/>
      <c r="BKE101" s="73"/>
      <c r="BKF101" s="73"/>
      <c r="BKG101" s="73"/>
      <c r="BKH101" s="73"/>
      <c r="BKI101" s="73"/>
      <c r="BKJ101" s="73"/>
      <c r="BKK101" s="73"/>
      <c r="BKL101" s="73"/>
      <c r="BKM101" s="73"/>
      <c r="BKN101" s="73"/>
      <c r="BKO101" s="73"/>
      <c r="BKP101" s="73"/>
      <c r="BKQ101" s="73"/>
      <c r="BKR101" s="73"/>
      <c r="BKS101" s="73"/>
      <c r="BKT101" s="73"/>
      <c r="BKU101" s="73"/>
      <c r="BKV101" s="73"/>
      <c r="BKW101" s="73"/>
      <c r="BKX101" s="73"/>
      <c r="BKY101" s="73"/>
      <c r="BKZ101" s="73"/>
      <c r="BLA101" s="73"/>
      <c r="BLB101" s="73"/>
      <c r="BLC101" s="73"/>
      <c r="BLD101" s="73"/>
      <c r="BLE101" s="73"/>
      <c r="BLF101" s="73"/>
      <c r="BLG101" s="73"/>
      <c r="BLH101" s="73"/>
      <c r="BLI101" s="73"/>
      <c r="BLJ101" s="73"/>
      <c r="BLK101" s="73"/>
      <c r="BLL101" s="73"/>
      <c r="BLM101" s="73"/>
      <c r="BLN101" s="73"/>
      <c r="BLO101" s="73"/>
      <c r="BLP101" s="73"/>
      <c r="BLQ101" s="73"/>
      <c r="BLR101" s="73"/>
      <c r="BLS101" s="73"/>
      <c r="BLT101" s="73"/>
      <c r="BLU101" s="73"/>
      <c r="BLV101" s="73"/>
      <c r="BLW101" s="73"/>
      <c r="BLX101" s="73"/>
      <c r="BLY101" s="73"/>
      <c r="BLZ101" s="73"/>
      <c r="BMA101" s="73"/>
      <c r="BMB101" s="73"/>
      <c r="BMC101" s="73"/>
      <c r="BMD101" s="73"/>
      <c r="BME101" s="73"/>
      <c r="BMF101" s="73"/>
      <c r="BMG101" s="73"/>
      <c r="BMH101" s="73"/>
      <c r="BMI101" s="73"/>
      <c r="BMJ101" s="73"/>
      <c r="BMK101" s="73"/>
      <c r="BML101" s="73"/>
      <c r="BMM101" s="73"/>
      <c r="BMN101" s="73"/>
      <c r="BMO101" s="73"/>
      <c r="BMP101" s="73"/>
      <c r="BMQ101" s="73"/>
      <c r="BMR101" s="73"/>
      <c r="BMS101" s="73"/>
      <c r="BMT101" s="73"/>
      <c r="BMU101" s="73"/>
      <c r="BMV101" s="73"/>
      <c r="BMW101" s="73"/>
      <c r="BMX101" s="73"/>
      <c r="BMY101" s="73"/>
      <c r="BMZ101" s="73"/>
      <c r="BNA101" s="73"/>
      <c r="BNB101" s="73"/>
      <c r="BNC101" s="73"/>
      <c r="BND101" s="73"/>
      <c r="BNE101" s="73"/>
      <c r="BNF101" s="73"/>
      <c r="BNG101" s="73"/>
      <c r="BNH101" s="73"/>
      <c r="BNI101" s="73"/>
      <c r="BNJ101" s="73"/>
      <c r="BNK101" s="73"/>
      <c r="BNL101" s="73"/>
      <c r="BNM101" s="73"/>
      <c r="BNN101" s="73"/>
      <c r="BNO101" s="73"/>
      <c r="BNP101" s="73"/>
      <c r="BNQ101" s="73"/>
      <c r="BNR101" s="73"/>
      <c r="BNS101" s="73"/>
      <c r="BNT101" s="73"/>
      <c r="BNU101" s="73"/>
      <c r="BNV101" s="73"/>
      <c r="BNW101" s="73"/>
      <c r="BNX101" s="73"/>
      <c r="BNY101" s="73"/>
      <c r="BNZ101" s="73"/>
      <c r="BOA101" s="73"/>
      <c r="BOB101" s="73"/>
      <c r="BOC101" s="73"/>
      <c r="BOD101" s="73"/>
      <c r="BOE101" s="73"/>
      <c r="BOF101" s="73"/>
      <c r="BOG101" s="73"/>
      <c r="BOH101" s="73"/>
      <c r="BOI101" s="73"/>
      <c r="BOJ101" s="73"/>
      <c r="BOK101" s="73"/>
      <c r="BOL101" s="73"/>
      <c r="BOM101" s="73"/>
      <c r="BON101" s="73"/>
      <c r="BOO101" s="73"/>
      <c r="BOP101" s="73"/>
      <c r="BOQ101" s="73"/>
      <c r="BOR101" s="73"/>
      <c r="BOS101" s="73"/>
      <c r="BOT101" s="73"/>
      <c r="BOU101" s="73"/>
      <c r="BOV101" s="73"/>
      <c r="BOW101" s="73"/>
      <c r="BOX101" s="73"/>
      <c r="BOY101" s="73"/>
      <c r="BOZ101" s="73"/>
      <c r="BPA101" s="73"/>
      <c r="BPB101" s="73"/>
      <c r="BPC101" s="73"/>
      <c r="BPD101" s="73"/>
      <c r="BPE101" s="73"/>
      <c r="BPF101" s="73"/>
      <c r="BPG101" s="73"/>
      <c r="BPH101" s="73"/>
      <c r="BPI101" s="73"/>
      <c r="BPJ101" s="73"/>
      <c r="BPK101" s="73"/>
      <c r="BPL101" s="73"/>
      <c r="BPM101" s="73"/>
      <c r="BPN101" s="73"/>
      <c r="BPO101" s="73"/>
      <c r="BPP101" s="73"/>
      <c r="BPQ101" s="73"/>
      <c r="BPR101" s="73"/>
      <c r="BPS101" s="73"/>
      <c r="BPT101" s="73"/>
      <c r="BPU101" s="73"/>
      <c r="BPV101" s="73"/>
      <c r="BPW101" s="73"/>
      <c r="BPX101" s="73"/>
      <c r="BPY101" s="73"/>
      <c r="BPZ101" s="73"/>
      <c r="BQA101" s="73"/>
      <c r="BQB101" s="73"/>
      <c r="BQC101" s="73"/>
      <c r="BQD101" s="73"/>
      <c r="BQE101" s="73"/>
      <c r="BQF101" s="73"/>
      <c r="BQG101" s="73"/>
      <c r="BQH101" s="73"/>
      <c r="BQI101" s="73"/>
      <c r="BQJ101" s="73"/>
      <c r="BQK101" s="73"/>
      <c r="BQL101" s="73"/>
      <c r="BQM101" s="73"/>
      <c r="BQN101" s="73"/>
      <c r="BQO101" s="73"/>
      <c r="BQP101" s="73"/>
      <c r="BQQ101" s="73"/>
      <c r="BQR101" s="73"/>
      <c r="BQS101" s="73"/>
      <c r="BQT101" s="73"/>
      <c r="BQU101" s="73"/>
      <c r="BQV101" s="73"/>
      <c r="BQW101" s="73"/>
      <c r="BQX101" s="73"/>
      <c r="BQY101" s="73"/>
      <c r="BQZ101" s="73"/>
      <c r="BRA101" s="73"/>
      <c r="BRB101" s="73"/>
      <c r="BRC101" s="73"/>
      <c r="BRD101" s="73"/>
      <c r="BRE101" s="73"/>
      <c r="BRF101" s="73"/>
      <c r="BRG101" s="73"/>
      <c r="BRH101" s="73"/>
      <c r="BRI101" s="73"/>
      <c r="BRJ101" s="73"/>
      <c r="BRK101" s="73"/>
      <c r="BRL101" s="73"/>
      <c r="BRM101" s="73"/>
      <c r="BRN101" s="73"/>
      <c r="BRO101" s="73"/>
      <c r="BRP101" s="73"/>
      <c r="BRQ101" s="73"/>
      <c r="BRR101" s="73"/>
      <c r="BRS101" s="73"/>
      <c r="BRT101" s="73"/>
      <c r="BRU101" s="73"/>
      <c r="BRV101" s="73"/>
      <c r="BRW101" s="73"/>
      <c r="BRX101" s="73"/>
      <c r="BRY101" s="73"/>
      <c r="BRZ101" s="73"/>
      <c r="BSA101" s="73"/>
      <c r="BSB101" s="73"/>
      <c r="BSC101" s="73"/>
      <c r="BSD101" s="73"/>
      <c r="BSE101" s="73"/>
      <c r="BSF101" s="73"/>
      <c r="BSG101" s="73"/>
      <c r="BSH101" s="73"/>
      <c r="BSI101" s="73"/>
      <c r="BSJ101" s="73"/>
      <c r="BSK101" s="73"/>
      <c r="BSL101" s="73"/>
      <c r="BSM101" s="73"/>
      <c r="BSN101" s="73"/>
      <c r="BSO101" s="73"/>
      <c r="BSP101" s="73"/>
      <c r="BSQ101" s="73"/>
      <c r="BSR101" s="73"/>
      <c r="BSS101" s="73"/>
      <c r="BST101" s="73"/>
      <c r="BSU101" s="73"/>
      <c r="BSV101" s="73"/>
      <c r="BSW101" s="73"/>
      <c r="BSX101" s="73"/>
      <c r="BSY101" s="73"/>
      <c r="BSZ101" s="73"/>
      <c r="BTA101" s="73"/>
      <c r="BTB101" s="73"/>
      <c r="BTC101" s="73"/>
      <c r="BTD101" s="73"/>
      <c r="BTE101" s="73"/>
      <c r="BTF101" s="73"/>
      <c r="BTG101" s="73"/>
      <c r="BTH101" s="73"/>
      <c r="BTI101" s="73"/>
      <c r="BTJ101" s="73"/>
      <c r="BTK101" s="73"/>
      <c r="BTL101" s="73"/>
      <c r="BTM101" s="73"/>
      <c r="BTN101" s="73"/>
      <c r="BTO101" s="73"/>
      <c r="BTP101" s="73"/>
      <c r="BTQ101" s="73"/>
      <c r="BTR101" s="73"/>
      <c r="BTS101" s="73"/>
      <c r="BTT101" s="73"/>
      <c r="BTU101" s="73"/>
      <c r="BTV101" s="73"/>
      <c r="BTW101" s="73"/>
      <c r="BTX101" s="73"/>
      <c r="BTY101" s="73"/>
      <c r="BTZ101" s="73"/>
      <c r="BUA101" s="73"/>
      <c r="BUB101" s="73"/>
      <c r="BUC101" s="73"/>
      <c r="BUD101" s="73"/>
      <c r="BUE101" s="73"/>
      <c r="BUF101" s="73"/>
      <c r="BUG101" s="73"/>
      <c r="BUH101" s="73"/>
      <c r="BUI101" s="73"/>
      <c r="BUJ101" s="73"/>
      <c r="BUK101" s="73"/>
      <c r="BUL101" s="73"/>
      <c r="BUM101" s="73"/>
      <c r="BUN101" s="73"/>
      <c r="BUO101" s="73"/>
      <c r="BUP101" s="73"/>
      <c r="BUQ101" s="73"/>
      <c r="BUR101" s="73"/>
      <c r="BUS101" s="73"/>
      <c r="BUT101" s="73"/>
      <c r="BUU101" s="73"/>
      <c r="BUV101" s="73"/>
      <c r="BUW101" s="73"/>
      <c r="BUX101" s="73"/>
      <c r="BUY101" s="73"/>
      <c r="BUZ101" s="73"/>
      <c r="BVA101" s="73"/>
      <c r="BVB101" s="73"/>
      <c r="BVC101" s="73"/>
      <c r="BVD101" s="73"/>
      <c r="BVE101" s="73"/>
      <c r="BVF101" s="73"/>
      <c r="BVG101" s="73"/>
      <c r="BVH101" s="73"/>
      <c r="BVI101" s="73"/>
      <c r="BVJ101" s="73"/>
      <c r="BVK101" s="73"/>
      <c r="BVL101" s="73"/>
      <c r="BVM101" s="73"/>
      <c r="BVN101" s="73"/>
      <c r="BVO101" s="73"/>
      <c r="BVP101" s="73"/>
      <c r="BVQ101" s="73"/>
      <c r="BVR101" s="73"/>
      <c r="BVS101" s="73"/>
      <c r="BVT101" s="73"/>
      <c r="BVU101" s="73"/>
      <c r="BVV101" s="73"/>
      <c r="BVW101" s="73"/>
      <c r="BVX101" s="73"/>
      <c r="BVY101" s="73"/>
      <c r="BVZ101" s="73"/>
      <c r="BWA101" s="73"/>
      <c r="BWB101" s="73"/>
      <c r="BWC101" s="73"/>
      <c r="BWD101" s="73"/>
      <c r="BWE101" s="73"/>
      <c r="BWF101" s="73"/>
      <c r="BWG101" s="73"/>
      <c r="BWH101" s="73"/>
      <c r="BWI101" s="73"/>
      <c r="BWJ101" s="73"/>
      <c r="BWK101" s="73"/>
      <c r="BWL101" s="73"/>
      <c r="BWM101" s="73"/>
      <c r="BWN101" s="73"/>
      <c r="BWO101" s="73"/>
      <c r="BWP101" s="73"/>
      <c r="BWQ101" s="73"/>
      <c r="BWR101" s="73"/>
      <c r="BWS101" s="73"/>
      <c r="BWT101" s="73"/>
      <c r="BWU101" s="73"/>
      <c r="BWV101" s="73"/>
      <c r="BWW101" s="73"/>
      <c r="BWX101" s="73"/>
      <c r="BWY101" s="73"/>
      <c r="BWZ101" s="73"/>
      <c r="BXA101" s="73"/>
      <c r="BXB101" s="73"/>
      <c r="BXC101" s="73"/>
      <c r="BXD101" s="73"/>
      <c r="BXE101" s="73"/>
      <c r="BXF101" s="73"/>
      <c r="BXG101" s="73"/>
      <c r="BXH101" s="73"/>
      <c r="BXI101" s="73"/>
      <c r="BXJ101" s="73"/>
      <c r="BXK101" s="73"/>
      <c r="BXL101" s="73"/>
      <c r="BXM101" s="73"/>
      <c r="BXN101" s="73"/>
      <c r="BXO101" s="73"/>
      <c r="BXP101" s="73"/>
      <c r="BXQ101" s="73"/>
      <c r="BXR101" s="73"/>
      <c r="BXS101" s="73"/>
      <c r="BXT101" s="73"/>
      <c r="BXU101" s="73"/>
      <c r="BXV101" s="73"/>
      <c r="BXW101" s="73"/>
      <c r="BXX101" s="73"/>
      <c r="BXY101" s="73"/>
      <c r="BXZ101" s="73"/>
      <c r="BYA101" s="73"/>
      <c r="BYB101" s="73"/>
      <c r="BYC101" s="73"/>
      <c r="BYD101" s="73"/>
      <c r="BYE101" s="73"/>
      <c r="BYF101" s="73"/>
      <c r="BYG101" s="73"/>
      <c r="BYH101" s="73"/>
      <c r="BYI101" s="73"/>
      <c r="BYJ101" s="73"/>
      <c r="BYK101" s="73"/>
      <c r="BYL101" s="73"/>
      <c r="BYM101" s="73"/>
      <c r="BYN101" s="73"/>
      <c r="BYO101" s="73"/>
      <c r="BYP101" s="73"/>
      <c r="BYQ101" s="73"/>
      <c r="BYR101" s="73"/>
      <c r="BYS101" s="73"/>
      <c r="BYT101" s="73"/>
      <c r="BYU101" s="73"/>
      <c r="BYV101" s="73"/>
      <c r="BYW101" s="73"/>
      <c r="BYX101" s="73"/>
      <c r="BYY101" s="73"/>
      <c r="BYZ101" s="73"/>
      <c r="BZA101" s="73"/>
      <c r="BZB101" s="73"/>
      <c r="BZC101" s="73"/>
      <c r="BZD101" s="73"/>
      <c r="BZE101" s="73"/>
      <c r="BZF101" s="73"/>
      <c r="BZG101" s="73"/>
      <c r="BZH101" s="73"/>
      <c r="BZI101" s="73"/>
      <c r="BZJ101" s="73"/>
      <c r="BZK101" s="73"/>
      <c r="BZL101" s="73"/>
      <c r="BZM101" s="73"/>
      <c r="BZN101" s="73"/>
      <c r="BZO101" s="73"/>
      <c r="BZP101" s="73"/>
      <c r="BZQ101" s="73"/>
      <c r="BZR101" s="73"/>
      <c r="BZS101" s="73"/>
      <c r="BZT101" s="73"/>
      <c r="BZU101" s="73"/>
      <c r="BZV101" s="73"/>
      <c r="BZW101" s="73"/>
      <c r="BZX101" s="73"/>
      <c r="BZY101" s="73"/>
      <c r="BZZ101" s="73"/>
      <c r="CAA101" s="73"/>
      <c r="CAB101" s="73"/>
      <c r="CAC101" s="73"/>
      <c r="CAD101" s="73"/>
      <c r="CAE101" s="73"/>
      <c r="CAF101" s="73"/>
      <c r="CAG101" s="73"/>
      <c r="CAH101" s="73"/>
      <c r="CAI101" s="73"/>
      <c r="CAJ101" s="73"/>
      <c r="CAK101" s="73"/>
      <c r="CAL101" s="73"/>
      <c r="CAM101" s="73"/>
      <c r="CAN101" s="73"/>
      <c r="CAO101" s="73"/>
      <c r="CAP101" s="73"/>
      <c r="CAQ101" s="73"/>
      <c r="CAR101" s="73"/>
      <c r="CAS101" s="73"/>
      <c r="CAT101" s="73"/>
      <c r="CAU101" s="73"/>
      <c r="CAV101" s="73"/>
      <c r="CAW101" s="73"/>
      <c r="CAX101" s="73"/>
      <c r="CAY101" s="73"/>
      <c r="CAZ101" s="73"/>
      <c r="CBA101" s="73"/>
      <c r="CBB101" s="73"/>
      <c r="CBC101" s="73"/>
      <c r="CBD101" s="73"/>
      <c r="CBE101" s="73"/>
      <c r="CBF101" s="73"/>
      <c r="CBG101" s="73"/>
      <c r="CBH101" s="73"/>
      <c r="CBI101" s="73"/>
      <c r="CBJ101" s="73"/>
      <c r="CBK101" s="73"/>
      <c r="CBL101" s="73"/>
      <c r="CBM101" s="73"/>
      <c r="CBN101" s="73"/>
      <c r="CBO101" s="73"/>
      <c r="CBP101" s="73"/>
      <c r="CBQ101" s="73"/>
      <c r="CBR101" s="73"/>
      <c r="CBS101" s="73"/>
      <c r="CBT101" s="73"/>
      <c r="CBU101" s="73"/>
      <c r="CBV101" s="73"/>
      <c r="CBW101" s="73"/>
      <c r="CBX101" s="73"/>
      <c r="CBY101" s="73"/>
      <c r="CBZ101" s="73"/>
      <c r="CCA101" s="73"/>
      <c r="CCB101" s="73"/>
      <c r="CCC101" s="73"/>
      <c r="CCD101" s="73"/>
      <c r="CCE101" s="73"/>
      <c r="CCF101" s="73"/>
      <c r="CCG101" s="73"/>
      <c r="CCH101" s="73"/>
      <c r="CCI101" s="73"/>
      <c r="CCJ101" s="73"/>
      <c r="CCK101" s="73"/>
      <c r="CCL101" s="73"/>
      <c r="CCM101" s="73"/>
      <c r="CCN101" s="73"/>
      <c r="CCO101" s="73"/>
      <c r="CCP101" s="73"/>
      <c r="CCQ101" s="73"/>
      <c r="CCR101" s="73"/>
      <c r="CCS101" s="73"/>
      <c r="CCT101" s="73"/>
      <c r="CCU101" s="73"/>
      <c r="CCV101" s="73"/>
      <c r="CCW101" s="73"/>
      <c r="CCX101" s="73"/>
      <c r="CCY101" s="73"/>
      <c r="CCZ101" s="73"/>
      <c r="CDA101" s="73"/>
      <c r="CDB101" s="73"/>
      <c r="CDC101" s="73"/>
      <c r="CDD101" s="73"/>
      <c r="CDE101" s="73"/>
      <c r="CDF101" s="73"/>
      <c r="CDG101" s="73"/>
      <c r="CDH101" s="73"/>
      <c r="CDI101" s="73"/>
      <c r="CDJ101" s="73"/>
      <c r="CDK101" s="73"/>
      <c r="CDL101" s="73"/>
      <c r="CDM101" s="73"/>
      <c r="CDN101" s="73"/>
      <c r="CDO101" s="73"/>
      <c r="CDP101" s="73"/>
      <c r="CDQ101" s="73"/>
      <c r="CDR101" s="73"/>
      <c r="CDS101" s="73"/>
      <c r="CDT101" s="73"/>
      <c r="CDU101" s="73"/>
      <c r="CDV101" s="73"/>
      <c r="CDW101" s="73"/>
      <c r="CDX101" s="73"/>
      <c r="CDY101" s="73"/>
      <c r="CDZ101" s="73"/>
      <c r="CEA101" s="73"/>
      <c r="CEB101" s="73"/>
      <c r="CEC101" s="73"/>
      <c r="CED101" s="73"/>
      <c r="CEE101" s="73"/>
      <c r="CEF101" s="73"/>
      <c r="CEG101" s="73"/>
      <c r="CEH101" s="73"/>
      <c r="CEI101" s="73"/>
      <c r="CEJ101" s="73"/>
      <c r="CEK101" s="73"/>
      <c r="CEL101" s="73"/>
      <c r="CEM101" s="73"/>
      <c r="CEN101" s="73"/>
      <c r="CEO101" s="73"/>
      <c r="CEP101" s="73"/>
      <c r="CEQ101" s="73"/>
      <c r="CER101" s="73"/>
      <c r="CES101" s="73"/>
      <c r="CET101" s="73"/>
      <c r="CEU101" s="73"/>
      <c r="CEV101" s="73"/>
      <c r="CEW101" s="73"/>
      <c r="CEX101" s="73"/>
      <c r="CEY101" s="73"/>
      <c r="CEZ101" s="73"/>
      <c r="CFA101" s="73"/>
      <c r="CFB101" s="73"/>
      <c r="CFC101" s="73"/>
      <c r="CFD101" s="73"/>
      <c r="CFE101" s="73"/>
      <c r="CFF101" s="73"/>
      <c r="CFG101" s="73"/>
      <c r="CFH101" s="73"/>
      <c r="CFI101" s="73"/>
      <c r="CFJ101" s="73"/>
      <c r="CFK101" s="73"/>
      <c r="CFL101" s="73"/>
      <c r="CFM101" s="73"/>
      <c r="CFN101" s="73"/>
      <c r="CFO101" s="73"/>
      <c r="CFP101" s="73"/>
      <c r="CFQ101" s="73"/>
      <c r="CFR101" s="73"/>
      <c r="CFS101" s="73"/>
      <c r="CFT101" s="73"/>
      <c r="CFU101" s="73"/>
      <c r="CFV101" s="73"/>
      <c r="CFW101" s="73"/>
      <c r="CFX101" s="73"/>
      <c r="CFY101" s="73"/>
      <c r="CFZ101" s="73"/>
      <c r="CGA101" s="73"/>
      <c r="CGB101" s="73"/>
      <c r="CGC101" s="73"/>
      <c r="CGD101" s="73"/>
      <c r="CGE101" s="73"/>
      <c r="CGF101" s="73"/>
      <c r="CGG101" s="73"/>
      <c r="CGH101" s="73"/>
      <c r="CGI101" s="73"/>
      <c r="CGJ101" s="73"/>
      <c r="CGK101" s="73"/>
      <c r="CGL101" s="73"/>
      <c r="CGM101" s="73"/>
      <c r="CGN101" s="73"/>
      <c r="CGO101" s="73"/>
      <c r="CGP101" s="73"/>
      <c r="CGQ101" s="73"/>
      <c r="CGR101" s="73"/>
      <c r="CGS101" s="73"/>
      <c r="CGT101" s="73"/>
      <c r="CGU101" s="73"/>
      <c r="CGV101" s="73"/>
      <c r="CGW101" s="73"/>
      <c r="CGX101" s="73"/>
      <c r="CGY101" s="73"/>
      <c r="CGZ101" s="73"/>
      <c r="CHA101" s="73"/>
      <c r="CHB101" s="73"/>
      <c r="CHC101" s="73"/>
      <c r="CHD101" s="73"/>
      <c r="CHE101" s="73"/>
      <c r="CHF101" s="73"/>
      <c r="CHG101" s="73"/>
      <c r="CHH101" s="73"/>
      <c r="CHI101" s="73"/>
      <c r="CHJ101" s="73"/>
      <c r="CHK101" s="73"/>
      <c r="CHL101" s="73"/>
      <c r="CHM101" s="73"/>
      <c r="CHN101" s="73"/>
      <c r="CHO101" s="73"/>
      <c r="CHP101" s="73"/>
      <c r="CHQ101" s="73"/>
      <c r="CHR101" s="73"/>
      <c r="CHS101" s="73"/>
      <c r="CHT101" s="73"/>
      <c r="CHU101" s="73"/>
      <c r="CHV101" s="73"/>
      <c r="CHW101" s="73"/>
      <c r="CHX101" s="73"/>
      <c r="CHY101" s="73"/>
      <c r="CHZ101" s="73"/>
      <c r="CIA101" s="73"/>
      <c r="CIB101" s="73"/>
      <c r="CIC101" s="73"/>
      <c r="CID101" s="73"/>
      <c r="CIE101" s="73"/>
      <c r="CIF101" s="73"/>
      <c r="CIG101" s="73"/>
      <c r="CIH101" s="73"/>
      <c r="CII101" s="73"/>
      <c r="CIJ101" s="73"/>
      <c r="CIK101" s="73"/>
      <c r="CIL101" s="73"/>
      <c r="CIM101" s="73"/>
      <c r="CIN101" s="73"/>
      <c r="CIO101" s="73"/>
      <c r="CIP101" s="73"/>
      <c r="CIQ101" s="73"/>
      <c r="CIR101" s="73"/>
      <c r="CIS101" s="73"/>
      <c r="CIT101" s="73"/>
      <c r="CIU101" s="73"/>
      <c r="CIV101" s="73"/>
      <c r="CIW101" s="73"/>
      <c r="CIX101" s="73"/>
      <c r="CIY101" s="73"/>
      <c r="CIZ101" s="73"/>
      <c r="CJA101" s="73"/>
      <c r="CJB101" s="73"/>
      <c r="CJC101" s="73"/>
      <c r="CJD101" s="73"/>
      <c r="CJE101" s="73"/>
      <c r="CJF101" s="73"/>
      <c r="CJG101" s="73"/>
      <c r="CJH101" s="73"/>
      <c r="CJI101" s="73"/>
      <c r="CJJ101" s="73"/>
      <c r="CJK101" s="73"/>
      <c r="CJL101" s="73"/>
      <c r="CJM101" s="73"/>
      <c r="CJN101" s="73"/>
      <c r="CJO101" s="73"/>
      <c r="CJP101" s="73"/>
      <c r="CJQ101" s="73"/>
      <c r="CJR101" s="73"/>
      <c r="CJS101" s="73"/>
      <c r="CJT101" s="73"/>
      <c r="CJU101" s="73"/>
      <c r="CJV101" s="73"/>
      <c r="CJW101" s="73"/>
      <c r="CJX101" s="73"/>
      <c r="CJY101" s="73"/>
      <c r="CJZ101" s="73"/>
      <c r="CKA101" s="73"/>
      <c r="CKB101" s="73"/>
      <c r="CKC101" s="73"/>
      <c r="CKD101" s="73"/>
      <c r="CKE101" s="73"/>
      <c r="CKF101" s="73"/>
      <c r="CKG101" s="73"/>
      <c r="CKH101" s="73"/>
      <c r="CKI101" s="73"/>
      <c r="CKJ101" s="73"/>
      <c r="CKK101" s="73"/>
      <c r="CKL101" s="73"/>
      <c r="CKM101" s="73"/>
      <c r="CKN101" s="73"/>
      <c r="CKO101" s="73"/>
      <c r="CKP101" s="73"/>
      <c r="CKQ101" s="73"/>
      <c r="CKR101" s="73"/>
      <c r="CKS101" s="73"/>
      <c r="CKT101" s="73"/>
      <c r="CKU101" s="73"/>
      <c r="CKV101" s="73"/>
      <c r="CKW101" s="73"/>
      <c r="CKX101" s="73"/>
      <c r="CKY101" s="73"/>
      <c r="CKZ101" s="73"/>
      <c r="CLA101" s="73"/>
      <c r="CLB101" s="73"/>
      <c r="CLC101" s="73"/>
      <c r="CLD101" s="73"/>
      <c r="CLE101" s="73"/>
      <c r="CLF101" s="73"/>
      <c r="CLG101" s="73"/>
      <c r="CLH101" s="73"/>
      <c r="CLI101" s="73"/>
      <c r="CLJ101" s="73"/>
      <c r="CLK101" s="73"/>
      <c r="CLL101" s="73"/>
      <c r="CLM101" s="73"/>
      <c r="CLN101" s="73"/>
      <c r="CLO101" s="73"/>
      <c r="CLP101" s="73"/>
      <c r="CLQ101" s="73"/>
      <c r="CLR101" s="73"/>
      <c r="CLS101" s="73"/>
      <c r="CLT101" s="73"/>
      <c r="CLU101" s="73"/>
      <c r="CLV101" s="73"/>
      <c r="CLW101" s="73"/>
      <c r="CLX101" s="73"/>
      <c r="CLY101" s="73"/>
      <c r="CLZ101" s="73"/>
      <c r="CMA101" s="73"/>
      <c r="CMB101" s="73"/>
      <c r="CMC101" s="73"/>
      <c r="CMD101" s="73"/>
      <c r="CME101" s="73"/>
      <c r="CMF101" s="73"/>
      <c r="CMG101" s="73"/>
      <c r="CMH101" s="73"/>
      <c r="CMI101" s="73"/>
      <c r="CMJ101" s="73"/>
      <c r="CMK101" s="73"/>
      <c r="CML101" s="73"/>
      <c r="CMM101" s="73"/>
      <c r="CMN101" s="73"/>
      <c r="CMO101" s="73"/>
      <c r="CMP101" s="73"/>
      <c r="CMQ101" s="73"/>
      <c r="CMR101" s="73"/>
      <c r="CMS101" s="73"/>
      <c r="CMT101" s="73"/>
      <c r="CMU101" s="73"/>
      <c r="CMV101" s="73"/>
      <c r="CMW101" s="73"/>
      <c r="CMX101" s="73"/>
      <c r="CMY101" s="73"/>
      <c r="CMZ101" s="73"/>
      <c r="CNA101" s="73"/>
      <c r="CNB101" s="73"/>
      <c r="CNC101" s="73"/>
      <c r="CND101" s="73"/>
      <c r="CNE101" s="73"/>
      <c r="CNF101" s="73"/>
      <c r="CNG101" s="73"/>
      <c r="CNH101" s="73"/>
      <c r="CNI101" s="73"/>
      <c r="CNJ101" s="73"/>
      <c r="CNK101" s="73"/>
      <c r="CNL101" s="73"/>
      <c r="CNM101" s="73"/>
      <c r="CNN101" s="73"/>
      <c r="CNO101" s="73"/>
      <c r="CNP101" s="73"/>
      <c r="CNQ101" s="73"/>
      <c r="CNR101" s="73"/>
      <c r="CNS101" s="73"/>
      <c r="CNT101" s="73"/>
      <c r="CNU101" s="73"/>
      <c r="CNV101" s="73"/>
      <c r="CNW101" s="73"/>
      <c r="CNX101" s="73"/>
      <c r="CNY101" s="73"/>
      <c r="CNZ101" s="73"/>
      <c r="COA101" s="73"/>
      <c r="COB101" s="73"/>
      <c r="COC101" s="73"/>
      <c r="COD101" s="73"/>
      <c r="COE101" s="73"/>
      <c r="COF101" s="73"/>
      <c r="COG101" s="73"/>
      <c r="COH101" s="73"/>
      <c r="COI101" s="73"/>
      <c r="COJ101" s="73"/>
      <c r="COK101" s="73"/>
      <c r="COL101" s="73"/>
      <c r="COM101" s="73"/>
      <c r="CON101" s="73"/>
      <c r="COO101" s="73"/>
      <c r="COP101" s="73"/>
      <c r="COQ101" s="73"/>
      <c r="COR101" s="73"/>
      <c r="COS101" s="73"/>
      <c r="COT101" s="73"/>
      <c r="COU101" s="73"/>
      <c r="COV101" s="73"/>
      <c r="COW101" s="73"/>
      <c r="COX101" s="73"/>
      <c r="COY101" s="73"/>
      <c r="COZ101" s="73"/>
      <c r="CPA101" s="73"/>
      <c r="CPB101" s="73"/>
      <c r="CPC101" s="73"/>
      <c r="CPD101" s="73"/>
      <c r="CPE101" s="73"/>
      <c r="CPF101" s="73"/>
      <c r="CPG101" s="73"/>
      <c r="CPH101" s="73"/>
      <c r="CPI101" s="73"/>
      <c r="CPJ101" s="73"/>
      <c r="CPK101" s="73"/>
      <c r="CPL101" s="73"/>
      <c r="CPM101" s="73"/>
      <c r="CPN101" s="73"/>
      <c r="CPO101" s="73"/>
      <c r="CPP101" s="73"/>
      <c r="CPQ101" s="73"/>
      <c r="CPR101" s="73"/>
      <c r="CPS101" s="73"/>
      <c r="CPT101" s="73"/>
      <c r="CPU101" s="73"/>
      <c r="CPV101" s="73"/>
      <c r="CPW101" s="73"/>
      <c r="CPX101" s="73"/>
      <c r="CPY101" s="73"/>
      <c r="CPZ101" s="73"/>
      <c r="CQA101" s="73"/>
      <c r="CQB101" s="73"/>
      <c r="CQC101" s="73"/>
      <c r="CQD101" s="73"/>
      <c r="CQE101" s="73"/>
      <c r="CQF101" s="73"/>
      <c r="CQG101" s="73"/>
      <c r="CQH101" s="73"/>
      <c r="CQI101" s="73"/>
      <c r="CQJ101" s="73"/>
      <c r="CQK101" s="73"/>
      <c r="CQL101" s="73"/>
      <c r="CQM101" s="73"/>
      <c r="CQN101" s="73"/>
      <c r="CQO101" s="73"/>
      <c r="CQP101" s="73"/>
      <c r="CQQ101" s="73"/>
      <c r="CQR101" s="73"/>
      <c r="CQS101" s="73"/>
      <c r="CQT101" s="73"/>
      <c r="CQU101" s="73"/>
      <c r="CQV101" s="73"/>
      <c r="CQW101" s="73"/>
      <c r="CQX101" s="73"/>
      <c r="CQY101" s="73"/>
      <c r="CQZ101" s="73"/>
      <c r="CRA101" s="73"/>
      <c r="CRB101" s="73"/>
      <c r="CRC101" s="73"/>
      <c r="CRD101" s="73"/>
      <c r="CRE101" s="73"/>
      <c r="CRF101" s="73"/>
      <c r="CRG101" s="73"/>
      <c r="CRH101" s="73"/>
      <c r="CRI101" s="73"/>
      <c r="CRJ101" s="73"/>
      <c r="CRK101" s="73"/>
      <c r="CRL101" s="73"/>
      <c r="CRM101" s="73"/>
      <c r="CRN101" s="73"/>
      <c r="CRO101" s="73"/>
      <c r="CRP101" s="73"/>
      <c r="CRQ101" s="73"/>
      <c r="CRR101" s="73"/>
      <c r="CRS101" s="73"/>
      <c r="CRT101" s="73"/>
      <c r="CRU101" s="73"/>
      <c r="CRV101" s="73"/>
      <c r="CRW101" s="73"/>
      <c r="CRX101" s="73"/>
      <c r="CRY101" s="73"/>
      <c r="CRZ101" s="73"/>
      <c r="CSA101" s="73"/>
      <c r="CSB101" s="73"/>
      <c r="CSC101" s="73"/>
      <c r="CSD101" s="73"/>
      <c r="CSE101" s="73"/>
      <c r="CSF101" s="73"/>
      <c r="CSG101" s="73"/>
      <c r="CSH101" s="73"/>
      <c r="CSI101" s="73"/>
      <c r="CSJ101" s="73"/>
      <c r="CSK101" s="73"/>
      <c r="CSL101" s="73"/>
      <c r="CSM101" s="73"/>
      <c r="CSN101" s="73"/>
      <c r="CSO101" s="73"/>
      <c r="CSP101" s="73"/>
      <c r="CSQ101" s="73"/>
      <c r="CSR101" s="73"/>
      <c r="CSS101" s="73"/>
      <c r="CST101" s="73"/>
      <c r="CSU101" s="73"/>
      <c r="CSV101" s="73"/>
      <c r="CSW101" s="73"/>
      <c r="CSX101" s="73"/>
      <c r="CSY101" s="73"/>
      <c r="CSZ101" s="73"/>
      <c r="CTA101" s="73"/>
      <c r="CTB101" s="73"/>
      <c r="CTC101" s="73"/>
      <c r="CTD101" s="73"/>
      <c r="CTE101" s="73"/>
      <c r="CTF101" s="73"/>
      <c r="CTG101" s="73"/>
      <c r="CTH101" s="73"/>
      <c r="CTI101" s="73"/>
      <c r="CTJ101" s="73"/>
      <c r="CTK101" s="73"/>
      <c r="CTL101" s="73"/>
      <c r="CTM101" s="73"/>
      <c r="CTN101" s="73"/>
      <c r="CTO101" s="73"/>
      <c r="CTP101" s="73"/>
      <c r="CTQ101" s="73"/>
      <c r="CTR101" s="73"/>
      <c r="CTS101" s="73"/>
      <c r="CTT101" s="73"/>
      <c r="CTU101" s="73"/>
      <c r="CTV101" s="73"/>
      <c r="CTW101" s="73"/>
      <c r="CTX101" s="73"/>
      <c r="CTY101" s="73"/>
      <c r="CTZ101" s="73"/>
      <c r="CUA101" s="73"/>
      <c r="CUB101" s="73"/>
      <c r="CUC101" s="73"/>
      <c r="CUD101" s="73"/>
      <c r="CUE101" s="73"/>
      <c r="CUF101" s="73"/>
      <c r="CUG101" s="73"/>
      <c r="CUH101" s="73"/>
      <c r="CUI101" s="73"/>
      <c r="CUJ101" s="73"/>
      <c r="CUK101" s="73"/>
      <c r="CUL101" s="73"/>
      <c r="CUM101" s="73"/>
      <c r="CUN101" s="73"/>
      <c r="CUO101" s="73"/>
      <c r="CUP101" s="73"/>
      <c r="CUQ101" s="73"/>
      <c r="CUR101" s="73"/>
      <c r="CUS101" s="73"/>
      <c r="CUT101" s="73"/>
      <c r="CUU101" s="73"/>
      <c r="CUV101" s="73"/>
      <c r="CUW101" s="73"/>
      <c r="CUX101" s="73"/>
      <c r="CUY101" s="73"/>
      <c r="CUZ101" s="73"/>
      <c r="CVA101" s="73"/>
      <c r="CVB101" s="73"/>
      <c r="CVC101" s="73"/>
      <c r="CVD101" s="73"/>
      <c r="CVE101" s="73"/>
      <c r="CVF101" s="73"/>
      <c r="CVG101" s="73"/>
      <c r="CVH101" s="73"/>
      <c r="CVI101" s="73"/>
      <c r="CVJ101" s="73"/>
      <c r="CVK101" s="73"/>
      <c r="CVL101" s="73"/>
      <c r="CVM101" s="73"/>
      <c r="CVN101" s="73"/>
      <c r="CVO101" s="73"/>
      <c r="CVP101" s="73"/>
      <c r="CVQ101" s="73"/>
      <c r="CVR101" s="73"/>
      <c r="CVS101" s="73"/>
      <c r="CVT101" s="73"/>
      <c r="CVU101" s="73"/>
      <c r="CVV101" s="73"/>
      <c r="CVW101" s="73"/>
      <c r="CVX101" s="73"/>
      <c r="CVY101" s="73"/>
      <c r="CVZ101" s="73"/>
      <c r="CWA101" s="73"/>
      <c r="CWB101" s="73"/>
      <c r="CWC101" s="73"/>
      <c r="CWD101" s="73"/>
      <c r="CWE101" s="73"/>
      <c r="CWF101" s="73"/>
      <c r="CWG101" s="73"/>
      <c r="CWH101" s="73"/>
      <c r="CWI101" s="73"/>
      <c r="CWJ101" s="73"/>
      <c r="CWK101" s="73"/>
      <c r="CWL101" s="73"/>
      <c r="CWM101" s="73"/>
      <c r="CWN101" s="73"/>
      <c r="CWO101" s="73"/>
      <c r="CWP101" s="73"/>
      <c r="CWQ101" s="73"/>
      <c r="CWR101" s="73"/>
      <c r="CWS101" s="73"/>
      <c r="CWT101" s="73"/>
      <c r="CWU101" s="73"/>
      <c r="CWV101" s="73"/>
      <c r="CWW101" s="73"/>
      <c r="CWX101" s="73"/>
      <c r="CWY101" s="73"/>
      <c r="CWZ101" s="73"/>
      <c r="CXA101" s="73"/>
      <c r="CXB101" s="73"/>
      <c r="CXC101" s="73"/>
      <c r="CXD101" s="73"/>
      <c r="CXE101" s="73"/>
      <c r="CXF101" s="73"/>
      <c r="CXG101" s="73"/>
      <c r="CXH101" s="73"/>
      <c r="CXI101" s="73"/>
      <c r="CXJ101" s="73"/>
      <c r="CXK101" s="73"/>
      <c r="CXL101" s="73"/>
      <c r="CXM101" s="73"/>
      <c r="CXN101" s="73"/>
      <c r="CXO101" s="73"/>
      <c r="CXP101" s="73"/>
      <c r="CXQ101" s="73"/>
      <c r="CXR101" s="73"/>
      <c r="CXS101" s="73"/>
      <c r="CXT101" s="73"/>
      <c r="CXU101" s="73"/>
      <c r="CXV101" s="73"/>
      <c r="CXW101" s="73"/>
      <c r="CXX101" s="73"/>
      <c r="CXY101" s="73"/>
      <c r="CXZ101" s="73"/>
      <c r="CYA101" s="73"/>
      <c r="CYB101" s="73"/>
      <c r="CYC101" s="73"/>
      <c r="CYD101" s="73"/>
      <c r="CYE101" s="73"/>
      <c r="CYF101" s="73"/>
      <c r="CYG101" s="73"/>
      <c r="CYH101" s="73"/>
      <c r="CYI101" s="73"/>
      <c r="CYJ101" s="73"/>
      <c r="CYK101" s="73"/>
      <c r="CYL101" s="73"/>
      <c r="CYM101" s="73"/>
      <c r="CYN101" s="73"/>
      <c r="CYO101" s="73"/>
      <c r="CYP101" s="73"/>
      <c r="CYQ101" s="73"/>
      <c r="CYR101" s="73"/>
      <c r="CYS101" s="73"/>
      <c r="CYT101" s="73"/>
      <c r="CYU101" s="73"/>
      <c r="CYV101" s="73"/>
      <c r="CYW101" s="73"/>
      <c r="CYX101" s="73"/>
      <c r="CYY101" s="73"/>
      <c r="CYZ101" s="73"/>
      <c r="CZA101" s="73"/>
      <c r="CZB101" s="73"/>
      <c r="CZC101" s="73"/>
      <c r="CZD101" s="73"/>
      <c r="CZE101" s="73"/>
      <c r="CZF101" s="73"/>
      <c r="CZG101" s="73"/>
      <c r="CZH101" s="73"/>
      <c r="CZI101" s="73"/>
      <c r="CZJ101" s="73"/>
      <c r="CZK101" s="73"/>
      <c r="CZL101" s="73"/>
      <c r="CZM101" s="73"/>
      <c r="CZN101" s="73"/>
      <c r="CZO101" s="73"/>
      <c r="CZP101" s="73"/>
      <c r="CZQ101" s="73"/>
      <c r="CZR101" s="73"/>
      <c r="CZS101" s="73"/>
      <c r="CZT101" s="73"/>
      <c r="CZU101" s="73"/>
      <c r="CZV101" s="73"/>
      <c r="CZW101" s="73"/>
      <c r="CZX101" s="73"/>
      <c r="CZY101" s="73"/>
      <c r="CZZ101" s="73"/>
      <c r="DAA101" s="73"/>
      <c r="DAB101" s="73"/>
      <c r="DAC101" s="73"/>
      <c r="DAD101" s="73"/>
      <c r="DAE101" s="73"/>
      <c r="DAF101" s="73"/>
      <c r="DAG101" s="73"/>
      <c r="DAH101" s="73"/>
      <c r="DAI101" s="73"/>
      <c r="DAJ101" s="73"/>
      <c r="DAK101" s="73"/>
      <c r="DAL101" s="73"/>
      <c r="DAM101" s="73"/>
      <c r="DAN101" s="73"/>
      <c r="DAO101" s="73"/>
      <c r="DAP101" s="73"/>
      <c r="DAQ101" s="73"/>
      <c r="DAR101" s="73"/>
      <c r="DAS101" s="73"/>
      <c r="DAT101" s="73"/>
      <c r="DAU101" s="73"/>
      <c r="DAV101" s="73"/>
      <c r="DAW101" s="73"/>
      <c r="DAX101" s="73"/>
      <c r="DAY101" s="73"/>
      <c r="DAZ101" s="73"/>
      <c r="DBA101" s="73"/>
      <c r="DBB101" s="73"/>
      <c r="DBC101" s="73"/>
      <c r="DBD101" s="73"/>
      <c r="DBE101" s="73"/>
      <c r="DBF101" s="73"/>
      <c r="DBG101" s="73"/>
      <c r="DBH101" s="73"/>
      <c r="DBI101" s="73"/>
      <c r="DBJ101" s="73"/>
      <c r="DBK101" s="73"/>
      <c r="DBL101" s="73"/>
      <c r="DBM101" s="73"/>
      <c r="DBN101" s="73"/>
      <c r="DBO101" s="73"/>
      <c r="DBP101" s="73"/>
      <c r="DBQ101" s="73"/>
      <c r="DBR101" s="73"/>
      <c r="DBS101" s="73"/>
      <c r="DBT101" s="73"/>
      <c r="DBU101" s="73"/>
      <c r="DBV101" s="73"/>
      <c r="DBW101" s="73"/>
      <c r="DBX101" s="73"/>
      <c r="DBY101" s="73"/>
      <c r="DBZ101" s="73"/>
      <c r="DCA101" s="73"/>
      <c r="DCB101" s="73"/>
      <c r="DCC101" s="73"/>
      <c r="DCD101" s="73"/>
      <c r="DCE101" s="73"/>
      <c r="DCF101" s="73"/>
      <c r="DCG101" s="73"/>
      <c r="DCH101" s="73"/>
      <c r="DCI101" s="73"/>
      <c r="DCJ101" s="73"/>
      <c r="DCK101" s="73"/>
      <c r="DCL101" s="73"/>
      <c r="DCM101" s="73"/>
      <c r="DCN101" s="73"/>
      <c r="DCO101" s="73"/>
      <c r="DCP101" s="73"/>
      <c r="DCQ101" s="73"/>
      <c r="DCR101" s="73"/>
      <c r="DCS101" s="73"/>
      <c r="DCT101" s="73"/>
      <c r="DCU101" s="73"/>
      <c r="DCV101" s="73"/>
      <c r="DCW101" s="73"/>
      <c r="DCX101" s="73"/>
      <c r="DCY101" s="73"/>
      <c r="DCZ101" s="73"/>
      <c r="DDA101" s="73"/>
      <c r="DDB101" s="73"/>
      <c r="DDC101" s="73"/>
      <c r="DDD101" s="73"/>
      <c r="DDE101" s="73"/>
      <c r="DDF101" s="73"/>
      <c r="DDG101" s="73"/>
      <c r="DDH101" s="73"/>
      <c r="DDI101" s="73"/>
      <c r="DDJ101" s="73"/>
      <c r="DDK101" s="73"/>
      <c r="DDL101" s="73"/>
      <c r="DDM101" s="73"/>
      <c r="DDN101" s="73"/>
      <c r="DDO101" s="73"/>
      <c r="DDP101" s="73"/>
      <c r="DDQ101" s="73"/>
      <c r="DDR101" s="73"/>
      <c r="DDS101" s="73"/>
      <c r="DDT101" s="73"/>
      <c r="DDU101" s="73"/>
      <c r="DDV101" s="73"/>
      <c r="DDW101" s="73"/>
      <c r="DDX101" s="73"/>
      <c r="DDY101" s="73"/>
      <c r="DDZ101" s="73"/>
      <c r="DEA101" s="73"/>
      <c r="DEB101" s="73"/>
      <c r="DEC101" s="73"/>
      <c r="DED101" s="73"/>
      <c r="DEE101" s="73"/>
      <c r="DEF101" s="73"/>
      <c r="DEG101" s="73"/>
      <c r="DEH101" s="73"/>
      <c r="DEI101" s="73"/>
      <c r="DEJ101" s="73"/>
      <c r="DEK101" s="73"/>
      <c r="DEL101" s="73"/>
      <c r="DEM101" s="73"/>
      <c r="DEN101" s="73"/>
      <c r="DEO101" s="73"/>
      <c r="DEP101" s="73"/>
      <c r="DEQ101" s="73"/>
      <c r="DER101" s="73"/>
      <c r="DES101" s="73"/>
      <c r="DET101" s="73"/>
      <c r="DEU101" s="73"/>
      <c r="DEV101" s="73"/>
      <c r="DEW101" s="73"/>
      <c r="DEX101" s="73"/>
      <c r="DEY101" s="73"/>
      <c r="DEZ101" s="73"/>
      <c r="DFA101" s="73"/>
      <c r="DFB101" s="73"/>
      <c r="DFC101" s="73"/>
      <c r="DFD101" s="73"/>
      <c r="DFE101" s="73"/>
      <c r="DFF101" s="73"/>
      <c r="DFG101" s="73"/>
      <c r="DFH101" s="73"/>
      <c r="DFI101" s="73"/>
      <c r="DFJ101" s="73"/>
      <c r="DFK101" s="73"/>
      <c r="DFL101" s="73"/>
      <c r="DFM101" s="73"/>
      <c r="DFN101" s="73"/>
      <c r="DFO101" s="73"/>
      <c r="DFP101" s="73"/>
      <c r="DFQ101" s="73"/>
      <c r="DFR101" s="73"/>
      <c r="DFS101" s="73"/>
      <c r="DFT101" s="73"/>
      <c r="DFU101" s="73"/>
      <c r="DFV101" s="73"/>
      <c r="DFW101" s="73"/>
      <c r="DFX101" s="73"/>
      <c r="DFY101" s="73"/>
      <c r="DFZ101" s="73"/>
      <c r="DGA101" s="73"/>
      <c r="DGB101" s="73"/>
      <c r="DGC101" s="73"/>
      <c r="DGD101" s="73"/>
      <c r="DGE101" s="73"/>
      <c r="DGF101" s="73"/>
      <c r="DGG101" s="73"/>
      <c r="DGH101" s="73"/>
      <c r="DGI101" s="73"/>
      <c r="DGJ101" s="73"/>
      <c r="DGK101" s="73"/>
      <c r="DGL101" s="73"/>
      <c r="DGM101" s="73"/>
      <c r="DGN101" s="73"/>
      <c r="DGO101" s="73"/>
      <c r="DGP101" s="73"/>
      <c r="DGQ101" s="73"/>
      <c r="DGR101" s="73"/>
      <c r="DGS101" s="73"/>
      <c r="DGT101" s="73"/>
      <c r="DGU101" s="73"/>
      <c r="DGV101" s="73"/>
      <c r="DGW101" s="73"/>
      <c r="DGX101" s="73"/>
      <c r="DGY101" s="73"/>
      <c r="DGZ101" s="73"/>
      <c r="DHA101" s="73"/>
      <c r="DHB101" s="73"/>
      <c r="DHC101" s="73"/>
      <c r="DHD101" s="73"/>
      <c r="DHE101" s="73"/>
      <c r="DHF101" s="73"/>
      <c r="DHG101" s="73"/>
      <c r="DHH101" s="73"/>
      <c r="DHI101" s="73"/>
      <c r="DHJ101" s="73"/>
      <c r="DHK101" s="73"/>
      <c r="DHL101" s="73"/>
      <c r="DHM101" s="73"/>
      <c r="DHN101" s="73"/>
      <c r="DHO101" s="73"/>
      <c r="DHP101" s="73"/>
      <c r="DHQ101" s="73"/>
      <c r="DHR101" s="73"/>
      <c r="DHS101" s="73"/>
      <c r="DHT101" s="73"/>
      <c r="DHU101" s="73"/>
      <c r="DHV101" s="73"/>
      <c r="DHW101" s="73"/>
      <c r="DHX101" s="73"/>
      <c r="DHY101" s="73"/>
      <c r="DHZ101" s="73"/>
      <c r="DIA101" s="73"/>
      <c r="DIB101" s="73"/>
      <c r="DIC101" s="73"/>
      <c r="DID101" s="73"/>
      <c r="DIE101" s="73"/>
      <c r="DIF101" s="73"/>
      <c r="DIG101" s="73"/>
      <c r="DIH101" s="73"/>
      <c r="DII101" s="73"/>
      <c r="DIJ101" s="73"/>
      <c r="DIK101" s="73"/>
      <c r="DIL101" s="73"/>
      <c r="DIM101" s="73"/>
      <c r="DIN101" s="73"/>
      <c r="DIO101" s="73"/>
      <c r="DIP101" s="73"/>
      <c r="DIQ101" s="73"/>
      <c r="DIR101" s="73"/>
      <c r="DIS101" s="73"/>
      <c r="DIT101" s="73"/>
      <c r="DIU101" s="73"/>
      <c r="DIV101" s="73"/>
      <c r="DIW101" s="73"/>
      <c r="DIX101" s="73"/>
      <c r="DIY101" s="73"/>
      <c r="DIZ101" s="73"/>
      <c r="DJA101" s="73"/>
      <c r="DJB101" s="73"/>
      <c r="DJC101" s="73"/>
      <c r="DJD101" s="73"/>
      <c r="DJE101" s="73"/>
      <c r="DJF101" s="73"/>
      <c r="DJG101" s="73"/>
      <c r="DJH101" s="73"/>
      <c r="DJI101" s="73"/>
      <c r="DJJ101" s="73"/>
      <c r="DJK101" s="73"/>
      <c r="DJL101" s="73"/>
      <c r="DJM101" s="73"/>
      <c r="DJN101" s="73"/>
      <c r="DJO101" s="73"/>
      <c r="DJP101" s="73"/>
      <c r="DJQ101" s="73"/>
      <c r="DJR101" s="73"/>
      <c r="DJS101" s="73"/>
      <c r="DJT101" s="73"/>
      <c r="DJU101" s="73"/>
      <c r="DJV101" s="73"/>
      <c r="DJW101" s="73"/>
      <c r="DJX101" s="73"/>
      <c r="DJY101" s="73"/>
      <c r="DJZ101" s="73"/>
      <c r="DKA101" s="73"/>
      <c r="DKB101" s="73"/>
      <c r="DKC101" s="73"/>
      <c r="DKD101" s="73"/>
      <c r="DKE101" s="73"/>
      <c r="DKF101" s="73"/>
      <c r="DKG101" s="73"/>
      <c r="DKH101" s="73"/>
      <c r="DKI101" s="73"/>
      <c r="DKJ101" s="73"/>
      <c r="DKK101" s="73"/>
      <c r="DKL101" s="73"/>
      <c r="DKM101" s="73"/>
      <c r="DKN101" s="73"/>
      <c r="DKO101" s="73"/>
      <c r="DKP101" s="73"/>
      <c r="DKQ101" s="73"/>
      <c r="DKR101" s="73"/>
      <c r="DKS101" s="73"/>
      <c r="DKT101" s="73"/>
      <c r="DKU101" s="73"/>
      <c r="DKV101" s="73"/>
      <c r="DKW101" s="73"/>
      <c r="DKX101" s="73"/>
      <c r="DKY101" s="73"/>
      <c r="DKZ101" s="73"/>
      <c r="DLA101" s="73"/>
      <c r="DLB101" s="73"/>
      <c r="DLC101" s="73"/>
      <c r="DLD101" s="73"/>
      <c r="DLE101" s="73"/>
      <c r="DLF101" s="73"/>
      <c r="DLG101" s="73"/>
      <c r="DLH101" s="73"/>
      <c r="DLI101" s="73"/>
      <c r="DLJ101" s="73"/>
      <c r="DLK101" s="73"/>
      <c r="DLL101" s="73"/>
      <c r="DLM101" s="73"/>
      <c r="DLN101" s="73"/>
      <c r="DLO101" s="73"/>
      <c r="DLP101" s="73"/>
      <c r="DLQ101" s="73"/>
      <c r="DLR101" s="73"/>
      <c r="DLS101" s="73"/>
      <c r="DLT101" s="73"/>
      <c r="DLU101" s="73"/>
      <c r="DLV101" s="73"/>
      <c r="DLW101" s="73"/>
      <c r="DLX101" s="73"/>
      <c r="DLY101" s="73"/>
      <c r="DLZ101" s="73"/>
      <c r="DMA101" s="73"/>
      <c r="DMB101" s="73"/>
      <c r="DMC101" s="73"/>
      <c r="DMD101" s="73"/>
      <c r="DME101" s="73"/>
      <c r="DMF101" s="73"/>
      <c r="DMG101" s="73"/>
      <c r="DMH101" s="73"/>
      <c r="DMI101" s="73"/>
      <c r="DMJ101" s="73"/>
      <c r="DMK101" s="73"/>
      <c r="DML101" s="73"/>
      <c r="DMM101" s="73"/>
      <c r="DMN101" s="73"/>
      <c r="DMO101" s="73"/>
      <c r="DMP101" s="73"/>
      <c r="DMQ101" s="73"/>
      <c r="DMR101" s="73"/>
      <c r="DMS101" s="73"/>
      <c r="DMT101" s="73"/>
      <c r="DMU101" s="73"/>
      <c r="DMV101" s="73"/>
      <c r="DMW101" s="73"/>
      <c r="DMX101" s="73"/>
      <c r="DMY101" s="73"/>
      <c r="DMZ101" s="73"/>
      <c r="DNA101" s="73"/>
      <c r="DNB101" s="73"/>
      <c r="DNC101" s="73"/>
      <c r="DND101" s="73"/>
      <c r="DNE101" s="73"/>
      <c r="DNF101" s="73"/>
      <c r="DNG101" s="73"/>
      <c r="DNH101" s="73"/>
      <c r="DNI101" s="73"/>
      <c r="DNJ101" s="73"/>
      <c r="DNK101" s="73"/>
      <c r="DNL101" s="73"/>
      <c r="DNM101" s="73"/>
      <c r="DNN101" s="73"/>
      <c r="DNO101" s="73"/>
      <c r="DNP101" s="73"/>
      <c r="DNQ101" s="73"/>
      <c r="DNR101" s="73"/>
      <c r="DNS101" s="73"/>
      <c r="DNT101" s="73"/>
      <c r="DNU101" s="73"/>
      <c r="DNV101" s="73"/>
      <c r="DNW101" s="73"/>
      <c r="DNX101" s="73"/>
      <c r="DNY101" s="73"/>
      <c r="DNZ101" s="73"/>
      <c r="DOA101" s="73"/>
      <c r="DOB101" s="73"/>
      <c r="DOC101" s="73"/>
      <c r="DOD101" s="73"/>
      <c r="DOE101" s="73"/>
      <c r="DOF101" s="73"/>
      <c r="DOG101" s="73"/>
      <c r="DOH101" s="73"/>
      <c r="DOI101" s="73"/>
      <c r="DOJ101" s="73"/>
      <c r="DOK101" s="73"/>
      <c r="DOL101" s="73"/>
      <c r="DOM101" s="73"/>
      <c r="DON101" s="73"/>
      <c r="DOO101" s="73"/>
      <c r="DOP101" s="73"/>
      <c r="DOQ101" s="73"/>
      <c r="DOR101" s="73"/>
      <c r="DOS101" s="73"/>
      <c r="DOT101" s="73"/>
      <c r="DOU101" s="73"/>
      <c r="DOV101" s="73"/>
      <c r="DOW101" s="73"/>
      <c r="DOX101" s="73"/>
      <c r="DOY101" s="73"/>
      <c r="DOZ101" s="73"/>
      <c r="DPA101" s="73"/>
      <c r="DPB101" s="73"/>
      <c r="DPC101" s="73"/>
      <c r="DPD101" s="73"/>
      <c r="DPE101" s="73"/>
      <c r="DPF101" s="73"/>
      <c r="DPG101" s="73"/>
      <c r="DPH101" s="73"/>
      <c r="DPI101" s="73"/>
      <c r="DPJ101" s="73"/>
      <c r="DPK101" s="73"/>
      <c r="DPL101" s="73"/>
      <c r="DPM101" s="73"/>
      <c r="DPN101" s="73"/>
      <c r="DPO101" s="73"/>
      <c r="DPP101" s="73"/>
      <c r="DPQ101" s="73"/>
      <c r="DPR101" s="73"/>
      <c r="DPS101" s="73"/>
      <c r="DPT101" s="73"/>
      <c r="DPU101" s="73"/>
      <c r="DPV101" s="73"/>
      <c r="DPW101" s="73"/>
      <c r="DPX101" s="73"/>
      <c r="DPY101" s="73"/>
      <c r="DPZ101" s="73"/>
      <c r="DQA101" s="73"/>
      <c r="DQB101" s="73"/>
      <c r="DQC101" s="73"/>
      <c r="DQD101" s="73"/>
      <c r="DQE101" s="73"/>
      <c r="DQF101" s="73"/>
      <c r="DQG101" s="73"/>
      <c r="DQH101" s="73"/>
      <c r="DQI101" s="73"/>
      <c r="DQJ101" s="73"/>
      <c r="DQK101" s="73"/>
      <c r="DQL101" s="73"/>
      <c r="DQM101" s="73"/>
      <c r="DQN101" s="73"/>
      <c r="DQO101" s="73"/>
      <c r="DQP101" s="73"/>
      <c r="DQQ101" s="73"/>
      <c r="DQR101" s="73"/>
      <c r="DQS101" s="73"/>
      <c r="DQT101" s="73"/>
      <c r="DQU101" s="73"/>
      <c r="DQV101" s="73"/>
      <c r="DQW101" s="73"/>
      <c r="DQX101" s="73"/>
      <c r="DQY101" s="73"/>
      <c r="DQZ101" s="73"/>
      <c r="DRA101" s="73"/>
      <c r="DRB101" s="73"/>
      <c r="DRC101" s="73"/>
      <c r="DRD101" s="73"/>
      <c r="DRE101" s="73"/>
      <c r="DRF101" s="73"/>
      <c r="DRG101" s="73"/>
      <c r="DRH101" s="73"/>
      <c r="DRI101" s="73"/>
      <c r="DRJ101" s="73"/>
      <c r="DRK101" s="73"/>
      <c r="DRL101" s="73"/>
      <c r="DRM101" s="73"/>
      <c r="DRN101" s="73"/>
      <c r="DRO101" s="73"/>
      <c r="DRP101" s="73"/>
      <c r="DRQ101" s="73"/>
      <c r="DRR101" s="73"/>
      <c r="DRS101" s="73"/>
      <c r="DRT101" s="73"/>
      <c r="DRU101" s="73"/>
      <c r="DRV101" s="73"/>
      <c r="DRW101" s="73"/>
      <c r="DRX101" s="73"/>
      <c r="DRY101" s="73"/>
      <c r="DRZ101" s="73"/>
      <c r="DSA101" s="73"/>
      <c r="DSB101" s="73"/>
      <c r="DSC101" s="73"/>
      <c r="DSD101" s="73"/>
      <c r="DSE101" s="73"/>
      <c r="DSF101" s="73"/>
      <c r="DSG101" s="73"/>
      <c r="DSH101" s="73"/>
      <c r="DSI101" s="73"/>
      <c r="DSJ101" s="73"/>
      <c r="DSK101" s="73"/>
      <c r="DSL101" s="73"/>
      <c r="DSM101" s="73"/>
      <c r="DSN101" s="73"/>
      <c r="DSO101" s="73"/>
      <c r="DSP101" s="73"/>
      <c r="DSQ101" s="73"/>
      <c r="DSR101" s="73"/>
      <c r="DSS101" s="73"/>
      <c r="DST101" s="73"/>
      <c r="DSU101" s="73"/>
      <c r="DSV101" s="73"/>
      <c r="DSW101" s="73"/>
      <c r="DSX101" s="73"/>
      <c r="DSY101" s="73"/>
      <c r="DSZ101" s="73"/>
      <c r="DTA101" s="73"/>
      <c r="DTB101" s="73"/>
      <c r="DTC101" s="73"/>
      <c r="DTD101" s="73"/>
      <c r="DTE101" s="73"/>
      <c r="DTF101" s="73"/>
      <c r="DTG101" s="73"/>
      <c r="DTH101" s="73"/>
      <c r="DTI101" s="73"/>
      <c r="DTJ101" s="73"/>
      <c r="DTK101" s="73"/>
      <c r="DTL101" s="73"/>
      <c r="DTM101" s="73"/>
      <c r="DTN101" s="73"/>
      <c r="DTO101" s="73"/>
      <c r="DTP101" s="73"/>
      <c r="DTQ101" s="73"/>
      <c r="DTR101" s="73"/>
      <c r="DTS101" s="73"/>
      <c r="DTT101" s="73"/>
      <c r="DTU101" s="73"/>
      <c r="DTV101" s="73"/>
      <c r="DTW101" s="73"/>
      <c r="DTX101" s="73"/>
      <c r="DTY101" s="73"/>
      <c r="DTZ101" s="73"/>
      <c r="DUA101" s="73"/>
      <c r="DUB101" s="73"/>
      <c r="DUC101" s="73"/>
      <c r="DUD101" s="73"/>
      <c r="DUE101" s="73"/>
      <c r="DUF101" s="73"/>
      <c r="DUG101" s="73"/>
      <c r="DUH101" s="73"/>
      <c r="DUI101" s="73"/>
      <c r="DUJ101" s="73"/>
      <c r="DUK101" s="73"/>
      <c r="DUL101" s="73"/>
      <c r="DUM101" s="73"/>
      <c r="DUN101" s="73"/>
      <c r="DUO101" s="73"/>
      <c r="DUP101" s="73"/>
      <c r="DUQ101" s="73"/>
      <c r="DUR101" s="73"/>
      <c r="DUS101" s="73"/>
      <c r="DUT101" s="73"/>
      <c r="DUU101" s="73"/>
      <c r="DUV101" s="73"/>
      <c r="DUW101" s="73"/>
      <c r="DUX101" s="73"/>
      <c r="DUY101" s="73"/>
      <c r="DUZ101" s="73"/>
      <c r="DVA101" s="73"/>
      <c r="DVB101" s="73"/>
      <c r="DVC101" s="73"/>
      <c r="DVD101" s="73"/>
      <c r="DVE101" s="73"/>
      <c r="DVF101" s="73"/>
      <c r="DVG101" s="73"/>
      <c r="DVH101" s="73"/>
      <c r="DVI101" s="73"/>
      <c r="DVJ101" s="73"/>
      <c r="DVK101" s="73"/>
      <c r="DVL101" s="73"/>
      <c r="DVM101" s="73"/>
      <c r="DVN101" s="73"/>
      <c r="DVO101" s="73"/>
      <c r="DVP101" s="73"/>
      <c r="DVQ101" s="73"/>
      <c r="DVR101" s="73"/>
      <c r="DVS101" s="73"/>
      <c r="DVT101" s="73"/>
      <c r="DVU101" s="73"/>
      <c r="DVV101" s="73"/>
      <c r="DVW101" s="73"/>
      <c r="DVX101" s="73"/>
      <c r="DVY101" s="73"/>
      <c r="DVZ101" s="73"/>
      <c r="DWA101" s="73"/>
      <c r="DWB101" s="73"/>
      <c r="DWC101" s="73"/>
      <c r="DWD101" s="73"/>
      <c r="DWE101" s="73"/>
      <c r="DWF101" s="73"/>
      <c r="DWG101" s="73"/>
      <c r="DWH101" s="73"/>
      <c r="DWI101" s="73"/>
      <c r="DWJ101" s="73"/>
      <c r="DWK101" s="73"/>
      <c r="DWL101" s="73"/>
      <c r="DWM101" s="73"/>
      <c r="DWN101" s="73"/>
      <c r="DWO101" s="73"/>
      <c r="DWP101" s="73"/>
      <c r="DWQ101" s="73"/>
      <c r="DWR101" s="73"/>
      <c r="DWS101" s="73"/>
      <c r="DWT101" s="73"/>
      <c r="DWU101" s="73"/>
      <c r="DWV101" s="73"/>
      <c r="DWW101" s="73"/>
      <c r="DWX101" s="73"/>
      <c r="DWY101" s="73"/>
      <c r="DWZ101" s="73"/>
      <c r="DXA101" s="73"/>
      <c r="DXB101" s="73"/>
      <c r="DXC101" s="73"/>
      <c r="DXD101" s="73"/>
      <c r="DXE101" s="73"/>
      <c r="DXF101" s="73"/>
      <c r="DXG101" s="73"/>
      <c r="DXH101" s="73"/>
      <c r="DXI101" s="73"/>
      <c r="DXJ101" s="73"/>
      <c r="DXK101" s="73"/>
      <c r="DXL101" s="73"/>
      <c r="DXM101" s="73"/>
      <c r="DXN101" s="73"/>
      <c r="DXO101" s="73"/>
      <c r="DXP101" s="73"/>
      <c r="DXQ101" s="73"/>
      <c r="DXR101" s="73"/>
      <c r="DXS101" s="73"/>
      <c r="DXT101" s="73"/>
      <c r="DXU101" s="73"/>
      <c r="DXV101" s="73"/>
      <c r="DXW101" s="73"/>
      <c r="DXX101" s="73"/>
      <c r="DXY101" s="73"/>
      <c r="DXZ101" s="73"/>
      <c r="DYA101" s="73"/>
      <c r="DYB101" s="73"/>
      <c r="DYC101" s="73"/>
      <c r="DYD101" s="73"/>
      <c r="DYE101" s="73"/>
      <c r="DYF101" s="73"/>
      <c r="DYG101" s="73"/>
      <c r="DYH101" s="73"/>
      <c r="DYI101" s="73"/>
      <c r="DYJ101" s="73"/>
      <c r="DYK101" s="73"/>
      <c r="DYL101" s="73"/>
      <c r="DYM101" s="73"/>
      <c r="DYN101" s="73"/>
      <c r="DYO101" s="73"/>
      <c r="DYP101" s="73"/>
      <c r="DYQ101" s="73"/>
      <c r="DYR101" s="73"/>
      <c r="DYS101" s="73"/>
      <c r="DYT101" s="73"/>
      <c r="DYU101" s="73"/>
      <c r="DYV101" s="73"/>
      <c r="DYW101" s="73"/>
      <c r="DYX101" s="73"/>
      <c r="DYY101" s="73"/>
      <c r="DYZ101" s="73"/>
      <c r="DZA101" s="73"/>
      <c r="DZB101" s="73"/>
      <c r="DZC101" s="73"/>
      <c r="DZD101" s="73"/>
      <c r="DZE101" s="73"/>
      <c r="DZF101" s="73"/>
      <c r="DZG101" s="73"/>
      <c r="DZH101" s="73"/>
      <c r="DZI101" s="73"/>
      <c r="DZJ101" s="73"/>
      <c r="DZK101" s="73"/>
      <c r="DZL101" s="73"/>
      <c r="DZM101" s="73"/>
      <c r="DZN101" s="73"/>
      <c r="DZO101" s="73"/>
      <c r="DZP101" s="73"/>
      <c r="DZQ101" s="73"/>
      <c r="DZR101" s="73"/>
      <c r="DZS101" s="73"/>
      <c r="DZT101" s="73"/>
      <c r="DZU101" s="73"/>
      <c r="DZV101" s="73"/>
      <c r="DZW101" s="73"/>
      <c r="DZX101" s="73"/>
      <c r="DZY101" s="73"/>
      <c r="DZZ101" s="73"/>
      <c r="EAA101" s="73"/>
      <c r="EAB101" s="73"/>
      <c r="EAC101" s="73"/>
      <c r="EAD101" s="73"/>
      <c r="EAE101" s="73"/>
      <c r="EAF101" s="73"/>
      <c r="EAG101" s="73"/>
      <c r="EAH101" s="73"/>
      <c r="EAI101" s="73"/>
      <c r="EAJ101" s="73"/>
      <c r="EAK101" s="73"/>
      <c r="EAL101" s="73"/>
      <c r="EAM101" s="73"/>
      <c r="EAN101" s="73"/>
      <c r="EAO101" s="73"/>
      <c r="EAP101" s="73"/>
      <c r="EAQ101" s="73"/>
      <c r="EAR101" s="73"/>
      <c r="EAS101" s="73"/>
      <c r="EAT101" s="73"/>
      <c r="EAU101" s="73"/>
      <c r="EAV101" s="73"/>
      <c r="EAW101" s="73"/>
      <c r="EAX101" s="73"/>
      <c r="EAY101" s="73"/>
      <c r="EAZ101" s="73"/>
      <c r="EBA101" s="73"/>
      <c r="EBB101" s="73"/>
      <c r="EBC101" s="73"/>
      <c r="EBD101" s="73"/>
      <c r="EBE101" s="73"/>
      <c r="EBF101" s="73"/>
      <c r="EBG101" s="73"/>
      <c r="EBH101" s="73"/>
      <c r="EBI101" s="73"/>
      <c r="EBJ101" s="73"/>
      <c r="EBK101" s="73"/>
      <c r="EBL101" s="73"/>
      <c r="EBM101" s="73"/>
      <c r="EBN101" s="73"/>
      <c r="EBO101" s="73"/>
      <c r="EBP101" s="73"/>
      <c r="EBQ101" s="73"/>
      <c r="EBR101" s="73"/>
      <c r="EBS101" s="73"/>
      <c r="EBT101" s="73"/>
      <c r="EBU101" s="73"/>
      <c r="EBV101" s="73"/>
      <c r="EBW101" s="73"/>
      <c r="EBX101" s="73"/>
      <c r="EBY101" s="73"/>
      <c r="EBZ101" s="73"/>
      <c r="ECA101" s="73"/>
      <c r="ECB101" s="73"/>
      <c r="ECC101" s="73"/>
      <c r="ECD101" s="73"/>
      <c r="ECE101" s="73"/>
      <c r="ECF101" s="73"/>
      <c r="ECG101" s="73"/>
      <c r="ECH101" s="73"/>
      <c r="ECI101" s="73"/>
      <c r="ECJ101" s="73"/>
      <c r="ECK101" s="73"/>
      <c r="ECL101" s="73"/>
      <c r="ECM101" s="73"/>
      <c r="ECN101" s="73"/>
      <c r="ECO101" s="73"/>
      <c r="ECP101" s="73"/>
      <c r="ECQ101" s="73"/>
      <c r="ECR101" s="73"/>
      <c r="ECS101" s="73"/>
      <c r="ECT101" s="73"/>
      <c r="ECU101" s="73"/>
      <c r="ECV101" s="73"/>
      <c r="ECW101" s="73"/>
      <c r="ECX101" s="73"/>
      <c r="ECY101" s="73"/>
      <c r="ECZ101" s="73"/>
      <c r="EDA101" s="73"/>
      <c r="EDB101" s="73"/>
      <c r="EDC101" s="73"/>
      <c r="EDD101" s="73"/>
      <c r="EDE101" s="73"/>
      <c r="EDF101" s="73"/>
      <c r="EDG101" s="73"/>
      <c r="EDH101" s="73"/>
      <c r="EDI101" s="73"/>
      <c r="EDJ101" s="73"/>
      <c r="EDK101" s="73"/>
      <c r="EDL101" s="73"/>
      <c r="EDM101" s="73"/>
      <c r="EDN101" s="73"/>
      <c r="EDO101" s="73"/>
      <c r="EDP101" s="73"/>
      <c r="EDQ101" s="73"/>
      <c r="EDR101" s="73"/>
      <c r="EDS101" s="73"/>
      <c r="EDT101" s="73"/>
      <c r="EDU101" s="73"/>
      <c r="EDV101" s="73"/>
      <c r="EDW101" s="73"/>
      <c r="EDX101" s="73"/>
      <c r="EDY101" s="73"/>
      <c r="EDZ101" s="73"/>
      <c r="EEA101" s="73"/>
      <c r="EEB101" s="73"/>
      <c r="EEC101" s="73"/>
      <c r="EED101" s="73"/>
      <c r="EEE101" s="73"/>
      <c r="EEF101" s="73"/>
      <c r="EEG101" s="73"/>
      <c r="EEH101" s="73"/>
      <c r="EEI101" s="73"/>
      <c r="EEJ101" s="73"/>
      <c r="EEK101" s="73"/>
      <c r="EEL101" s="73"/>
      <c r="EEM101" s="73"/>
      <c r="EEN101" s="73"/>
      <c r="EEO101" s="73"/>
      <c r="EEP101" s="73"/>
      <c r="EEQ101" s="73"/>
      <c r="EER101" s="73"/>
      <c r="EES101" s="73"/>
      <c r="EET101" s="73"/>
      <c r="EEU101" s="73"/>
      <c r="EEV101" s="73"/>
      <c r="EEW101" s="73"/>
      <c r="EEX101" s="73"/>
      <c r="EEY101" s="73"/>
      <c r="EEZ101" s="73"/>
      <c r="EFA101" s="73"/>
      <c r="EFB101" s="73"/>
      <c r="EFC101" s="73"/>
      <c r="EFD101" s="73"/>
      <c r="EFE101" s="73"/>
      <c r="EFF101" s="73"/>
      <c r="EFG101" s="73"/>
      <c r="EFH101" s="73"/>
      <c r="EFI101" s="73"/>
      <c r="EFJ101" s="73"/>
      <c r="EFK101" s="73"/>
      <c r="EFL101" s="73"/>
      <c r="EFM101" s="73"/>
      <c r="EFN101" s="73"/>
      <c r="EFO101" s="73"/>
      <c r="EFP101" s="73"/>
      <c r="EFQ101" s="73"/>
      <c r="EFR101" s="73"/>
      <c r="EFS101" s="73"/>
      <c r="EFT101" s="73"/>
      <c r="EFU101" s="73"/>
      <c r="EFV101" s="73"/>
      <c r="EFW101" s="73"/>
      <c r="EFX101" s="73"/>
      <c r="EFY101" s="73"/>
      <c r="EFZ101" s="73"/>
      <c r="EGA101" s="73"/>
      <c r="EGB101" s="73"/>
      <c r="EGC101" s="73"/>
      <c r="EGD101" s="73"/>
      <c r="EGE101" s="73"/>
      <c r="EGF101" s="73"/>
      <c r="EGG101" s="73"/>
      <c r="EGH101" s="73"/>
      <c r="EGI101" s="73"/>
      <c r="EGJ101" s="73"/>
      <c r="EGK101" s="73"/>
      <c r="EGL101" s="73"/>
      <c r="EGM101" s="73"/>
      <c r="EGN101" s="73"/>
      <c r="EGO101" s="73"/>
      <c r="EGP101" s="73"/>
      <c r="EGQ101" s="73"/>
      <c r="EGR101" s="73"/>
      <c r="EGS101" s="73"/>
      <c r="EGT101" s="73"/>
      <c r="EGU101" s="73"/>
      <c r="EGV101" s="73"/>
      <c r="EGW101" s="73"/>
      <c r="EGX101" s="73"/>
      <c r="EGY101" s="73"/>
      <c r="EGZ101" s="73"/>
      <c r="EHA101" s="73"/>
      <c r="EHB101" s="73"/>
      <c r="EHC101" s="73"/>
      <c r="EHD101" s="73"/>
      <c r="EHE101" s="73"/>
      <c r="EHF101" s="73"/>
      <c r="EHG101" s="73"/>
      <c r="EHH101" s="73"/>
      <c r="EHI101" s="73"/>
      <c r="EHJ101" s="73"/>
      <c r="EHK101" s="73"/>
      <c r="EHL101" s="73"/>
      <c r="EHM101" s="73"/>
      <c r="EHN101" s="73"/>
      <c r="EHO101" s="73"/>
      <c r="EHP101" s="73"/>
      <c r="EHQ101" s="73"/>
      <c r="EHR101" s="73"/>
      <c r="EHS101" s="73"/>
      <c r="EHT101" s="73"/>
      <c r="EHU101" s="73"/>
      <c r="EHV101" s="73"/>
      <c r="EHW101" s="73"/>
      <c r="EHX101" s="73"/>
      <c r="EHY101" s="73"/>
      <c r="EHZ101" s="73"/>
      <c r="EIA101" s="73"/>
      <c r="EIB101" s="73"/>
      <c r="EIC101" s="73"/>
      <c r="EID101" s="73"/>
      <c r="EIE101" s="73"/>
      <c r="EIF101" s="73"/>
      <c r="EIG101" s="73"/>
      <c r="EIH101" s="73"/>
      <c r="EII101" s="73"/>
      <c r="EIJ101" s="73"/>
      <c r="EIK101" s="73"/>
      <c r="EIL101" s="73"/>
      <c r="EIM101" s="73"/>
      <c r="EIN101" s="73"/>
      <c r="EIO101" s="73"/>
      <c r="EIP101" s="73"/>
      <c r="EIQ101" s="73"/>
      <c r="EIR101" s="73"/>
      <c r="EIS101" s="73"/>
      <c r="EIT101" s="73"/>
      <c r="EIU101" s="73"/>
      <c r="EIV101" s="73"/>
      <c r="EIW101" s="73"/>
      <c r="EIX101" s="73"/>
      <c r="EIY101" s="73"/>
      <c r="EIZ101" s="73"/>
      <c r="EJA101" s="73"/>
      <c r="EJB101" s="73"/>
      <c r="EJC101" s="73"/>
      <c r="EJD101" s="73"/>
      <c r="EJE101" s="73"/>
      <c r="EJF101" s="73"/>
      <c r="EJG101" s="73"/>
      <c r="EJH101" s="73"/>
      <c r="EJI101" s="73"/>
      <c r="EJJ101" s="73"/>
      <c r="EJK101" s="73"/>
      <c r="EJL101" s="73"/>
      <c r="EJM101" s="73"/>
      <c r="EJN101" s="73"/>
      <c r="EJO101" s="73"/>
      <c r="EJP101" s="73"/>
      <c r="EJQ101" s="73"/>
      <c r="EJR101" s="73"/>
      <c r="EJS101" s="73"/>
      <c r="EJT101" s="73"/>
      <c r="EJU101" s="73"/>
      <c r="EJV101" s="73"/>
      <c r="EJW101" s="73"/>
      <c r="EJX101" s="73"/>
      <c r="EJY101" s="73"/>
      <c r="EJZ101" s="73"/>
      <c r="EKA101" s="73"/>
      <c r="EKB101" s="73"/>
      <c r="EKC101" s="73"/>
      <c r="EKD101" s="73"/>
      <c r="EKE101" s="73"/>
      <c r="EKF101" s="73"/>
      <c r="EKG101" s="73"/>
      <c r="EKH101" s="73"/>
      <c r="EKI101" s="73"/>
      <c r="EKJ101" s="73"/>
      <c r="EKK101" s="73"/>
      <c r="EKL101" s="73"/>
      <c r="EKM101" s="73"/>
      <c r="EKN101" s="73"/>
      <c r="EKO101" s="73"/>
      <c r="EKP101" s="73"/>
      <c r="EKQ101" s="73"/>
      <c r="EKR101" s="73"/>
      <c r="EKS101" s="73"/>
      <c r="EKT101" s="73"/>
      <c r="EKU101" s="73"/>
      <c r="EKV101" s="73"/>
      <c r="EKW101" s="73"/>
      <c r="EKX101" s="73"/>
      <c r="EKY101" s="73"/>
      <c r="EKZ101" s="73"/>
      <c r="ELA101" s="73"/>
      <c r="ELB101" s="73"/>
      <c r="ELC101" s="73"/>
      <c r="ELD101" s="73"/>
      <c r="ELE101" s="73"/>
      <c r="ELF101" s="73"/>
      <c r="ELG101" s="73"/>
      <c r="ELH101" s="73"/>
      <c r="ELI101" s="73"/>
      <c r="ELJ101" s="73"/>
      <c r="ELK101" s="73"/>
      <c r="ELL101" s="73"/>
      <c r="ELM101" s="73"/>
      <c r="ELN101" s="73"/>
      <c r="ELO101" s="73"/>
      <c r="ELP101" s="73"/>
      <c r="ELQ101" s="73"/>
      <c r="ELR101" s="73"/>
      <c r="ELS101" s="73"/>
      <c r="ELT101" s="73"/>
      <c r="ELU101" s="73"/>
      <c r="ELV101" s="73"/>
      <c r="ELW101" s="73"/>
      <c r="ELX101" s="73"/>
      <c r="ELY101" s="73"/>
      <c r="ELZ101" s="73"/>
      <c r="EMA101" s="73"/>
      <c r="EMB101" s="73"/>
      <c r="EMC101" s="73"/>
      <c r="EMD101" s="73"/>
      <c r="EME101" s="73"/>
      <c r="EMF101" s="73"/>
      <c r="EMG101" s="73"/>
      <c r="EMH101" s="73"/>
      <c r="EMI101" s="73"/>
      <c r="EMJ101" s="73"/>
      <c r="EMK101" s="73"/>
      <c r="EML101" s="73"/>
      <c r="EMM101" s="73"/>
      <c r="EMN101" s="73"/>
      <c r="EMO101" s="73"/>
      <c r="EMP101" s="73"/>
      <c r="EMQ101" s="73"/>
      <c r="EMR101" s="73"/>
      <c r="EMS101" s="73"/>
      <c r="EMT101" s="73"/>
      <c r="EMU101" s="73"/>
      <c r="EMV101" s="73"/>
      <c r="EMW101" s="73"/>
      <c r="EMX101" s="73"/>
      <c r="EMY101" s="73"/>
      <c r="EMZ101" s="73"/>
      <c r="ENA101" s="73"/>
      <c r="ENB101" s="73"/>
      <c r="ENC101" s="73"/>
      <c r="END101" s="73"/>
      <c r="ENE101" s="73"/>
      <c r="ENF101" s="73"/>
      <c r="ENG101" s="73"/>
      <c r="ENH101" s="73"/>
      <c r="ENI101" s="73"/>
      <c r="ENJ101" s="73"/>
      <c r="ENK101" s="73"/>
      <c r="ENL101" s="73"/>
      <c r="ENM101" s="73"/>
      <c r="ENN101" s="73"/>
      <c r="ENO101" s="73"/>
      <c r="ENP101" s="73"/>
      <c r="ENQ101" s="73"/>
      <c r="ENR101" s="73"/>
      <c r="ENS101" s="73"/>
      <c r="ENT101" s="73"/>
      <c r="ENU101" s="73"/>
      <c r="ENV101" s="73"/>
      <c r="ENW101" s="73"/>
      <c r="ENX101" s="73"/>
      <c r="ENY101" s="73"/>
      <c r="ENZ101" s="73"/>
      <c r="EOA101" s="73"/>
      <c r="EOB101" s="73"/>
      <c r="EOC101" s="73"/>
      <c r="EOD101" s="73"/>
      <c r="EOE101" s="73"/>
      <c r="EOF101" s="73"/>
      <c r="EOG101" s="73"/>
      <c r="EOH101" s="73"/>
      <c r="EOI101" s="73"/>
      <c r="EOJ101" s="73"/>
      <c r="EOK101" s="73"/>
      <c r="EOL101" s="73"/>
      <c r="EOM101" s="73"/>
      <c r="EON101" s="73"/>
      <c r="EOO101" s="73"/>
      <c r="EOP101" s="73"/>
      <c r="EOQ101" s="73"/>
      <c r="EOR101" s="73"/>
      <c r="EOS101" s="73"/>
      <c r="EOT101" s="73"/>
      <c r="EOU101" s="73"/>
      <c r="EOV101" s="73"/>
      <c r="EOW101" s="73"/>
      <c r="EOX101" s="73"/>
      <c r="EOY101" s="73"/>
      <c r="EOZ101" s="73"/>
      <c r="EPA101" s="73"/>
      <c r="EPB101" s="73"/>
      <c r="EPC101" s="73"/>
      <c r="EPD101" s="73"/>
      <c r="EPE101" s="73"/>
      <c r="EPF101" s="73"/>
      <c r="EPG101" s="73"/>
      <c r="EPH101" s="73"/>
      <c r="EPI101" s="73"/>
      <c r="EPJ101" s="73"/>
      <c r="EPK101" s="73"/>
      <c r="EPL101" s="73"/>
      <c r="EPM101" s="73"/>
      <c r="EPN101" s="73"/>
      <c r="EPO101" s="73"/>
      <c r="EPP101" s="73"/>
      <c r="EPQ101" s="73"/>
      <c r="EPR101" s="73"/>
      <c r="EPS101" s="73"/>
      <c r="EPT101" s="73"/>
      <c r="EPU101" s="73"/>
      <c r="EPV101" s="73"/>
      <c r="EPW101" s="73"/>
      <c r="EPX101" s="73"/>
      <c r="EPY101" s="73"/>
      <c r="EPZ101" s="73"/>
      <c r="EQA101" s="73"/>
      <c r="EQB101" s="73"/>
      <c r="EQC101" s="73"/>
      <c r="EQD101" s="73"/>
      <c r="EQE101" s="73"/>
      <c r="EQF101" s="73"/>
      <c r="EQG101" s="73"/>
      <c r="EQH101" s="73"/>
      <c r="EQI101" s="73"/>
      <c r="EQJ101" s="73"/>
      <c r="EQK101" s="73"/>
      <c r="EQL101" s="73"/>
      <c r="EQM101" s="73"/>
      <c r="EQN101" s="73"/>
      <c r="EQO101" s="73"/>
      <c r="EQP101" s="73"/>
      <c r="EQQ101" s="73"/>
      <c r="EQR101" s="73"/>
      <c r="EQS101" s="73"/>
      <c r="EQT101" s="73"/>
      <c r="EQU101" s="73"/>
      <c r="EQV101" s="73"/>
      <c r="EQW101" s="73"/>
      <c r="EQX101" s="73"/>
      <c r="EQY101" s="73"/>
      <c r="EQZ101" s="73"/>
      <c r="ERA101" s="73"/>
      <c r="ERB101" s="73"/>
      <c r="ERC101" s="73"/>
      <c r="ERD101" s="73"/>
      <c r="ERE101" s="73"/>
      <c r="ERF101" s="73"/>
      <c r="ERG101" s="73"/>
      <c r="ERH101" s="73"/>
      <c r="ERI101" s="73"/>
      <c r="ERJ101" s="73"/>
      <c r="ERK101" s="73"/>
      <c r="ERL101" s="73"/>
      <c r="ERM101" s="73"/>
      <c r="ERN101" s="73"/>
      <c r="ERO101" s="73"/>
      <c r="ERP101" s="73"/>
      <c r="ERQ101" s="73"/>
      <c r="ERR101" s="73"/>
      <c r="ERS101" s="73"/>
      <c r="ERT101" s="73"/>
      <c r="ERU101" s="73"/>
      <c r="ERV101" s="73"/>
      <c r="ERW101" s="73"/>
      <c r="ERX101" s="73"/>
      <c r="ERY101" s="73"/>
      <c r="ERZ101" s="73"/>
      <c r="ESA101" s="73"/>
      <c r="ESB101" s="73"/>
      <c r="ESC101" s="73"/>
      <c r="ESD101" s="73"/>
      <c r="ESE101" s="73"/>
      <c r="ESF101" s="73"/>
      <c r="ESG101" s="73"/>
      <c r="ESH101" s="73"/>
      <c r="ESI101" s="73"/>
      <c r="ESJ101" s="73"/>
      <c r="ESK101" s="73"/>
      <c r="ESL101" s="73"/>
      <c r="ESM101" s="73"/>
      <c r="ESN101" s="73"/>
      <c r="ESO101" s="73"/>
      <c r="ESP101" s="73"/>
      <c r="ESQ101" s="73"/>
      <c r="ESR101" s="73"/>
      <c r="ESS101" s="73"/>
      <c r="EST101" s="73"/>
      <c r="ESU101" s="73"/>
      <c r="ESV101" s="73"/>
      <c r="ESW101" s="73"/>
      <c r="ESX101" s="73"/>
      <c r="ESY101" s="73"/>
      <c r="ESZ101" s="73"/>
      <c r="ETA101" s="73"/>
      <c r="ETB101" s="73"/>
      <c r="ETC101" s="73"/>
      <c r="ETD101" s="73"/>
      <c r="ETE101" s="73"/>
      <c r="ETF101" s="73"/>
      <c r="ETG101" s="73"/>
      <c r="ETH101" s="73"/>
      <c r="ETI101" s="73"/>
      <c r="ETJ101" s="73"/>
      <c r="ETK101" s="73"/>
      <c r="ETL101" s="73"/>
      <c r="ETM101" s="73"/>
      <c r="ETN101" s="73"/>
      <c r="ETO101" s="73"/>
      <c r="ETP101" s="73"/>
      <c r="ETQ101" s="73"/>
      <c r="ETR101" s="73"/>
      <c r="ETS101" s="73"/>
      <c r="ETT101" s="73"/>
      <c r="ETU101" s="73"/>
      <c r="ETV101" s="73"/>
      <c r="ETW101" s="73"/>
      <c r="ETX101" s="73"/>
      <c r="ETY101" s="73"/>
      <c r="ETZ101" s="73"/>
      <c r="EUA101" s="73"/>
      <c r="EUB101" s="73"/>
      <c r="EUC101" s="73"/>
      <c r="EUD101" s="73"/>
      <c r="EUE101" s="73"/>
      <c r="EUF101" s="73"/>
      <c r="EUG101" s="73"/>
      <c r="EUH101" s="73"/>
      <c r="EUI101" s="73"/>
      <c r="EUJ101" s="73"/>
      <c r="EUK101" s="73"/>
      <c r="EUL101" s="73"/>
      <c r="EUM101" s="73"/>
      <c r="EUN101" s="73"/>
      <c r="EUO101" s="73"/>
      <c r="EUP101" s="73"/>
      <c r="EUQ101" s="73"/>
      <c r="EUR101" s="73"/>
      <c r="EUS101" s="73"/>
      <c r="EUT101" s="73"/>
      <c r="EUU101" s="73"/>
      <c r="EUV101" s="73"/>
      <c r="EUW101" s="73"/>
      <c r="EUX101" s="73"/>
      <c r="EUY101" s="73"/>
      <c r="EUZ101" s="73"/>
      <c r="EVA101" s="73"/>
      <c r="EVB101" s="73"/>
      <c r="EVC101" s="73"/>
      <c r="EVD101" s="73"/>
      <c r="EVE101" s="73"/>
      <c r="EVF101" s="73"/>
      <c r="EVG101" s="73"/>
      <c r="EVH101" s="73"/>
      <c r="EVI101" s="73"/>
      <c r="EVJ101" s="73"/>
      <c r="EVK101" s="73"/>
      <c r="EVL101" s="73"/>
      <c r="EVM101" s="73"/>
      <c r="EVN101" s="73"/>
      <c r="EVO101" s="73"/>
      <c r="EVP101" s="73"/>
      <c r="EVQ101" s="73"/>
      <c r="EVR101" s="73"/>
      <c r="EVS101" s="73"/>
      <c r="EVT101" s="73"/>
      <c r="EVU101" s="73"/>
      <c r="EVV101" s="73"/>
      <c r="EVW101" s="73"/>
      <c r="EVX101" s="73"/>
      <c r="EVY101" s="73"/>
      <c r="EVZ101" s="73"/>
      <c r="EWA101" s="73"/>
      <c r="EWB101" s="73"/>
      <c r="EWC101" s="73"/>
      <c r="EWD101" s="73"/>
      <c r="EWE101" s="73"/>
      <c r="EWF101" s="73"/>
      <c r="EWG101" s="73"/>
      <c r="EWH101" s="73"/>
      <c r="EWI101" s="73"/>
      <c r="EWJ101" s="73"/>
      <c r="EWK101" s="73"/>
      <c r="EWL101" s="73"/>
      <c r="EWM101" s="73"/>
      <c r="EWN101" s="73"/>
      <c r="EWO101" s="73"/>
      <c r="EWP101" s="73"/>
      <c r="EWQ101" s="73"/>
      <c r="EWR101" s="73"/>
      <c r="EWS101" s="73"/>
      <c r="EWT101" s="73"/>
      <c r="EWU101" s="73"/>
      <c r="EWV101" s="73"/>
      <c r="EWW101" s="73"/>
      <c r="EWX101" s="73"/>
      <c r="EWY101" s="73"/>
      <c r="EWZ101" s="73"/>
      <c r="EXA101" s="73"/>
      <c r="EXB101" s="73"/>
      <c r="EXC101" s="73"/>
      <c r="EXD101" s="73"/>
      <c r="EXE101" s="73"/>
      <c r="EXF101" s="73"/>
      <c r="EXG101" s="73"/>
      <c r="EXH101" s="73"/>
      <c r="EXI101" s="73"/>
      <c r="EXJ101" s="73"/>
      <c r="EXK101" s="73"/>
      <c r="EXL101" s="73"/>
      <c r="EXM101" s="73"/>
      <c r="EXN101" s="73"/>
      <c r="EXO101" s="73"/>
      <c r="EXP101" s="73"/>
      <c r="EXQ101" s="73"/>
      <c r="EXR101" s="73"/>
      <c r="EXS101" s="73"/>
      <c r="EXT101" s="73"/>
      <c r="EXU101" s="73"/>
      <c r="EXV101" s="73"/>
      <c r="EXW101" s="73"/>
      <c r="EXX101" s="73"/>
      <c r="EXY101" s="73"/>
      <c r="EXZ101" s="73"/>
      <c r="EYA101" s="73"/>
      <c r="EYB101" s="73"/>
      <c r="EYC101" s="73"/>
      <c r="EYD101" s="73"/>
      <c r="EYE101" s="73"/>
      <c r="EYF101" s="73"/>
      <c r="EYG101" s="73"/>
      <c r="EYH101" s="73"/>
      <c r="EYI101" s="73"/>
      <c r="EYJ101" s="73"/>
      <c r="EYK101" s="73"/>
      <c r="EYL101" s="73"/>
      <c r="EYM101" s="73"/>
      <c r="EYN101" s="73"/>
      <c r="EYO101" s="73"/>
      <c r="EYP101" s="73"/>
      <c r="EYQ101" s="73"/>
      <c r="EYR101" s="73"/>
      <c r="EYS101" s="73"/>
      <c r="EYT101" s="73"/>
      <c r="EYU101" s="73"/>
      <c r="EYV101" s="73"/>
      <c r="EYW101" s="73"/>
      <c r="EYX101" s="73"/>
      <c r="EYY101" s="73"/>
      <c r="EYZ101" s="73"/>
      <c r="EZA101" s="73"/>
      <c r="EZB101" s="73"/>
      <c r="EZC101" s="73"/>
      <c r="EZD101" s="73"/>
      <c r="EZE101" s="73"/>
      <c r="EZF101" s="73"/>
      <c r="EZG101" s="73"/>
      <c r="EZH101" s="73"/>
      <c r="EZI101" s="73"/>
      <c r="EZJ101" s="73"/>
      <c r="EZK101" s="73"/>
      <c r="EZL101" s="73"/>
      <c r="EZM101" s="73"/>
      <c r="EZN101" s="73"/>
      <c r="EZO101" s="73"/>
      <c r="EZP101" s="73"/>
      <c r="EZQ101" s="73"/>
      <c r="EZR101" s="73"/>
      <c r="EZS101" s="73"/>
      <c r="EZT101" s="73"/>
      <c r="EZU101" s="73"/>
      <c r="EZV101" s="73"/>
      <c r="EZW101" s="73"/>
      <c r="EZX101" s="73"/>
      <c r="EZY101" s="73"/>
      <c r="EZZ101" s="73"/>
      <c r="FAA101" s="73"/>
      <c r="FAB101" s="73"/>
      <c r="FAC101" s="73"/>
      <c r="FAD101" s="73"/>
      <c r="FAE101" s="73"/>
      <c r="FAF101" s="73"/>
      <c r="FAG101" s="73"/>
      <c r="FAH101" s="73"/>
      <c r="FAI101" s="73"/>
      <c r="FAJ101" s="73"/>
      <c r="FAK101" s="73"/>
      <c r="FAL101" s="73"/>
      <c r="FAM101" s="73"/>
      <c r="FAN101" s="73"/>
      <c r="FAO101" s="73"/>
      <c r="FAP101" s="73"/>
      <c r="FAQ101" s="73"/>
      <c r="FAR101" s="73"/>
      <c r="FAS101" s="73"/>
      <c r="FAT101" s="73"/>
      <c r="FAU101" s="73"/>
      <c r="FAV101" s="73"/>
      <c r="FAW101" s="73"/>
      <c r="FAX101" s="73"/>
      <c r="FAY101" s="73"/>
      <c r="FAZ101" s="73"/>
      <c r="FBA101" s="73"/>
      <c r="FBB101" s="73"/>
      <c r="FBC101" s="73"/>
      <c r="FBD101" s="73"/>
      <c r="FBE101" s="73"/>
      <c r="FBF101" s="73"/>
      <c r="FBG101" s="73"/>
      <c r="FBH101" s="73"/>
      <c r="FBI101" s="73"/>
      <c r="FBJ101" s="73"/>
      <c r="FBK101" s="73"/>
      <c r="FBL101" s="73"/>
      <c r="FBM101" s="73"/>
      <c r="FBN101" s="73"/>
      <c r="FBO101" s="73"/>
      <c r="FBP101" s="73"/>
      <c r="FBQ101" s="73"/>
      <c r="FBR101" s="73"/>
      <c r="FBS101" s="73"/>
      <c r="FBT101" s="73"/>
      <c r="FBU101" s="73"/>
      <c r="FBV101" s="73"/>
      <c r="FBW101" s="73"/>
      <c r="FBX101" s="73"/>
      <c r="FBY101" s="73"/>
      <c r="FBZ101" s="73"/>
      <c r="FCA101" s="73"/>
      <c r="FCB101" s="73"/>
      <c r="FCC101" s="73"/>
      <c r="FCD101" s="73"/>
      <c r="FCE101" s="73"/>
      <c r="FCF101" s="73"/>
      <c r="FCG101" s="73"/>
      <c r="FCH101" s="73"/>
      <c r="FCI101" s="73"/>
      <c r="FCJ101" s="73"/>
      <c r="FCK101" s="73"/>
      <c r="FCL101" s="73"/>
      <c r="FCM101" s="73"/>
      <c r="FCN101" s="73"/>
      <c r="FCO101" s="73"/>
      <c r="FCP101" s="73"/>
      <c r="FCQ101" s="73"/>
      <c r="FCR101" s="73"/>
      <c r="FCS101" s="73"/>
      <c r="FCT101" s="73"/>
      <c r="FCU101" s="73"/>
      <c r="FCV101" s="73"/>
      <c r="FCW101" s="73"/>
      <c r="FCX101" s="73"/>
      <c r="FCY101" s="73"/>
      <c r="FCZ101" s="73"/>
      <c r="FDA101" s="73"/>
      <c r="FDB101" s="73"/>
      <c r="FDC101" s="73"/>
      <c r="FDD101" s="73"/>
      <c r="FDE101" s="73"/>
      <c r="FDF101" s="73"/>
      <c r="FDG101" s="73"/>
      <c r="FDH101" s="73"/>
      <c r="FDI101" s="73"/>
      <c r="FDJ101" s="73"/>
      <c r="FDK101" s="73"/>
      <c r="FDL101" s="73"/>
      <c r="FDM101" s="73"/>
      <c r="FDN101" s="73"/>
      <c r="FDO101" s="73"/>
      <c r="FDP101" s="73"/>
      <c r="FDQ101" s="73"/>
      <c r="FDR101" s="73"/>
      <c r="FDS101" s="73"/>
      <c r="FDT101" s="73"/>
      <c r="FDU101" s="73"/>
      <c r="FDV101" s="73"/>
      <c r="FDW101" s="73"/>
      <c r="FDX101" s="73"/>
      <c r="FDY101" s="73"/>
      <c r="FDZ101" s="73"/>
      <c r="FEA101" s="73"/>
      <c r="FEB101" s="73"/>
      <c r="FEC101" s="73"/>
      <c r="FED101" s="73"/>
      <c r="FEE101" s="73"/>
      <c r="FEF101" s="73"/>
      <c r="FEG101" s="73"/>
      <c r="FEH101" s="73"/>
      <c r="FEI101" s="73"/>
      <c r="FEJ101" s="73"/>
      <c r="FEK101" s="73"/>
      <c r="FEL101" s="73"/>
      <c r="FEM101" s="73"/>
      <c r="FEN101" s="73"/>
      <c r="FEO101" s="73"/>
      <c r="FEP101" s="73"/>
      <c r="FEQ101" s="73"/>
      <c r="FER101" s="73"/>
      <c r="FES101" s="73"/>
      <c r="FET101" s="73"/>
      <c r="FEU101" s="73"/>
      <c r="FEV101" s="73"/>
      <c r="FEW101" s="73"/>
      <c r="FEX101" s="73"/>
      <c r="FEY101" s="73"/>
      <c r="FEZ101" s="73"/>
      <c r="FFA101" s="73"/>
      <c r="FFB101" s="73"/>
      <c r="FFC101" s="73"/>
      <c r="FFD101" s="73"/>
      <c r="FFE101" s="73"/>
      <c r="FFF101" s="73"/>
      <c r="FFG101" s="73"/>
      <c r="FFH101" s="73"/>
      <c r="FFI101" s="73"/>
      <c r="FFJ101" s="73"/>
      <c r="FFK101" s="73"/>
      <c r="FFL101" s="73"/>
      <c r="FFM101" s="73"/>
      <c r="FFN101" s="73"/>
      <c r="FFO101" s="73"/>
      <c r="FFP101" s="73"/>
      <c r="FFQ101" s="73"/>
      <c r="FFR101" s="73"/>
      <c r="FFS101" s="73"/>
      <c r="FFT101" s="73"/>
      <c r="FFU101" s="73"/>
      <c r="FFV101" s="73"/>
      <c r="FFW101" s="73"/>
      <c r="FFX101" s="73"/>
      <c r="FFY101" s="73"/>
      <c r="FFZ101" s="73"/>
      <c r="FGA101" s="73"/>
      <c r="FGB101" s="73"/>
      <c r="FGC101" s="73"/>
      <c r="FGD101" s="73"/>
      <c r="FGE101" s="73"/>
      <c r="FGF101" s="73"/>
      <c r="FGG101" s="73"/>
      <c r="FGH101" s="73"/>
      <c r="FGI101" s="73"/>
      <c r="FGJ101" s="73"/>
      <c r="FGK101" s="73"/>
      <c r="FGL101" s="73"/>
      <c r="FGM101" s="73"/>
      <c r="FGN101" s="73"/>
      <c r="FGO101" s="73"/>
      <c r="FGP101" s="73"/>
      <c r="FGQ101" s="73"/>
      <c r="FGR101" s="73"/>
      <c r="FGS101" s="73"/>
      <c r="FGT101" s="73"/>
      <c r="FGU101" s="73"/>
      <c r="FGV101" s="73"/>
      <c r="FGW101" s="73"/>
      <c r="FGX101" s="73"/>
      <c r="FGY101" s="73"/>
      <c r="FGZ101" s="73"/>
      <c r="FHA101" s="73"/>
      <c r="FHB101" s="73"/>
      <c r="FHC101" s="73"/>
      <c r="FHD101" s="73"/>
      <c r="FHE101" s="73"/>
      <c r="FHF101" s="73"/>
      <c r="FHG101" s="73"/>
      <c r="FHH101" s="73"/>
      <c r="FHI101" s="73"/>
      <c r="FHJ101" s="73"/>
      <c r="FHK101" s="73"/>
      <c r="FHL101" s="73"/>
      <c r="FHM101" s="73"/>
      <c r="FHN101" s="73"/>
      <c r="FHO101" s="73"/>
      <c r="FHP101" s="73"/>
      <c r="FHQ101" s="73"/>
      <c r="FHR101" s="73"/>
      <c r="FHS101" s="73"/>
      <c r="FHT101" s="73"/>
      <c r="FHU101" s="73"/>
      <c r="FHV101" s="73"/>
      <c r="FHW101" s="73"/>
      <c r="FHX101" s="73"/>
      <c r="FHY101" s="73"/>
      <c r="FHZ101" s="73"/>
      <c r="FIA101" s="73"/>
      <c r="FIB101" s="73"/>
      <c r="FIC101" s="73"/>
      <c r="FID101" s="73"/>
      <c r="FIE101" s="73"/>
      <c r="FIF101" s="73"/>
      <c r="FIG101" s="73"/>
      <c r="FIH101" s="73"/>
      <c r="FII101" s="73"/>
      <c r="FIJ101" s="73"/>
      <c r="FIK101" s="73"/>
      <c r="FIL101" s="73"/>
      <c r="FIM101" s="73"/>
      <c r="FIN101" s="73"/>
      <c r="FIO101" s="73"/>
      <c r="FIP101" s="73"/>
      <c r="FIQ101" s="73"/>
      <c r="FIR101" s="73"/>
      <c r="FIS101" s="73"/>
      <c r="FIT101" s="73"/>
      <c r="FIU101" s="73"/>
      <c r="FIV101" s="73"/>
      <c r="FIW101" s="73"/>
      <c r="FIX101" s="73"/>
      <c r="FIY101" s="73"/>
      <c r="FIZ101" s="73"/>
      <c r="FJA101" s="73"/>
      <c r="FJB101" s="73"/>
      <c r="FJC101" s="73"/>
      <c r="FJD101" s="73"/>
      <c r="FJE101" s="73"/>
      <c r="FJF101" s="73"/>
      <c r="FJG101" s="73"/>
      <c r="FJH101" s="73"/>
      <c r="FJI101" s="73"/>
      <c r="FJJ101" s="73"/>
      <c r="FJK101" s="73"/>
      <c r="FJL101" s="73"/>
      <c r="FJM101" s="73"/>
      <c r="FJN101" s="73"/>
      <c r="FJO101" s="73"/>
      <c r="FJP101" s="73"/>
      <c r="FJQ101" s="73"/>
      <c r="FJR101" s="73"/>
      <c r="FJS101" s="73"/>
      <c r="FJT101" s="73"/>
      <c r="FJU101" s="73"/>
      <c r="FJV101" s="73"/>
      <c r="FJW101" s="73"/>
      <c r="FJX101" s="73"/>
      <c r="FJY101" s="73"/>
      <c r="FJZ101" s="73"/>
      <c r="FKA101" s="73"/>
      <c r="FKB101" s="73"/>
      <c r="FKC101" s="73"/>
      <c r="FKD101" s="73"/>
      <c r="FKE101" s="73"/>
      <c r="FKF101" s="73"/>
      <c r="FKG101" s="73"/>
      <c r="FKH101" s="73"/>
      <c r="FKI101" s="73"/>
      <c r="FKJ101" s="73"/>
      <c r="FKK101" s="73"/>
      <c r="FKL101" s="73"/>
      <c r="FKM101" s="73"/>
      <c r="FKN101" s="73"/>
      <c r="FKO101" s="73"/>
      <c r="FKP101" s="73"/>
      <c r="FKQ101" s="73"/>
      <c r="FKR101" s="73"/>
      <c r="FKS101" s="73"/>
      <c r="FKT101" s="73"/>
      <c r="FKU101" s="73"/>
      <c r="FKV101" s="73"/>
      <c r="FKW101" s="73"/>
      <c r="FKX101" s="73"/>
      <c r="FKY101" s="73"/>
      <c r="FKZ101" s="73"/>
      <c r="FLA101" s="73"/>
      <c r="FLB101" s="73"/>
      <c r="FLC101" s="73"/>
      <c r="FLD101" s="73"/>
      <c r="FLE101" s="73"/>
      <c r="FLF101" s="73"/>
      <c r="FLG101" s="73"/>
      <c r="FLH101" s="73"/>
      <c r="FLI101" s="73"/>
      <c r="FLJ101" s="73"/>
      <c r="FLK101" s="73"/>
      <c r="FLL101" s="73"/>
      <c r="FLM101" s="73"/>
      <c r="FLN101" s="73"/>
      <c r="FLO101" s="73"/>
      <c r="FLP101" s="73"/>
      <c r="FLQ101" s="73"/>
      <c r="FLR101" s="73"/>
      <c r="FLS101" s="73"/>
      <c r="FLT101" s="73"/>
      <c r="FLU101" s="73"/>
      <c r="FLV101" s="73"/>
      <c r="FLW101" s="73"/>
      <c r="FLX101" s="73"/>
      <c r="FLY101" s="73"/>
      <c r="FLZ101" s="73"/>
      <c r="FMA101" s="73"/>
      <c r="FMB101" s="73"/>
      <c r="FMC101" s="73"/>
      <c r="FMD101" s="73"/>
      <c r="FME101" s="73"/>
      <c r="FMF101" s="73"/>
      <c r="FMG101" s="73"/>
      <c r="FMH101" s="73"/>
      <c r="FMI101" s="73"/>
      <c r="FMJ101" s="73"/>
      <c r="FMK101" s="73"/>
      <c r="FML101" s="73"/>
      <c r="FMM101" s="73"/>
      <c r="FMN101" s="73"/>
      <c r="FMO101" s="73"/>
      <c r="FMP101" s="73"/>
      <c r="FMQ101" s="73"/>
      <c r="FMR101" s="73"/>
      <c r="FMS101" s="73"/>
      <c r="FMT101" s="73"/>
      <c r="FMU101" s="73"/>
      <c r="FMV101" s="73"/>
      <c r="FMW101" s="73"/>
      <c r="FMX101" s="73"/>
      <c r="FMY101" s="73"/>
      <c r="FMZ101" s="73"/>
      <c r="FNA101" s="73"/>
      <c r="FNB101" s="73"/>
      <c r="FNC101" s="73"/>
      <c r="FND101" s="73"/>
      <c r="FNE101" s="73"/>
      <c r="FNF101" s="73"/>
      <c r="FNG101" s="73"/>
      <c r="FNH101" s="73"/>
      <c r="FNI101" s="73"/>
      <c r="FNJ101" s="73"/>
      <c r="FNK101" s="73"/>
      <c r="FNL101" s="73"/>
      <c r="FNM101" s="73"/>
      <c r="FNN101" s="73"/>
      <c r="FNO101" s="73"/>
      <c r="FNP101" s="73"/>
      <c r="FNQ101" s="73"/>
      <c r="FNR101" s="73"/>
      <c r="FNS101" s="73"/>
      <c r="FNT101" s="73"/>
      <c r="FNU101" s="73"/>
      <c r="FNV101" s="73"/>
      <c r="FNW101" s="73"/>
      <c r="FNX101" s="73"/>
      <c r="FNY101" s="73"/>
      <c r="FNZ101" s="73"/>
      <c r="FOA101" s="73"/>
      <c r="FOB101" s="73"/>
      <c r="FOC101" s="73"/>
      <c r="FOD101" s="73"/>
      <c r="FOE101" s="73"/>
      <c r="FOF101" s="73"/>
      <c r="FOG101" s="73"/>
      <c r="FOH101" s="73"/>
      <c r="FOI101" s="73"/>
      <c r="FOJ101" s="73"/>
      <c r="FOK101" s="73"/>
      <c r="FOL101" s="73"/>
      <c r="FOM101" s="73"/>
      <c r="FON101" s="73"/>
      <c r="FOO101" s="73"/>
      <c r="FOP101" s="73"/>
      <c r="FOQ101" s="73"/>
      <c r="FOR101" s="73"/>
      <c r="FOS101" s="73"/>
      <c r="FOT101" s="73"/>
      <c r="FOU101" s="73"/>
      <c r="FOV101" s="73"/>
      <c r="FOW101" s="73"/>
      <c r="FOX101" s="73"/>
      <c r="FOY101" s="73"/>
      <c r="FOZ101" s="73"/>
      <c r="FPA101" s="73"/>
      <c r="FPB101" s="73"/>
      <c r="FPC101" s="73"/>
      <c r="FPD101" s="73"/>
      <c r="FPE101" s="73"/>
      <c r="FPF101" s="73"/>
      <c r="FPG101" s="73"/>
      <c r="FPH101" s="73"/>
      <c r="FPI101" s="73"/>
      <c r="FPJ101" s="73"/>
      <c r="FPK101" s="73"/>
      <c r="FPL101" s="73"/>
      <c r="FPM101" s="73"/>
      <c r="FPN101" s="73"/>
      <c r="FPO101" s="73"/>
      <c r="FPP101" s="73"/>
      <c r="FPQ101" s="73"/>
      <c r="FPR101" s="73"/>
      <c r="FPS101" s="73"/>
      <c r="FPT101" s="73"/>
      <c r="FPU101" s="73"/>
      <c r="FPV101" s="73"/>
      <c r="FPW101" s="73"/>
      <c r="FPX101" s="73"/>
      <c r="FPY101" s="73"/>
      <c r="FPZ101" s="73"/>
      <c r="FQA101" s="73"/>
      <c r="FQB101" s="73"/>
      <c r="FQC101" s="73"/>
      <c r="FQD101" s="73"/>
      <c r="FQE101" s="73"/>
      <c r="FQF101" s="73"/>
      <c r="FQG101" s="73"/>
      <c r="FQH101" s="73"/>
      <c r="FQI101" s="73"/>
      <c r="FQJ101" s="73"/>
      <c r="FQK101" s="73"/>
      <c r="FQL101" s="73"/>
      <c r="FQM101" s="73"/>
      <c r="FQN101" s="73"/>
      <c r="FQO101" s="73"/>
      <c r="FQP101" s="73"/>
      <c r="FQQ101" s="73"/>
      <c r="FQR101" s="73"/>
      <c r="FQS101" s="73"/>
      <c r="FQT101" s="73"/>
      <c r="FQU101" s="73"/>
      <c r="FQV101" s="73"/>
      <c r="FQW101" s="73"/>
      <c r="FQX101" s="73"/>
      <c r="FQY101" s="73"/>
      <c r="FQZ101" s="73"/>
      <c r="FRA101" s="73"/>
      <c r="FRB101" s="73"/>
      <c r="FRC101" s="73"/>
      <c r="FRD101" s="73"/>
      <c r="FRE101" s="73"/>
      <c r="FRF101" s="73"/>
      <c r="FRG101" s="73"/>
      <c r="FRH101" s="73"/>
      <c r="FRI101" s="73"/>
      <c r="FRJ101" s="73"/>
      <c r="FRK101" s="73"/>
      <c r="FRL101" s="73"/>
      <c r="FRM101" s="73"/>
      <c r="FRN101" s="73"/>
      <c r="FRO101" s="73"/>
      <c r="FRP101" s="73"/>
      <c r="FRQ101" s="73"/>
      <c r="FRR101" s="73"/>
      <c r="FRS101" s="73"/>
      <c r="FRT101" s="73"/>
      <c r="FRU101" s="73"/>
      <c r="FRV101" s="73"/>
      <c r="FRW101" s="73"/>
      <c r="FRX101" s="73"/>
      <c r="FRY101" s="73"/>
      <c r="FRZ101" s="73"/>
      <c r="FSA101" s="73"/>
      <c r="FSB101" s="73"/>
      <c r="FSC101" s="73"/>
      <c r="FSD101" s="73"/>
      <c r="FSE101" s="73"/>
      <c r="FSF101" s="73"/>
      <c r="FSG101" s="73"/>
      <c r="FSH101" s="73"/>
      <c r="FSI101" s="73"/>
      <c r="FSJ101" s="73"/>
      <c r="FSK101" s="73"/>
      <c r="FSL101" s="73"/>
      <c r="FSM101" s="73"/>
      <c r="FSN101" s="73"/>
      <c r="FSO101" s="73"/>
      <c r="FSP101" s="73"/>
      <c r="FSQ101" s="73"/>
      <c r="FSR101" s="73"/>
      <c r="FSS101" s="73"/>
      <c r="FST101" s="73"/>
      <c r="FSU101" s="73"/>
      <c r="FSV101" s="73"/>
      <c r="FSW101" s="73"/>
      <c r="FSX101" s="73"/>
      <c r="FSY101" s="73"/>
      <c r="FSZ101" s="73"/>
      <c r="FTA101" s="73"/>
      <c r="FTB101" s="73"/>
      <c r="FTC101" s="73"/>
      <c r="FTD101" s="73"/>
      <c r="FTE101" s="73"/>
      <c r="FTF101" s="73"/>
      <c r="FTG101" s="73"/>
      <c r="FTH101" s="73"/>
      <c r="FTI101" s="73"/>
      <c r="FTJ101" s="73"/>
      <c r="FTK101" s="73"/>
      <c r="FTL101" s="73"/>
      <c r="FTM101" s="73"/>
      <c r="FTN101" s="73"/>
      <c r="FTO101" s="73"/>
      <c r="FTP101" s="73"/>
      <c r="FTQ101" s="73"/>
      <c r="FTR101" s="73"/>
      <c r="FTS101" s="73"/>
      <c r="FTT101" s="73"/>
      <c r="FTU101" s="73"/>
      <c r="FTV101" s="73"/>
      <c r="FTW101" s="73"/>
      <c r="FTX101" s="73"/>
      <c r="FTY101" s="73"/>
      <c r="FTZ101" s="73"/>
      <c r="FUA101" s="73"/>
      <c r="FUB101" s="73"/>
      <c r="FUC101" s="73"/>
      <c r="FUD101" s="73"/>
      <c r="FUE101" s="73"/>
      <c r="FUF101" s="73"/>
      <c r="FUG101" s="73"/>
      <c r="FUH101" s="73"/>
      <c r="FUI101" s="73"/>
      <c r="FUJ101" s="73"/>
      <c r="FUK101" s="73"/>
      <c r="FUL101" s="73"/>
      <c r="FUM101" s="73"/>
      <c r="FUN101" s="73"/>
      <c r="FUO101" s="73"/>
      <c r="FUP101" s="73"/>
      <c r="FUQ101" s="73"/>
      <c r="FUR101" s="73"/>
      <c r="FUS101" s="73"/>
      <c r="FUT101" s="73"/>
      <c r="FUU101" s="73"/>
      <c r="FUV101" s="73"/>
      <c r="FUW101" s="73"/>
      <c r="FUX101" s="73"/>
      <c r="FUY101" s="73"/>
      <c r="FUZ101" s="73"/>
      <c r="FVA101" s="73"/>
      <c r="FVB101" s="73"/>
      <c r="FVC101" s="73"/>
      <c r="FVD101" s="73"/>
      <c r="FVE101" s="73"/>
      <c r="FVF101" s="73"/>
      <c r="FVG101" s="73"/>
      <c r="FVH101" s="73"/>
      <c r="FVI101" s="73"/>
      <c r="FVJ101" s="73"/>
      <c r="FVK101" s="73"/>
      <c r="FVL101" s="73"/>
      <c r="FVM101" s="73"/>
      <c r="FVN101" s="73"/>
      <c r="FVO101" s="73"/>
      <c r="FVP101" s="73"/>
      <c r="FVQ101" s="73"/>
      <c r="FVR101" s="73"/>
      <c r="FVS101" s="73"/>
      <c r="FVT101" s="73"/>
      <c r="FVU101" s="73"/>
      <c r="FVV101" s="73"/>
      <c r="FVW101" s="73"/>
      <c r="FVX101" s="73"/>
      <c r="FVY101" s="73"/>
      <c r="FVZ101" s="73"/>
      <c r="FWA101" s="73"/>
      <c r="FWB101" s="73"/>
      <c r="FWC101" s="73"/>
      <c r="FWD101" s="73"/>
      <c r="FWE101" s="73"/>
      <c r="FWF101" s="73"/>
      <c r="FWG101" s="73"/>
      <c r="FWH101" s="73"/>
      <c r="FWI101" s="73"/>
      <c r="FWJ101" s="73"/>
      <c r="FWK101" s="73"/>
      <c r="FWL101" s="73"/>
      <c r="FWM101" s="73"/>
      <c r="FWN101" s="73"/>
      <c r="FWO101" s="73"/>
      <c r="FWP101" s="73"/>
      <c r="FWQ101" s="73"/>
      <c r="FWR101" s="73"/>
      <c r="FWS101" s="73"/>
      <c r="FWT101" s="73"/>
      <c r="FWU101" s="73"/>
      <c r="FWV101" s="73"/>
      <c r="FWW101" s="73"/>
      <c r="FWX101" s="73"/>
      <c r="FWY101" s="73"/>
      <c r="FWZ101" s="73"/>
      <c r="FXA101" s="73"/>
      <c r="FXB101" s="73"/>
      <c r="FXC101" s="73"/>
      <c r="FXD101" s="73"/>
      <c r="FXE101" s="73"/>
      <c r="FXF101" s="73"/>
      <c r="FXG101" s="73"/>
      <c r="FXH101" s="73"/>
      <c r="FXI101" s="73"/>
      <c r="FXJ101" s="73"/>
      <c r="FXK101" s="73"/>
      <c r="FXL101" s="73"/>
      <c r="FXM101" s="73"/>
      <c r="FXN101" s="73"/>
      <c r="FXO101" s="73"/>
      <c r="FXP101" s="73"/>
      <c r="FXQ101" s="73"/>
      <c r="FXR101" s="73"/>
      <c r="FXS101" s="73"/>
      <c r="FXT101" s="73"/>
      <c r="FXU101" s="73"/>
      <c r="FXV101" s="73"/>
      <c r="FXW101" s="73"/>
      <c r="FXX101" s="73"/>
      <c r="FXY101" s="73"/>
      <c r="FXZ101" s="73"/>
      <c r="FYA101" s="73"/>
      <c r="FYB101" s="73"/>
      <c r="FYC101" s="73"/>
      <c r="FYD101" s="73"/>
      <c r="FYE101" s="73"/>
      <c r="FYF101" s="73"/>
      <c r="FYG101" s="73"/>
      <c r="FYH101" s="73"/>
      <c r="FYI101" s="73"/>
      <c r="FYJ101" s="73"/>
      <c r="FYK101" s="73"/>
      <c r="FYL101" s="73"/>
      <c r="FYM101" s="73"/>
      <c r="FYN101" s="73"/>
      <c r="FYO101" s="73"/>
      <c r="FYP101" s="73"/>
      <c r="FYQ101" s="73"/>
      <c r="FYR101" s="73"/>
      <c r="FYS101" s="73"/>
      <c r="FYT101" s="73"/>
      <c r="FYU101" s="73"/>
      <c r="FYV101" s="73"/>
      <c r="FYW101" s="73"/>
      <c r="FYX101" s="73"/>
      <c r="FYY101" s="73"/>
      <c r="FYZ101" s="73"/>
      <c r="FZA101" s="73"/>
      <c r="FZB101" s="73"/>
      <c r="FZC101" s="73"/>
      <c r="FZD101" s="73"/>
      <c r="FZE101" s="73"/>
      <c r="FZF101" s="73"/>
      <c r="FZG101" s="73"/>
      <c r="FZH101" s="73"/>
      <c r="FZI101" s="73"/>
      <c r="FZJ101" s="73"/>
      <c r="FZK101" s="73"/>
      <c r="FZL101" s="73"/>
      <c r="FZM101" s="73"/>
      <c r="FZN101" s="73"/>
      <c r="FZO101" s="73"/>
      <c r="FZP101" s="73"/>
      <c r="FZQ101" s="73"/>
      <c r="FZR101" s="73"/>
      <c r="FZS101" s="73"/>
      <c r="FZT101" s="73"/>
      <c r="FZU101" s="73"/>
      <c r="FZV101" s="73"/>
      <c r="FZW101" s="73"/>
      <c r="FZX101" s="73"/>
      <c r="FZY101" s="73"/>
      <c r="FZZ101" s="73"/>
      <c r="GAA101" s="73"/>
      <c r="GAB101" s="73"/>
      <c r="GAC101" s="73"/>
      <c r="GAD101" s="73"/>
      <c r="GAE101" s="73"/>
      <c r="GAF101" s="73"/>
      <c r="GAG101" s="73"/>
      <c r="GAH101" s="73"/>
      <c r="GAI101" s="73"/>
      <c r="GAJ101" s="73"/>
      <c r="GAK101" s="73"/>
      <c r="GAL101" s="73"/>
      <c r="GAM101" s="73"/>
      <c r="GAN101" s="73"/>
      <c r="GAO101" s="73"/>
      <c r="GAP101" s="73"/>
      <c r="GAQ101" s="73"/>
      <c r="GAR101" s="73"/>
      <c r="GAS101" s="73"/>
      <c r="GAT101" s="73"/>
      <c r="GAU101" s="73"/>
      <c r="GAV101" s="73"/>
      <c r="GAW101" s="73"/>
      <c r="GAX101" s="73"/>
      <c r="GAY101" s="73"/>
      <c r="GAZ101" s="73"/>
      <c r="GBA101" s="73"/>
      <c r="GBB101" s="73"/>
      <c r="GBC101" s="73"/>
      <c r="GBD101" s="73"/>
      <c r="GBE101" s="73"/>
      <c r="GBF101" s="73"/>
      <c r="GBG101" s="73"/>
      <c r="GBH101" s="73"/>
      <c r="GBI101" s="73"/>
      <c r="GBJ101" s="73"/>
      <c r="GBK101" s="73"/>
      <c r="GBL101" s="73"/>
      <c r="GBM101" s="73"/>
      <c r="GBN101" s="73"/>
      <c r="GBO101" s="73"/>
      <c r="GBP101" s="73"/>
      <c r="GBQ101" s="73"/>
      <c r="GBR101" s="73"/>
      <c r="GBS101" s="73"/>
      <c r="GBT101" s="73"/>
      <c r="GBU101" s="73"/>
      <c r="GBV101" s="73"/>
      <c r="GBW101" s="73"/>
      <c r="GBX101" s="73"/>
      <c r="GBY101" s="73"/>
      <c r="GBZ101" s="73"/>
      <c r="GCA101" s="73"/>
      <c r="GCB101" s="73"/>
      <c r="GCC101" s="73"/>
      <c r="GCD101" s="73"/>
      <c r="GCE101" s="73"/>
      <c r="GCF101" s="73"/>
      <c r="GCG101" s="73"/>
      <c r="GCH101" s="73"/>
      <c r="GCI101" s="73"/>
      <c r="GCJ101" s="73"/>
      <c r="GCK101" s="73"/>
      <c r="GCL101" s="73"/>
      <c r="GCM101" s="73"/>
      <c r="GCN101" s="73"/>
      <c r="GCO101" s="73"/>
      <c r="GCP101" s="73"/>
      <c r="GCQ101" s="73"/>
      <c r="GCR101" s="73"/>
      <c r="GCS101" s="73"/>
      <c r="GCT101" s="73"/>
      <c r="GCU101" s="73"/>
      <c r="GCV101" s="73"/>
      <c r="GCW101" s="73"/>
      <c r="GCX101" s="73"/>
      <c r="GCY101" s="73"/>
      <c r="GCZ101" s="73"/>
      <c r="GDA101" s="73"/>
      <c r="GDB101" s="73"/>
      <c r="GDC101" s="73"/>
      <c r="GDD101" s="73"/>
      <c r="GDE101" s="73"/>
      <c r="GDF101" s="73"/>
      <c r="GDG101" s="73"/>
      <c r="GDH101" s="73"/>
      <c r="GDI101" s="73"/>
      <c r="GDJ101" s="73"/>
      <c r="GDK101" s="73"/>
      <c r="GDL101" s="73"/>
      <c r="GDM101" s="73"/>
      <c r="GDN101" s="73"/>
      <c r="GDO101" s="73"/>
      <c r="GDP101" s="73"/>
      <c r="GDQ101" s="73"/>
      <c r="GDR101" s="73"/>
      <c r="GDS101" s="73"/>
      <c r="GDT101" s="73"/>
      <c r="GDU101" s="73"/>
      <c r="GDV101" s="73"/>
      <c r="GDW101" s="73"/>
      <c r="GDX101" s="73"/>
      <c r="GDY101" s="73"/>
      <c r="GDZ101" s="73"/>
      <c r="GEA101" s="73"/>
      <c r="GEB101" s="73"/>
      <c r="GEC101" s="73"/>
      <c r="GED101" s="73"/>
      <c r="GEE101" s="73"/>
      <c r="GEF101" s="73"/>
      <c r="GEG101" s="73"/>
      <c r="GEH101" s="73"/>
      <c r="GEI101" s="73"/>
      <c r="GEJ101" s="73"/>
      <c r="GEK101" s="73"/>
      <c r="GEL101" s="73"/>
      <c r="GEM101" s="73"/>
      <c r="GEN101" s="73"/>
      <c r="GEO101" s="73"/>
      <c r="GEP101" s="73"/>
      <c r="GEQ101" s="73"/>
      <c r="GER101" s="73"/>
      <c r="GES101" s="73"/>
      <c r="GET101" s="73"/>
      <c r="GEU101" s="73"/>
      <c r="GEV101" s="73"/>
      <c r="GEW101" s="73"/>
      <c r="GEX101" s="73"/>
      <c r="GEY101" s="73"/>
      <c r="GEZ101" s="73"/>
      <c r="GFA101" s="73"/>
      <c r="GFB101" s="73"/>
      <c r="GFC101" s="73"/>
      <c r="GFD101" s="73"/>
      <c r="GFE101" s="73"/>
      <c r="GFF101" s="73"/>
      <c r="GFG101" s="73"/>
      <c r="GFH101" s="73"/>
      <c r="GFI101" s="73"/>
      <c r="GFJ101" s="73"/>
      <c r="GFK101" s="73"/>
      <c r="GFL101" s="73"/>
      <c r="GFM101" s="73"/>
      <c r="GFN101" s="73"/>
      <c r="GFO101" s="73"/>
      <c r="GFP101" s="73"/>
      <c r="GFQ101" s="73"/>
      <c r="GFR101" s="73"/>
      <c r="GFS101" s="73"/>
      <c r="GFT101" s="73"/>
      <c r="GFU101" s="73"/>
      <c r="GFV101" s="73"/>
      <c r="GFW101" s="73"/>
      <c r="GFX101" s="73"/>
      <c r="GFY101" s="73"/>
      <c r="GFZ101" s="73"/>
      <c r="GGA101" s="73"/>
      <c r="GGB101" s="73"/>
      <c r="GGC101" s="73"/>
      <c r="GGD101" s="73"/>
      <c r="GGE101" s="73"/>
      <c r="GGF101" s="73"/>
      <c r="GGG101" s="73"/>
      <c r="GGH101" s="73"/>
      <c r="GGI101" s="73"/>
      <c r="GGJ101" s="73"/>
      <c r="GGK101" s="73"/>
      <c r="GGL101" s="73"/>
      <c r="GGM101" s="73"/>
      <c r="GGN101" s="73"/>
      <c r="GGO101" s="73"/>
      <c r="GGP101" s="73"/>
      <c r="GGQ101" s="73"/>
      <c r="GGR101" s="73"/>
      <c r="GGS101" s="73"/>
      <c r="GGT101" s="73"/>
      <c r="GGU101" s="73"/>
      <c r="GGV101" s="73"/>
      <c r="GGW101" s="73"/>
      <c r="GGX101" s="73"/>
      <c r="GGY101" s="73"/>
      <c r="GGZ101" s="73"/>
      <c r="GHA101" s="73"/>
      <c r="GHB101" s="73"/>
      <c r="GHC101" s="73"/>
      <c r="GHD101" s="73"/>
      <c r="GHE101" s="73"/>
      <c r="GHF101" s="73"/>
      <c r="GHG101" s="73"/>
      <c r="GHH101" s="73"/>
      <c r="GHI101" s="73"/>
      <c r="GHJ101" s="73"/>
      <c r="GHK101" s="73"/>
      <c r="GHL101" s="73"/>
      <c r="GHM101" s="73"/>
      <c r="GHN101" s="73"/>
      <c r="GHO101" s="73"/>
      <c r="GHP101" s="73"/>
      <c r="GHQ101" s="73"/>
      <c r="GHR101" s="73"/>
      <c r="GHS101" s="73"/>
      <c r="GHT101" s="73"/>
      <c r="GHU101" s="73"/>
      <c r="GHV101" s="73"/>
      <c r="GHW101" s="73"/>
      <c r="GHX101" s="73"/>
      <c r="GHY101" s="73"/>
      <c r="GHZ101" s="73"/>
      <c r="GIA101" s="73"/>
      <c r="GIB101" s="73"/>
      <c r="GIC101" s="73"/>
      <c r="GID101" s="73"/>
      <c r="GIE101" s="73"/>
      <c r="GIF101" s="73"/>
      <c r="GIG101" s="73"/>
      <c r="GIH101" s="73"/>
      <c r="GII101" s="73"/>
      <c r="GIJ101" s="73"/>
      <c r="GIK101" s="73"/>
      <c r="GIL101" s="73"/>
      <c r="GIM101" s="73"/>
      <c r="GIN101" s="73"/>
      <c r="GIO101" s="73"/>
      <c r="GIP101" s="73"/>
      <c r="GIQ101" s="73"/>
      <c r="GIR101" s="73"/>
      <c r="GIS101" s="73"/>
      <c r="GIT101" s="73"/>
      <c r="GIU101" s="73"/>
      <c r="GIV101" s="73"/>
      <c r="GIW101" s="73"/>
      <c r="GIX101" s="73"/>
      <c r="GIY101" s="73"/>
      <c r="GIZ101" s="73"/>
      <c r="GJA101" s="73"/>
      <c r="GJB101" s="73"/>
      <c r="GJC101" s="73"/>
      <c r="GJD101" s="73"/>
      <c r="GJE101" s="73"/>
      <c r="GJF101" s="73"/>
      <c r="GJG101" s="73"/>
      <c r="GJH101" s="73"/>
      <c r="GJI101" s="73"/>
      <c r="GJJ101" s="73"/>
      <c r="GJK101" s="73"/>
      <c r="GJL101" s="73"/>
      <c r="GJM101" s="73"/>
      <c r="GJN101" s="73"/>
      <c r="GJO101" s="73"/>
      <c r="GJP101" s="73"/>
      <c r="GJQ101" s="73"/>
      <c r="GJR101" s="73"/>
      <c r="GJS101" s="73"/>
      <c r="GJT101" s="73"/>
      <c r="GJU101" s="73"/>
      <c r="GJV101" s="73"/>
      <c r="GJW101" s="73"/>
      <c r="GJX101" s="73"/>
      <c r="GJY101" s="73"/>
      <c r="GJZ101" s="73"/>
      <c r="GKA101" s="73"/>
      <c r="GKB101" s="73"/>
      <c r="GKC101" s="73"/>
      <c r="GKD101" s="73"/>
      <c r="GKE101" s="73"/>
      <c r="GKF101" s="73"/>
      <c r="GKG101" s="73"/>
      <c r="GKH101" s="73"/>
      <c r="GKI101" s="73"/>
      <c r="GKJ101" s="73"/>
      <c r="GKK101" s="73"/>
      <c r="GKL101" s="73"/>
      <c r="GKM101" s="73"/>
      <c r="GKN101" s="73"/>
      <c r="GKO101" s="73"/>
      <c r="GKP101" s="73"/>
      <c r="GKQ101" s="73"/>
      <c r="GKR101" s="73"/>
      <c r="GKS101" s="73"/>
      <c r="GKT101" s="73"/>
      <c r="GKU101" s="73"/>
      <c r="GKV101" s="73"/>
      <c r="GKW101" s="73"/>
      <c r="GKX101" s="73"/>
      <c r="GKY101" s="73"/>
      <c r="GKZ101" s="73"/>
      <c r="GLA101" s="73"/>
      <c r="GLB101" s="73"/>
      <c r="GLC101" s="73"/>
      <c r="GLD101" s="73"/>
      <c r="GLE101" s="73"/>
      <c r="GLF101" s="73"/>
      <c r="GLG101" s="73"/>
      <c r="GLH101" s="73"/>
      <c r="GLI101" s="73"/>
      <c r="GLJ101" s="73"/>
      <c r="GLK101" s="73"/>
      <c r="GLL101" s="73"/>
      <c r="GLM101" s="73"/>
      <c r="GLN101" s="73"/>
      <c r="GLO101" s="73"/>
      <c r="GLP101" s="73"/>
      <c r="GLQ101" s="73"/>
      <c r="GLR101" s="73"/>
      <c r="GLS101" s="73"/>
      <c r="GLT101" s="73"/>
      <c r="GLU101" s="73"/>
      <c r="GLV101" s="73"/>
      <c r="GLW101" s="73"/>
      <c r="GLX101" s="73"/>
      <c r="GLY101" s="73"/>
      <c r="GLZ101" s="73"/>
      <c r="GMA101" s="73"/>
      <c r="GMB101" s="73"/>
      <c r="GMC101" s="73"/>
      <c r="GMD101" s="73"/>
      <c r="GME101" s="73"/>
      <c r="GMF101" s="73"/>
      <c r="GMG101" s="73"/>
      <c r="GMH101" s="73"/>
      <c r="GMI101" s="73"/>
      <c r="GMJ101" s="73"/>
      <c r="GMK101" s="73"/>
      <c r="GML101" s="73"/>
      <c r="GMM101" s="73"/>
      <c r="GMN101" s="73"/>
      <c r="GMO101" s="73"/>
      <c r="GMP101" s="73"/>
      <c r="GMQ101" s="73"/>
      <c r="GMR101" s="73"/>
      <c r="GMS101" s="73"/>
      <c r="GMT101" s="73"/>
      <c r="GMU101" s="73"/>
      <c r="GMV101" s="73"/>
      <c r="GMW101" s="73"/>
      <c r="GMX101" s="73"/>
      <c r="GMY101" s="73"/>
      <c r="GMZ101" s="73"/>
      <c r="GNA101" s="73"/>
      <c r="GNB101" s="73"/>
      <c r="GNC101" s="73"/>
      <c r="GND101" s="73"/>
      <c r="GNE101" s="73"/>
      <c r="GNF101" s="73"/>
      <c r="GNG101" s="73"/>
      <c r="GNH101" s="73"/>
      <c r="GNI101" s="73"/>
      <c r="GNJ101" s="73"/>
      <c r="GNK101" s="73"/>
      <c r="GNL101" s="73"/>
      <c r="GNM101" s="73"/>
      <c r="GNN101" s="73"/>
      <c r="GNO101" s="73"/>
      <c r="GNP101" s="73"/>
      <c r="GNQ101" s="73"/>
      <c r="GNR101" s="73"/>
      <c r="GNS101" s="73"/>
      <c r="GNT101" s="73"/>
      <c r="GNU101" s="73"/>
      <c r="GNV101" s="73"/>
      <c r="GNW101" s="73"/>
      <c r="GNX101" s="73"/>
      <c r="GNY101" s="73"/>
      <c r="GNZ101" s="73"/>
      <c r="GOA101" s="73"/>
      <c r="GOB101" s="73"/>
      <c r="GOC101" s="73"/>
      <c r="GOD101" s="73"/>
      <c r="GOE101" s="73"/>
      <c r="GOF101" s="73"/>
      <c r="GOG101" s="73"/>
      <c r="GOH101" s="73"/>
      <c r="GOI101" s="73"/>
      <c r="GOJ101" s="73"/>
      <c r="GOK101" s="73"/>
      <c r="GOL101" s="73"/>
      <c r="GOM101" s="73"/>
      <c r="GON101" s="73"/>
      <c r="GOO101" s="73"/>
      <c r="GOP101" s="73"/>
      <c r="GOQ101" s="73"/>
      <c r="GOR101" s="73"/>
      <c r="GOS101" s="73"/>
      <c r="GOT101" s="73"/>
      <c r="GOU101" s="73"/>
      <c r="GOV101" s="73"/>
      <c r="GOW101" s="73"/>
      <c r="GOX101" s="73"/>
      <c r="GOY101" s="73"/>
      <c r="GOZ101" s="73"/>
      <c r="GPA101" s="73"/>
      <c r="GPB101" s="73"/>
      <c r="GPC101" s="73"/>
      <c r="GPD101" s="73"/>
      <c r="GPE101" s="73"/>
      <c r="GPF101" s="73"/>
      <c r="GPG101" s="73"/>
      <c r="GPH101" s="73"/>
      <c r="GPI101" s="73"/>
      <c r="GPJ101" s="73"/>
      <c r="GPK101" s="73"/>
      <c r="GPL101" s="73"/>
      <c r="GPM101" s="73"/>
      <c r="GPN101" s="73"/>
      <c r="GPO101" s="73"/>
      <c r="GPP101" s="73"/>
      <c r="GPQ101" s="73"/>
      <c r="GPR101" s="73"/>
      <c r="GPS101" s="73"/>
      <c r="GPT101" s="73"/>
      <c r="GPU101" s="73"/>
      <c r="GPV101" s="73"/>
      <c r="GPW101" s="73"/>
      <c r="GPX101" s="73"/>
      <c r="GPY101" s="73"/>
      <c r="GPZ101" s="73"/>
      <c r="GQA101" s="73"/>
      <c r="GQB101" s="73"/>
      <c r="GQC101" s="73"/>
      <c r="GQD101" s="73"/>
      <c r="GQE101" s="73"/>
      <c r="GQF101" s="73"/>
      <c r="GQG101" s="73"/>
      <c r="GQH101" s="73"/>
      <c r="GQI101" s="73"/>
      <c r="GQJ101" s="73"/>
      <c r="GQK101" s="73"/>
      <c r="GQL101" s="73"/>
      <c r="GQM101" s="73"/>
      <c r="GQN101" s="73"/>
      <c r="GQO101" s="73"/>
      <c r="GQP101" s="73"/>
      <c r="GQQ101" s="73"/>
      <c r="GQR101" s="73"/>
      <c r="GQS101" s="73"/>
      <c r="GQT101" s="73"/>
      <c r="GQU101" s="73"/>
      <c r="GQV101" s="73"/>
      <c r="GQW101" s="73"/>
      <c r="GQX101" s="73"/>
      <c r="GQY101" s="73"/>
      <c r="GQZ101" s="73"/>
      <c r="GRA101" s="73"/>
      <c r="GRB101" s="73"/>
      <c r="GRC101" s="73"/>
      <c r="GRD101" s="73"/>
      <c r="GRE101" s="73"/>
      <c r="GRF101" s="73"/>
      <c r="GRG101" s="73"/>
      <c r="GRH101" s="73"/>
      <c r="GRI101" s="73"/>
      <c r="GRJ101" s="73"/>
      <c r="GRK101" s="73"/>
      <c r="GRL101" s="73"/>
      <c r="GRM101" s="73"/>
      <c r="GRN101" s="73"/>
      <c r="GRO101" s="73"/>
      <c r="GRP101" s="73"/>
      <c r="GRQ101" s="73"/>
      <c r="GRR101" s="73"/>
      <c r="GRS101" s="73"/>
      <c r="GRT101" s="73"/>
      <c r="GRU101" s="73"/>
      <c r="GRV101" s="73"/>
      <c r="GRW101" s="73"/>
      <c r="GRX101" s="73"/>
      <c r="GRY101" s="73"/>
      <c r="GRZ101" s="73"/>
      <c r="GSA101" s="73"/>
      <c r="GSB101" s="73"/>
      <c r="GSC101" s="73"/>
      <c r="GSD101" s="73"/>
      <c r="GSE101" s="73"/>
      <c r="GSF101" s="73"/>
      <c r="GSG101" s="73"/>
      <c r="GSH101" s="73"/>
      <c r="GSI101" s="73"/>
      <c r="GSJ101" s="73"/>
      <c r="GSK101" s="73"/>
      <c r="GSL101" s="73"/>
      <c r="GSM101" s="73"/>
      <c r="GSN101" s="73"/>
      <c r="GSO101" s="73"/>
      <c r="GSP101" s="73"/>
      <c r="GSQ101" s="73"/>
      <c r="GSR101" s="73"/>
      <c r="GSS101" s="73"/>
      <c r="GST101" s="73"/>
      <c r="GSU101" s="73"/>
      <c r="GSV101" s="73"/>
      <c r="GSW101" s="73"/>
      <c r="GSX101" s="73"/>
      <c r="GSY101" s="73"/>
      <c r="GSZ101" s="73"/>
      <c r="GTA101" s="73"/>
      <c r="GTB101" s="73"/>
      <c r="GTC101" s="73"/>
      <c r="GTD101" s="73"/>
      <c r="GTE101" s="73"/>
      <c r="GTF101" s="73"/>
      <c r="GTG101" s="73"/>
      <c r="GTH101" s="73"/>
      <c r="GTI101" s="73"/>
      <c r="GTJ101" s="73"/>
      <c r="GTK101" s="73"/>
      <c r="GTL101" s="73"/>
      <c r="GTM101" s="73"/>
      <c r="GTN101" s="73"/>
      <c r="GTO101" s="73"/>
      <c r="GTP101" s="73"/>
      <c r="GTQ101" s="73"/>
      <c r="GTR101" s="73"/>
      <c r="GTS101" s="73"/>
      <c r="GTT101" s="73"/>
      <c r="GTU101" s="73"/>
      <c r="GTV101" s="73"/>
      <c r="GTW101" s="73"/>
      <c r="GTX101" s="73"/>
      <c r="GTY101" s="73"/>
      <c r="GTZ101" s="73"/>
      <c r="GUA101" s="73"/>
      <c r="GUB101" s="73"/>
      <c r="GUC101" s="73"/>
      <c r="GUD101" s="73"/>
      <c r="GUE101" s="73"/>
      <c r="GUF101" s="73"/>
      <c r="GUG101" s="73"/>
      <c r="GUH101" s="73"/>
      <c r="GUI101" s="73"/>
      <c r="GUJ101" s="73"/>
      <c r="GUK101" s="73"/>
      <c r="GUL101" s="73"/>
      <c r="GUM101" s="73"/>
      <c r="GUN101" s="73"/>
      <c r="GUO101" s="73"/>
      <c r="GUP101" s="73"/>
      <c r="GUQ101" s="73"/>
      <c r="GUR101" s="73"/>
      <c r="GUS101" s="73"/>
      <c r="GUT101" s="73"/>
      <c r="GUU101" s="73"/>
      <c r="GUV101" s="73"/>
      <c r="GUW101" s="73"/>
      <c r="GUX101" s="73"/>
      <c r="GUY101" s="73"/>
      <c r="GUZ101" s="73"/>
      <c r="GVA101" s="73"/>
      <c r="GVB101" s="73"/>
      <c r="GVC101" s="73"/>
      <c r="GVD101" s="73"/>
      <c r="GVE101" s="73"/>
      <c r="GVF101" s="73"/>
      <c r="GVG101" s="73"/>
      <c r="GVH101" s="73"/>
      <c r="GVI101" s="73"/>
      <c r="GVJ101" s="73"/>
      <c r="GVK101" s="73"/>
      <c r="GVL101" s="73"/>
      <c r="GVM101" s="73"/>
      <c r="GVN101" s="73"/>
      <c r="GVO101" s="73"/>
      <c r="GVP101" s="73"/>
      <c r="GVQ101" s="73"/>
      <c r="GVR101" s="73"/>
      <c r="GVS101" s="73"/>
      <c r="GVT101" s="73"/>
      <c r="GVU101" s="73"/>
      <c r="GVV101" s="73"/>
      <c r="GVW101" s="73"/>
      <c r="GVX101" s="73"/>
      <c r="GVY101" s="73"/>
      <c r="GVZ101" s="73"/>
      <c r="GWA101" s="73"/>
      <c r="GWB101" s="73"/>
      <c r="GWC101" s="73"/>
      <c r="GWD101" s="73"/>
      <c r="GWE101" s="73"/>
      <c r="GWF101" s="73"/>
      <c r="GWG101" s="73"/>
      <c r="GWH101" s="73"/>
      <c r="GWI101" s="73"/>
      <c r="GWJ101" s="73"/>
      <c r="GWK101" s="73"/>
      <c r="GWL101" s="73"/>
      <c r="GWM101" s="73"/>
      <c r="GWN101" s="73"/>
      <c r="GWO101" s="73"/>
      <c r="GWP101" s="73"/>
      <c r="GWQ101" s="73"/>
      <c r="GWR101" s="73"/>
      <c r="GWS101" s="73"/>
      <c r="GWT101" s="73"/>
      <c r="GWU101" s="73"/>
      <c r="GWV101" s="73"/>
      <c r="GWW101" s="73"/>
      <c r="GWX101" s="73"/>
      <c r="GWY101" s="73"/>
      <c r="GWZ101" s="73"/>
      <c r="GXA101" s="73"/>
      <c r="GXB101" s="73"/>
      <c r="GXC101" s="73"/>
      <c r="GXD101" s="73"/>
      <c r="GXE101" s="73"/>
      <c r="GXF101" s="73"/>
      <c r="GXG101" s="73"/>
      <c r="GXH101" s="73"/>
      <c r="GXI101" s="73"/>
      <c r="GXJ101" s="73"/>
      <c r="GXK101" s="73"/>
      <c r="GXL101" s="73"/>
      <c r="GXM101" s="73"/>
      <c r="GXN101" s="73"/>
      <c r="GXO101" s="73"/>
      <c r="GXP101" s="73"/>
      <c r="GXQ101" s="73"/>
      <c r="GXR101" s="73"/>
      <c r="GXS101" s="73"/>
      <c r="GXT101" s="73"/>
      <c r="GXU101" s="73"/>
      <c r="GXV101" s="73"/>
      <c r="GXW101" s="73"/>
      <c r="GXX101" s="73"/>
      <c r="GXY101" s="73"/>
      <c r="GXZ101" s="73"/>
      <c r="GYA101" s="73"/>
      <c r="GYB101" s="73"/>
      <c r="GYC101" s="73"/>
      <c r="GYD101" s="73"/>
      <c r="GYE101" s="73"/>
      <c r="GYF101" s="73"/>
      <c r="GYG101" s="73"/>
      <c r="GYH101" s="73"/>
      <c r="GYI101" s="73"/>
      <c r="GYJ101" s="73"/>
      <c r="GYK101" s="73"/>
      <c r="GYL101" s="73"/>
      <c r="GYM101" s="73"/>
      <c r="GYN101" s="73"/>
      <c r="GYO101" s="73"/>
      <c r="GYP101" s="73"/>
      <c r="GYQ101" s="73"/>
      <c r="GYR101" s="73"/>
      <c r="GYS101" s="73"/>
      <c r="GYT101" s="73"/>
      <c r="GYU101" s="73"/>
      <c r="GYV101" s="73"/>
      <c r="GYW101" s="73"/>
      <c r="GYX101" s="73"/>
      <c r="GYY101" s="73"/>
      <c r="GYZ101" s="73"/>
      <c r="GZA101" s="73"/>
      <c r="GZB101" s="73"/>
      <c r="GZC101" s="73"/>
      <c r="GZD101" s="73"/>
      <c r="GZE101" s="73"/>
      <c r="GZF101" s="73"/>
      <c r="GZG101" s="73"/>
      <c r="GZH101" s="73"/>
      <c r="GZI101" s="73"/>
      <c r="GZJ101" s="73"/>
      <c r="GZK101" s="73"/>
      <c r="GZL101" s="73"/>
      <c r="GZM101" s="73"/>
      <c r="GZN101" s="73"/>
      <c r="GZO101" s="73"/>
      <c r="GZP101" s="73"/>
      <c r="GZQ101" s="73"/>
      <c r="GZR101" s="73"/>
      <c r="GZS101" s="73"/>
      <c r="GZT101" s="73"/>
      <c r="GZU101" s="73"/>
      <c r="GZV101" s="73"/>
      <c r="GZW101" s="73"/>
      <c r="GZX101" s="73"/>
      <c r="GZY101" s="73"/>
      <c r="GZZ101" s="73"/>
      <c r="HAA101" s="73"/>
      <c r="HAB101" s="73"/>
      <c r="HAC101" s="73"/>
      <c r="HAD101" s="73"/>
      <c r="HAE101" s="73"/>
      <c r="HAF101" s="73"/>
      <c r="HAG101" s="73"/>
      <c r="HAH101" s="73"/>
      <c r="HAI101" s="73"/>
      <c r="HAJ101" s="73"/>
      <c r="HAK101" s="73"/>
      <c r="HAL101" s="73"/>
      <c r="HAM101" s="73"/>
      <c r="HAN101" s="73"/>
      <c r="HAO101" s="73"/>
      <c r="HAP101" s="73"/>
      <c r="HAQ101" s="73"/>
      <c r="HAR101" s="73"/>
      <c r="HAS101" s="73"/>
      <c r="HAT101" s="73"/>
      <c r="HAU101" s="73"/>
      <c r="HAV101" s="73"/>
      <c r="HAW101" s="73"/>
      <c r="HAX101" s="73"/>
      <c r="HAY101" s="73"/>
      <c r="HAZ101" s="73"/>
      <c r="HBA101" s="73"/>
      <c r="HBB101" s="73"/>
      <c r="HBC101" s="73"/>
      <c r="HBD101" s="73"/>
      <c r="HBE101" s="73"/>
      <c r="HBF101" s="73"/>
      <c r="HBG101" s="73"/>
      <c r="HBH101" s="73"/>
      <c r="HBI101" s="73"/>
      <c r="HBJ101" s="73"/>
      <c r="HBK101" s="73"/>
      <c r="HBL101" s="73"/>
      <c r="HBM101" s="73"/>
      <c r="HBN101" s="73"/>
      <c r="HBO101" s="73"/>
      <c r="HBP101" s="73"/>
      <c r="HBQ101" s="73"/>
      <c r="HBR101" s="73"/>
      <c r="HBS101" s="73"/>
      <c r="HBT101" s="73"/>
      <c r="HBU101" s="73"/>
      <c r="HBV101" s="73"/>
      <c r="HBW101" s="73"/>
      <c r="HBX101" s="73"/>
      <c r="HBY101" s="73"/>
      <c r="HBZ101" s="73"/>
      <c r="HCA101" s="73"/>
      <c r="HCB101" s="73"/>
      <c r="HCC101" s="73"/>
      <c r="HCD101" s="73"/>
      <c r="HCE101" s="73"/>
      <c r="HCF101" s="73"/>
      <c r="HCG101" s="73"/>
      <c r="HCH101" s="73"/>
      <c r="HCI101" s="73"/>
      <c r="HCJ101" s="73"/>
      <c r="HCK101" s="73"/>
      <c r="HCL101" s="73"/>
      <c r="HCM101" s="73"/>
      <c r="HCN101" s="73"/>
      <c r="HCO101" s="73"/>
      <c r="HCP101" s="73"/>
      <c r="HCQ101" s="73"/>
      <c r="HCR101" s="73"/>
      <c r="HCS101" s="73"/>
      <c r="HCT101" s="73"/>
      <c r="HCU101" s="73"/>
      <c r="HCV101" s="73"/>
      <c r="HCW101" s="73"/>
      <c r="HCX101" s="73"/>
      <c r="HCY101" s="73"/>
      <c r="HCZ101" s="73"/>
      <c r="HDA101" s="73"/>
      <c r="HDB101" s="73"/>
      <c r="HDC101" s="73"/>
      <c r="HDD101" s="73"/>
      <c r="HDE101" s="73"/>
      <c r="HDF101" s="73"/>
      <c r="HDG101" s="73"/>
      <c r="HDH101" s="73"/>
      <c r="HDI101" s="73"/>
      <c r="HDJ101" s="73"/>
      <c r="HDK101" s="73"/>
      <c r="HDL101" s="73"/>
      <c r="HDM101" s="73"/>
      <c r="HDN101" s="73"/>
      <c r="HDO101" s="73"/>
      <c r="HDP101" s="73"/>
      <c r="HDQ101" s="73"/>
      <c r="HDR101" s="73"/>
      <c r="HDS101" s="73"/>
      <c r="HDT101" s="73"/>
      <c r="HDU101" s="73"/>
      <c r="HDV101" s="73"/>
      <c r="HDW101" s="73"/>
      <c r="HDX101" s="73"/>
      <c r="HDY101" s="73"/>
      <c r="HDZ101" s="73"/>
      <c r="HEA101" s="73"/>
      <c r="HEB101" s="73"/>
      <c r="HEC101" s="73"/>
      <c r="HED101" s="73"/>
      <c r="HEE101" s="73"/>
      <c r="HEF101" s="73"/>
      <c r="HEG101" s="73"/>
      <c r="HEH101" s="73"/>
      <c r="HEI101" s="73"/>
      <c r="HEJ101" s="73"/>
      <c r="HEK101" s="73"/>
      <c r="HEL101" s="73"/>
      <c r="HEM101" s="73"/>
      <c r="HEN101" s="73"/>
      <c r="HEO101" s="73"/>
      <c r="HEP101" s="73"/>
      <c r="HEQ101" s="73"/>
      <c r="HER101" s="73"/>
      <c r="HES101" s="73"/>
      <c r="HET101" s="73"/>
      <c r="HEU101" s="73"/>
      <c r="HEV101" s="73"/>
      <c r="HEW101" s="73"/>
      <c r="HEX101" s="73"/>
      <c r="HEY101" s="73"/>
      <c r="HEZ101" s="73"/>
      <c r="HFA101" s="73"/>
      <c r="HFB101" s="73"/>
      <c r="HFC101" s="73"/>
      <c r="HFD101" s="73"/>
      <c r="HFE101" s="73"/>
      <c r="HFF101" s="73"/>
      <c r="HFG101" s="73"/>
      <c r="HFH101" s="73"/>
      <c r="HFI101" s="73"/>
      <c r="HFJ101" s="73"/>
      <c r="HFK101" s="73"/>
      <c r="HFL101" s="73"/>
      <c r="HFM101" s="73"/>
      <c r="HFN101" s="73"/>
      <c r="HFO101" s="73"/>
      <c r="HFP101" s="73"/>
      <c r="HFQ101" s="73"/>
      <c r="HFR101" s="73"/>
      <c r="HFS101" s="73"/>
      <c r="HFT101" s="73"/>
      <c r="HFU101" s="73"/>
      <c r="HFV101" s="73"/>
      <c r="HFW101" s="73"/>
      <c r="HFX101" s="73"/>
      <c r="HFY101" s="73"/>
      <c r="HFZ101" s="73"/>
      <c r="HGA101" s="73"/>
      <c r="HGB101" s="73"/>
      <c r="HGC101" s="73"/>
      <c r="HGD101" s="73"/>
      <c r="HGE101" s="73"/>
      <c r="HGF101" s="73"/>
      <c r="HGG101" s="73"/>
      <c r="HGH101" s="73"/>
      <c r="HGI101" s="73"/>
      <c r="HGJ101" s="73"/>
      <c r="HGK101" s="73"/>
      <c r="HGL101" s="73"/>
      <c r="HGM101" s="73"/>
      <c r="HGN101" s="73"/>
      <c r="HGO101" s="73"/>
      <c r="HGP101" s="73"/>
      <c r="HGQ101" s="73"/>
      <c r="HGR101" s="73"/>
      <c r="HGS101" s="73"/>
      <c r="HGT101" s="73"/>
      <c r="HGU101" s="73"/>
      <c r="HGV101" s="73"/>
      <c r="HGW101" s="73"/>
      <c r="HGX101" s="73"/>
      <c r="HGY101" s="73"/>
      <c r="HGZ101" s="73"/>
      <c r="HHA101" s="73"/>
      <c r="HHB101" s="73"/>
      <c r="HHC101" s="73"/>
      <c r="HHD101" s="73"/>
      <c r="HHE101" s="73"/>
      <c r="HHF101" s="73"/>
      <c r="HHG101" s="73"/>
      <c r="HHH101" s="73"/>
      <c r="HHI101" s="73"/>
      <c r="HHJ101" s="73"/>
      <c r="HHK101" s="73"/>
      <c r="HHL101" s="73"/>
      <c r="HHM101" s="73"/>
      <c r="HHN101" s="73"/>
      <c r="HHO101" s="73"/>
      <c r="HHP101" s="73"/>
      <c r="HHQ101" s="73"/>
      <c r="HHR101" s="73"/>
      <c r="HHS101" s="73"/>
      <c r="HHT101" s="73"/>
      <c r="HHU101" s="73"/>
      <c r="HHV101" s="73"/>
      <c r="HHW101" s="73"/>
      <c r="HHX101" s="73"/>
      <c r="HHY101" s="73"/>
      <c r="HHZ101" s="73"/>
      <c r="HIA101" s="73"/>
      <c r="HIB101" s="73"/>
      <c r="HIC101" s="73"/>
      <c r="HID101" s="73"/>
      <c r="HIE101" s="73"/>
      <c r="HIF101" s="73"/>
      <c r="HIG101" s="73"/>
      <c r="HIH101" s="73"/>
      <c r="HII101" s="73"/>
      <c r="HIJ101" s="73"/>
      <c r="HIK101" s="73"/>
      <c r="HIL101" s="73"/>
      <c r="HIM101" s="73"/>
      <c r="HIN101" s="73"/>
      <c r="HIO101" s="73"/>
      <c r="HIP101" s="73"/>
      <c r="HIQ101" s="73"/>
      <c r="HIR101" s="73"/>
      <c r="HIS101" s="73"/>
      <c r="HIT101" s="73"/>
      <c r="HIU101" s="73"/>
      <c r="HIV101" s="73"/>
      <c r="HIW101" s="73"/>
      <c r="HIX101" s="73"/>
      <c r="HIY101" s="73"/>
      <c r="HIZ101" s="73"/>
      <c r="HJA101" s="73"/>
      <c r="HJB101" s="73"/>
      <c r="HJC101" s="73"/>
      <c r="HJD101" s="73"/>
      <c r="HJE101" s="73"/>
      <c r="HJF101" s="73"/>
      <c r="HJG101" s="73"/>
      <c r="HJH101" s="73"/>
      <c r="HJI101" s="73"/>
      <c r="HJJ101" s="73"/>
      <c r="HJK101" s="73"/>
      <c r="HJL101" s="73"/>
      <c r="HJM101" s="73"/>
      <c r="HJN101" s="73"/>
      <c r="HJO101" s="73"/>
      <c r="HJP101" s="73"/>
      <c r="HJQ101" s="73"/>
      <c r="HJR101" s="73"/>
      <c r="HJS101" s="73"/>
      <c r="HJT101" s="73"/>
      <c r="HJU101" s="73"/>
      <c r="HJV101" s="73"/>
      <c r="HJW101" s="73"/>
      <c r="HJX101" s="73"/>
      <c r="HJY101" s="73"/>
      <c r="HJZ101" s="73"/>
      <c r="HKA101" s="73"/>
      <c r="HKB101" s="73"/>
      <c r="HKC101" s="73"/>
      <c r="HKD101" s="73"/>
      <c r="HKE101" s="73"/>
      <c r="HKF101" s="73"/>
      <c r="HKG101" s="73"/>
      <c r="HKH101" s="73"/>
      <c r="HKI101" s="73"/>
      <c r="HKJ101" s="73"/>
      <c r="HKK101" s="73"/>
      <c r="HKL101" s="73"/>
      <c r="HKM101" s="73"/>
      <c r="HKN101" s="73"/>
      <c r="HKO101" s="73"/>
      <c r="HKP101" s="73"/>
      <c r="HKQ101" s="73"/>
      <c r="HKR101" s="73"/>
      <c r="HKS101" s="73"/>
      <c r="HKT101" s="73"/>
      <c r="HKU101" s="73"/>
      <c r="HKV101" s="73"/>
      <c r="HKW101" s="73"/>
      <c r="HKX101" s="73"/>
      <c r="HKY101" s="73"/>
      <c r="HKZ101" s="73"/>
      <c r="HLA101" s="73"/>
      <c r="HLB101" s="73"/>
      <c r="HLC101" s="73"/>
      <c r="HLD101" s="73"/>
      <c r="HLE101" s="73"/>
      <c r="HLF101" s="73"/>
      <c r="HLG101" s="73"/>
      <c r="HLH101" s="73"/>
      <c r="HLI101" s="73"/>
      <c r="HLJ101" s="73"/>
      <c r="HLK101" s="73"/>
      <c r="HLL101" s="73"/>
      <c r="HLM101" s="73"/>
      <c r="HLN101" s="73"/>
      <c r="HLO101" s="73"/>
      <c r="HLP101" s="73"/>
      <c r="HLQ101" s="73"/>
      <c r="HLR101" s="73"/>
      <c r="HLS101" s="73"/>
      <c r="HLT101" s="73"/>
      <c r="HLU101" s="73"/>
      <c r="HLV101" s="73"/>
      <c r="HLW101" s="73"/>
      <c r="HLX101" s="73"/>
      <c r="HLY101" s="73"/>
      <c r="HLZ101" s="73"/>
      <c r="HMA101" s="73"/>
      <c r="HMB101" s="73"/>
      <c r="HMC101" s="73"/>
      <c r="HMD101" s="73"/>
      <c r="HME101" s="73"/>
      <c r="HMF101" s="73"/>
      <c r="HMG101" s="73"/>
      <c r="HMH101" s="73"/>
      <c r="HMI101" s="73"/>
      <c r="HMJ101" s="73"/>
      <c r="HMK101" s="73"/>
      <c r="HML101" s="73"/>
      <c r="HMM101" s="73"/>
      <c r="HMN101" s="73"/>
      <c r="HMO101" s="73"/>
      <c r="HMP101" s="73"/>
      <c r="HMQ101" s="73"/>
      <c r="HMR101" s="73"/>
      <c r="HMS101" s="73"/>
      <c r="HMT101" s="73"/>
      <c r="HMU101" s="73"/>
      <c r="HMV101" s="73"/>
      <c r="HMW101" s="73"/>
      <c r="HMX101" s="73"/>
      <c r="HMY101" s="73"/>
      <c r="HMZ101" s="73"/>
      <c r="HNA101" s="73"/>
      <c r="HNB101" s="73"/>
      <c r="HNC101" s="73"/>
      <c r="HND101" s="73"/>
      <c r="HNE101" s="73"/>
      <c r="HNF101" s="73"/>
      <c r="HNG101" s="73"/>
      <c r="HNH101" s="73"/>
      <c r="HNI101" s="73"/>
      <c r="HNJ101" s="73"/>
      <c r="HNK101" s="73"/>
      <c r="HNL101" s="73"/>
      <c r="HNM101" s="73"/>
      <c r="HNN101" s="73"/>
      <c r="HNO101" s="73"/>
      <c r="HNP101" s="73"/>
      <c r="HNQ101" s="73"/>
      <c r="HNR101" s="73"/>
      <c r="HNS101" s="73"/>
      <c r="HNT101" s="73"/>
      <c r="HNU101" s="73"/>
      <c r="HNV101" s="73"/>
      <c r="HNW101" s="73"/>
      <c r="HNX101" s="73"/>
      <c r="HNY101" s="73"/>
      <c r="HNZ101" s="73"/>
      <c r="HOA101" s="73"/>
      <c r="HOB101" s="73"/>
      <c r="HOC101" s="73"/>
      <c r="HOD101" s="73"/>
      <c r="HOE101" s="73"/>
      <c r="HOF101" s="73"/>
      <c r="HOG101" s="73"/>
      <c r="HOH101" s="73"/>
      <c r="HOI101" s="73"/>
      <c r="HOJ101" s="73"/>
      <c r="HOK101" s="73"/>
      <c r="HOL101" s="73"/>
      <c r="HOM101" s="73"/>
      <c r="HON101" s="73"/>
      <c r="HOO101" s="73"/>
      <c r="HOP101" s="73"/>
      <c r="HOQ101" s="73"/>
      <c r="HOR101" s="73"/>
      <c r="HOS101" s="73"/>
      <c r="HOT101" s="73"/>
      <c r="HOU101" s="73"/>
      <c r="HOV101" s="73"/>
      <c r="HOW101" s="73"/>
      <c r="HOX101" s="73"/>
      <c r="HOY101" s="73"/>
      <c r="HOZ101" s="73"/>
      <c r="HPA101" s="73"/>
      <c r="HPB101" s="73"/>
      <c r="HPC101" s="73"/>
      <c r="HPD101" s="73"/>
      <c r="HPE101" s="73"/>
      <c r="HPF101" s="73"/>
      <c r="HPG101" s="73"/>
      <c r="HPH101" s="73"/>
      <c r="HPI101" s="73"/>
      <c r="HPJ101" s="73"/>
      <c r="HPK101" s="73"/>
      <c r="HPL101" s="73"/>
      <c r="HPM101" s="73"/>
      <c r="HPN101" s="73"/>
      <c r="HPO101" s="73"/>
      <c r="HPP101" s="73"/>
      <c r="HPQ101" s="73"/>
      <c r="HPR101" s="73"/>
      <c r="HPS101" s="73"/>
      <c r="HPT101" s="73"/>
      <c r="HPU101" s="73"/>
      <c r="HPV101" s="73"/>
      <c r="HPW101" s="73"/>
      <c r="HPX101" s="73"/>
      <c r="HPY101" s="73"/>
      <c r="HPZ101" s="73"/>
      <c r="HQA101" s="73"/>
      <c r="HQB101" s="73"/>
      <c r="HQC101" s="73"/>
      <c r="HQD101" s="73"/>
      <c r="HQE101" s="73"/>
      <c r="HQF101" s="73"/>
      <c r="HQG101" s="73"/>
      <c r="HQH101" s="73"/>
      <c r="HQI101" s="73"/>
      <c r="HQJ101" s="73"/>
      <c r="HQK101" s="73"/>
      <c r="HQL101" s="73"/>
      <c r="HQM101" s="73"/>
      <c r="HQN101" s="73"/>
      <c r="HQO101" s="73"/>
      <c r="HQP101" s="73"/>
      <c r="HQQ101" s="73"/>
      <c r="HQR101" s="73"/>
      <c r="HQS101" s="73"/>
      <c r="HQT101" s="73"/>
      <c r="HQU101" s="73"/>
      <c r="HQV101" s="73"/>
      <c r="HQW101" s="73"/>
      <c r="HQX101" s="73"/>
      <c r="HQY101" s="73"/>
      <c r="HQZ101" s="73"/>
      <c r="HRA101" s="73"/>
      <c r="HRB101" s="73"/>
      <c r="HRC101" s="73"/>
      <c r="HRD101" s="73"/>
      <c r="HRE101" s="73"/>
      <c r="HRF101" s="73"/>
      <c r="HRG101" s="73"/>
      <c r="HRH101" s="73"/>
      <c r="HRI101" s="73"/>
      <c r="HRJ101" s="73"/>
      <c r="HRK101" s="73"/>
      <c r="HRL101" s="73"/>
      <c r="HRM101" s="73"/>
      <c r="HRN101" s="73"/>
      <c r="HRO101" s="73"/>
      <c r="HRP101" s="73"/>
      <c r="HRQ101" s="73"/>
      <c r="HRR101" s="73"/>
      <c r="HRS101" s="73"/>
      <c r="HRT101" s="73"/>
      <c r="HRU101" s="73"/>
      <c r="HRV101" s="73"/>
      <c r="HRW101" s="73"/>
      <c r="HRX101" s="73"/>
      <c r="HRY101" s="73"/>
      <c r="HRZ101" s="73"/>
      <c r="HSA101" s="73"/>
      <c r="HSB101" s="73"/>
      <c r="HSC101" s="73"/>
      <c r="HSD101" s="73"/>
      <c r="HSE101" s="73"/>
      <c r="HSF101" s="73"/>
      <c r="HSG101" s="73"/>
      <c r="HSH101" s="73"/>
      <c r="HSI101" s="73"/>
      <c r="HSJ101" s="73"/>
      <c r="HSK101" s="73"/>
      <c r="HSL101" s="73"/>
      <c r="HSM101" s="73"/>
      <c r="HSN101" s="73"/>
      <c r="HSO101" s="73"/>
      <c r="HSP101" s="73"/>
      <c r="HSQ101" s="73"/>
      <c r="HSR101" s="73"/>
      <c r="HSS101" s="73"/>
      <c r="HST101" s="73"/>
      <c r="HSU101" s="73"/>
      <c r="HSV101" s="73"/>
      <c r="HSW101" s="73"/>
      <c r="HSX101" s="73"/>
      <c r="HSY101" s="73"/>
      <c r="HSZ101" s="73"/>
      <c r="HTA101" s="73"/>
      <c r="HTB101" s="73"/>
      <c r="HTC101" s="73"/>
      <c r="HTD101" s="73"/>
      <c r="HTE101" s="73"/>
      <c r="HTF101" s="73"/>
      <c r="HTG101" s="73"/>
      <c r="HTH101" s="73"/>
      <c r="HTI101" s="73"/>
      <c r="HTJ101" s="73"/>
      <c r="HTK101" s="73"/>
      <c r="HTL101" s="73"/>
      <c r="HTM101" s="73"/>
      <c r="HTN101" s="73"/>
      <c r="HTO101" s="73"/>
      <c r="HTP101" s="73"/>
      <c r="HTQ101" s="73"/>
      <c r="HTR101" s="73"/>
      <c r="HTS101" s="73"/>
      <c r="HTT101" s="73"/>
      <c r="HTU101" s="73"/>
      <c r="HTV101" s="73"/>
      <c r="HTW101" s="73"/>
      <c r="HTX101" s="73"/>
      <c r="HTY101" s="73"/>
      <c r="HTZ101" s="73"/>
      <c r="HUA101" s="73"/>
      <c r="HUB101" s="73"/>
      <c r="HUC101" s="73"/>
      <c r="HUD101" s="73"/>
      <c r="HUE101" s="73"/>
      <c r="HUF101" s="73"/>
      <c r="HUG101" s="73"/>
      <c r="HUH101" s="73"/>
      <c r="HUI101" s="73"/>
      <c r="HUJ101" s="73"/>
      <c r="HUK101" s="73"/>
      <c r="HUL101" s="73"/>
      <c r="HUM101" s="73"/>
      <c r="HUN101" s="73"/>
      <c r="HUO101" s="73"/>
      <c r="HUP101" s="73"/>
      <c r="HUQ101" s="73"/>
      <c r="HUR101" s="73"/>
      <c r="HUS101" s="73"/>
      <c r="HUT101" s="73"/>
      <c r="HUU101" s="73"/>
      <c r="HUV101" s="73"/>
      <c r="HUW101" s="73"/>
      <c r="HUX101" s="73"/>
      <c r="HUY101" s="73"/>
      <c r="HUZ101" s="73"/>
      <c r="HVA101" s="73"/>
      <c r="HVB101" s="73"/>
      <c r="HVC101" s="73"/>
      <c r="HVD101" s="73"/>
      <c r="HVE101" s="73"/>
      <c r="HVF101" s="73"/>
      <c r="HVG101" s="73"/>
      <c r="HVH101" s="73"/>
      <c r="HVI101" s="73"/>
      <c r="HVJ101" s="73"/>
      <c r="HVK101" s="73"/>
      <c r="HVL101" s="73"/>
      <c r="HVM101" s="73"/>
      <c r="HVN101" s="73"/>
      <c r="HVO101" s="73"/>
      <c r="HVP101" s="73"/>
      <c r="HVQ101" s="73"/>
      <c r="HVR101" s="73"/>
      <c r="HVS101" s="73"/>
      <c r="HVT101" s="73"/>
      <c r="HVU101" s="73"/>
      <c r="HVV101" s="73"/>
      <c r="HVW101" s="73"/>
      <c r="HVX101" s="73"/>
      <c r="HVY101" s="73"/>
      <c r="HVZ101" s="73"/>
      <c r="HWA101" s="73"/>
      <c r="HWB101" s="73"/>
      <c r="HWC101" s="73"/>
      <c r="HWD101" s="73"/>
      <c r="HWE101" s="73"/>
      <c r="HWF101" s="73"/>
      <c r="HWG101" s="73"/>
      <c r="HWH101" s="73"/>
      <c r="HWI101" s="73"/>
      <c r="HWJ101" s="73"/>
      <c r="HWK101" s="73"/>
      <c r="HWL101" s="73"/>
      <c r="HWM101" s="73"/>
      <c r="HWN101" s="73"/>
      <c r="HWO101" s="73"/>
      <c r="HWP101" s="73"/>
      <c r="HWQ101" s="73"/>
      <c r="HWR101" s="73"/>
      <c r="HWS101" s="73"/>
      <c r="HWT101" s="73"/>
      <c r="HWU101" s="73"/>
      <c r="HWV101" s="73"/>
      <c r="HWW101" s="73"/>
      <c r="HWX101" s="73"/>
      <c r="HWY101" s="73"/>
      <c r="HWZ101" s="73"/>
      <c r="HXA101" s="73"/>
      <c r="HXB101" s="73"/>
      <c r="HXC101" s="73"/>
      <c r="HXD101" s="73"/>
      <c r="HXE101" s="73"/>
      <c r="HXF101" s="73"/>
      <c r="HXG101" s="73"/>
      <c r="HXH101" s="73"/>
      <c r="HXI101" s="73"/>
      <c r="HXJ101" s="73"/>
      <c r="HXK101" s="73"/>
      <c r="HXL101" s="73"/>
      <c r="HXM101" s="73"/>
      <c r="HXN101" s="73"/>
      <c r="HXO101" s="73"/>
      <c r="HXP101" s="73"/>
      <c r="HXQ101" s="73"/>
      <c r="HXR101" s="73"/>
      <c r="HXS101" s="73"/>
      <c r="HXT101" s="73"/>
      <c r="HXU101" s="73"/>
      <c r="HXV101" s="73"/>
      <c r="HXW101" s="73"/>
      <c r="HXX101" s="73"/>
      <c r="HXY101" s="73"/>
      <c r="HXZ101" s="73"/>
      <c r="HYA101" s="73"/>
      <c r="HYB101" s="73"/>
      <c r="HYC101" s="73"/>
      <c r="HYD101" s="73"/>
      <c r="HYE101" s="73"/>
      <c r="HYF101" s="73"/>
      <c r="HYG101" s="73"/>
      <c r="HYH101" s="73"/>
      <c r="HYI101" s="73"/>
      <c r="HYJ101" s="73"/>
      <c r="HYK101" s="73"/>
      <c r="HYL101" s="73"/>
      <c r="HYM101" s="73"/>
      <c r="HYN101" s="73"/>
      <c r="HYO101" s="73"/>
      <c r="HYP101" s="73"/>
      <c r="HYQ101" s="73"/>
      <c r="HYR101" s="73"/>
      <c r="HYS101" s="73"/>
      <c r="HYT101" s="73"/>
      <c r="HYU101" s="73"/>
      <c r="HYV101" s="73"/>
      <c r="HYW101" s="73"/>
      <c r="HYX101" s="73"/>
      <c r="HYY101" s="73"/>
      <c r="HYZ101" s="73"/>
      <c r="HZA101" s="73"/>
      <c r="HZB101" s="73"/>
      <c r="HZC101" s="73"/>
      <c r="HZD101" s="73"/>
      <c r="HZE101" s="73"/>
      <c r="HZF101" s="73"/>
      <c r="HZG101" s="73"/>
      <c r="HZH101" s="73"/>
      <c r="HZI101" s="73"/>
      <c r="HZJ101" s="73"/>
      <c r="HZK101" s="73"/>
      <c r="HZL101" s="73"/>
      <c r="HZM101" s="73"/>
      <c r="HZN101" s="73"/>
      <c r="HZO101" s="73"/>
      <c r="HZP101" s="73"/>
      <c r="HZQ101" s="73"/>
      <c r="HZR101" s="73"/>
      <c r="HZS101" s="73"/>
      <c r="HZT101" s="73"/>
      <c r="HZU101" s="73"/>
      <c r="HZV101" s="73"/>
      <c r="HZW101" s="73"/>
      <c r="HZX101" s="73"/>
      <c r="HZY101" s="73"/>
      <c r="HZZ101" s="73"/>
      <c r="IAA101" s="73"/>
      <c r="IAB101" s="73"/>
      <c r="IAC101" s="73"/>
      <c r="IAD101" s="73"/>
      <c r="IAE101" s="73"/>
      <c r="IAF101" s="73"/>
      <c r="IAG101" s="73"/>
      <c r="IAH101" s="73"/>
      <c r="IAI101" s="73"/>
      <c r="IAJ101" s="73"/>
      <c r="IAK101" s="73"/>
      <c r="IAL101" s="73"/>
      <c r="IAM101" s="73"/>
      <c r="IAN101" s="73"/>
      <c r="IAO101" s="73"/>
      <c r="IAP101" s="73"/>
      <c r="IAQ101" s="73"/>
      <c r="IAR101" s="73"/>
      <c r="IAS101" s="73"/>
      <c r="IAT101" s="73"/>
      <c r="IAU101" s="73"/>
      <c r="IAV101" s="73"/>
      <c r="IAW101" s="73"/>
      <c r="IAX101" s="73"/>
      <c r="IAY101" s="73"/>
      <c r="IAZ101" s="73"/>
      <c r="IBA101" s="73"/>
      <c r="IBB101" s="73"/>
      <c r="IBC101" s="73"/>
      <c r="IBD101" s="73"/>
      <c r="IBE101" s="73"/>
      <c r="IBF101" s="73"/>
      <c r="IBG101" s="73"/>
      <c r="IBH101" s="73"/>
      <c r="IBI101" s="73"/>
      <c r="IBJ101" s="73"/>
      <c r="IBK101" s="73"/>
      <c r="IBL101" s="73"/>
      <c r="IBM101" s="73"/>
      <c r="IBN101" s="73"/>
      <c r="IBO101" s="73"/>
      <c r="IBP101" s="73"/>
      <c r="IBQ101" s="73"/>
      <c r="IBR101" s="73"/>
      <c r="IBS101" s="73"/>
      <c r="IBT101" s="73"/>
      <c r="IBU101" s="73"/>
      <c r="IBV101" s="73"/>
      <c r="IBW101" s="73"/>
      <c r="IBX101" s="73"/>
      <c r="IBY101" s="73"/>
      <c r="IBZ101" s="73"/>
      <c r="ICA101" s="73"/>
      <c r="ICB101" s="73"/>
      <c r="ICC101" s="73"/>
      <c r="ICD101" s="73"/>
      <c r="ICE101" s="73"/>
      <c r="ICF101" s="73"/>
      <c r="ICG101" s="73"/>
      <c r="ICH101" s="73"/>
      <c r="ICI101" s="73"/>
      <c r="ICJ101" s="73"/>
      <c r="ICK101" s="73"/>
      <c r="ICL101" s="73"/>
      <c r="ICM101" s="73"/>
      <c r="ICN101" s="73"/>
      <c r="ICO101" s="73"/>
      <c r="ICP101" s="73"/>
      <c r="ICQ101" s="73"/>
      <c r="ICR101" s="73"/>
      <c r="ICS101" s="73"/>
      <c r="ICT101" s="73"/>
      <c r="ICU101" s="73"/>
      <c r="ICV101" s="73"/>
      <c r="ICW101" s="73"/>
      <c r="ICX101" s="73"/>
      <c r="ICY101" s="73"/>
      <c r="ICZ101" s="73"/>
      <c r="IDA101" s="73"/>
      <c r="IDB101" s="73"/>
      <c r="IDC101" s="73"/>
      <c r="IDD101" s="73"/>
      <c r="IDE101" s="73"/>
      <c r="IDF101" s="73"/>
      <c r="IDG101" s="73"/>
      <c r="IDH101" s="73"/>
      <c r="IDI101" s="73"/>
      <c r="IDJ101" s="73"/>
      <c r="IDK101" s="73"/>
      <c r="IDL101" s="73"/>
      <c r="IDM101" s="73"/>
      <c r="IDN101" s="73"/>
      <c r="IDO101" s="73"/>
      <c r="IDP101" s="73"/>
      <c r="IDQ101" s="73"/>
      <c r="IDR101" s="73"/>
      <c r="IDS101" s="73"/>
      <c r="IDT101" s="73"/>
      <c r="IDU101" s="73"/>
      <c r="IDV101" s="73"/>
      <c r="IDW101" s="73"/>
      <c r="IDX101" s="73"/>
      <c r="IDY101" s="73"/>
      <c r="IDZ101" s="73"/>
      <c r="IEA101" s="73"/>
      <c r="IEB101" s="73"/>
      <c r="IEC101" s="73"/>
      <c r="IED101" s="73"/>
      <c r="IEE101" s="73"/>
      <c r="IEF101" s="73"/>
      <c r="IEG101" s="73"/>
      <c r="IEH101" s="73"/>
      <c r="IEI101" s="73"/>
      <c r="IEJ101" s="73"/>
      <c r="IEK101" s="73"/>
      <c r="IEL101" s="73"/>
      <c r="IEM101" s="73"/>
      <c r="IEN101" s="73"/>
      <c r="IEO101" s="73"/>
      <c r="IEP101" s="73"/>
      <c r="IEQ101" s="73"/>
      <c r="IER101" s="73"/>
      <c r="IES101" s="73"/>
      <c r="IET101" s="73"/>
      <c r="IEU101" s="73"/>
      <c r="IEV101" s="73"/>
      <c r="IEW101" s="73"/>
      <c r="IEX101" s="73"/>
      <c r="IEY101" s="73"/>
      <c r="IEZ101" s="73"/>
      <c r="IFA101" s="73"/>
      <c r="IFB101" s="73"/>
      <c r="IFC101" s="73"/>
      <c r="IFD101" s="73"/>
      <c r="IFE101" s="73"/>
      <c r="IFF101" s="73"/>
      <c r="IFG101" s="73"/>
      <c r="IFH101" s="73"/>
      <c r="IFI101" s="73"/>
      <c r="IFJ101" s="73"/>
      <c r="IFK101" s="73"/>
      <c r="IFL101" s="73"/>
      <c r="IFM101" s="73"/>
      <c r="IFN101" s="73"/>
      <c r="IFO101" s="73"/>
      <c r="IFP101" s="73"/>
      <c r="IFQ101" s="73"/>
      <c r="IFR101" s="73"/>
      <c r="IFS101" s="73"/>
      <c r="IFT101" s="73"/>
      <c r="IFU101" s="73"/>
      <c r="IFV101" s="73"/>
      <c r="IFW101" s="73"/>
      <c r="IFX101" s="73"/>
      <c r="IFY101" s="73"/>
      <c r="IFZ101" s="73"/>
      <c r="IGA101" s="73"/>
      <c r="IGB101" s="73"/>
      <c r="IGC101" s="73"/>
      <c r="IGD101" s="73"/>
      <c r="IGE101" s="73"/>
      <c r="IGF101" s="73"/>
      <c r="IGG101" s="73"/>
      <c r="IGH101" s="73"/>
      <c r="IGI101" s="73"/>
      <c r="IGJ101" s="73"/>
      <c r="IGK101" s="73"/>
      <c r="IGL101" s="73"/>
      <c r="IGM101" s="73"/>
      <c r="IGN101" s="73"/>
      <c r="IGO101" s="73"/>
      <c r="IGP101" s="73"/>
      <c r="IGQ101" s="73"/>
      <c r="IGR101" s="73"/>
      <c r="IGS101" s="73"/>
      <c r="IGT101" s="73"/>
      <c r="IGU101" s="73"/>
      <c r="IGV101" s="73"/>
      <c r="IGW101" s="73"/>
      <c r="IGX101" s="73"/>
      <c r="IGY101" s="73"/>
      <c r="IGZ101" s="73"/>
      <c r="IHA101" s="73"/>
      <c r="IHB101" s="73"/>
      <c r="IHC101" s="73"/>
      <c r="IHD101" s="73"/>
      <c r="IHE101" s="73"/>
      <c r="IHF101" s="73"/>
      <c r="IHG101" s="73"/>
      <c r="IHH101" s="73"/>
      <c r="IHI101" s="73"/>
      <c r="IHJ101" s="73"/>
      <c r="IHK101" s="73"/>
      <c r="IHL101" s="73"/>
      <c r="IHM101" s="73"/>
      <c r="IHN101" s="73"/>
      <c r="IHO101" s="73"/>
      <c r="IHP101" s="73"/>
      <c r="IHQ101" s="73"/>
      <c r="IHR101" s="73"/>
      <c r="IHS101" s="73"/>
      <c r="IHT101" s="73"/>
      <c r="IHU101" s="73"/>
      <c r="IHV101" s="73"/>
      <c r="IHW101" s="73"/>
      <c r="IHX101" s="73"/>
      <c r="IHY101" s="73"/>
      <c r="IHZ101" s="73"/>
      <c r="IIA101" s="73"/>
      <c r="IIB101" s="73"/>
      <c r="IIC101" s="73"/>
      <c r="IID101" s="73"/>
      <c r="IIE101" s="73"/>
      <c r="IIF101" s="73"/>
      <c r="IIG101" s="73"/>
      <c r="IIH101" s="73"/>
      <c r="III101" s="73"/>
      <c r="IIJ101" s="73"/>
      <c r="IIK101" s="73"/>
      <c r="IIL101" s="73"/>
      <c r="IIM101" s="73"/>
      <c r="IIN101" s="73"/>
      <c r="IIO101" s="73"/>
      <c r="IIP101" s="73"/>
      <c r="IIQ101" s="73"/>
      <c r="IIR101" s="73"/>
      <c r="IIS101" s="73"/>
      <c r="IIT101" s="73"/>
      <c r="IIU101" s="73"/>
      <c r="IIV101" s="73"/>
      <c r="IIW101" s="73"/>
      <c r="IIX101" s="73"/>
      <c r="IIY101" s="73"/>
      <c r="IIZ101" s="73"/>
      <c r="IJA101" s="73"/>
      <c r="IJB101" s="73"/>
      <c r="IJC101" s="73"/>
      <c r="IJD101" s="73"/>
      <c r="IJE101" s="73"/>
      <c r="IJF101" s="73"/>
      <c r="IJG101" s="73"/>
      <c r="IJH101" s="73"/>
      <c r="IJI101" s="73"/>
      <c r="IJJ101" s="73"/>
      <c r="IJK101" s="73"/>
      <c r="IJL101" s="73"/>
      <c r="IJM101" s="73"/>
      <c r="IJN101" s="73"/>
      <c r="IJO101" s="73"/>
      <c r="IJP101" s="73"/>
      <c r="IJQ101" s="73"/>
      <c r="IJR101" s="73"/>
      <c r="IJS101" s="73"/>
      <c r="IJT101" s="73"/>
      <c r="IJU101" s="73"/>
      <c r="IJV101" s="73"/>
      <c r="IJW101" s="73"/>
      <c r="IJX101" s="73"/>
      <c r="IJY101" s="73"/>
      <c r="IJZ101" s="73"/>
      <c r="IKA101" s="73"/>
      <c r="IKB101" s="73"/>
      <c r="IKC101" s="73"/>
      <c r="IKD101" s="73"/>
      <c r="IKE101" s="73"/>
      <c r="IKF101" s="73"/>
      <c r="IKG101" s="73"/>
      <c r="IKH101" s="73"/>
      <c r="IKI101" s="73"/>
      <c r="IKJ101" s="73"/>
      <c r="IKK101" s="73"/>
      <c r="IKL101" s="73"/>
      <c r="IKM101" s="73"/>
      <c r="IKN101" s="73"/>
      <c r="IKO101" s="73"/>
      <c r="IKP101" s="73"/>
      <c r="IKQ101" s="73"/>
      <c r="IKR101" s="73"/>
      <c r="IKS101" s="73"/>
      <c r="IKT101" s="73"/>
      <c r="IKU101" s="73"/>
      <c r="IKV101" s="73"/>
      <c r="IKW101" s="73"/>
      <c r="IKX101" s="73"/>
      <c r="IKY101" s="73"/>
      <c r="IKZ101" s="73"/>
      <c r="ILA101" s="73"/>
      <c r="ILB101" s="73"/>
      <c r="ILC101" s="73"/>
      <c r="ILD101" s="73"/>
      <c r="ILE101" s="73"/>
      <c r="ILF101" s="73"/>
      <c r="ILG101" s="73"/>
      <c r="ILH101" s="73"/>
      <c r="ILI101" s="73"/>
      <c r="ILJ101" s="73"/>
      <c r="ILK101" s="73"/>
      <c r="ILL101" s="73"/>
      <c r="ILM101" s="73"/>
      <c r="ILN101" s="73"/>
      <c r="ILO101" s="73"/>
      <c r="ILP101" s="73"/>
      <c r="ILQ101" s="73"/>
      <c r="ILR101" s="73"/>
      <c r="ILS101" s="73"/>
      <c r="ILT101" s="73"/>
      <c r="ILU101" s="73"/>
      <c r="ILV101" s="73"/>
      <c r="ILW101" s="73"/>
      <c r="ILX101" s="73"/>
      <c r="ILY101" s="73"/>
      <c r="ILZ101" s="73"/>
      <c r="IMA101" s="73"/>
      <c r="IMB101" s="73"/>
      <c r="IMC101" s="73"/>
      <c r="IMD101" s="73"/>
      <c r="IME101" s="73"/>
      <c r="IMF101" s="73"/>
      <c r="IMG101" s="73"/>
      <c r="IMH101" s="73"/>
      <c r="IMI101" s="73"/>
      <c r="IMJ101" s="73"/>
      <c r="IMK101" s="73"/>
      <c r="IML101" s="73"/>
      <c r="IMM101" s="73"/>
      <c r="IMN101" s="73"/>
      <c r="IMO101" s="73"/>
      <c r="IMP101" s="73"/>
      <c r="IMQ101" s="73"/>
      <c r="IMR101" s="73"/>
      <c r="IMS101" s="73"/>
      <c r="IMT101" s="73"/>
      <c r="IMU101" s="73"/>
      <c r="IMV101" s="73"/>
      <c r="IMW101" s="73"/>
      <c r="IMX101" s="73"/>
      <c r="IMY101" s="73"/>
      <c r="IMZ101" s="73"/>
      <c r="INA101" s="73"/>
      <c r="INB101" s="73"/>
      <c r="INC101" s="73"/>
      <c r="IND101" s="73"/>
      <c r="INE101" s="73"/>
      <c r="INF101" s="73"/>
      <c r="ING101" s="73"/>
      <c r="INH101" s="73"/>
      <c r="INI101" s="73"/>
      <c r="INJ101" s="73"/>
      <c r="INK101" s="73"/>
      <c r="INL101" s="73"/>
      <c r="INM101" s="73"/>
      <c r="INN101" s="73"/>
      <c r="INO101" s="73"/>
      <c r="INP101" s="73"/>
      <c r="INQ101" s="73"/>
      <c r="INR101" s="73"/>
      <c r="INS101" s="73"/>
      <c r="INT101" s="73"/>
      <c r="INU101" s="73"/>
      <c r="INV101" s="73"/>
      <c r="INW101" s="73"/>
      <c r="INX101" s="73"/>
      <c r="INY101" s="73"/>
      <c r="INZ101" s="73"/>
      <c r="IOA101" s="73"/>
      <c r="IOB101" s="73"/>
      <c r="IOC101" s="73"/>
      <c r="IOD101" s="73"/>
      <c r="IOE101" s="73"/>
      <c r="IOF101" s="73"/>
      <c r="IOG101" s="73"/>
      <c r="IOH101" s="73"/>
      <c r="IOI101" s="73"/>
      <c r="IOJ101" s="73"/>
      <c r="IOK101" s="73"/>
      <c r="IOL101" s="73"/>
      <c r="IOM101" s="73"/>
      <c r="ION101" s="73"/>
      <c r="IOO101" s="73"/>
      <c r="IOP101" s="73"/>
      <c r="IOQ101" s="73"/>
      <c r="IOR101" s="73"/>
      <c r="IOS101" s="73"/>
      <c r="IOT101" s="73"/>
      <c r="IOU101" s="73"/>
      <c r="IOV101" s="73"/>
      <c r="IOW101" s="73"/>
      <c r="IOX101" s="73"/>
      <c r="IOY101" s="73"/>
      <c r="IOZ101" s="73"/>
      <c r="IPA101" s="73"/>
      <c r="IPB101" s="73"/>
      <c r="IPC101" s="73"/>
      <c r="IPD101" s="73"/>
      <c r="IPE101" s="73"/>
      <c r="IPF101" s="73"/>
      <c r="IPG101" s="73"/>
      <c r="IPH101" s="73"/>
      <c r="IPI101" s="73"/>
      <c r="IPJ101" s="73"/>
      <c r="IPK101" s="73"/>
      <c r="IPL101" s="73"/>
      <c r="IPM101" s="73"/>
      <c r="IPN101" s="73"/>
      <c r="IPO101" s="73"/>
      <c r="IPP101" s="73"/>
      <c r="IPQ101" s="73"/>
      <c r="IPR101" s="73"/>
      <c r="IPS101" s="73"/>
      <c r="IPT101" s="73"/>
      <c r="IPU101" s="73"/>
      <c r="IPV101" s="73"/>
      <c r="IPW101" s="73"/>
      <c r="IPX101" s="73"/>
      <c r="IPY101" s="73"/>
      <c r="IPZ101" s="73"/>
      <c r="IQA101" s="73"/>
      <c r="IQB101" s="73"/>
      <c r="IQC101" s="73"/>
      <c r="IQD101" s="73"/>
      <c r="IQE101" s="73"/>
      <c r="IQF101" s="73"/>
      <c r="IQG101" s="73"/>
      <c r="IQH101" s="73"/>
      <c r="IQI101" s="73"/>
      <c r="IQJ101" s="73"/>
      <c r="IQK101" s="73"/>
      <c r="IQL101" s="73"/>
      <c r="IQM101" s="73"/>
      <c r="IQN101" s="73"/>
      <c r="IQO101" s="73"/>
      <c r="IQP101" s="73"/>
      <c r="IQQ101" s="73"/>
      <c r="IQR101" s="73"/>
      <c r="IQS101" s="73"/>
      <c r="IQT101" s="73"/>
      <c r="IQU101" s="73"/>
      <c r="IQV101" s="73"/>
      <c r="IQW101" s="73"/>
      <c r="IQX101" s="73"/>
      <c r="IQY101" s="73"/>
      <c r="IQZ101" s="73"/>
      <c r="IRA101" s="73"/>
      <c r="IRB101" s="73"/>
      <c r="IRC101" s="73"/>
      <c r="IRD101" s="73"/>
      <c r="IRE101" s="73"/>
      <c r="IRF101" s="73"/>
      <c r="IRG101" s="73"/>
      <c r="IRH101" s="73"/>
      <c r="IRI101" s="73"/>
      <c r="IRJ101" s="73"/>
      <c r="IRK101" s="73"/>
      <c r="IRL101" s="73"/>
      <c r="IRM101" s="73"/>
      <c r="IRN101" s="73"/>
      <c r="IRO101" s="73"/>
      <c r="IRP101" s="73"/>
      <c r="IRQ101" s="73"/>
      <c r="IRR101" s="73"/>
      <c r="IRS101" s="73"/>
      <c r="IRT101" s="73"/>
      <c r="IRU101" s="73"/>
      <c r="IRV101" s="73"/>
      <c r="IRW101" s="73"/>
      <c r="IRX101" s="73"/>
      <c r="IRY101" s="73"/>
      <c r="IRZ101" s="73"/>
      <c r="ISA101" s="73"/>
      <c r="ISB101" s="73"/>
      <c r="ISC101" s="73"/>
      <c r="ISD101" s="73"/>
      <c r="ISE101" s="73"/>
      <c r="ISF101" s="73"/>
      <c r="ISG101" s="73"/>
      <c r="ISH101" s="73"/>
      <c r="ISI101" s="73"/>
      <c r="ISJ101" s="73"/>
      <c r="ISK101" s="73"/>
      <c r="ISL101" s="73"/>
      <c r="ISM101" s="73"/>
      <c r="ISN101" s="73"/>
      <c r="ISO101" s="73"/>
      <c r="ISP101" s="73"/>
      <c r="ISQ101" s="73"/>
      <c r="ISR101" s="73"/>
      <c r="ISS101" s="73"/>
      <c r="IST101" s="73"/>
      <c r="ISU101" s="73"/>
      <c r="ISV101" s="73"/>
      <c r="ISW101" s="73"/>
      <c r="ISX101" s="73"/>
      <c r="ISY101" s="73"/>
      <c r="ISZ101" s="73"/>
      <c r="ITA101" s="73"/>
      <c r="ITB101" s="73"/>
      <c r="ITC101" s="73"/>
      <c r="ITD101" s="73"/>
      <c r="ITE101" s="73"/>
      <c r="ITF101" s="73"/>
      <c r="ITG101" s="73"/>
      <c r="ITH101" s="73"/>
      <c r="ITI101" s="73"/>
      <c r="ITJ101" s="73"/>
      <c r="ITK101" s="73"/>
      <c r="ITL101" s="73"/>
      <c r="ITM101" s="73"/>
      <c r="ITN101" s="73"/>
      <c r="ITO101" s="73"/>
      <c r="ITP101" s="73"/>
      <c r="ITQ101" s="73"/>
      <c r="ITR101" s="73"/>
      <c r="ITS101" s="73"/>
      <c r="ITT101" s="73"/>
      <c r="ITU101" s="73"/>
      <c r="ITV101" s="73"/>
      <c r="ITW101" s="73"/>
      <c r="ITX101" s="73"/>
      <c r="ITY101" s="73"/>
      <c r="ITZ101" s="73"/>
      <c r="IUA101" s="73"/>
      <c r="IUB101" s="73"/>
      <c r="IUC101" s="73"/>
      <c r="IUD101" s="73"/>
      <c r="IUE101" s="73"/>
      <c r="IUF101" s="73"/>
      <c r="IUG101" s="73"/>
      <c r="IUH101" s="73"/>
      <c r="IUI101" s="73"/>
      <c r="IUJ101" s="73"/>
      <c r="IUK101" s="73"/>
      <c r="IUL101" s="73"/>
      <c r="IUM101" s="73"/>
      <c r="IUN101" s="73"/>
      <c r="IUO101" s="73"/>
      <c r="IUP101" s="73"/>
      <c r="IUQ101" s="73"/>
      <c r="IUR101" s="73"/>
      <c r="IUS101" s="73"/>
      <c r="IUT101" s="73"/>
      <c r="IUU101" s="73"/>
      <c r="IUV101" s="73"/>
      <c r="IUW101" s="73"/>
      <c r="IUX101" s="73"/>
      <c r="IUY101" s="73"/>
      <c r="IUZ101" s="73"/>
      <c r="IVA101" s="73"/>
      <c r="IVB101" s="73"/>
      <c r="IVC101" s="73"/>
      <c r="IVD101" s="73"/>
      <c r="IVE101" s="73"/>
      <c r="IVF101" s="73"/>
      <c r="IVG101" s="73"/>
      <c r="IVH101" s="73"/>
      <c r="IVI101" s="73"/>
      <c r="IVJ101" s="73"/>
      <c r="IVK101" s="73"/>
      <c r="IVL101" s="73"/>
      <c r="IVM101" s="73"/>
      <c r="IVN101" s="73"/>
      <c r="IVO101" s="73"/>
      <c r="IVP101" s="73"/>
      <c r="IVQ101" s="73"/>
      <c r="IVR101" s="73"/>
      <c r="IVS101" s="73"/>
      <c r="IVT101" s="73"/>
      <c r="IVU101" s="73"/>
      <c r="IVV101" s="73"/>
      <c r="IVW101" s="73"/>
      <c r="IVX101" s="73"/>
      <c r="IVY101" s="73"/>
      <c r="IVZ101" s="73"/>
      <c r="IWA101" s="73"/>
      <c r="IWB101" s="73"/>
      <c r="IWC101" s="73"/>
      <c r="IWD101" s="73"/>
      <c r="IWE101" s="73"/>
      <c r="IWF101" s="73"/>
      <c r="IWG101" s="73"/>
      <c r="IWH101" s="73"/>
      <c r="IWI101" s="73"/>
      <c r="IWJ101" s="73"/>
      <c r="IWK101" s="73"/>
      <c r="IWL101" s="73"/>
      <c r="IWM101" s="73"/>
      <c r="IWN101" s="73"/>
      <c r="IWO101" s="73"/>
      <c r="IWP101" s="73"/>
      <c r="IWQ101" s="73"/>
      <c r="IWR101" s="73"/>
      <c r="IWS101" s="73"/>
      <c r="IWT101" s="73"/>
      <c r="IWU101" s="73"/>
      <c r="IWV101" s="73"/>
      <c r="IWW101" s="73"/>
      <c r="IWX101" s="73"/>
      <c r="IWY101" s="73"/>
      <c r="IWZ101" s="73"/>
      <c r="IXA101" s="73"/>
      <c r="IXB101" s="73"/>
      <c r="IXC101" s="73"/>
      <c r="IXD101" s="73"/>
      <c r="IXE101" s="73"/>
      <c r="IXF101" s="73"/>
      <c r="IXG101" s="73"/>
      <c r="IXH101" s="73"/>
      <c r="IXI101" s="73"/>
      <c r="IXJ101" s="73"/>
      <c r="IXK101" s="73"/>
      <c r="IXL101" s="73"/>
      <c r="IXM101" s="73"/>
      <c r="IXN101" s="73"/>
      <c r="IXO101" s="73"/>
      <c r="IXP101" s="73"/>
      <c r="IXQ101" s="73"/>
      <c r="IXR101" s="73"/>
      <c r="IXS101" s="73"/>
      <c r="IXT101" s="73"/>
      <c r="IXU101" s="73"/>
      <c r="IXV101" s="73"/>
      <c r="IXW101" s="73"/>
      <c r="IXX101" s="73"/>
      <c r="IXY101" s="73"/>
      <c r="IXZ101" s="73"/>
      <c r="IYA101" s="73"/>
      <c r="IYB101" s="73"/>
      <c r="IYC101" s="73"/>
      <c r="IYD101" s="73"/>
      <c r="IYE101" s="73"/>
      <c r="IYF101" s="73"/>
      <c r="IYG101" s="73"/>
      <c r="IYH101" s="73"/>
      <c r="IYI101" s="73"/>
      <c r="IYJ101" s="73"/>
      <c r="IYK101" s="73"/>
      <c r="IYL101" s="73"/>
      <c r="IYM101" s="73"/>
      <c r="IYN101" s="73"/>
      <c r="IYO101" s="73"/>
      <c r="IYP101" s="73"/>
      <c r="IYQ101" s="73"/>
      <c r="IYR101" s="73"/>
      <c r="IYS101" s="73"/>
      <c r="IYT101" s="73"/>
      <c r="IYU101" s="73"/>
      <c r="IYV101" s="73"/>
      <c r="IYW101" s="73"/>
      <c r="IYX101" s="73"/>
      <c r="IYY101" s="73"/>
      <c r="IYZ101" s="73"/>
      <c r="IZA101" s="73"/>
      <c r="IZB101" s="73"/>
      <c r="IZC101" s="73"/>
      <c r="IZD101" s="73"/>
      <c r="IZE101" s="73"/>
      <c r="IZF101" s="73"/>
      <c r="IZG101" s="73"/>
      <c r="IZH101" s="73"/>
      <c r="IZI101" s="73"/>
      <c r="IZJ101" s="73"/>
      <c r="IZK101" s="73"/>
      <c r="IZL101" s="73"/>
      <c r="IZM101" s="73"/>
      <c r="IZN101" s="73"/>
      <c r="IZO101" s="73"/>
      <c r="IZP101" s="73"/>
      <c r="IZQ101" s="73"/>
      <c r="IZR101" s="73"/>
      <c r="IZS101" s="73"/>
      <c r="IZT101" s="73"/>
      <c r="IZU101" s="73"/>
      <c r="IZV101" s="73"/>
      <c r="IZW101" s="73"/>
      <c r="IZX101" s="73"/>
      <c r="IZY101" s="73"/>
      <c r="IZZ101" s="73"/>
      <c r="JAA101" s="73"/>
      <c r="JAB101" s="73"/>
      <c r="JAC101" s="73"/>
      <c r="JAD101" s="73"/>
      <c r="JAE101" s="73"/>
      <c r="JAF101" s="73"/>
      <c r="JAG101" s="73"/>
      <c r="JAH101" s="73"/>
      <c r="JAI101" s="73"/>
      <c r="JAJ101" s="73"/>
      <c r="JAK101" s="73"/>
      <c r="JAL101" s="73"/>
      <c r="JAM101" s="73"/>
      <c r="JAN101" s="73"/>
      <c r="JAO101" s="73"/>
      <c r="JAP101" s="73"/>
      <c r="JAQ101" s="73"/>
      <c r="JAR101" s="73"/>
      <c r="JAS101" s="73"/>
      <c r="JAT101" s="73"/>
      <c r="JAU101" s="73"/>
      <c r="JAV101" s="73"/>
      <c r="JAW101" s="73"/>
      <c r="JAX101" s="73"/>
      <c r="JAY101" s="73"/>
      <c r="JAZ101" s="73"/>
      <c r="JBA101" s="73"/>
      <c r="JBB101" s="73"/>
      <c r="JBC101" s="73"/>
      <c r="JBD101" s="73"/>
      <c r="JBE101" s="73"/>
      <c r="JBF101" s="73"/>
      <c r="JBG101" s="73"/>
      <c r="JBH101" s="73"/>
      <c r="JBI101" s="73"/>
      <c r="JBJ101" s="73"/>
      <c r="JBK101" s="73"/>
      <c r="JBL101" s="73"/>
      <c r="JBM101" s="73"/>
      <c r="JBN101" s="73"/>
      <c r="JBO101" s="73"/>
      <c r="JBP101" s="73"/>
      <c r="JBQ101" s="73"/>
      <c r="JBR101" s="73"/>
      <c r="JBS101" s="73"/>
      <c r="JBT101" s="73"/>
      <c r="JBU101" s="73"/>
      <c r="JBV101" s="73"/>
      <c r="JBW101" s="73"/>
      <c r="JBX101" s="73"/>
      <c r="JBY101" s="73"/>
      <c r="JBZ101" s="73"/>
      <c r="JCA101" s="73"/>
      <c r="JCB101" s="73"/>
      <c r="JCC101" s="73"/>
      <c r="JCD101" s="73"/>
      <c r="JCE101" s="73"/>
      <c r="JCF101" s="73"/>
      <c r="JCG101" s="73"/>
      <c r="JCH101" s="73"/>
      <c r="JCI101" s="73"/>
      <c r="JCJ101" s="73"/>
      <c r="JCK101" s="73"/>
      <c r="JCL101" s="73"/>
      <c r="JCM101" s="73"/>
      <c r="JCN101" s="73"/>
      <c r="JCO101" s="73"/>
      <c r="JCP101" s="73"/>
      <c r="JCQ101" s="73"/>
      <c r="JCR101" s="73"/>
      <c r="JCS101" s="73"/>
      <c r="JCT101" s="73"/>
      <c r="JCU101" s="73"/>
      <c r="JCV101" s="73"/>
      <c r="JCW101" s="73"/>
      <c r="JCX101" s="73"/>
      <c r="JCY101" s="73"/>
      <c r="JCZ101" s="73"/>
      <c r="JDA101" s="73"/>
      <c r="JDB101" s="73"/>
      <c r="JDC101" s="73"/>
      <c r="JDD101" s="73"/>
      <c r="JDE101" s="73"/>
      <c r="JDF101" s="73"/>
      <c r="JDG101" s="73"/>
      <c r="JDH101" s="73"/>
      <c r="JDI101" s="73"/>
      <c r="JDJ101" s="73"/>
      <c r="JDK101" s="73"/>
      <c r="JDL101" s="73"/>
      <c r="JDM101" s="73"/>
      <c r="JDN101" s="73"/>
      <c r="JDO101" s="73"/>
      <c r="JDP101" s="73"/>
      <c r="JDQ101" s="73"/>
      <c r="JDR101" s="73"/>
      <c r="JDS101" s="73"/>
      <c r="JDT101" s="73"/>
      <c r="JDU101" s="73"/>
      <c r="JDV101" s="73"/>
      <c r="JDW101" s="73"/>
      <c r="JDX101" s="73"/>
      <c r="JDY101" s="73"/>
      <c r="JDZ101" s="73"/>
      <c r="JEA101" s="73"/>
      <c r="JEB101" s="73"/>
      <c r="JEC101" s="73"/>
      <c r="JED101" s="73"/>
      <c r="JEE101" s="73"/>
      <c r="JEF101" s="73"/>
      <c r="JEG101" s="73"/>
      <c r="JEH101" s="73"/>
      <c r="JEI101" s="73"/>
      <c r="JEJ101" s="73"/>
      <c r="JEK101" s="73"/>
      <c r="JEL101" s="73"/>
      <c r="JEM101" s="73"/>
      <c r="JEN101" s="73"/>
      <c r="JEO101" s="73"/>
      <c r="JEP101" s="73"/>
      <c r="JEQ101" s="73"/>
      <c r="JER101" s="73"/>
      <c r="JES101" s="73"/>
      <c r="JET101" s="73"/>
      <c r="JEU101" s="73"/>
      <c r="JEV101" s="73"/>
      <c r="JEW101" s="73"/>
      <c r="JEX101" s="73"/>
      <c r="JEY101" s="73"/>
      <c r="JEZ101" s="73"/>
      <c r="JFA101" s="73"/>
      <c r="JFB101" s="73"/>
      <c r="JFC101" s="73"/>
      <c r="JFD101" s="73"/>
      <c r="JFE101" s="73"/>
      <c r="JFF101" s="73"/>
      <c r="JFG101" s="73"/>
      <c r="JFH101" s="73"/>
      <c r="JFI101" s="73"/>
      <c r="JFJ101" s="73"/>
      <c r="JFK101" s="73"/>
      <c r="JFL101" s="73"/>
      <c r="JFM101" s="73"/>
      <c r="JFN101" s="73"/>
      <c r="JFO101" s="73"/>
      <c r="JFP101" s="73"/>
      <c r="JFQ101" s="73"/>
      <c r="JFR101" s="73"/>
      <c r="JFS101" s="73"/>
      <c r="JFT101" s="73"/>
      <c r="JFU101" s="73"/>
      <c r="JFV101" s="73"/>
      <c r="JFW101" s="73"/>
      <c r="JFX101" s="73"/>
      <c r="JFY101" s="73"/>
      <c r="JFZ101" s="73"/>
      <c r="JGA101" s="73"/>
      <c r="JGB101" s="73"/>
      <c r="JGC101" s="73"/>
      <c r="JGD101" s="73"/>
      <c r="JGE101" s="73"/>
      <c r="JGF101" s="73"/>
      <c r="JGG101" s="73"/>
      <c r="JGH101" s="73"/>
      <c r="JGI101" s="73"/>
      <c r="JGJ101" s="73"/>
      <c r="JGK101" s="73"/>
      <c r="JGL101" s="73"/>
      <c r="JGM101" s="73"/>
      <c r="JGN101" s="73"/>
      <c r="JGO101" s="73"/>
      <c r="JGP101" s="73"/>
      <c r="JGQ101" s="73"/>
      <c r="JGR101" s="73"/>
      <c r="JGS101" s="73"/>
      <c r="JGT101" s="73"/>
      <c r="JGU101" s="73"/>
      <c r="JGV101" s="73"/>
      <c r="JGW101" s="73"/>
      <c r="JGX101" s="73"/>
      <c r="JGY101" s="73"/>
      <c r="JGZ101" s="73"/>
      <c r="JHA101" s="73"/>
      <c r="JHB101" s="73"/>
      <c r="JHC101" s="73"/>
      <c r="JHD101" s="73"/>
      <c r="JHE101" s="73"/>
      <c r="JHF101" s="73"/>
      <c r="JHG101" s="73"/>
      <c r="JHH101" s="73"/>
      <c r="JHI101" s="73"/>
      <c r="JHJ101" s="73"/>
      <c r="JHK101" s="73"/>
      <c r="JHL101" s="73"/>
      <c r="JHM101" s="73"/>
      <c r="JHN101" s="73"/>
      <c r="JHO101" s="73"/>
      <c r="JHP101" s="73"/>
      <c r="JHQ101" s="73"/>
      <c r="JHR101" s="73"/>
      <c r="JHS101" s="73"/>
      <c r="JHT101" s="73"/>
      <c r="JHU101" s="73"/>
      <c r="JHV101" s="73"/>
      <c r="JHW101" s="73"/>
      <c r="JHX101" s="73"/>
      <c r="JHY101" s="73"/>
      <c r="JHZ101" s="73"/>
      <c r="JIA101" s="73"/>
      <c r="JIB101" s="73"/>
      <c r="JIC101" s="73"/>
      <c r="JID101" s="73"/>
      <c r="JIE101" s="73"/>
      <c r="JIF101" s="73"/>
      <c r="JIG101" s="73"/>
      <c r="JIH101" s="73"/>
      <c r="JII101" s="73"/>
      <c r="JIJ101" s="73"/>
      <c r="JIK101" s="73"/>
      <c r="JIL101" s="73"/>
      <c r="JIM101" s="73"/>
      <c r="JIN101" s="73"/>
      <c r="JIO101" s="73"/>
      <c r="JIP101" s="73"/>
      <c r="JIQ101" s="73"/>
      <c r="JIR101" s="73"/>
      <c r="JIS101" s="73"/>
      <c r="JIT101" s="73"/>
      <c r="JIU101" s="73"/>
      <c r="JIV101" s="73"/>
      <c r="JIW101" s="73"/>
      <c r="JIX101" s="73"/>
      <c r="JIY101" s="73"/>
      <c r="JIZ101" s="73"/>
      <c r="JJA101" s="73"/>
      <c r="JJB101" s="73"/>
      <c r="JJC101" s="73"/>
      <c r="JJD101" s="73"/>
      <c r="JJE101" s="73"/>
      <c r="JJF101" s="73"/>
      <c r="JJG101" s="73"/>
      <c r="JJH101" s="73"/>
      <c r="JJI101" s="73"/>
      <c r="JJJ101" s="73"/>
      <c r="JJK101" s="73"/>
      <c r="JJL101" s="73"/>
      <c r="JJM101" s="73"/>
      <c r="JJN101" s="73"/>
      <c r="JJO101" s="73"/>
      <c r="JJP101" s="73"/>
      <c r="JJQ101" s="73"/>
      <c r="JJR101" s="73"/>
      <c r="JJS101" s="73"/>
      <c r="JJT101" s="73"/>
      <c r="JJU101" s="73"/>
      <c r="JJV101" s="73"/>
      <c r="JJW101" s="73"/>
      <c r="JJX101" s="73"/>
      <c r="JJY101" s="73"/>
      <c r="JJZ101" s="73"/>
      <c r="JKA101" s="73"/>
      <c r="JKB101" s="73"/>
      <c r="JKC101" s="73"/>
      <c r="JKD101" s="73"/>
      <c r="JKE101" s="73"/>
      <c r="JKF101" s="73"/>
      <c r="JKG101" s="73"/>
      <c r="JKH101" s="73"/>
      <c r="JKI101" s="73"/>
      <c r="JKJ101" s="73"/>
      <c r="JKK101" s="73"/>
      <c r="JKL101" s="73"/>
      <c r="JKM101" s="73"/>
      <c r="JKN101" s="73"/>
      <c r="JKO101" s="73"/>
      <c r="JKP101" s="73"/>
      <c r="JKQ101" s="73"/>
      <c r="JKR101" s="73"/>
      <c r="JKS101" s="73"/>
      <c r="JKT101" s="73"/>
      <c r="JKU101" s="73"/>
      <c r="JKV101" s="73"/>
      <c r="JKW101" s="73"/>
      <c r="JKX101" s="73"/>
      <c r="JKY101" s="73"/>
      <c r="JKZ101" s="73"/>
      <c r="JLA101" s="73"/>
      <c r="JLB101" s="73"/>
      <c r="JLC101" s="73"/>
      <c r="JLD101" s="73"/>
      <c r="JLE101" s="73"/>
      <c r="JLF101" s="73"/>
      <c r="JLG101" s="73"/>
      <c r="JLH101" s="73"/>
      <c r="JLI101" s="73"/>
      <c r="JLJ101" s="73"/>
      <c r="JLK101" s="73"/>
      <c r="JLL101" s="73"/>
      <c r="JLM101" s="73"/>
      <c r="JLN101" s="73"/>
      <c r="JLO101" s="73"/>
      <c r="JLP101" s="73"/>
      <c r="JLQ101" s="73"/>
      <c r="JLR101" s="73"/>
      <c r="JLS101" s="73"/>
      <c r="JLT101" s="73"/>
      <c r="JLU101" s="73"/>
      <c r="JLV101" s="73"/>
      <c r="JLW101" s="73"/>
      <c r="JLX101" s="73"/>
      <c r="JLY101" s="73"/>
      <c r="JLZ101" s="73"/>
      <c r="JMA101" s="73"/>
      <c r="JMB101" s="73"/>
      <c r="JMC101" s="73"/>
      <c r="JMD101" s="73"/>
      <c r="JME101" s="73"/>
      <c r="JMF101" s="73"/>
      <c r="JMG101" s="73"/>
      <c r="JMH101" s="73"/>
      <c r="JMI101" s="73"/>
      <c r="JMJ101" s="73"/>
      <c r="JMK101" s="73"/>
      <c r="JML101" s="73"/>
      <c r="JMM101" s="73"/>
      <c r="JMN101" s="73"/>
      <c r="JMO101" s="73"/>
      <c r="JMP101" s="73"/>
      <c r="JMQ101" s="73"/>
      <c r="JMR101" s="73"/>
      <c r="JMS101" s="73"/>
      <c r="JMT101" s="73"/>
      <c r="JMU101" s="73"/>
      <c r="JMV101" s="73"/>
      <c r="JMW101" s="73"/>
      <c r="JMX101" s="73"/>
      <c r="JMY101" s="73"/>
      <c r="JMZ101" s="73"/>
      <c r="JNA101" s="73"/>
      <c r="JNB101" s="73"/>
      <c r="JNC101" s="73"/>
      <c r="JND101" s="73"/>
      <c r="JNE101" s="73"/>
      <c r="JNF101" s="73"/>
      <c r="JNG101" s="73"/>
      <c r="JNH101" s="73"/>
      <c r="JNI101" s="73"/>
      <c r="JNJ101" s="73"/>
      <c r="JNK101" s="73"/>
      <c r="JNL101" s="73"/>
      <c r="JNM101" s="73"/>
      <c r="JNN101" s="73"/>
      <c r="JNO101" s="73"/>
      <c r="JNP101" s="73"/>
      <c r="JNQ101" s="73"/>
      <c r="JNR101" s="73"/>
      <c r="JNS101" s="73"/>
      <c r="JNT101" s="73"/>
      <c r="JNU101" s="73"/>
      <c r="JNV101" s="73"/>
      <c r="JNW101" s="73"/>
      <c r="JNX101" s="73"/>
      <c r="JNY101" s="73"/>
      <c r="JNZ101" s="73"/>
      <c r="JOA101" s="73"/>
      <c r="JOB101" s="73"/>
      <c r="JOC101" s="73"/>
      <c r="JOD101" s="73"/>
      <c r="JOE101" s="73"/>
      <c r="JOF101" s="73"/>
      <c r="JOG101" s="73"/>
      <c r="JOH101" s="73"/>
      <c r="JOI101" s="73"/>
      <c r="JOJ101" s="73"/>
      <c r="JOK101" s="73"/>
      <c r="JOL101" s="73"/>
      <c r="JOM101" s="73"/>
      <c r="JON101" s="73"/>
      <c r="JOO101" s="73"/>
      <c r="JOP101" s="73"/>
      <c r="JOQ101" s="73"/>
      <c r="JOR101" s="73"/>
      <c r="JOS101" s="73"/>
      <c r="JOT101" s="73"/>
      <c r="JOU101" s="73"/>
      <c r="JOV101" s="73"/>
      <c r="JOW101" s="73"/>
      <c r="JOX101" s="73"/>
      <c r="JOY101" s="73"/>
      <c r="JOZ101" s="73"/>
      <c r="JPA101" s="73"/>
      <c r="JPB101" s="73"/>
      <c r="JPC101" s="73"/>
      <c r="JPD101" s="73"/>
      <c r="JPE101" s="73"/>
      <c r="JPF101" s="73"/>
      <c r="JPG101" s="73"/>
      <c r="JPH101" s="73"/>
      <c r="JPI101" s="73"/>
      <c r="JPJ101" s="73"/>
      <c r="JPK101" s="73"/>
      <c r="JPL101" s="73"/>
      <c r="JPM101" s="73"/>
      <c r="JPN101" s="73"/>
      <c r="JPO101" s="73"/>
      <c r="JPP101" s="73"/>
      <c r="JPQ101" s="73"/>
      <c r="JPR101" s="73"/>
      <c r="JPS101" s="73"/>
      <c r="JPT101" s="73"/>
      <c r="JPU101" s="73"/>
      <c r="JPV101" s="73"/>
      <c r="JPW101" s="73"/>
      <c r="JPX101" s="73"/>
      <c r="JPY101" s="73"/>
      <c r="JPZ101" s="73"/>
      <c r="JQA101" s="73"/>
      <c r="JQB101" s="73"/>
      <c r="JQC101" s="73"/>
      <c r="JQD101" s="73"/>
      <c r="JQE101" s="73"/>
      <c r="JQF101" s="73"/>
      <c r="JQG101" s="73"/>
      <c r="JQH101" s="73"/>
      <c r="JQI101" s="73"/>
      <c r="JQJ101" s="73"/>
      <c r="JQK101" s="73"/>
      <c r="JQL101" s="73"/>
      <c r="JQM101" s="73"/>
      <c r="JQN101" s="73"/>
      <c r="JQO101" s="73"/>
      <c r="JQP101" s="73"/>
      <c r="JQQ101" s="73"/>
      <c r="JQR101" s="73"/>
      <c r="JQS101" s="73"/>
      <c r="JQT101" s="73"/>
      <c r="JQU101" s="73"/>
      <c r="JQV101" s="73"/>
      <c r="JQW101" s="73"/>
      <c r="JQX101" s="73"/>
      <c r="JQY101" s="73"/>
      <c r="JQZ101" s="73"/>
      <c r="JRA101" s="73"/>
      <c r="JRB101" s="73"/>
      <c r="JRC101" s="73"/>
      <c r="JRD101" s="73"/>
      <c r="JRE101" s="73"/>
      <c r="JRF101" s="73"/>
      <c r="JRG101" s="73"/>
      <c r="JRH101" s="73"/>
      <c r="JRI101" s="73"/>
      <c r="JRJ101" s="73"/>
      <c r="JRK101" s="73"/>
      <c r="JRL101" s="73"/>
      <c r="JRM101" s="73"/>
      <c r="JRN101" s="73"/>
      <c r="JRO101" s="73"/>
      <c r="JRP101" s="73"/>
      <c r="JRQ101" s="73"/>
      <c r="JRR101" s="73"/>
      <c r="JRS101" s="73"/>
      <c r="JRT101" s="73"/>
      <c r="JRU101" s="73"/>
      <c r="JRV101" s="73"/>
      <c r="JRW101" s="73"/>
      <c r="JRX101" s="73"/>
      <c r="JRY101" s="73"/>
      <c r="JRZ101" s="73"/>
      <c r="JSA101" s="73"/>
      <c r="JSB101" s="73"/>
      <c r="JSC101" s="73"/>
      <c r="JSD101" s="73"/>
      <c r="JSE101" s="73"/>
      <c r="JSF101" s="73"/>
      <c r="JSG101" s="73"/>
      <c r="JSH101" s="73"/>
      <c r="JSI101" s="73"/>
      <c r="JSJ101" s="73"/>
      <c r="JSK101" s="73"/>
      <c r="JSL101" s="73"/>
      <c r="JSM101" s="73"/>
      <c r="JSN101" s="73"/>
      <c r="JSO101" s="73"/>
      <c r="JSP101" s="73"/>
      <c r="JSQ101" s="73"/>
      <c r="JSR101" s="73"/>
      <c r="JSS101" s="73"/>
      <c r="JST101" s="73"/>
      <c r="JSU101" s="73"/>
      <c r="JSV101" s="73"/>
      <c r="JSW101" s="73"/>
      <c r="JSX101" s="73"/>
      <c r="JSY101" s="73"/>
      <c r="JSZ101" s="73"/>
      <c r="JTA101" s="73"/>
      <c r="JTB101" s="73"/>
      <c r="JTC101" s="73"/>
      <c r="JTD101" s="73"/>
      <c r="JTE101" s="73"/>
      <c r="JTF101" s="73"/>
      <c r="JTG101" s="73"/>
      <c r="JTH101" s="73"/>
      <c r="JTI101" s="73"/>
      <c r="JTJ101" s="73"/>
      <c r="JTK101" s="73"/>
      <c r="JTL101" s="73"/>
      <c r="JTM101" s="73"/>
      <c r="JTN101" s="73"/>
      <c r="JTO101" s="73"/>
      <c r="JTP101" s="73"/>
      <c r="JTQ101" s="73"/>
      <c r="JTR101" s="73"/>
      <c r="JTS101" s="73"/>
      <c r="JTT101" s="73"/>
      <c r="JTU101" s="73"/>
      <c r="JTV101" s="73"/>
      <c r="JTW101" s="73"/>
      <c r="JTX101" s="73"/>
      <c r="JTY101" s="73"/>
      <c r="JTZ101" s="73"/>
      <c r="JUA101" s="73"/>
      <c r="JUB101" s="73"/>
      <c r="JUC101" s="73"/>
      <c r="JUD101" s="73"/>
      <c r="JUE101" s="73"/>
      <c r="JUF101" s="73"/>
      <c r="JUG101" s="73"/>
      <c r="JUH101" s="73"/>
      <c r="JUI101" s="73"/>
      <c r="JUJ101" s="73"/>
      <c r="JUK101" s="73"/>
      <c r="JUL101" s="73"/>
      <c r="JUM101" s="73"/>
      <c r="JUN101" s="73"/>
      <c r="JUO101" s="73"/>
      <c r="JUP101" s="73"/>
      <c r="JUQ101" s="73"/>
      <c r="JUR101" s="73"/>
      <c r="JUS101" s="73"/>
      <c r="JUT101" s="73"/>
      <c r="JUU101" s="73"/>
      <c r="JUV101" s="73"/>
      <c r="JUW101" s="73"/>
      <c r="JUX101" s="73"/>
      <c r="JUY101" s="73"/>
      <c r="JUZ101" s="73"/>
      <c r="JVA101" s="73"/>
      <c r="JVB101" s="73"/>
      <c r="JVC101" s="73"/>
      <c r="JVD101" s="73"/>
      <c r="JVE101" s="73"/>
      <c r="JVF101" s="73"/>
      <c r="JVG101" s="73"/>
      <c r="JVH101" s="73"/>
      <c r="JVI101" s="73"/>
      <c r="JVJ101" s="73"/>
      <c r="JVK101" s="73"/>
      <c r="JVL101" s="73"/>
      <c r="JVM101" s="73"/>
      <c r="JVN101" s="73"/>
      <c r="JVO101" s="73"/>
      <c r="JVP101" s="73"/>
      <c r="JVQ101" s="73"/>
      <c r="JVR101" s="73"/>
      <c r="JVS101" s="73"/>
      <c r="JVT101" s="73"/>
      <c r="JVU101" s="73"/>
      <c r="JVV101" s="73"/>
      <c r="JVW101" s="73"/>
      <c r="JVX101" s="73"/>
      <c r="JVY101" s="73"/>
      <c r="JVZ101" s="73"/>
      <c r="JWA101" s="73"/>
      <c r="JWB101" s="73"/>
      <c r="JWC101" s="73"/>
      <c r="JWD101" s="73"/>
      <c r="JWE101" s="73"/>
      <c r="JWF101" s="73"/>
      <c r="JWG101" s="73"/>
      <c r="JWH101" s="73"/>
      <c r="JWI101" s="73"/>
      <c r="JWJ101" s="73"/>
      <c r="JWK101" s="73"/>
      <c r="JWL101" s="73"/>
      <c r="JWM101" s="73"/>
      <c r="JWN101" s="73"/>
      <c r="JWO101" s="73"/>
      <c r="JWP101" s="73"/>
      <c r="JWQ101" s="73"/>
      <c r="JWR101" s="73"/>
      <c r="JWS101" s="73"/>
      <c r="JWT101" s="73"/>
      <c r="JWU101" s="73"/>
      <c r="JWV101" s="73"/>
      <c r="JWW101" s="73"/>
      <c r="JWX101" s="73"/>
      <c r="JWY101" s="73"/>
      <c r="JWZ101" s="73"/>
      <c r="JXA101" s="73"/>
      <c r="JXB101" s="73"/>
      <c r="JXC101" s="73"/>
      <c r="JXD101" s="73"/>
      <c r="JXE101" s="73"/>
      <c r="JXF101" s="73"/>
      <c r="JXG101" s="73"/>
      <c r="JXH101" s="73"/>
      <c r="JXI101" s="73"/>
      <c r="JXJ101" s="73"/>
      <c r="JXK101" s="73"/>
      <c r="JXL101" s="73"/>
      <c r="JXM101" s="73"/>
      <c r="JXN101" s="73"/>
      <c r="JXO101" s="73"/>
      <c r="JXP101" s="73"/>
      <c r="JXQ101" s="73"/>
      <c r="JXR101" s="73"/>
      <c r="JXS101" s="73"/>
      <c r="JXT101" s="73"/>
      <c r="JXU101" s="73"/>
      <c r="JXV101" s="73"/>
      <c r="JXW101" s="73"/>
      <c r="JXX101" s="73"/>
      <c r="JXY101" s="73"/>
      <c r="JXZ101" s="73"/>
      <c r="JYA101" s="73"/>
      <c r="JYB101" s="73"/>
      <c r="JYC101" s="73"/>
      <c r="JYD101" s="73"/>
      <c r="JYE101" s="73"/>
      <c r="JYF101" s="73"/>
      <c r="JYG101" s="73"/>
      <c r="JYH101" s="73"/>
      <c r="JYI101" s="73"/>
      <c r="JYJ101" s="73"/>
      <c r="JYK101" s="73"/>
      <c r="JYL101" s="73"/>
      <c r="JYM101" s="73"/>
      <c r="JYN101" s="73"/>
      <c r="JYO101" s="73"/>
      <c r="JYP101" s="73"/>
      <c r="JYQ101" s="73"/>
      <c r="JYR101" s="73"/>
      <c r="JYS101" s="73"/>
      <c r="JYT101" s="73"/>
      <c r="JYU101" s="73"/>
      <c r="JYV101" s="73"/>
      <c r="JYW101" s="73"/>
      <c r="JYX101" s="73"/>
      <c r="JYY101" s="73"/>
      <c r="JYZ101" s="73"/>
      <c r="JZA101" s="73"/>
      <c r="JZB101" s="73"/>
      <c r="JZC101" s="73"/>
      <c r="JZD101" s="73"/>
      <c r="JZE101" s="73"/>
      <c r="JZF101" s="73"/>
      <c r="JZG101" s="73"/>
      <c r="JZH101" s="73"/>
      <c r="JZI101" s="73"/>
      <c r="JZJ101" s="73"/>
      <c r="JZK101" s="73"/>
      <c r="JZL101" s="73"/>
      <c r="JZM101" s="73"/>
      <c r="JZN101" s="73"/>
      <c r="JZO101" s="73"/>
      <c r="JZP101" s="73"/>
      <c r="JZQ101" s="73"/>
      <c r="JZR101" s="73"/>
      <c r="JZS101" s="73"/>
      <c r="JZT101" s="73"/>
      <c r="JZU101" s="73"/>
      <c r="JZV101" s="73"/>
      <c r="JZW101" s="73"/>
      <c r="JZX101" s="73"/>
      <c r="JZY101" s="73"/>
      <c r="JZZ101" s="73"/>
      <c r="KAA101" s="73"/>
      <c r="KAB101" s="73"/>
      <c r="KAC101" s="73"/>
      <c r="KAD101" s="73"/>
      <c r="KAE101" s="73"/>
      <c r="KAF101" s="73"/>
      <c r="KAG101" s="73"/>
      <c r="KAH101" s="73"/>
      <c r="KAI101" s="73"/>
      <c r="KAJ101" s="73"/>
      <c r="KAK101" s="73"/>
      <c r="KAL101" s="73"/>
      <c r="KAM101" s="73"/>
      <c r="KAN101" s="73"/>
      <c r="KAO101" s="73"/>
      <c r="KAP101" s="73"/>
      <c r="KAQ101" s="73"/>
      <c r="KAR101" s="73"/>
      <c r="KAS101" s="73"/>
      <c r="KAT101" s="73"/>
      <c r="KAU101" s="73"/>
      <c r="KAV101" s="73"/>
      <c r="KAW101" s="73"/>
      <c r="KAX101" s="73"/>
      <c r="KAY101" s="73"/>
      <c r="KAZ101" s="73"/>
      <c r="KBA101" s="73"/>
      <c r="KBB101" s="73"/>
      <c r="KBC101" s="73"/>
      <c r="KBD101" s="73"/>
      <c r="KBE101" s="73"/>
      <c r="KBF101" s="73"/>
      <c r="KBG101" s="73"/>
      <c r="KBH101" s="73"/>
      <c r="KBI101" s="73"/>
      <c r="KBJ101" s="73"/>
      <c r="KBK101" s="73"/>
      <c r="KBL101" s="73"/>
      <c r="KBM101" s="73"/>
      <c r="KBN101" s="73"/>
      <c r="KBO101" s="73"/>
      <c r="KBP101" s="73"/>
      <c r="KBQ101" s="73"/>
      <c r="KBR101" s="73"/>
      <c r="KBS101" s="73"/>
      <c r="KBT101" s="73"/>
      <c r="KBU101" s="73"/>
      <c r="KBV101" s="73"/>
      <c r="KBW101" s="73"/>
      <c r="KBX101" s="73"/>
      <c r="KBY101" s="73"/>
      <c r="KBZ101" s="73"/>
      <c r="KCA101" s="73"/>
      <c r="KCB101" s="73"/>
      <c r="KCC101" s="73"/>
      <c r="KCD101" s="73"/>
      <c r="KCE101" s="73"/>
      <c r="KCF101" s="73"/>
      <c r="KCG101" s="73"/>
      <c r="KCH101" s="73"/>
      <c r="KCI101" s="73"/>
      <c r="KCJ101" s="73"/>
      <c r="KCK101" s="73"/>
      <c r="KCL101" s="73"/>
      <c r="KCM101" s="73"/>
      <c r="KCN101" s="73"/>
      <c r="KCO101" s="73"/>
      <c r="KCP101" s="73"/>
      <c r="KCQ101" s="73"/>
      <c r="KCR101" s="73"/>
      <c r="KCS101" s="73"/>
      <c r="KCT101" s="73"/>
      <c r="KCU101" s="73"/>
      <c r="KCV101" s="73"/>
      <c r="KCW101" s="73"/>
      <c r="KCX101" s="73"/>
      <c r="KCY101" s="73"/>
      <c r="KCZ101" s="73"/>
      <c r="KDA101" s="73"/>
      <c r="KDB101" s="73"/>
      <c r="KDC101" s="73"/>
      <c r="KDD101" s="73"/>
      <c r="KDE101" s="73"/>
      <c r="KDF101" s="73"/>
      <c r="KDG101" s="73"/>
      <c r="KDH101" s="73"/>
      <c r="KDI101" s="73"/>
      <c r="KDJ101" s="73"/>
      <c r="KDK101" s="73"/>
      <c r="KDL101" s="73"/>
      <c r="KDM101" s="73"/>
      <c r="KDN101" s="73"/>
      <c r="KDO101" s="73"/>
      <c r="KDP101" s="73"/>
      <c r="KDQ101" s="73"/>
      <c r="KDR101" s="73"/>
      <c r="KDS101" s="73"/>
      <c r="KDT101" s="73"/>
      <c r="KDU101" s="73"/>
      <c r="KDV101" s="73"/>
      <c r="KDW101" s="73"/>
      <c r="KDX101" s="73"/>
      <c r="KDY101" s="73"/>
      <c r="KDZ101" s="73"/>
      <c r="KEA101" s="73"/>
      <c r="KEB101" s="73"/>
      <c r="KEC101" s="73"/>
      <c r="KED101" s="73"/>
      <c r="KEE101" s="73"/>
      <c r="KEF101" s="73"/>
      <c r="KEG101" s="73"/>
      <c r="KEH101" s="73"/>
      <c r="KEI101" s="73"/>
      <c r="KEJ101" s="73"/>
      <c r="KEK101" s="73"/>
      <c r="KEL101" s="73"/>
      <c r="KEM101" s="73"/>
      <c r="KEN101" s="73"/>
      <c r="KEO101" s="73"/>
      <c r="KEP101" s="73"/>
      <c r="KEQ101" s="73"/>
      <c r="KER101" s="73"/>
      <c r="KES101" s="73"/>
      <c r="KET101" s="73"/>
      <c r="KEU101" s="73"/>
      <c r="KEV101" s="73"/>
      <c r="KEW101" s="73"/>
      <c r="KEX101" s="73"/>
      <c r="KEY101" s="73"/>
      <c r="KEZ101" s="73"/>
      <c r="KFA101" s="73"/>
      <c r="KFB101" s="73"/>
      <c r="KFC101" s="73"/>
      <c r="KFD101" s="73"/>
      <c r="KFE101" s="73"/>
      <c r="KFF101" s="73"/>
      <c r="KFG101" s="73"/>
      <c r="KFH101" s="73"/>
      <c r="KFI101" s="73"/>
      <c r="KFJ101" s="73"/>
      <c r="KFK101" s="73"/>
      <c r="KFL101" s="73"/>
      <c r="KFM101" s="73"/>
      <c r="KFN101" s="73"/>
      <c r="KFO101" s="73"/>
      <c r="KFP101" s="73"/>
      <c r="KFQ101" s="73"/>
      <c r="KFR101" s="73"/>
      <c r="KFS101" s="73"/>
      <c r="KFT101" s="73"/>
      <c r="KFU101" s="73"/>
      <c r="KFV101" s="73"/>
      <c r="KFW101" s="73"/>
      <c r="KFX101" s="73"/>
      <c r="KFY101" s="73"/>
      <c r="KFZ101" s="73"/>
      <c r="KGA101" s="73"/>
      <c r="KGB101" s="73"/>
      <c r="KGC101" s="73"/>
      <c r="KGD101" s="73"/>
      <c r="KGE101" s="73"/>
      <c r="KGF101" s="73"/>
      <c r="KGG101" s="73"/>
      <c r="KGH101" s="73"/>
      <c r="KGI101" s="73"/>
      <c r="KGJ101" s="73"/>
      <c r="KGK101" s="73"/>
      <c r="KGL101" s="73"/>
      <c r="KGM101" s="73"/>
      <c r="KGN101" s="73"/>
      <c r="KGO101" s="73"/>
      <c r="KGP101" s="73"/>
      <c r="KGQ101" s="73"/>
      <c r="KGR101" s="73"/>
      <c r="KGS101" s="73"/>
      <c r="KGT101" s="73"/>
      <c r="KGU101" s="73"/>
      <c r="KGV101" s="73"/>
      <c r="KGW101" s="73"/>
      <c r="KGX101" s="73"/>
      <c r="KGY101" s="73"/>
      <c r="KGZ101" s="73"/>
      <c r="KHA101" s="73"/>
      <c r="KHB101" s="73"/>
      <c r="KHC101" s="73"/>
      <c r="KHD101" s="73"/>
      <c r="KHE101" s="73"/>
      <c r="KHF101" s="73"/>
      <c r="KHG101" s="73"/>
      <c r="KHH101" s="73"/>
      <c r="KHI101" s="73"/>
      <c r="KHJ101" s="73"/>
      <c r="KHK101" s="73"/>
      <c r="KHL101" s="73"/>
      <c r="KHM101" s="73"/>
      <c r="KHN101" s="73"/>
      <c r="KHO101" s="73"/>
      <c r="KHP101" s="73"/>
      <c r="KHQ101" s="73"/>
      <c r="KHR101" s="73"/>
      <c r="KHS101" s="73"/>
      <c r="KHT101" s="73"/>
      <c r="KHU101" s="73"/>
      <c r="KHV101" s="73"/>
      <c r="KHW101" s="73"/>
      <c r="KHX101" s="73"/>
      <c r="KHY101" s="73"/>
      <c r="KHZ101" s="73"/>
      <c r="KIA101" s="73"/>
      <c r="KIB101" s="73"/>
      <c r="KIC101" s="73"/>
      <c r="KID101" s="73"/>
      <c r="KIE101" s="73"/>
      <c r="KIF101" s="73"/>
      <c r="KIG101" s="73"/>
      <c r="KIH101" s="73"/>
      <c r="KII101" s="73"/>
      <c r="KIJ101" s="73"/>
      <c r="KIK101" s="73"/>
      <c r="KIL101" s="73"/>
      <c r="KIM101" s="73"/>
      <c r="KIN101" s="73"/>
      <c r="KIO101" s="73"/>
      <c r="KIP101" s="73"/>
      <c r="KIQ101" s="73"/>
      <c r="KIR101" s="73"/>
      <c r="KIS101" s="73"/>
      <c r="KIT101" s="73"/>
      <c r="KIU101" s="73"/>
      <c r="KIV101" s="73"/>
      <c r="KIW101" s="73"/>
      <c r="KIX101" s="73"/>
      <c r="KIY101" s="73"/>
      <c r="KIZ101" s="73"/>
      <c r="KJA101" s="73"/>
      <c r="KJB101" s="73"/>
      <c r="KJC101" s="73"/>
      <c r="KJD101" s="73"/>
      <c r="KJE101" s="73"/>
      <c r="KJF101" s="73"/>
      <c r="KJG101" s="73"/>
      <c r="KJH101" s="73"/>
      <c r="KJI101" s="73"/>
      <c r="KJJ101" s="73"/>
      <c r="KJK101" s="73"/>
      <c r="KJL101" s="73"/>
      <c r="KJM101" s="73"/>
      <c r="KJN101" s="73"/>
      <c r="KJO101" s="73"/>
      <c r="KJP101" s="73"/>
      <c r="KJQ101" s="73"/>
      <c r="KJR101" s="73"/>
      <c r="KJS101" s="73"/>
      <c r="KJT101" s="73"/>
      <c r="KJU101" s="73"/>
      <c r="KJV101" s="73"/>
      <c r="KJW101" s="73"/>
      <c r="KJX101" s="73"/>
      <c r="KJY101" s="73"/>
      <c r="KJZ101" s="73"/>
      <c r="KKA101" s="73"/>
      <c r="KKB101" s="73"/>
      <c r="KKC101" s="73"/>
      <c r="KKD101" s="73"/>
      <c r="KKE101" s="73"/>
      <c r="KKF101" s="73"/>
      <c r="KKG101" s="73"/>
      <c r="KKH101" s="73"/>
      <c r="KKI101" s="73"/>
      <c r="KKJ101" s="73"/>
      <c r="KKK101" s="73"/>
      <c r="KKL101" s="73"/>
      <c r="KKM101" s="73"/>
      <c r="KKN101" s="73"/>
      <c r="KKO101" s="73"/>
      <c r="KKP101" s="73"/>
      <c r="KKQ101" s="73"/>
      <c r="KKR101" s="73"/>
      <c r="KKS101" s="73"/>
      <c r="KKT101" s="73"/>
      <c r="KKU101" s="73"/>
      <c r="KKV101" s="73"/>
      <c r="KKW101" s="73"/>
      <c r="KKX101" s="73"/>
      <c r="KKY101" s="73"/>
      <c r="KKZ101" s="73"/>
      <c r="KLA101" s="73"/>
      <c r="KLB101" s="73"/>
      <c r="KLC101" s="73"/>
      <c r="KLD101" s="73"/>
      <c r="KLE101" s="73"/>
      <c r="KLF101" s="73"/>
      <c r="KLG101" s="73"/>
      <c r="KLH101" s="73"/>
      <c r="KLI101" s="73"/>
      <c r="KLJ101" s="73"/>
      <c r="KLK101" s="73"/>
      <c r="KLL101" s="73"/>
      <c r="KLM101" s="73"/>
      <c r="KLN101" s="73"/>
      <c r="KLO101" s="73"/>
      <c r="KLP101" s="73"/>
      <c r="KLQ101" s="73"/>
      <c r="KLR101" s="73"/>
      <c r="KLS101" s="73"/>
      <c r="KLT101" s="73"/>
      <c r="KLU101" s="73"/>
      <c r="KLV101" s="73"/>
      <c r="KLW101" s="73"/>
      <c r="KLX101" s="73"/>
      <c r="KLY101" s="73"/>
      <c r="KLZ101" s="73"/>
      <c r="KMA101" s="73"/>
      <c r="KMB101" s="73"/>
      <c r="KMC101" s="73"/>
      <c r="KMD101" s="73"/>
      <c r="KME101" s="73"/>
      <c r="KMF101" s="73"/>
      <c r="KMG101" s="73"/>
      <c r="KMH101" s="73"/>
      <c r="KMI101" s="73"/>
      <c r="KMJ101" s="73"/>
      <c r="KMK101" s="73"/>
      <c r="KML101" s="73"/>
      <c r="KMM101" s="73"/>
      <c r="KMN101" s="73"/>
      <c r="KMO101" s="73"/>
      <c r="KMP101" s="73"/>
      <c r="KMQ101" s="73"/>
      <c r="KMR101" s="73"/>
      <c r="KMS101" s="73"/>
      <c r="KMT101" s="73"/>
      <c r="KMU101" s="73"/>
      <c r="KMV101" s="73"/>
      <c r="KMW101" s="73"/>
      <c r="KMX101" s="73"/>
      <c r="KMY101" s="73"/>
      <c r="KMZ101" s="73"/>
      <c r="KNA101" s="73"/>
      <c r="KNB101" s="73"/>
      <c r="KNC101" s="73"/>
      <c r="KND101" s="73"/>
      <c r="KNE101" s="73"/>
      <c r="KNF101" s="73"/>
      <c r="KNG101" s="73"/>
      <c r="KNH101" s="73"/>
      <c r="KNI101" s="73"/>
      <c r="KNJ101" s="73"/>
      <c r="KNK101" s="73"/>
      <c r="KNL101" s="73"/>
      <c r="KNM101" s="73"/>
      <c r="KNN101" s="73"/>
      <c r="KNO101" s="73"/>
      <c r="KNP101" s="73"/>
      <c r="KNQ101" s="73"/>
      <c r="KNR101" s="73"/>
      <c r="KNS101" s="73"/>
      <c r="KNT101" s="73"/>
      <c r="KNU101" s="73"/>
      <c r="KNV101" s="73"/>
      <c r="KNW101" s="73"/>
      <c r="KNX101" s="73"/>
      <c r="KNY101" s="73"/>
      <c r="KNZ101" s="73"/>
      <c r="KOA101" s="73"/>
      <c r="KOB101" s="73"/>
      <c r="KOC101" s="73"/>
      <c r="KOD101" s="73"/>
      <c r="KOE101" s="73"/>
      <c r="KOF101" s="73"/>
      <c r="KOG101" s="73"/>
      <c r="KOH101" s="73"/>
      <c r="KOI101" s="73"/>
      <c r="KOJ101" s="73"/>
      <c r="KOK101" s="73"/>
      <c r="KOL101" s="73"/>
      <c r="KOM101" s="73"/>
      <c r="KON101" s="73"/>
      <c r="KOO101" s="73"/>
      <c r="KOP101" s="73"/>
      <c r="KOQ101" s="73"/>
      <c r="KOR101" s="73"/>
      <c r="KOS101" s="73"/>
      <c r="KOT101" s="73"/>
      <c r="KOU101" s="73"/>
      <c r="KOV101" s="73"/>
      <c r="KOW101" s="73"/>
      <c r="KOX101" s="73"/>
      <c r="KOY101" s="73"/>
      <c r="KOZ101" s="73"/>
      <c r="KPA101" s="73"/>
      <c r="KPB101" s="73"/>
      <c r="KPC101" s="73"/>
      <c r="KPD101" s="73"/>
      <c r="KPE101" s="73"/>
      <c r="KPF101" s="73"/>
      <c r="KPG101" s="73"/>
      <c r="KPH101" s="73"/>
      <c r="KPI101" s="73"/>
      <c r="KPJ101" s="73"/>
      <c r="KPK101" s="73"/>
      <c r="KPL101" s="73"/>
      <c r="KPM101" s="73"/>
      <c r="KPN101" s="73"/>
      <c r="KPO101" s="73"/>
      <c r="KPP101" s="73"/>
      <c r="KPQ101" s="73"/>
      <c r="KPR101" s="73"/>
      <c r="KPS101" s="73"/>
      <c r="KPT101" s="73"/>
      <c r="KPU101" s="73"/>
      <c r="KPV101" s="73"/>
      <c r="KPW101" s="73"/>
      <c r="KPX101" s="73"/>
      <c r="KPY101" s="73"/>
      <c r="KPZ101" s="73"/>
      <c r="KQA101" s="73"/>
      <c r="KQB101" s="73"/>
      <c r="KQC101" s="73"/>
      <c r="KQD101" s="73"/>
      <c r="KQE101" s="73"/>
      <c r="KQF101" s="73"/>
      <c r="KQG101" s="73"/>
      <c r="KQH101" s="73"/>
      <c r="KQI101" s="73"/>
      <c r="KQJ101" s="73"/>
      <c r="KQK101" s="73"/>
      <c r="KQL101" s="73"/>
      <c r="KQM101" s="73"/>
      <c r="KQN101" s="73"/>
      <c r="KQO101" s="73"/>
      <c r="KQP101" s="73"/>
      <c r="KQQ101" s="73"/>
      <c r="KQR101" s="73"/>
      <c r="KQS101" s="73"/>
      <c r="KQT101" s="73"/>
      <c r="KQU101" s="73"/>
      <c r="KQV101" s="73"/>
      <c r="KQW101" s="73"/>
      <c r="KQX101" s="73"/>
      <c r="KQY101" s="73"/>
      <c r="KQZ101" s="73"/>
      <c r="KRA101" s="73"/>
      <c r="KRB101" s="73"/>
      <c r="KRC101" s="73"/>
      <c r="KRD101" s="73"/>
      <c r="KRE101" s="73"/>
      <c r="KRF101" s="73"/>
      <c r="KRG101" s="73"/>
      <c r="KRH101" s="73"/>
      <c r="KRI101" s="73"/>
      <c r="KRJ101" s="73"/>
      <c r="KRK101" s="73"/>
      <c r="KRL101" s="73"/>
      <c r="KRM101" s="73"/>
      <c r="KRN101" s="73"/>
      <c r="KRO101" s="73"/>
      <c r="KRP101" s="73"/>
      <c r="KRQ101" s="73"/>
      <c r="KRR101" s="73"/>
      <c r="KRS101" s="73"/>
      <c r="KRT101" s="73"/>
      <c r="KRU101" s="73"/>
      <c r="KRV101" s="73"/>
      <c r="KRW101" s="73"/>
      <c r="KRX101" s="73"/>
      <c r="KRY101" s="73"/>
      <c r="KRZ101" s="73"/>
      <c r="KSA101" s="73"/>
      <c r="KSB101" s="73"/>
      <c r="KSC101" s="73"/>
      <c r="KSD101" s="73"/>
      <c r="KSE101" s="73"/>
      <c r="KSF101" s="73"/>
      <c r="KSG101" s="73"/>
      <c r="KSH101" s="73"/>
      <c r="KSI101" s="73"/>
      <c r="KSJ101" s="73"/>
      <c r="KSK101" s="73"/>
      <c r="KSL101" s="73"/>
      <c r="KSM101" s="73"/>
      <c r="KSN101" s="73"/>
      <c r="KSO101" s="73"/>
      <c r="KSP101" s="73"/>
      <c r="KSQ101" s="73"/>
      <c r="KSR101" s="73"/>
      <c r="KSS101" s="73"/>
      <c r="KST101" s="73"/>
      <c r="KSU101" s="73"/>
      <c r="KSV101" s="73"/>
      <c r="KSW101" s="73"/>
      <c r="KSX101" s="73"/>
      <c r="KSY101" s="73"/>
      <c r="KSZ101" s="73"/>
      <c r="KTA101" s="73"/>
      <c r="KTB101" s="73"/>
      <c r="KTC101" s="73"/>
      <c r="KTD101" s="73"/>
      <c r="KTE101" s="73"/>
      <c r="KTF101" s="73"/>
      <c r="KTG101" s="73"/>
      <c r="KTH101" s="73"/>
      <c r="KTI101" s="73"/>
      <c r="KTJ101" s="73"/>
      <c r="KTK101" s="73"/>
      <c r="KTL101" s="73"/>
      <c r="KTM101" s="73"/>
      <c r="KTN101" s="73"/>
      <c r="KTO101" s="73"/>
      <c r="KTP101" s="73"/>
      <c r="KTQ101" s="73"/>
      <c r="KTR101" s="73"/>
      <c r="KTS101" s="73"/>
      <c r="KTT101" s="73"/>
      <c r="KTU101" s="73"/>
      <c r="KTV101" s="73"/>
      <c r="KTW101" s="73"/>
      <c r="KTX101" s="73"/>
      <c r="KTY101" s="73"/>
      <c r="KTZ101" s="73"/>
      <c r="KUA101" s="73"/>
      <c r="KUB101" s="73"/>
      <c r="KUC101" s="73"/>
      <c r="KUD101" s="73"/>
      <c r="KUE101" s="73"/>
      <c r="KUF101" s="73"/>
      <c r="KUG101" s="73"/>
      <c r="KUH101" s="73"/>
      <c r="KUI101" s="73"/>
      <c r="KUJ101" s="73"/>
      <c r="KUK101" s="73"/>
      <c r="KUL101" s="73"/>
      <c r="KUM101" s="73"/>
      <c r="KUN101" s="73"/>
      <c r="KUO101" s="73"/>
      <c r="KUP101" s="73"/>
      <c r="KUQ101" s="73"/>
      <c r="KUR101" s="73"/>
      <c r="KUS101" s="73"/>
      <c r="KUT101" s="73"/>
      <c r="KUU101" s="73"/>
      <c r="KUV101" s="73"/>
      <c r="KUW101" s="73"/>
      <c r="KUX101" s="73"/>
      <c r="KUY101" s="73"/>
      <c r="KUZ101" s="73"/>
      <c r="KVA101" s="73"/>
      <c r="KVB101" s="73"/>
      <c r="KVC101" s="73"/>
      <c r="KVD101" s="73"/>
      <c r="KVE101" s="73"/>
      <c r="KVF101" s="73"/>
      <c r="KVG101" s="73"/>
      <c r="KVH101" s="73"/>
      <c r="KVI101" s="73"/>
      <c r="KVJ101" s="73"/>
      <c r="KVK101" s="73"/>
      <c r="KVL101" s="73"/>
      <c r="KVM101" s="73"/>
      <c r="KVN101" s="73"/>
      <c r="KVO101" s="73"/>
      <c r="KVP101" s="73"/>
      <c r="KVQ101" s="73"/>
      <c r="KVR101" s="73"/>
      <c r="KVS101" s="73"/>
      <c r="KVT101" s="73"/>
      <c r="KVU101" s="73"/>
      <c r="KVV101" s="73"/>
      <c r="KVW101" s="73"/>
      <c r="KVX101" s="73"/>
      <c r="KVY101" s="73"/>
      <c r="KVZ101" s="73"/>
      <c r="KWA101" s="73"/>
      <c r="KWB101" s="73"/>
      <c r="KWC101" s="73"/>
      <c r="KWD101" s="73"/>
      <c r="KWE101" s="73"/>
      <c r="KWF101" s="73"/>
      <c r="KWG101" s="73"/>
      <c r="KWH101" s="73"/>
      <c r="KWI101" s="73"/>
      <c r="KWJ101" s="73"/>
      <c r="KWK101" s="73"/>
      <c r="KWL101" s="73"/>
      <c r="KWM101" s="73"/>
      <c r="KWN101" s="73"/>
      <c r="KWO101" s="73"/>
      <c r="KWP101" s="73"/>
      <c r="KWQ101" s="73"/>
      <c r="KWR101" s="73"/>
      <c r="KWS101" s="73"/>
      <c r="KWT101" s="73"/>
      <c r="KWU101" s="73"/>
      <c r="KWV101" s="73"/>
      <c r="KWW101" s="73"/>
      <c r="KWX101" s="73"/>
      <c r="KWY101" s="73"/>
      <c r="KWZ101" s="73"/>
      <c r="KXA101" s="73"/>
      <c r="KXB101" s="73"/>
      <c r="KXC101" s="73"/>
      <c r="KXD101" s="73"/>
      <c r="KXE101" s="73"/>
      <c r="KXF101" s="73"/>
      <c r="KXG101" s="73"/>
      <c r="KXH101" s="73"/>
      <c r="KXI101" s="73"/>
      <c r="KXJ101" s="73"/>
      <c r="KXK101" s="73"/>
      <c r="KXL101" s="73"/>
      <c r="KXM101" s="73"/>
      <c r="KXN101" s="73"/>
      <c r="KXO101" s="73"/>
      <c r="KXP101" s="73"/>
      <c r="KXQ101" s="73"/>
      <c r="KXR101" s="73"/>
      <c r="KXS101" s="73"/>
      <c r="KXT101" s="73"/>
      <c r="KXU101" s="73"/>
      <c r="KXV101" s="73"/>
      <c r="KXW101" s="73"/>
      <c r="KXX101" s="73"/>
      <c r="KXY101" s="73"/>
      <c r="KXZ101" s="73"/>
      <c r="KYA101" s="73"/>
      <c r="KYB101" s="73"/>
      <c r="KYC101" s="73"/>
      <c r="KYD101" s="73"/>
      <c r="KYE101" s="73"/>
      <c r="KYF101" s="73"/>
      <c r="KYG101" s="73"/>
      <c r="KYH101" s="73"/>
      <c r="KYI101" s="73"/>
      <c r="KYJ101" s="73"/>
      <c r="KYK101" s="73"/>
      <c r="KYL101" s="73"/>
      <c r="KYM101" s="73"/>
      <c r="KYN101" s="73"/>
      <c r="KYO101" s="73"/>
      <c r="KYP101" s="73"/>
      <c r="KYQ101" s="73"/>
      <c r="KYR101" s="73"/>
      <c r="KYS101" s="73"/>
      <c r="KYT101" s="73"/>
      <c r="KYU101" s="73"/>
      <c r="KYV101" s="73"/>
      <c r="KYW101" s="73"/>
      <c r="KYX101" s="73"/>
      <c r="KYY101" s="73"/>
      <c r="KYZ101" s="73"/>
      <c r="KZA101" s="73"/>
      <c r="KZB101" s="73"/>
      <c r="KZC101" s="73"/>
      <c r="KZD101" s="73"/>
      <c r="KZE101" s="73"/>
      <c r="KZF101" s="73"/>
      <c r="KZG101" s="73"/>
      <c r="KZH101" s="73"/>
      <c r="KZI101" s="73"/>
      <c r="KZJ101" s="73"/>
      <c r="KZK101" s="73"/>
      <c r="KZL101" s="73"/>
      <c r="KZM101" s="73"/>
      <c r="KZN101" s="73"/>
      <c r="KZO101" s="73"/>
      <c r="KZP101" s="73"/>
      <c r="KZQ101" s="73"/>
      <c r="KZR101" s="73"/>
      <c r="KZS101" s="73"/>
      <c r="KZT101" s="73"/>
      <c r="KZU101" s="73"/>
      <c r="KZV101" s="73"/>
      <c r="KZW101" s="73"/>
      <c r="KZX101" s="73"/>
      <c r="KZY101" s="73"/>
      <c r="KZZ101" s="73"/>
      <c r="LAA101" s="73"/>
      <c r="LAB101" s="73"/>
      <c r="LAC101" s="73"/>
      <c r="LAD101" s="73"/>
      <c r="LAE101" s="73"/>
      <c r="LAF101" s="73"/>
      <c r="LAG101" s="73"/>
      <c r="LAH101" s="73"/>
      <c r="LAI101" s="73"/>
      <c r="LAJ101" s="73"/>
      <c r="LAK101" s="73"/>
      <c r="LAL101" s="73"/>
      <c r="LAM101" s="73"/>
      <c r="LAN101" s="73"/>
      <c r="LAO101" s="73"/>
      <c r="LAP101" s="73"/>
      <c r="LAQ101" s="73"/>
      <c r="LAR101" s="73"/>
      <c r="LAS101" s="73"/>
      <c r="LAT101" s="73"/>
      <c r="LAU101" s="73"/>
      <c r="LAV101" s="73"/>
      <c r="LAW101" s="73"/>
      <c r="LAX101" s="73"/>
      <c r="LAY101" s="73"/>
      <c r="LAZ101" s="73"/>
      <c r="LBA101" s="73"/>
      <c r="LBB101" s="73"/>
      <c r="LBC101" s="73"/>
      <c r="LBD101" s="73"/>
      <c r="LBE101" s="73"/>
      <c r="LBF101" s="73"/>
      <c r="LBG101" s="73"/>
      <c r="LBH101" s="73"/>
      <c r="LBI101" s="73"/>
      <c r="LBJ101" s="73"/>
      <c r="LBK101" s="73"/>
      <c r="LBL101" s="73"/>
      <c r="LBM101" s="73"/>
      <c r="LBN101" s="73"/>
      <c r="LBO101" s="73"/>
      <c r="LBP101" s="73"/>
      <c r="LBQ101" s="73"/>
      <c r="LBR101" s="73"/>
      <c r="LBS101" s="73"/>
      <c r="LBT101" s="73"/>
      <c r="LBU101" s="73"/>
      <c r="LBV101" s="73"/>
      <c r="LBW101" s="73"/>
      <c r="LBX101" s="73"/>
      <c r="LBY101" s="73"/>
      <c r="LBZ101" s="73"/>
      <c r="LCA101" s="73"/>
      <c r="LCB101" s="73"/>
      <c r="LCC101" s="73"/>
      <c r="LCD101" s="73"/>
      <c r="LCE101" s="73"/>
      <c r="LCF101" s="73"/>
      <c r="LCG101" s="73"/>
      <c r="LCH101" s="73"/>
      <c r="LCI101" s="73"/>
      <c r="LCJ101" s="73"/>
      <c r="LCK101" s="73"/>
      <c r="LCL101" s="73"/>
      <c r="LCM101" s="73"/>
      <c r="LCN101" s="73"/>
      <c r="LCO101" s="73"/>
      <c r="LCP101" s="73"/>
      <c r="LCQ101" s="73"/>
      <c r="LCR101" s="73"/>
      <c r="LCS101" s="73"/>
      <c r="LCT101" s="73"/>
      <c r="LCU101" s="73"/>
      <c r="LCV101" s="73"/>
      <c r="LCW101" s="73"/>
      <c r="LCX101" s="73"/>
      <c r="LCY101" s="73"/>
      <c r="LCZ101" s="73"/>
      <c r="LDA101" s="73"/>
      <c r="LDB101" s="73"/>
      <c r="LDC101" s="73"/>
      <c r="LDD101" s="73"/>
      <c r="LDE101" s="73"/>
      <c r="LDF101" s="73"/>
      <c r="LDG101" s="73"/>
      <c r="LDH101" s="73"/>
      <c r="LDI101" s="73"/>
      <c r="LDJ101" s="73"/>
      <c r="LDK101" s="73"/>
      <c r="LDL101" s="73"/>
      <c r="LDM101" s="73"/>
      <c r="LDN101" s="73"/>
      <c r="LDO101" s="73"/>
      <c r="LDP101" s="73"/>
      <c r="LDQ101" s="73"/>
      <c r="LDR101" s="73"/>
      <c r="LDS101" s="73"/>
      <c r="LDT101" s="73"/>
      <c r="LDU101" s="73"/>
      <c r="LDV101" s="73"/>
      <c r="LDW101" s="73"/>
      <c r="LDX101" s="73"/>
      <c r="LDY101" s="73"/>
      <c r="LDZ101" s="73"/>
      <c r="LEA101" s="73"/>
      <c r="LEB101" s="73"/>
      <c r="LEC101" s="73"/>
      <c r="LED101" s="73"/>
      <c r="LEE101" s="73"/>
      <c r="LEF101" s="73"/>
      <c r="LEG101" s="73"/>
      <c r="LEH101" s="73"/>
      <c r="LEI101" s="73"/>
      <c r="LEJ101" s="73"/>
      <c r="LEK101" s="73"/>
      <c r="LEL101" s="73"/>
      <c r="LEM101" s="73"/>
      <c r="LEN101" s="73"/>
      <c r="LEO101" s="73"/>
      <c r="LEP101" s="73"/>
      <c r="LEQ101" s="73"/>
      <c r="LER101" s="73"/>
      <c r="LES101" s="73"/>
      <c r="LET101" s="73"/>
      <c r="LEU101" s="73"/>
      <c r="LEV101" s="73"/>
      <c r="LEW101" s="73"/>
      <c r="LEX101" s="73"/>
      <c r="LEY101" s="73"/>
      <c r="LEZ101" s="73"/>
      <c r="LFA101" s="73"/>
      <c r="LFB101" s="73"/>
      <c r="LFC101" s="73"/>
      <c r="LFD101" s="73"/>
      <c r="LFE101" s="73"/>
      <c r="LFF101" s="73"/>
      <c r="LFG101" s="73"/>
      <c r="LFH101" s="73"/>
      <c r="LFI101" s="73"/>
      <c r="LFJ101" s="73"/>
      <c r="LFK101" s="73"/>
      <c r="LFL101" s="73"/>
      <c r="LFM101" s="73"/>
      <c r="LFN101" s="73"/>
      <c r="LFO101" s="73"/>
      <c r="LFP101" s="73"/>
      <c r="LFQ101" s="73"/>
      <c r="LFR101" s="73"/>
      <c r="LFS101" s="73"/>
      <c r="LFT101" s="73"/>
      <c r="LFU101" s="73"/>
      <c r="LFV101" s="73"/>
      <c r="LFW101" s="73"/>
      <c r="LFX101" s="73"/>
      <c r="LFY101" s="73"/>
      <c r="LFZ101" s="73"/>
      <c r="LGA101" s="73"/>
      <c r="LGB101" s="73"/>
      <c r="LGC101" s="73"/>
      <c r="LGD101" s="73"/>
      <c r="LGE101" s="73"/>
      <c r="LGF101" s="73"/>
      <c r="LGG101" s="73"/>
      <c r="LGH101" s="73"/>
      <c r="LGI101" s="73"/>
      <c r="LGJ101" s="73"/>
      <c r="LGK101" s="73"/>
      <c r="LGL101" s="73"/>
      <c r="LGM101" s="73"/>
      <c r="LGN101" s="73"/>
      <c r="LGO101" s="73"/>
      <c r="LGP101" s="73"/>
      <c r="LGQ101" s="73"/>
      <c r="LGR101" s="73"/>
      <c r="LGS101" s="73"/>
      <c r="LGT101" s="73"/>
      <c r="LGU101" s="73"/>
      <c r="LGV101" s="73"/>
      <c r="LGW101" s="73"/>
      <c r="LGX101" s="73"/>
      <c r="LGY101" s="73"/>
      <c r="LGZ101" s="73"/>
      <c r="LHA101" s="73"/>
      <c r="LHB101" s="73"/>
      <c r="LHC101" s="73"/>
      <c r="LHD101" s="73"/>
      <c r="LHE101" s="73"/>
      <c r="LHF101" s="73"/>
      <c r="LHG101" s="73"/>
      <c r="LHH101" s="73"/>
      <c r="LHI101" s="73"/>
      <c r="LHJ101" s="73"/>
      <c r="LHK101" s="73"/>
      <c r="LHL101" s="73"/>
      <c r="LHM101" s="73"/>
      <c r="LHN101" s="73"/>
      <c r="LHO101" s="73"/>
      <c r="LHP101" s="73"/>
      <c r="LHQ101" s="73"/>
      <c r="LHR101" s="73"/>
      <c r="LHS101" s="73"/>
      <c r="LHT101" s="73"/>
      <c r="LHU101" s="73"/>
      <c r="LHV101" s="73"/>
      <c r="LHW101" s="73"/>
      <c r="LHX101" s="73"/>
      <c r="LHY101" s="73"/>
      <c r="LHZ101" s="73"/>
      <c r="LIA101" s="73"/>
      <c r="LIB101" s="73"/>
      <c r="LIC101" s="73"/>
      <c r="LID101" s="73"/>
      <c r="LIE101" s="73"/>
      <c r="LIF101" s="73"/>
      <c r="LIG101" s="73"/>
      <c r="LIH101" s="73"/>
      <c r="LII101" s="73"/>
      <c r="LIJ101" s="73"/>
      <c r="LIK101" s="73"/>
      <c r="LIL101" s="73"/>
      <c r="LIM101" s="73"/>
      <c r="LIN101" s="73"/>
      <c r="LIO101" s="73"/>
      <c r="LIP101" s="73"/>
      <c r="LIQ101" s="73"/>
      <c r="LIR101" s="73"/>
      <c r="LIS101" s="73"/>
      <c r="LIT101" s="73"/>
      <c r="LIU101" s="73"/>
      <c r="LIV101" s="73"/>
      <c r="LIW101" s="73"/>
      <c r="LIX101" s="73"/>
      <c r="LIY101" s="73"/>
      <c r="LIZ101" s="73"/>
      <c r="LJA101" s="73"/>
      <c r="LJB101" s="73"/>
      <c r="LJC101" s="73"/>
      <c r="LJD101" s="73"/>
      <c r="LJE101" s="73"/>
      <c r="LJF101" s="73"/>
      <c r="LJG101" s="73"/>
      <c r="LJH101" s="73"/>
      <c r="LJI101" s="73"/>
      <c r="LJJ101" s="73"/>
      <c r="LJK101" s="73"/>
      <c r="LJL101" s="73"/>
      <c r="LJM101" s="73"/>
      <c r="LJN101" s="73"/>
      <c r="LJO101" s="73"/>
      <c r="LJP101" s="73"/>
      <c r="LJQ101" s="73"/>
      <c r="LJR101" s="73"/>
      <c r="LJS101" s="73"/>
      <c r="LJT101" s="73"/>
      <c r="LJU101" s="73"/>
      <c r="LJV101" s="73"/>
      <c r="LJW101" s="73"/>
      <c r="LJX101" s="73"/>
      <c r="LJY101" s="73"/>
      <c r="LJZ101" s="73"/>
      <c r="LKA101" s="73"/>
      <c r="LKB101" s="73"/>
      <c r="LKC101" s="73"/>
      <c r="LKD101" s="73"/>
      <c r="LKE101" s="73"/>
      <c r="LKF101" s="73"/>
      <c r="LKG101" s="73"/>
      <c r="LKH101" s="73"/>
      <c r="LKI101" s="73"/>
      <c r="LKJ101" s="73"/>
      <c r="LKK101" s="73"/>
      <c r="LKL101" s="73"/>
      <c r="LKM101" s="73"/>
      <c r="LKN101" s="73"/>
      <c r="LKO101" s="73"/>
      <c r="LKP101" s="73"/>
      <c r="LKQ101" s="73"/>
      <c r="LKR101" s="73"/>
      <c r="LKS101" s="73"/>
      <c r="LKT101" s="73"/>
      <c r="LKU101" s="73"/>
      <c r="LKV101" s="73"/>
      <c r="LKW101" s="73"/>
      <c r="LKX101" s="73"/>
      <c r="LKY101" s="73"/>
      <c r="LKZ101" s="73"/>
      <c r="LLA101" s="73"/>
      <c r="LLB101" s="73"/>
      <c r="LLC101" s="73"/>
      <c r="LLD101" s="73"/>
      <c r="LLE101" s="73"/>
      <c r="LLF101" s="73"/>
      <c r="LLG101" s="73"/>
      <c r="LLH101" s="73"/>
      <c r="LLI101" s="73"/>
      <c r="LLJ101" s="73"/>
      <c r="LLK101" s="73"/>
      <c r="LLL101" s="73"/>
      <c r="LLM101" s="73"/>
      <c r="LLN101" s="73"/>
      <c r="LLO101" s="73"/>
      <c r="LLP101" s="73"/>
      <c r="LLQ101" s="73"/>
      <c r="LLR101" s="73"/>
      <c r="LLS101" s="73"/>
      <c r="LLT101" s="73"/>
      <c r="LLU101" s="73"/>
      <c r="LLV101" s="73"/>
      <c r="LLW101" s="73"/>
      <c r="LLX101" s="73"/>
      <c r="LLY101" s="73"/>
      <c r="LLZ101" s="73"/>
      <c r="LMA101" s="73"/>
      <c r="LMB101" s="73"/>
      <c r="LMC101" s="73"/>
      <c r="LMD101" s="73"/>
      <c r="LME101" s="73"/>
      <c r="LMF101" s="73"/>
      <c r="LMG101" s="73"/>
      <c r="LMH101" s="73"/>
      <c r="LMI101" s="73"/>
      <c r="LMJ101" s="73"/>
      <c r="LMK101" s="73"/>
      <c r="LML101" s="73"/>
      <c r="LMM101" s="73"/>
      <c r="LMN101" s="73"/>
      <c r="LMO101" s="73"/>
      <c r="LMP101" s="73"/>
      <c r="LMQ101" s="73"/>
      <c r="LMR101" s="73"/>
      <c r="LMS101" s="73"/>
      <c r="LMT101" s="73"/>
      <c r="LMU101" s="73"/>
      <c r="LMV101" s="73"/>
      <c r="LMW101" s="73"/>
      <c r="LMX101" s="73"/>
      <c r="LMY101" s="73"/>
      <c r="LMZ101" s="73"/>
      <c r="LNA101" s="73"/>
      <c r="LNB101" s="73"/>
      <c r="LNC101" s="73"/>
      <c r="LND101" s="73"/>
      <c r="LNE101" s="73"/>
      <c r="LNF101" s="73"/>
      <c r="LNG101" s="73"/>
      <c r="LNH101" s="73"/>
      <c r="LNI101" s="73"/>
      <c r="LNJ101" s="73"/>
      <c r="LNK101" s="73"/>
      <c r="LNL101" s="73"/>
      <c r="LNM101" s="73"/>
      <c r="LNN101" s="73"/>
      <c r="LNO101" s="73"/>
      <c r="LNP101" s="73"/>
      <c r="LNQ101" s="73"/>
      <c r="LNR101" s="73"/>
      <c r="LNS101" s="73"/>
      <c r="LNT101" s="73"/>
      <c r="LNU101" s="73"/>
      <c r="LNV101" s="73"/>
      <c r="LNW101" s="73"/>
      <c r="LNX101" s="73"/>
      <c r="LNY101" s="73"/>
      <c r="LNZ101" s="73"/>
      <c r="LOA101" s="73"/>
      <c r="LOB101" s="73"/>
      <c r="LOC101" s="73"/>
      <c r="LOD101" s="73"/>
      <c r="LOE101" s="73"/>
      <c r="LOF101" s="73"/>
      <c r="LOG101" s="73"/>
      <c r="LOH101" s="73"/>
      <c r="LOI101" s="73"/>
      <c r="LOJ101" s="73"/>
      <c r="LOK101" s="73"/>
      <c r="LOL101" s="73"/>
      <c r="LOM101" s="73"/>
      <c r="LON101" s="73"/>
      <c r="LOO101" s="73"/>
      <c r="LOP101" s="73"/>
      <c r="LOQ101" s="73"/>
      <c r="LOR101" s="73"/>
      <c r="LOS101" s="73"/>
      <c r="LOT101" s="73"/>
      <c r="LOU101" s="73"/>
      <c r="LOV101" s="73"/>
      <c r="LOW101" s="73"/>
      <c r="LOX101" s="73"/>
      <c r="LOY101" s="73"/>
      <c r="LOZ101" s="73"/>
      <c r="LPA101" s="73"/>
      <c r="LPB101" s="73"/>
      <c r="LPC101" s="73"/>
      <c r="LPD101" s="73"/>
      <c r="LPE101" s="73"/>
      <c r="LPF101" s="73"/>
      <c r="LPG101" s="73"/>
      <c r="LPH101" s="73"/>
      <c r="LPI101" s="73"/>
      <c r="LPJ101" s="73"/>
      <c r="LPK101" s="73"/>
      <c r="LPL101" s="73"/>
      <c r="LPM101" s="73"/>
      <c r="LPN101" s="73"/>
      <c r="LPO101" s="73"/>
      <c r="LPP101" s="73"/>
      <c r="LPQ101" s="73"/>
      <c r="LPR101" s="73"/>
      <c r="LPS101" s="73"/>
      <c r="LPT101" s="73"/>
      <c r="LPU101" s="73"/>
      <c r="LPV101" s="73"/>
      <c r="LPW101" s="73"/>
      <c r="LPX101" s="73"/>
      <c r="LPY101" s="73"/>
      <c r="LPZ101" s="73"/>
      <c r="LQA101" s="73"/>
      <c r="LQB101" s="73"/>
      <c r="LQC101" s="73"/>
      <c r="LQD101" s="73"/>
      <c r="LQE101" s="73"/>
      <c r="LQF101" s="73"/>
      <c r="LQG101" s="73"/>
      <c r="LQH101" s="73"/>
      <c r="LQI101" s="73"/>
      <c r="LQJ101" s="73"/>
      <c r="LQK101" s="73"/>
      <c r="LQL101" s="73"/>
      <c r="LQM101" s="73"/>
      <c r="LQN101" s="73"/>
      <c r="LQO101" s="73"/>
      <c r="LQP101" s="73"/>
      <c r="LQQ101" s="73"/>
      <c r="LQR101" s="73"/>
      <c r="LQS101" s="73"/>
      <c r="LQT101" s="73"/>
      <c r="LQU101" s="73"/>
      <c r="LQV101" s="73"/>
      <c r="LQW101" s="73"/>
      <c r="LQX101" s="73"/>
      <c r="LQY101" s="73"/>
      <c r="LQZ101" s="73"/>
      <c r="LRA101" s="73"/>
      <c r="LRB101" s="73"/>
      <c r="LRC101" s="73"/>
      <c r="LRD101" s="73"/>
      <c r="LRE101" s="73"/>
      <c r="LRF101" s="73"/>
      <c r="LRG101" s="73"/>
      <c r="LRH101" s="73"/>
      <c r="LRI101" s="73"/>
      <c r="LRJ101" s="73"/>
      <c r="LRK101" s="73"/>
      <c r="LRL101" s="73"/>
      <c r="LRM101" s="73"/>
      <c r="LRN101" s="73"/>
      <c r="LRO101" s="73"/>
      <c r="LRP101" s="73"/>
      <c r="LRQ101" s="73"/>
      <c r="LRR101" s="73"/>
      <c r="LRS101" s="73"/>
      <c r="LRT101" s="73"/>
      <c r="LRU101" s="73"/>
      <c r="LRV101" s="73"/>
      <c r="LRW101" s="73"/>
      <c r="LRX101" s="73"/>
      <c r="LRY101" s="73"/>
      <c r="LRZ101" s="73"/>
      <c r="LSA101" s="73"/>
      <c r="LSB101" s="73"/>
      <c r="LSC101" s="73"/>
      <c r="LSD101" s="73"/>
      <c r="LSE101" s="73"/>
      <c r="LSF101" s="73"/>
      <c r="LSG101" s="73"/>
      <c r="LSH101" s="73"/>
      <c r="LSI101" s="73"/>
      <c r="LSJ101" s="73"/>
      <c r="LSK101" s="73"/>
      <c r="LSL101" s="73"/>
      <c r="LSM101" s="73"/>
      <c r="LSN101" s="73"/>
      <c r="LSO101" s="73"/>
      <c r="LSP101" s="73"/>
      <c r="LSQ101" s="73"/>
      <c r="LSR101" s="73"/>
      <c r="LSS101" s="73"/>
      <c r="LST101" s="73"/>
      <c r="LSU101" s="73"/>
      <c r="LSV101" s="73"/>
      <c r="LSW101" s="73"/>
      <c r="LSX101" s="73"/>
      <c r="LSY101" s="73"/>
      <c r="LSZ101" s="73"/>
      <c r="LTA101" s="73"/>
      <c r="LTB101" s="73"/>
      <c r="LTC101" s="73"/>
      <c r="LTD101" s="73"/>
      <c r="LTE101" s="73"/>
      <c r="LTF101" s="73"/>
      <c r="LTG101" s="73"/>
      <c r="LTH101" s="73"/>
      <c r="LTI101" s="73"/>
      <c r="LTJ101" s="73"/>
      <c r="LTK101" s="73"/>
      <c r="LTL101" s="73"/>
      <c r="LTM101" s="73"/>
      <c r="LTN101" s="73"/>
      <c r="LTO101" s="73"/>
      <c r="LTP101" s="73"/>
      <c r="LTQ101" s="73"/>
      <c r="LTR101" s="73"/>
      <c r="LTS101" s="73"/>
      <c r="LTT101" s="73"/>
      <c r="LTU101" s="73"/>
      <c r="LTV101" s="73"/>
      <c r="LTW101" s="73"/>
      <c r="LTX101" s="73"/>
      <c r="LTY101" s="73"/>
      <c r="LTZ101" s="73"/>
      <c r="LUA101" s="73"/>
      <c r="LUB101" s="73"/>
      <c r="LUC101" s="73"/>
      <c r="LUD101" s="73"/>
      <c r="LUE101" s="73"/>
      <c r="LUF101" s="73"/>
      <c r="LUG101" s="73"/>
      <c r="LUH101" s="73"/>
      <c r="LUI101" s="73"/>
      <c r="LUJ101" s="73"/>
      <c r="LUK101" s="73"/>
      <c r="LUL101" s="73"/>
      <c r="LUM101" s="73"/>
      <c r="LUN101" s="73"/>
      <c r="LUO101" s="73"/>
      <c r="LUP101" s="73"/>
      <c r="LUQ101" s="73"/>
      <c r="LUR101" s="73"/>
      <c r="LUS101" s="73"/>
      <c r="LUT101" s="73"/>
      <c r="LUU101" s="73"/>
      <c r="LUV101" s="73"/>
      <c r="LUW101" s="73"/>
      <c r="LUX101" s="73"/>
      <c r="LUY101" s="73"/>
      <c r="LUZ101" s="73"/>
      <c r="LVA101" s="73"/>
      <c r="LVB101" s="73"/>
      <c r="LVC101" s="73"/>
      <c r="LVD101" s="73"/>
      <c r="LVE101" s="73"/>
      <c r="LVF101" s="73"/>
      <c r="LVG101" s="73"/>
      <c r="LVH101" s="73"/>
      <c r="LVI101" s="73"/>
      <c r="LVJ101" s="73"/>
      <c r="LVK101" s="73"/>
      <c r="LVL101" s="73"/>
      <c r="LVM101" s="73"/>
      <c r="LVN101" s="73"/>
      <c r="LVO101" s="73"/>
      <c r="LVP101" s="73"/>
      <c r="LVQ101" s="73"/>
      <c r="LVR101" s="73"/>
      <c r="LVS101" s="73"/>
      <c r="LVT101" s="73"/>
      <c r="LVU101" s="73"/>
      <c r="LVV101" s="73"/>
      <c r="LVW101" s="73"/>
      <c r="LVX101" s="73"/>
      <c r="LVY101" s="73"/>
      <c r="LVZ101" s="73"/>
      <c r="LWA101" s="73"/>
      <c r="LWB101" s="73"/>
      <c r="LWC101" s="73"/>
      <c r="LWD101" s="73"/>
      <c r="LWE101" s="73"/>
      <c r="LWF101" s="73"/>
      <c r="LWG101" s="73"/>
      <c r="LWH101" s="73"/>
      <c r="LWI101" s="73"/>
      <c r="LWJ101" s="73"/>
      <c r="LWK101" s="73"/>
      <c r="LWL101" s="73"/>
      <c r="LWM101" s="73"/>
      <c r="LWN101" s="73"/>
      <c r="LWO101" s="73"/>
      <c r="LWP101" s="73"/>
      <c r="LWQ101" s="73"/>
      <c r="LWR101" s="73"/>
      <c r="LWS101" s="73"/>
      <c r="LWT101" s="73"/>
      <c r="LWU101" s="73"/>
      <c r="LWV101" s="73"/>
      <c r="LWW101" s="73"/>
      <c r="LWX101" s="73"/>
      <c r="LWY101" s="73"/>
      <c r="LWZ101" s="73"/>
      <c r="LXA101" s="73"/>
      <c r="LXB101" s="73"/>
      <c r="LXC101" s="73"/>
      <c r="LXD101" s="73"/>
      <c r="LXE101" s="73"/>
      <c r="LXF101" s="73"/>
      <c r="LXG101" s="73"/>
      <c r="LXH101" s="73"/>
      <c r="LXI101" s="73"/>
      <c r="LXJ101" s="73"/>
      <c r="LXK101" s="73"/>
      <c r="LXL101" s="73"/>
      <c r="LXM101" s="73"/>
      <c r="LXN101" s="73"/>
      <c r="LXO101" s="73"/>
      <c r="LXP101" s="73"/>
      <c r="LXQ101" s="73"/>
      <c r="LXR101" s="73"/>
      <c r="LXS101" s="73"/>
      <c r="LXT101" s="73"/>
      <c r="LXU101" s="73"/>
      <c r="LXV101" s="73"/>
      <c r="LXW101" s="73"/>
      <c r="LXX101" s="73"/>
      <c r="LXY101" s="73"/>
      <c r="LXZ101" s="73"/>
      <c r="LYA101" s="73"/>
      <c r="LYB101" s="73"/>
      <c r="LYC101" s="73"/>
      <c r="LYD101" s="73"/>
      <c r="LYE101" s="73"/>
      <c r="LYF101" s="73"/>
      <c r="LYG101" s="73"/>
      <c r="LYH101" s="73"/>
      <c r="LYI101" s="73"/>
      <c r="LYJ101" s="73"/>
      <c r="LYK101" s="73"/>
      <c r="LYL101" s="73"/>
      <c r="LYM101" s="73"/>
      <c r="LYN101" s="73"/>
      <c r="LYO101" s="73"/>
      <c r="LYP101" s="73"/>
      <c r="LYQ101" s="73"/>
      <c r="LYR101" s="73"/>
      <c r="LYS101" s="73"/>
      <c r="LYT101" s="73"/>
      <c r="LYU101" s="73"/>
      <c r="LYV101" s="73"/>
      <c r="LYW101" s="73"/>
      <c r="LYX101" s="73"/>
      <c r="LYY101" s="73"/>
      <c r="LYZ101" s="73"/>
      <c r="LZA101" s="73"/>
      <c r="LZB101" s="73"/>
      <c r="LZC101" s="73"/>
      <c r="LZD101" s="73"/>
      <c r="LZE101" s="73"/>
      <c r="LZF101" s="73"/>
      <c r="LZG101" s="73"/>
      <c r="LZH101" s="73"/>
      <c r="LZI101" s="73"/>
      <c r="LZJ101" s="73"/>
      <c r="LZK101" s="73"/>
      <c r="LZL101" s="73"/>
      <c r="LZM101" s="73"/>
      <c r="LZN101" s="73"/>
      <c r="LZO101" s="73"/>
      <c r="LZP101" s="73"/>
      <c r="LZQ101" s="73"/>
      <c r="LZR101" s="73"/>
      <c r="LZS101" s="73"/>
      <c r="LZT101" s="73"/>
      <c r="LZU101" s="73"/>
      <c r="LZV101" s="73"/>
      <c r="LZW101" s="73"/>
      <c r="LZX101" s="73"/>
      <c r="LZY101" s="73"/>
      <c r="LZZ101" s="73"/>
      <c r="MAA101" s="73"/>
      <c r="MAB101" s="73"/>
      <c r="MAC101" s="73"/>
      <c r="MAD101" s="73"/>
      <c r="MAE101" s="73"/>
      <c r="MAF101" s="73"/>
      <c r="MAG101" s="73"/>
      <c r="MAH101" s="73"/>
      <c r="MAI101" s="73"/>
      <c r="MAJ101" s="73"/>
      <c r="MAK101" s="73"/>
      <c r="MAL101" s="73"/>
      <c r="MAM101" s="73"/>
      <c r="MAN101" s="73"/>
      <c r="MAO101" s="73"/>
      <c r="MAP101" s="73"/>
      <c r="MAQ101" s="73"/>
      <c r="MAR101" s="73"/>
      <c r="MAS101" s="73"/>
      <c r="MAT101" s="73"/>
      <c r="MAU101" s="73"/>
      <c r="MAV101" s="73"/>
      <c r="MAW101" s="73"/>
      <c r="MAX101" s="73"/>
      <c r="MAY101" s="73"/>
      <c r="MAZ101" s="73"/>
      <c r="MBA101" s="73"/>
      <c r="MBB101" s="73"/>
      <c r="MBC101" s="73"/>
      <c r="MBD101" s="73"/>
      <c r="MBE101" s="73"/>
      <c r="MBF101" s="73"/>
      <c r="MBG101" s="73"/>
      <c r="MBH101" s="73"/>
      <c r="MBI101" s="73"/>
      <c r="MBJ101" s="73"/>
      <c r="MBK101" s="73"/>
      <c r="MBL101" s="73"/>
      <c r="MBM101" s="73"/>
      <c r="MBN101" s="73"/>
      <c r="MBO101" s="73"/>
      <c r="MBP101" s="73"/>
      <c r="MBQ101" s="73"/>
      <c r="MBR101" s="73"/>
      <c r="MBS101" s="73"/>
      <c r="MBT101" s="73"/>
      <c r="MBU101" s="73"/>
      <c r="MBV101" s="73"/>
      <c r="MBW101" s="73"/>
      <c r="MBX101" s="73"/>
      <c r="MBY101" s="73"/>
      <c r="MBZ101" s="73"/>
      <c r="MCA101" s="73"/>
      <c r="MCB101" s="73"/>
      <c r="MCC101" s="73"/>
      <c r="MCD101" s="73"/>
      <c r="MCE101" s="73"/>
      <c r="MCF101" s="73"/>
      <c r="MCG101" s="73"/>
      <c r="MCH101" s="73"/>
      <c r="MCI101" s="73"/>
      <c r="MCJ101" s="73"/>
      <c r="MCK101" s="73"/>
      <c r="MCL101" s="73"/>
      <c r="MCM101" s="73"/>
      <c r="MCN101" s="73"/>
      <c r="MCO101" s="73"/>
      <c r="MCP101" s="73"/>
      <c r="MCQ101" s="73"/>
      <c r="MCR101" s="73"/>
      <c r="MCS101" s="73"/>
      <c r="MCT101" s="73"/>
      <c r="MCU101" s="73"/>
      <c r="MCV101" s="73"/>
      <c r="MCW101" s="73"/>
      <c r="MCX101" s="73"/>
      <c r="MCY101" s="73"/>
      <c r="MCZ101" s="73"/>
      <c r="MDA101" s="73"/>
      <c r="MDB101" s="73"/>
      <c r="MDC101" s="73"/>
      <c r="MDD101" s="73"/>
      <c r="MDE101" s="73"/>
      <c r="MDF101" s="73"/>
      <c r="MDG101" s="73"/>
      <c r="MDH101" s="73"/>
      <c r="MDI101" s="73"/>
      <c r="MDJ101" s="73"/>
      <c r="MDK101" s="73"/>
      <c r="MDL101" s="73"/>
      <c r="MDM101" s="73"/>
      <c r="MDN101" s="73"/>
      <c r="MDO101" s="73"/>
      <c r="MDP101" s="73"/>
      <c r="MDQ101" s="73"/>
      <c r="MDR101" s="73"/>
      <c r="MDS101" s="73"/>
      <c r="MDT101" s="73"/>
      <c r="MDU101" s="73"/>
      <c r="MDV101" s="73"/>
      <c r="MDW101" s="73"/>
      <c r="MDX101" s="73"/>
      <c r="MDY101" s="73"/>
      <c r="MDZ101" s="73"/>
      <c r="MEA101" s="73"/>
      <c r="MEB101" s="73"/>
      <c r="MEC101" s="73"/>
      <c r="MED101" s="73"/>
      <c r="MEE101" s="73"/>
      <c r="MEF101" s="73"/>
      <c r="MEG101" s="73"/>
      <c r="MEH101" s="73"/>
      <c r="MEI101" s="73"/>
      <c r="MEJ101" s="73"/>
      <c r="MEK101" s="73"/>
      <c r="MEL101" s="73"/>
      <c r="MEM101" s="73"/>
      <c r="MEN101" s="73"/>
      <c r="MEO101" s="73"/>
      <c r="MEP101" s="73"/>
      <c r="MEQ101" s="73"/>
      <c r="MER101" s="73"/>
      <c r="MES101" s="73"/>
      <c r="MET101" s="73"/>
      <c r="MEU101" s="73"/>
      <c r="MEV101" s="73"/>
      <c r="MEW101" s="73"/>
      <c r="MEX101" s="73"/>
      <c r="MEY101" s="73"/>
      <c r="MEZ101" s="73"/>
      <c r="MFA101" s="73"/>
      <c r="MFB101" s="73"/>
      <c r="MFC101" s="73"/>
      <c r="MFD101" s="73"/>
      <c r="MFE101" s="73"/>
      <c r="MFF101" s="73"/>
      <c r="MFG101" s="73"/>
      <c r="MFH101" s="73"/>
      <c r="MFI101" s="73"/>
      <c r="MFJ101" s="73"/>
      <c r="MFK101" s="73"/>
      <c r="MFL101" s="73"/>
      <c r="MFM101" s="73"/>
      <c r="MFN101" s="73"/>
      <c r="MFO101" s="73"/>
      <c r="MFP101" s="73"/>
      <c r="MFQ101" s="73"/>
      <c r="MFR101" s="73"/>
      <c r="MFS101" s="73"/>
      <c r="MFT101" s="73"/>
      <c r="MFU101" s="73"/>
      <c r="MFV101" s="73"/>
      <c r="MFW101" s="73"/>
      <c r="MFX101" s="73"/>
      <c r="MFY101" s="73"/>
      <c r="MFZ101" s="73"/>
      <c r="MGA101" s="73"/>
      <c r="MGB101" s="73"/>
      <c r="MGC101" s="73"/>
      <c r="MGD101" s="73"/>
      <c r="MGE101" s="73"/>
      <c r="MGF101" s="73"/>
      <c r="MGG101" s="73"/>
      <c r="MGH101" s="73"/>
      <c r="MGI101" s="73"/>
      <c r="MGJ101" s="73"/>
      <c r="MGK101" s="73"/>
      <c r="MGL101" s="73"/>
      <c r="MGM101" s="73"/>
      <c r="MGN101" s="73"/>
      <c r="MGO101" s="73"/>
      <c r="MGP101" s="73"/>
      <c r="MGQ101" s="73"/>
      <c r="MGR101" s="73"/>
      <c r="MGS101" s="73"/>
      <c r="MGT101" s="73"/>
      <c r="MGU101" s="73"/>
      <c r="MGV101" s="73"/>
      <c r="MGW101" s="73"/>
      <c r="MGX101" s="73"/>
      <c r="MGY101" s="73"/>
      <c r="MGZ101" s="73"/>
      <c r="MHA101" s="73"/>
      <c r="MHB101" s="73"/>
      <c r="MHC101" s="73"/>
      <c r="MHD101" s="73"/>
      <c r="MHE101" s="73"/>
      <c r="MHF101" s="73"/>
      <c r="MHG101" s="73"/>
      <c r="MHH101" s="73"/>
      <c r="MHI101" s="73"/>
      <c r="MHJ101" s="73"/>
      <c r="MHK101" s="73"/>
      <c r="MHL101" s="73"/>
      <c r="MHM101" s="73"/>
      <c r="MHN101" s="73"/>
      <c r="MHO101" s="73"/>
      <c r="MHP101" s="73"/>
      <c r="MHQ101" s="73"/>
      <c r="MHR101" s="73"/>
      <c r="MHS101" s="73"/>
      <c r="MHT101" s="73"/>
      <c r="MHU101" s="73"/>
      <c r="MHV101" s="73"/>
      <c r="MHW101" s="73"/>
      <c r="MHX101" s="73"/>
      <c r="MHY101" s="73"/>
      <c r="MHZ101" s="73"/>
      <c r="MIA101" s="73"/>
      <c r="MIB101" s="73"/>
      <c r="MIC101" s="73"/>
      <c r="MID101" s="73"/>
      <c r="MIE101" s="73"/>
      <c r="MIF101" s="73"/>
      <c r="MIG101" s="73"/>
      <c r="MIH101" s="73"/>
      <c r="MII101" s="73"/>
      <c r="MIJ101" s="73"/>
      <c r="MIK101" s="73"/>
      <c r="MIL101" s="73"/>
      <c r="MIM101" s="73"/>
      <c r="MIN101" s="73"/>
      <c r="MIO101" s="73"/>
      <c r="MIP101" s="73"/>
      <c r="MIQ101" s="73"/>
      <c r="MIR101" s="73"/>
      <c r="MIS101" s="73"/>
      <c r="MIT101" s="73"/>
      <c r="MIU101" s="73"/>
      <c r="MIV101" s="73"/>
      <c r="MIW101" s="73"/>
      <c r="MIX101" s="73"/>
      <c r="MIY101" s="73"/>
      <c r="MIZ101" s="73"/>
      <c r="MJA101" s="73"/>
      <c r="MJB101" s="73"/>
      <c r="MJC101" s="73"/>
      <c r="MJD101" s="73"/>
      <c r="MJE101" s="73"/>
      <c r="MJF101" s="73"/>
      <c r="MJG101" s="73"/>
      <c r="MJH101" s="73"/>
      <c r="MJI101" s="73"/>
      <c r="MJJ101" s="73"/>
      <c r="MJK101" s="73"/>
      <c r="MJL101" s="73"/>
      <c r="MJM101" s="73"/>
      <c r="MJN101" s="73"/>
      <c r="MJO101" s="73"/>
      <c r="MJP101" s="73"/>
      <c r="MJQ101" s="73"/>
      <c r="MJR101" s="73"/>
      <c r="MJS101" s="73"/>
      <c r="MJT101" s="73"/>
      <c r="MJU101" s="73"/>
      <c r="MJV101" s="73"/>
      <c r="MJW101" s="73"/>
      <c r="MJX101" s="73"/>
      <c r="MJY101" s="73"/>
      <c r="MJZ101" s="73"/>
      <c r="MKA101" s="73"/>
      <c r="MKB101" s="73"/>
      <c r="MKC101" s="73"/>
      <c r="MKD101" s="73"/>
      <c r="MKE101" s="73"/>
      <c r="MKF101" s="73"/>
      <c r="MKG101" s="73"/>
      <c r="MKH101" s="73"/>
      <c r="MKI101" s="73"/>
      <c r="MKJ101" s="73"/>
      <c r="MKK101" s="73"/>
      <c r="MKL101" s="73"/>
      <c r="MKM101" s="73"/>
      <c r="MKN101" s="73"/>
      <c r="MKO101" s="73"/>
      <c r="MKP101" s="73"/>
      <c r="MKQ101" s="73"/>
      <c r="MKR101" s="73"/>
      <c r="MKS101" s="73"/>
      <c r="MKT101" s="73"/>
      <c r="MKU101" s="73"/>
      <c r="MKV101" s="73"/>
      <c r="MKW101" s="73"/>
      <c r="MKX101" s="73"/>
      <c r="MKY101" s="73"/>
      <c r="MKZ101" s="73"/>
      <c r="MLA101" s="73"/>
      <c r="MLB101" s="73"/>
      <c r="MLC101" s="73"/>
      <c r="MLD101" s="73"/>
      <c r="MLE101" s="73"/>
      <c r="MLF101" s="73"/>
      <c r="MLG101" s="73"/>
      <c r="MLH101" s="73"/>
      <c r="MLI101" s="73"/>
      <c r="MLJ101" s="73"/>
      <c r="MLK101" s="73"/>
      <c r="MLL101" s="73"/>
      <c r="MLM101" s="73"/>
      <c r="MLN101" s="73"/>
      <c r="MLO101" s="73"/>
      <c r="MLP101" s="73"/>
      <c r="MLQ101" s="73"/>
      <c r="MLR101" s="73"/>
      <c r="MLS101" s="73"/>
      <c r="MLT101" s="73"/>
      <c r="MLU101" s="73"/>
      <c r="MLV101" s="73"/>
      <c r="MLW101" s="73"/>
      <c r="MLX101" s="73"/>
      <c r="MLY101" s="73"/>
      <c r="MLZ101" s="73"/>
      <c r="MMA101" s="73"/>
      <c r="MMB101" s="73"/>
      <c r="MMC101" s="73"/>
      <c r="MMD101" s="73"/>
      <c r="MME101" s="73"/>
      <c r="MMF101" s="73"/>
      <c r="MMG101" s="73"/>
      <c r="MMH101" s="73"/>
      <c r="MMI101" s="73"/>
      <c r="MMJ101" s="73"/>
      <c r="MMK101" s="73"/>
      <c r="MML101" s="73"/>
      <c r="MMM101" s="73"/>
      <c r="MMN101" s="73"/>
      <c r="MMO101" s="73"/>
      <c r="MMP101" s="73"/>
      <c r="MMQ101" s="73"/>
      <c r="MMR101" s="73"/>
      <c r="MMS101" s="73"/>
      <c r="MMT101" s="73"/>
      <c r="MMU101" s="73"/>
      <c r="MMV101" s="73"/>
      <c r="MMW101" s="73"/>
      <c r="MMX101" s="73"/>
      <c r="MMY101" s="73"/>
      <c r="MMZ101" s="73"/>
      <c r="MNA101" s="73"/>
      <c r="MNB101" s="73"/>
      <c r="MNC101" s="73"/>
      <c r="MND101" s="73"/>
      <c r="MNE101" s="73"/>
      <c r="MNF101" s="73"/>
      <c r="MNG101" s="73"/>
      <c r="MNH101" s="73"/>
      <c r="MNI101" s="73"/>
      <c r="MNJ101" s="73"/>
      <c r="MNK101" s="73"/>
      <c r="MNL101" s="73"/>
      <c r="MNM101" s="73"/>
      <c r="MNN101" s="73"/>
      <c r="MNO101" s="73"/>
      <c r="MNP101" s="73"/>
      <c r="MNQ101" s="73"/>
      <c r="MNR101" s="73"/>
      <c r="MNS101" s="73"/>
      <c r="MNT101" s="73"/>
      <c r="MNU101" s="73"/>
      <c r="MNV101" s="73"/>
      <c r="MNW101" s="73"/>
      <c r="MNX101" s="73"/>
      <c r="MNY101" s="73"/>
      <c r="MNZ101" s="73"/>
      <c r="MOA101" s="73"/>
      <c r="MOB101" s="73"/>
      <c r="MOC101" s="73"/>
      <c r="MOD101" s="73"/>
      <c r="MOE101" s="73"/>
      <c r="MOF101" s="73"/>
      <c r="MOG101" s="73"/>
      <c r="MOH101" s="73"/>
      <c r="MOI101" s="73"/>
      <c r="MOJ101" s="73"/>
      <c r="MOK101" s="73"/>
      <c r="MOL101" s="73"/>
      <c r="MOM101" s="73"/>
      <c r="MON101" s="73"/>
      <c r="MOO101" s="73"/>
      <c r="MOP101" s="73"/>
      <c r="MOQ101" s="73"/>
      <c r="MOR101" s="73"/>
      <c r="MOS101" s="73"/>
      <c r="MOT101" s="73"/>
      <c r="MOU101" s="73"/>
      <c r="MOV101" s="73"/>
      <c r="MOW101" s="73"/>
      <c r="MOX101" s="73"/>
      <c r="MOY101" s="73"/>
      <c r="MOZ101" s="73"/>
      <c r="MPA101" s="73"/>
      <c r="MPB101" s="73"/>
      <c r="MPC101" s="73"/>
      <c r="MPD101" s="73"/>
      <c r="MPE101" s="73"/>
      <c r="MPF101" s="73"/>
      <c r="MPG101" s="73"/>
      <c r="MPH101" s="73"/>
      <c r="MPI101" s="73"/>
      <c r="MPJ101" s="73"/>
      <c r="MPK101" s="73"/>
      <c r="MPL101" s="73"/>
      <c r="MPM101" s="73"/>
      <c r="MPN101" s="73"/>
      <c r="MPO101" s="73"/>
      <c r="MPP101" s="73"/>
      <c r="MPQ101" s="73"/>
      <c r="MPR101" s="73"/>
      <c r="MPS101" s="73"/>
      <c r="MPT101" s="73"/>
      <c r="MPU101" s="73"/>
      <c r="MPV101" s="73"/>
      <c r="MPW101" s="73"/>
      <c r="MPX101" s="73"/>
      <c r="MPY101" s="73"/>
      <c r="MPZ101" s="73"/>
      <c r="MQA101" s="73"/>
      <c r="MQB101" s="73"/>
      <c r="MQC101" s="73"/>
      <c r="MQD101" s="73"/>
      <c r="MQE101" s="73"/>
      <c r="MQF101" s="73"/>
      <c r="MQG101" s="73"/>
      <c r="MQH101" s="73"/>
      <c r="MQI101" s="73"/>
      <c r="MQJ101" s="73"/>
      <c r="MQK101" s="73"/>
      <c r="MQL101" s="73"/>
      <c r="MQM101" s="73"/>
      <c r="MQN101" s="73"/>
      <c r="MQO101" s="73"/>
      <c r="MQP101" s="73"/>
      <c r="MQQ101" s="73"/>
      <c r="MQR101" s="73"/>
      <c r="MQS101" s="73"/>
      <c r="MQT101" s="73"/>
      <c r="MQU101" s="73"/>
      <c r="MQV101" s="73"/>
      <c r="MQW101" s="73"/>
      <c r="MQX101" s="73"/>
      <c r="MQY101" s="73"/>
      <c r="MQZ101" s="73"/>
      <c r="MRA101" s="73"/>
      <c r="MRB101" s="73"/>
      <c r="MRC101" s="73"/>
      <c r="MRD101" s="73"/>
      <c r="MRE101" s="73"/>
      <c r="MRF101" s="73"/>
      <c r="MRG101" s="73"/>
      <c r="MRH101" s="73"/>
      <c r="MRI101" s="73"/>
      <c r="MRJ101" s="73"/>
      <c r="MRK101" s="73"/>
      <c r="MRL101" s="73"/>
      <c r="MRM101" s="73"/>
      <c r="MRN101" s="73"/>
      <c r="MRO101" s="73"/>
      <c r="MRP101" s="73"/>
      <c r="MRQ101" s="73"/>
      <c r="MRR101" s="73"/>
      <c r="MRS101" s="73"/>
      <c r="MRT101" s="73"/>
      <c r="MRU101" s="73"/>
      <c r="MRV101" s="73"/>
      <c r="MRW101" s="73"/>
      <c r="MRX101" s="73"/>
      <c r="MRY101" s="73"/>
      <c r="MRZ101" s="73"/>
      <c r="MSA101" s="73"/>
      <c r="MSB101" s="73"/>
      <c r="MSC101" s="73"/>
      <c r="MSD101" s="73"/>
      <c r="MSE101" s="73"/>
      <c r="MSF101" s="73"/>
      <c r="MSG101" s="73"/>
      <c r="MSH101" s="73"/>
      <c r="MSI101" s="73"/>
      <c r="MSJ101" s="73"/>
      <c r="MSK101" s="73"/>
      <c r="MSL101" s="73"/>
      <c r="MSM101" s="73"/>
      <c r="MSN101" s="73"/>
      <c r="MSO101" s="73"/>
      <c r="MSP101" s="73"/>
      <c r="MSQ101" s="73"/>
      <c r="MSR101" s="73"/>
      <c r="MSS101" s="73"/>
      <c r="MST101" s="73"/>
      <c r="MSU101" s="73"/>
      <c r="MSV101" s="73"/>
      <c r="MSW101" s="73"/>
      <c r="MSX101" s="73"/>
      <c r="MSY101" s="73"/>
      <c r="MSZ101" s="73"/>
      <c r="MTA101" s="73"/>
      <c r="MTB101" s="73"/>
      <c r="MTC101" s="73"/>
      <c r="MTD101" s="73"/>
      <c r="MTE101" s="73"/>
      <c r="MTF101" s="73"/>
      <c r="MTG101" s="73"/>
      <c r="MTH101" s="73"/>
      <c r="MTI101" s="73"/>
      <c r="MTJ101" s="73"/>
      <c r="MTK101" s="73"/>
      <c r="MTL101" s="73"/>
      <c r="MTM101" s="73"/>
      <c r="MTN101" s="73"/>
      <c r="MTO101" s="73"/>
      <c r="MTP101" s="73"/>
      <c r="MTQ101" s="73"/>
      <c r="MTR101" s="73"/>
      <c r="MTS101" s="73"/>
      <c r="MTT101" s="73"/>
      <c r="MTU101" s="73"/>
      <c r="MTV101" s="73"/>
      <c r="MTW101" s="73"/>
      <c r="MTX101" s="73"/>
      <c r="MTY101" s="73"/>
      <c r="MTZ101" s="73"/>
      <c r="MUA101" s="73"/>
      <c r="MUB101" s="73"/>
      <c r="MUC101" s="73"/>
      <c r="MUD101" s="73"/>
      <c r="MUE101" s="73"/>
      <c r="MUF101" s="73"/>
      <c r="MUG101" s="73"/>
      <c r="MUH101" s="73"/>
      <c r="MUI101" s="73"/>
      <c r="MUJ101" s="73"/>
      <c r="MUK101" s="73"/>
      <c r="MUL101" s="73"/>
      <c r="MUM101" s="73"/>
      <c r="MUN101" s="73"/>
      <c r="MUO101" s="73"/>
      <c r="MUP101" s="73"/>
      <c r="MUQ101" s="73"/>
      <c r="MUR101" s="73"/>
      <c r="MUS101" s="73"/>
      <c r="MUT101" s="73"/>
      <c r="MUU101" s="73"/>
      <c r="MUV101" s="73"/>
      <c r="MUW101" s="73"/>
      <c r="MUX101" s="73"/>
      <c r="MUY101" s="73"/>
      <c r="MUZ101" s="73"/>
      <c r="MVA101" s="73"/>
      <c r="MVB101" s="73"/>
      <c r="MVC101" s="73"/>
      <c r="MVD101" s="73"/>
      <c r="MVE101" s="73"/>
      <c r="MVF101" s="73"/>
      <c r="MVG101" s="73"/>
      <c r="MVH101" s="73"/>
      <c r="MVI101" s="73"/>
      <c r="MVJ101" s="73"/>
      <c r="MVK101" s="73"/>
      <c r="MVL101" s="73"/>
      <c r="MVM101" s="73"/>
      <c r="MVN101" s="73"/>
      <c r="MVO101" s="73"/>
      <c r="MVP101" s="73"/>
      <c r="MVQ101" s="73"/>
      <c r="MVR101" s="73"/>
      <c r="MVS101" s="73"/>
      <c r="MVT101" s="73"/>
      <c r="MVU101" s="73"/>
      <c r="MVV101" s="73"/>
      <c r="MVW101" s="73"/>
      <c r="MVX101" s="73"/>
      <c r="MVY101" s="73"/>
      <c r="MVZ101" s="73"/>
      <c r="MWA101" s="73"/>
      <c r="MWB101" s="73"/>
      <c r="MWC101" s="73"/>
      <c r="MWD101" s="73"/>
      <c r="MWE101" s="73"/>
      <c r="MWF101" s="73"/>
      <c r="MWG101" s="73"/>
      <c r="MWH101" s="73"/>
      <c r="MWI101" s="73"/>
      <c r="MWJ101" s="73"/>
      <c r="MWK101" s="73"/>
      <c r="MWL101" s="73"/>
      <c r="MWM101" s="73"/>
      <c r="MWN101" s="73"/>
      <c r="MWO101" s="73"/>
      <c r="MWP101" s="73"/>
      <c r="MWQ101" s="73"/>
      <c r="MWR101" s="73"/>
      <c r="MWS101" s="73"/>
      <c r="MWT101" s="73"/>
      <c r="MWU101" s="73"/>
      <c r="MWV101" s="73"/>
      <c r="MWW101" s="73"/>
      <c r="MWX101" s="73"/>
      <c r="MWY101" s="73"/>
      <c r="MWZ101" s="73"/>
      <c r="MXA101" s="73"/>
      <c r="MXB101" s="73"/>
      <c r="MXC101" s="73"/>
      <c r="MXD101" s="73"/>
      <c r="MXE101" s="73"/>
      <c r="MXF101" s="73"/>
      <c r="MXG101" s="73"/>
      <c r="MXH101" s="73"/>
      <c r="MXI101" s="73"/>
      <c r="MXJ101" s="73"/>
      <c r="MXK101" s="73"/>
      <c r="MXL101" s="73"/>
      <c r="MXM101" s="73"/>
      <c r="MXN101" s="73"/>
      <c r="MXO101" s="73"/>
      <c r="MXP101" s="73"/>
      <c r="MXQ101" s="73"/>
      <c r="MXR101" s="73"/>
      <c r="MXS101" s="73"/>
      <c r="MXT101" s="73"/>
      <c r="MXU101" s="73"/>
      <c r="MXV101" s="73"/>
      <c r="MXW101" s="73"/>
      <c r="MXX101" s="73"/>
      <c r="MXY101" s="73"/>
      <c r="MXZ101" s="73"/>
      <c r="MYA101" s="73"/>
      <c r="MYB101" s="73"/>
      <c r="MYC101" s="73"/>
      <c r="MYD101" s="73"/>
      <c r="MYE101" s="73"/>
      <c r="MYF101" s="73"/>
      <c r="MYG101" s="73"/>
      <c r="MYH101" s="73"/>
      <c r="MYI101" s="73"/>
      <c r="MYJ101" s="73"/>
      <c r="MYK101" s="73"/>
      <c r="MYL101" s="73"/>
      <c r="MYM101" s="73"/>
      <c r="MYN101" s="73"/>
      <c r="MYO101" s="73"/>
      <c r="MYP101" s="73"/>
      <c r="MYQ101" s="73"/>
      <c r="MYR101" s="73"/>
      <c r="MYS101" s="73"/>
      <c r="MYT101" s="73"/>
      <c r="MYU101" s="73"/>
      <c r="MYV101" s="73"/>
      <c r="MYW101" s="73"/>
      <c r="MYX101" s="73"/>
      <c r="MYY101" s="73"/>
      <c r="MYZ101" s="73"/>
      <c r="MZA101" s="73"/>
      <c r="MZB101" s="73"/>
      <c r="MZC101" s="73"/>
      <c r="MZD101" s="73"/>
      <c r="MZE101" s="73"/>
      <c r="MZF101" s="73"/>
      <c r="MZG101" s="73"/>
      <c r="MZH101" s="73"/>
      <c r="MZI101" s="73"/>
      <c r="MZJ101" s="73"/>
      <c r="MZK101" s="73"/>
      <c r="MZL101" s="73"/>
      <c r="MZM101" s="73"/>
      <c r="MZN101" s="73"/>
      <c r="MZO101" s="73"/>
      <c r="MZP101" s="73"/>
      <c r="MZQ101" s="73"/>
      <c r="MZR101" s="73"/>
      <c r="MZS101" s="73"/>
      <c r="MZT101" s="73"/>
      <c r="MZU101" s="73"/>
      <c r="MZV101" s="73"/>
      <c r="MZW101" s="73"/>
      <c r="MZX101" s="73"/>
      <c r="MZY101" s="73"/>
      <c r="MZZ101" s="73"/>
      <c r="NAA101" s="73"/>
      <c r="NAB101" s="73"/>
      <c r="NAC101" s="73"/>
      <c r="NAD101" s="73"/>
      <c r="NAE101" s="73"/>
      <c r="NAF101" s="73"/>
      <c r="NAG101" s="73"/>
      <c r="NAH101" s="73"/>
      <c r="NAI101" s="73"/>
      <c r="NAJ101" s="73"/>
      <c r="NAK101" s="73"/>
      <c r="NAL101" s="73"/>
      <c r="NAM101" s="73"/>
      <c r="NAN101" s="73"/>
      <c r="NAO101" s="73"/>
      <c r="NAP101" s="73"/>
      <c r="NAQ101" s="73"/>
      <c r="NAR101" s="73"/>
      <c r="NAS101" s="73"/>
      <c r="NAT101" s="73"/>
      <c r="NAU101" s="73"/>
      <c r="NAV101" s="73"/>
      <c r="NAW101" s="73"/>
      <c r="NAX101" s="73"/>
      <c r="NAY101" s="73"/>
      <c r="NAZ101" s="73"/>
      <c r="NBA101" s="73"/>
      <c r="NBB101" s="73"/>
      <c r="NBC101" s="73"/>
      <c r="NBD101" s="73"/>
      <c r="NBE101" s="73"/>
      <c r="NBF101" s="73"/>
      <c r="NBG101" s="73"/>
      <c r="NBH101" s="73"/>
      <c r="NBI101" s="73"/>
      <c r="NBJ101" s="73"/>
      <c r="NBK101" s="73"/>
      <c r="NBL101" s="73"/>
      <c r="NBM101" s="73"/>
      <c r="NBN101" s="73"/>
      <c r="NBO101" s="73"/>
      <c r="NBP101" s="73"/>
      <c r="NBQ101" s="73"/>
      <c r="NBR101" s="73"/>
      <c r="NBS101" s="73"/>
      <c r="NBT101" s="73"/>
      <c r="NBU101" s="73"/>
      <c r="NBV101" s="73"/>
      <c r="NBW101" s="73"/>
      <c r="NBX101" s="73"/>
      <c r="NBY101" s="73"/>
      <c r="NBZ101" s="73"/>
      <c r="NCA101" s="73"/>
      <c r="NCB101" s="73"/>
      <c r="NCC101" s="73"/>
      <c r="NCD101" s="73"/>
      <c r="NCE101" s="73"/>
      <c r="NCF101" s="73"/>
      <c r="NCG101" s="73"/>
      <c r="NCH101" s="73"/>
      <c r="NCI101" s="73"/>
      <c r="NCJ101" s="73"/>
      <c r="NCK101" s="73"/>
      <c r="NCL101" s="73"/>
      <c r="NCM101" s="73"/>
      <c r="NCN101" s="73"/>
      <c r="NCO101" s="73"/>
      <c r="NCP101" s="73"/>
      <c r="NCQ101" s="73"/>
      <c r="NCR101" s="73"/>
      <c r="NCS101" s="73"/>
      <c r="NCT101" s="73"/>
      <c r="NCU101" s="73"/>
      <c r="NCV101" s="73"/>
      <c r="NCW101" s="73"/>
      <c r="NCX101" s="73"/>
      <c r="NCY101" s="73"/>
      <c r="NCZ101" s="73"/>
      <c r="NDA101" s="73"/>
      <c r="NDB101" s="73"/>
      <c r="NDC101" s="73"/>
      <c r="NDD101" s="73"/>
      <c r="NDE101" s="73"/>
      <c r="NDF101" s="73"/>
      <c r="NDG101" s="73"/>
      <c r="NDH101" s="73"/>
      <c r="NDI101" s="73"/>
      <c r="NDJ101" s="73"/>
      <c r="NDK101" s="73"/>
      <c r="NDL101" s="73"/>
      <c r="NDM101" s="73"/>
      <c r="NDN101" s="73"/>
      <c r="NDO101" s="73"/>
      <c r="NDP101" s="73"/>
      <c r="NDQ101" s="73"/>
      <c r="NDR101" s="73"/>
      <c r="NDS101" s="73"/>
      <c r="NDT101" s="73"/>
      <c r="NDU101" s="73"/>
      <c r="NDV101" s="73"/>
      <c r="NDW101" s="73"/>
      <c r="NDX101" s="73"/>
      <c r="NDY101" s="73"/>
      <c r="NDZ101" s="73"/>
      <c r="NEA101" s="73"/>
      <c r="NEB101" s="73"/>
      <c r="NEC101" s="73"/>
      <c r="NED101" s="73"/>
      <c r="NEE101" s="73"/>
      <c r="NEF101" s="73"/>
      <c r="NEG101" s="73"/>
      <c r="NEH101" s="73"/>
      <c r="NEI101" s="73"/>
      <c r="NEJ101" s="73"/>
      <c r="NEK101" s="73"/>
      <c r="NEL101" s="73"/>
      <c r="NEM101" s="73"/>
      <c r="NEN101" s="73"/>
      <c r="NEO101" s="73"/>
      <c r="NEP101" s="73"/>
      <c r="NEQ101" s="73"/>
      <c r="NER101" s="73"/>
      <c r="NES101" s="73"/>
      <c r="NET101" s="73"/>
      <c r="NEU101" s="73"/>
      <c r="NEV101" s="73"/>
      <c r="NEW101" s="73"/>
      <c r="NEX101" s="73"/>
      <c r="NEY101" s="73"/>
      <c r="NEZ101" s="73"/>
      <c r="NFA101" s="73"/>
      <c r="NFB101" s="73"/>
      <c r="NFC101" s="73"/>
      <c r="NFD101" s="73"/>
      <c r="NFE101" s="73"/>
      <c r="NFF101" s="73"/>
      <c r="NFG101" s="73"/>
      <c r="NFH101" s="73"/>
      <c r="NFI101" s="73"/>
      <c r="NFJ101" s="73"/>
      <c r="NFK101" s="73"/>
      <c r="NFL101" s="73"/>
      <c r="NFM101" s="73"/>
      <c r="NFN101" s="73"/>
      <c r="NFO101" s="73"/>
      <c r="NFP101" s="73"/>
      <c r="NFQ101" s="73"/>
      <c r="NFR101" s="73"/>
      <c r="NFS101" s="73"/>
      <c r="NFT101" s="73"/>
      <c r="NFU101" s="73"/>
      <c r="NFV101" s="73"/>
      <c r="NFW101" s="73"/>
      <c r="NFX101" s="73"/>
      <c r="NFY101" s="73"/>
      <c r="NFZ101" s="73"/>
      <c r="NGA101" s="73"/>
      <c r="NGB101" s="73"/>
      <c r="NGC101" s="73"/>
      <c r="NGD101" s="73"/>
      <c r="NGE101" s="73"/>
      <c r="NGF101" s="73"/>
      <c r="NGG101" s="73"/>
      <c r="NGH101" s="73"/>
      <c r="NGI101" s="73"/>
      <c r="NGJ101" s="73"/>
      <c r="NGK101" s="73"/>
      <c r="NGL101" s="73"/>
      <c r="NGM101" s="73"/>
      <c r="NGN101" s="73"/>
      <c r="NGO101" s="73"/>
      <c r="NGP101" s="73"/>
      <c r="NGQ101" s="73"/>
      <c r="NGR101" s="73"/>
      <c r="NGS101" s="73"/>
      <c r="NGT101" s="73"/>
      <c r="NGU101" s="73"/>
      <c r="NGV101" s="73"/>
      <c r="NGW101" s="73"/>
      <c r="NGX101" s="73"/>
      <c r="NGY101" s="73"/>
      <c r="NGZ101" s="73"/>
      <c r="NHA101" s="73"/>
      <c r="NHB101" s="73"/>
      <c r="NHC101" s="73"/>
      <c r="NHD101" s="73"/>
      <c r="NHE101" s="73"/>
      <c r="NHF101" s="73"/>
      <c r="NHG101" s="73"/>
      <c r="NHH101" s="73"/>
      <c r="NHI101" s="73"/>
      <c r="NHJ101" s="73"/>
      <c r="NHK101" s="73"/>
      <c r="NHL101" s="73"/>
      <c r="NHM101" s="73"/>
      <c r="NHN101" s="73"/>
      <c r="NHO101" s="73"/>
      <c r="NHP101" s="73"/>
      <c r="NHQ101" s="73"/>
      <c r="NHR101" s="73"/>
      <c r="NHS101" s="73"/>
      <c r="NHT101" s="73"/>
      <c r="NHU101" s="73"/>
      <c r="NHV101" s="73"/>
      <c r="NHW101" s="73"/>
      <c r="NHX101" s="73"/>
      <c r="NHY101" s="73"/>
      <c r="NHZ101" s="73"/>
      <c r="NIA101" s="73"/>
      <c r="NIB101" s="73"/>
      <c r="NIC101" s="73"/>
      <c r="NID101" s="73"/>
      <c r="NIE101" s="73"/>
      <c r="NIF101" s="73"/>
      <c r="NIG101" s="73"/>
      <c r="NIH101" s="73"/>
      <c r="NII101" s="73"/>
      <c r="NIJ101" s="73"/>
      <c r="NIK101" s="73"/>
      <c r="NIL101" s="73"/>
      <c r="NIM101" s="73"/>
      <c r="NIN101" s="73"/>
      <c r="NIO101" s="73"/>
      <c r="NIP101" s="73"/>
      <c r="NIQ101" s="73"/>
      <c r="NIR101" s="73"/>
      <c r="NIS101" s="73"/>
      <c r="NIT101" s="73"/>
      <c r="NIU101" s="73"/>
      <c r="NIV101" s="73"/>
      <c r="NIW101" s="73"/>
      <c r="NIX101" s="73"/>
      <c r="NIY101" s="73"/>
      <c r="NIZ101" s="73"/>
      <c r="NJA101" s="73"/>
      <c r="NJB101" s="73"/>
      <c r="NJC101" s="73"/>
      <c r="NJD101" s="73"/>
      <c r="NJE101" s="73"/>
      <c r="NJF101" s="73"/>
      <c r="NJG101" s="73"/>
      <c r="NJH101" s="73"/>
      <c r="NJI101" s="73"/>
      <c r="NJJ101" s="73"/>
      <c r="NJK101" s="73"/>
      <c r="NJL101" s="73"/>
      <c r="NJM101" s="73"/>
      <c r="NJN101" s="73"/>
      <c r="NJO101" s="73"/>
      <c r="NJP101" s="73"/>
      <c r="NJQ101" s="73"/>
      <c r="NJR101" s="73"/>
      <c r="NJS101" s="73"/>
      <c r="NJT101" s="73"/>
      <c r="NJU101" s="73"/>
      <c r="NJV101" s="73"/>
      <c r="NJW101" s="73"/>
      <c r="NJX101" s="73"/>
      <c r="NJY101" s="73"/>
      <c r="NJZ101" s="73"/>
      <c r="NKA101" s="73"/>
      <c r="NKB101" s="73"/>
      <c r="NKC101" s="73"/>
      <c r="NKD101" s="73"/>
      <c r="NKE101" s="73"/>
      <c r="NKF101" s="73"/>
      <c r="NKG101" s="73"/>
      <c r="NKH101" s="73"/>
      <c r="NKI101" s="73"/>
      <c r="NKJ101" s="73"/>
      <c r="NKK101" s="73"/>
      <c r="NKL101" s="73"/>
      <c r="NKM101" s="73"/>
      <c r="NKN101" s="73"/>
      <c r="NKO101" s="73"/>
      <c r="NKP101" s="73"/>
      <c r="NKQ101" s="73"/>
      <c r="NKR101" s="73"/>
      <c r="NKS101" s="73"/>
      <c r="NKT101" s="73"/>
      <c r="NKU101" s="73"/>
      <c r="NKV101" s="73"/>
      <c r="NKW101" s="73"/>
      <c r="NKX101" s="73"/>
      <c r="NKY101" s="73"/>
      <c r="NKZ101" s="73"/>
      <c r="NLA101" s="73"/>
      <c r="NLB101" s="73"/>
      <c r="NLC101" s="73"/>
      <c r="NLD101" s="73"/>
      <c r="NLE101" s="73"/>
      <c r="NLF101" s="73"/>
      <c r="NLG101" s="73"/>
      <c r="NLH101" s="73"/>
      <c r="NLI101" s="73"/>
      <c r="NLJ101" s="73"/>
      <c r="NLK101" s="73"/>
      <c r="NLL101" s="73"/>
      <c r="NLM101" s="73"/>
      <c r="NLN101" s="73"/>
      <c r="NLO101" s="73"/>
      <c r="NLP101" s="73"/>
      <c r="NLQ101" s="73"/>
      <c r="NLR101" s="73"/>
      <c r="NLS101" s="73"/>
      <c r="NLT101" s="73"/>
      <c r="NLU101" s="73"/>
      <c r="NLV101" s="73"/>
      <c r="NLW101" s="73"/>
      <c r="NLX101" s="73"/>
      <c r="NLY101" s="73"/>
      <c r="NLZ101" s="73"/>
      <c r="NMA101" s="73"/>
      <c r="NMB101" s="73"/>
      <c r="NMC101" s="73"/>
      <c r="NMD101" s="73"/>
      <c r="NME101" s="73"/>
      <c r="NMF101" s="73"/>
      <c r="NMG101" s="73"/>
      <c r="NMH101" s="73"/>
      <c r="NMI101" s="73"/>
      <c r="NMJ101" s="73"/>
      <c r="NMK101" s="73"/>
      <c r="NML101" s="73"/>
      <c r="NMM101" s="73"/>
      <c r="NMN101" s="73"/>
      <c r="NMO101" s="73"/>
      <c r="NMP101" s="73"/>
      <c r="NMQ101" s="73"/>
      <c r="NMR101" s="73"/>
      <c r="NMS101" s="73"/>
      <c r="NMT101" s="73"/>
      <c r="NMU101" s="73"/>
      <c r="NMV101" s="73"/>
      <c r="NMW101" s="73"/>
      <c r="NMX101" s="73"/>
      <c r="NMY101" s="73"/>
      <c r="NMZ101" s="73"/>
      <c r="NNA101" s="73"/>
      <c r="NNB101" s="73"/>
      <c r="NNC101" s="73"/>
      <c r="NND101" s="73"/>
      <c r="NNE101" s="73"/>
      <c r="NNF101" s="73"/>
      <c r="NNG101" s="73"/>
      <c r="NNH101" s="73"/>
      <c r="NNI101" s="73"/>
      <c r="NNJ101" s="73"/>
      <c r="NNK101" s="73"/>
      <c r="NNL101" s="73"/>
      <c r="NNM101" s="73"/>
      <c r="NNN101" s="73"/>
      <c r="NNO101" s="73"/>
      <c r="NNP101" s="73"/>
      <c r="NNQ101" s="73"/>
      <c r="NNR101" s="73"/>
      <c r="NNS101" s="73"/>
      <c r="NNT101" s="73"/>
      <c r="NNU101" s="73"/>
      <c r="NNV101" s="73"/>
      <c r="NNW101" s="73"/>
      <c r="NNX101" s="73"/>
      <c r="NNY101" s="73"/>
      <c r="NNZ101" s="73"/>
      <c r="NOA101" s="73"/>
      <c r="NOB101" s="73"/>
      <c r="NOC101" s="73"/>
      <c r="NOD101" s="73"/>
      <c r="NOE101" s="73"/>
      <c r="NOF101" s="73"/>
      <c r="NOG101" s="73"/>
      <c r="NOH101" s="73"/>
      <c r="NOI101" s="73"/>
      <c r="NOJ101" s="73"/>
      <c r="NOK101" s="73"/>
      <c r="NOL101" s="73"/>
      <c r="NOM101" s="73"/>
      <c r="NON101" s="73"/>
      <c r="NOO101" s="73"/>
      <c r="NOP101" s="73"/>
      <c r="NOQ101" s="73"/>
      <c r="NOR101" s="73"/>
      <c r="NOS101" s="73"/>
      <c r="NOT101" s="73"/>
      <c r="NOU101" s="73"/>
      <c r="NOV101" s="73"/>
      <c r="NOW101" s="73"/>
      <c r="NOX101" s="73"/>
      <c r="NOY101" s="73"/>
      <c r="NOZ101" s="73"/>
      <c r="NPA101" s="73"/>
      <c r="NPB101" s="73"/>
      <c r="NPC101" s="73"/>
      <c r="NPD101" s="73"/>
      <c r="NPE101" s="73"/>
      <c r="NPF101" s="73"/>
      <c r="NPG101" s="73"/>
      <c r="NPH101" s="73"/>
      <c r="NPI101" s="73"/>
      <c r="NPJ101" s="73"/>
      <c r="NPK101" s="73"/>
      <c r="NPL101" s="73"/>
      <c r="NPM101" s="73"/>
      <c r="NPN101" s="73"/>
      <c r="NPO101" s="73"/>
      <c r="NPP101" s="73"/>
      <c r="NPQ101" s="73"/>
      <c r="NPR101" s="73"/>
      <c r="NPS101" s="73"/>
      <c r="NPT101" s="73"/>
      <c r="NPU101" s="73"/>
      <c r="NPV101" s="73"/>
      <c r="NPW101" s="73"/>
      <c r="NPX101" s="73"/>
      <c r="NPY101" s="73"/>
      <c r="NPZ101" s="73"/>
      <c r="NQA101" s="73"/>
      <c r="NQB101" s="73"/>
      <c r="NQC101" s="73"/>
      <c r="NQD101" s="73"/>
      <c r="NQE101" s="73"/>
      <c r="NQF101" s="73"/>
      <c r="NQG101" s="73"/>
      <c r="NQH101" s="73"/>
      <c r="NQI101" s="73"/>
      <c r="NQJ101" s="73"/>
      <c r="NQK101" s="73"/>
      <c r="NQL101" s="73"/>
      <c r="NQM101" s="73"/>
      <c r="NQN101" s="73"/>
      <c r="NQO101" s="73"/>
      <c r="NQP101" s="73"/>
      <c r="NQQ101" s="73"/>
      <c r="NQR101" s="73"/>
      <c r="NQS101" s="73"/>
      <c r="NQT101" s="73"/>
      <c r="NQU101" s="73"/>
      <c r="NQV101" s="73"/>
      <c r="NQW101" s="73"/>
      <c r="NQX101" s="73"/>
      <c r="NQY101" s="73"/>
      <c r="NQZ101" s="73"/>
      <c r="NRA101" s="73"/>
      <c r="NRB101" s="73"/>
      <c r="NRC101" s="73"/>
      <c r="NRD101" s="73"/>
      <c r="NRE101" s="73"/>
      <c r="NRF101" s="73"/>
      <c r="NRG101" s="73"/>
      <c r="NRH101" s="73"/>
      <c r="NRI101" s="73"/>
      <c r="NRJ101" s="73"/>
      <c r="NRK101" s="73"/>
      <c r="NRL101" s="73"/>
      <c r="NRM101" s="73"/>
      <c r="NRN101" s="73"/>
      <c r="NRO101" s="73"/>
      <c r="NRP101" s="73"/>
      <c r="NRQ101" s="73"/>
      <c r="NRR101" s="73"/>
      <c r="NRS101" s="73"/>
      <c r="NRT101" s="73"/>
      <c r="NRU101" s="73"/>
      <c r="NRV101" s="73"/>
      <c r="NRW101" s="73"/>
      <c r="NRX101" s="73"/>
      <c r="NRY101" s="73"/>
      <c r="NRZ101" s="73"/>
      <c r="NSA101" s="73"/>
      <c r="NSB101" s="73"/>
      <c r="NSC101" s="73"/>
      <c r="NSD101" s="73"/>
      <c r="NSE101" s="73"/>
      <c r="NSF101" s="73"/>
      <c r="NSG101" s="73"/>
      <c r="NSH101" s="73"/>
      <c r="NSI101" s="73"/>
      <c r="NSJ101" s="73"/>
      <c r="NSK101" s="73"/>
      <c r="NSL101" s="73"/>
      <c r="NSM101" s="73"/>
      <c r="NSN101" s="73"/>
      <c r="NSO101" s="73"/>
      <c r="NSP101" s="73"/>
      <c r="NSQ101" s="73"/>
      <c r="NSR101" s="73"/>
      <c r="NSS101" s="73"/>
      <c r="NST101" s="73"/>
      <c r="NSU101" s="73"/>
      <c r="NSV101" s="73"/>
      <c r="NSW101" s="73"/>
      <c r="NSX101" s="73"/>
      <c r="NSY101" s="73"/>
      <c r="NSZ101" s="73"/>
      <c r="NTA101" s="73"/>
      <c r="NTB101" s="73"/>
      <c r="NTC101" s="73"/>
      <c r="NTD101" s="73"/>
      <c r="NTE101" s="73"/>
      <c r="NTF101" s="73"/>
      <c r="NTG101" s="73"/>
      <c r="NTH101" s="73"/>
      <c r="NTI101" s="73"/>
      <c r="NTJ101" s="73"/>
      <c r="NTK101" s="73"/>
      <c r="NTL101" s="73"/>
      <c r="NTM101" s="73"/>
      <c r="NTN101" s="73"/>
      <c r="NTO101" s="73"/>
      <c r="NTP101" s="73"/>
      <c r="NTQ101" s="73"/>
      <c r="NTR101" s="73"/>
      <c r="NTS101" s="73"/>
      <c r="NTT101" s="73"/>
      <c r="NTU101" s="73"/>
      <c r="NTV101" s="73"/>
      <c r="NTW101" s="73"/>
      <c r="NTX101" s="73"/>
      <c r="NTY101" s="73"/>
      <c r="NTZ101" s="73"/>
      <c r="NUA101" s="73"/>
      <c r="NUB101" s="73"/>
      <c r="NUC101" s="73"/>
      <c r="NUD101" s="73"/>
      <c r="NUE101" s="73"/>
      <c r="NUF101" s="73"/>
      <c r="NUG101" s="73"/>
      <c r="NUH101" s="73"/>
      <c r="NUI101" s="73"/>
      <c r="NUJ101" s="73"/>
      <c r="NUK101" s="73"/>
      <c r="NUL101" s="73"/>
      <c r="NUM101" s="73"/>
      <c r="NUN101" s="73"/>
      <c r="NUO101" s="73"/>
      <c r="NUP101" s="73"/>
      <c r="NUQ101" s="73"/>
      <c r="NUR101" s="73"/>
      <c r="NUS101" s="73"/>
      <c r="NUT101" s="73"/>
      <c r="NUU101" s="73"/>
      <c r="NUV101" s="73"/>
      <c r="NUW101" s="73"/>
      <c r="NUX101" s="73"/>
      <c r="NUY101" s="73"/>
      <c r="NUZ101" s="73"/>
      <c r="NVA101" s="73"/>
      <c r="NVB101" s="73"/>
      <c r="NVC101" s="73"/>
      <c r="NVD101" s="73"/>
      <c r="NVE101" s="73"/>
      <c r="NVF101" s="73"/>
      <c r="NVG101" s="73"/>
      <c r="NVH101" s="73"/>
      <c r="NVI101" s="73"/>
      <c r="NVJ101" s="73"/>
      <c r="NVK101" s="73"/>
      <c r="NVL101" s="73"/>
      <c r="NVM101" s="73"/>
      <c r="NVN101" s="73"/>
      <c r="NVO101" s="73"/>
      <c r="NVP101" s="73"/>
      <c r="NVQ101" s="73"/>
      <c r="NVR101" s="73"/>
      <c r="NVS101" s="73"/>
      <c r="NVT101" s="73"/>
      <c r="NVU101" s="73"/>
      <c r="NVV101" s="73"/>
      <c r="NVW101" s="73"/>
      <c r="NVX101" s="73"/>
      <c r="NVY101" s="73"/>
      <c r="NVZ101" s="73"/>
      <c r="NWA101" s="73"/>
      <c r="NWB101" s="73"/>
      <c r="NWC101" s="73"/>
      <c r="NWD101" s="73"/>
      <c r="NWE101" s="73"/>
      <c r="NWF101" s="73"/>
      <c r="NWG101" s="73"/>
      <c r="NWH101" s="73"/>
      <c r="NWI101" s="73"/>
      <c r="NWJ101" s="73"/>
      <c r="NWK101" s="73"/>
      <c r="NWL101" s="73"/>
      <c r="NWM101" s="73"/>
      <c r="NWN101" s="73"/>
      <c r="NWO101" s="73"/>
      <c r="NWP101" s="73"/>
      <c r="NWQ101" s="73"/>
      <c r="NWR101" s="73"/>
      <c r="NWS101" s="73"/>
      <c r="NWT101" s="73"/>
      <c r="NWU101" s="73"/>
      <c r="NWV101" s="73"/>
      <c r="NWW101" s="73"/>
      <c r="NWX101" s="73"/>
      <c r="NWY101" s="73"/>
      <c r="NWZ101" s="73"/>
      <c r="NXA101" s="73"/>
      <c r="NXB101" s="73"/>
      <c r="NXC101" s="73"/>
      <c r="NXD101" s="73"/>
      <c r="NXE101" s="73"/>
      <c r="NXF101" s="73"/>
      <c r="NXG101" s="73"/>
      <c r="NXH101" s="73"/>
      <c r="NXI101" s="73"/>
      <c r="NXJ101" s="73"/>
      <c r="NXK101" s="73"/>
      <c r="NXL101" s="73"/>
      <c r="NXM101" s="73"/>
      <c r="NXN101" s="73"/>
      <c r="NXO101" s="73"/>
      <c r="NXP101" s="73"/>
      <c r="NXQ101" s="73"/>
      <c r="NXR101" s="73"/>
      <c r="NXS101" s="73"/>
      <c r="NXT101" s="73"/>
      <c r="NXU101" s="73"/>
      <c r="NXV101" s="73"/>
      <c r="NXW101" s="73"/>
      <c r="NXX101" s="73"/>
      <c r="NXY101" s="73"/>
      <c r="NXZ101" s="73"/>
      <c r="NYA101" s="73"/>
      <c r="NYB101" s="73"/>
      <c r="NYC101" s="73"/>
      <c r="NYD101" s="73"/>
      <c r="NYE101" s="73"/>
      <c r="NYF101" s="73"/>
      <c r="NYG101" s="73"/>
      <c r="NYH101" s="73"/>
      <c r="NYI101" s="73"/>
      <c r="NYJ101" s="73"/>
      <c r="NYK101" s="73"/>
      <c r="NYL101" s="73"/>
      <c r="NYM101" s="73"/>
      <c r="NYN101" s="73"/>
      <c r="NYO101" s="73"/>
      <c r="NYP101" s="73"/>
      <c r="NYQ101" s="73"/>
      <c r="NYR101" s="73"/>
      <c r="NYS101" s="73"/>
      <c r="NYT101" s="73"/>
      <c r="NYU101" s="73"/>
      <c r="NYV101" s="73"/>
      <c r="NYW101" s="73"/>
      <c r="NYX101" s="73"/>
      <c r="NYY101" s="73"/>
      <c r="NYZ101" s="73"/>
      <c r="NZA101" s="73"/>
      <c r="NZB101" s="73"/>
      <c r="NZC101" s="73"/>
      <c r="NZD101" s="73"/>
      <c r="NZE101" s="73"/>
      <c r="NZF101" s="73"/>
      <c r="NZG101" s="73"/>
      <c r="NZH101" s="73"/>
      <c r="NZI101" s="73"/>
      <c r="NZJ101" s="73"/>
      <c r="NZK101" s="73"/>
      <c r="NZL101" s="73"/>
      <c r="NZM101" s="73"/>
      <c r="NZN101" s="73"/>
      <c r="NZO101" s="73"/>
      <c r="NZP101" s="73"/>
      <c r="NZQ101" s="73"/>
      <c r="NZR101" s="73"/>
      <c r="NZS101" s="73"/>
      <c r="NZT101" s="73"/>
      <c r="NZU101" s="73"/>
      <c r="NZV101" s="73"/>
      <c r="NZW101" s="73"/>
      <c r="NZX101" s="73"/>
      <c r="NZY101" s="73"/>
      <c r="NZZ101" s="73"/>
      <c r="OAA101" s="73"/>
      <c r="OAB101" s="73"/>
      <c r="OAC101" s="73"/>
      <c r="OAD101" s="73"/>
      <c r="OAE101" s="73"/>
      <c r="OAF101" s="73"/>
      <c r="OAG101" s="73"/>
      <c r="OAH101" s="73"/>
      <c r="OAI101" s="73"/>
      <c r="OAJ101" s="73"/>
      <c r="OAK101" s="73"/>
      <c r="OAL101" s="73"/>
      <c r="OAM101" s="73"/>
      <c r="OAN101" s="73"/>
      <c r="OAO101" s="73"/>
      <c r="OAP101" s="73"/>
      <c r="OAQ101" s="73"/>
      <c r="OAR101" s="73"/>
      <c r="OAS101" s="73"/>
      <c r="OAT101" s="73"/>
      <c r="OAU101" s="73"/>
      <c r="OAV101" s="73"/>
      <c r="OAW101" s="73"/>
      <c r="OAX101" s="73"/>
      <c r="OAY101" s="73"/>
      <c r="OAZ101" s="73"/>
      <c r="OBA101" s="73"/>
      <c r="OBB101" s="73"/>
      <c r="OBC101" s="73"/>
      <c r="OBD101" s="73"/>
      <c r="OBE101" s="73"/>
      <c r="OBF101" s="73"/>
      <c r="OBG101" s="73"/>
      <c r="OBH101" s="73"/>
      <c r="OBI101" s="73"/>
      <c r="OBJ101" s="73"/>
      <c r="OBK101" s="73"/>
      <c r="OBL101" s="73"/>
      <c r="OBM101" s="73"/>
      <c r="OBN101" s="73"/>
      <c r="OBO101" s="73"/>
      <c r="OBP101" s="73"/>
      <c r="OBQ101" s="73"/>
      <c r="OBR101" s="73"/>
      <c r="OBS101" s="73"/>
      <c r="OBT101" s="73"/>
      <c r="OBU101" s="73"/>
      <c r="OBV101" s="73"/>
      <c r="OBW101" s="73"/>
      <c r="OBX101" s="73"/>
      <c r="OBY101" s="73"/>
      <c r="OBZ101" s="73"/>
      <c r="OCA101" s="73"/>
      <c r="OCB101" s="73"/>
      <c r="OCC101" s="73"/>
      <c r="OCD101" s="73"/>
      <c r="OCE101" s="73"/>
      <c r="OCF101" s="73"/>
      <c r="OCG101" s="73"/>
      <c r="OCH101" s="73"/>
      <c r="OCI101" s="73"/>
      <c r="OCJ101" s="73"/>
      <c r="OCK101" s="73"/>
      <c r="OCL101" s="73"/>
      <c r="OCM101" s="73"/>
      <c r="OCN101" s="73"/>
      <c r="OCO101" s="73"/>
      <c r="OCP101" s="73"/>
      <c r="OCQ101" s="73"/>
      <c r="OCR101" s="73"/>
      <c r="OCS101" s="73"/>
      <c r="OCT101" s="73"/>
      <c r="OCU101" s="73"/>
      <c r="OCV101" s="73"/>
      <c r="OCW101" s="73"/>
      <c r="OCX101" s="73"/>
      <c r="OCY101" s="73"/>
      <c r="OCZ101" s="73"/>
      <c r="ODA101" s="73"/>
      <c r="ODB101" s="73"/>
      <c r="ODC101" s="73"/>
      <c r="ODD101" s="73"/>
      <c r="ODE101" s="73"/>
      <c r="ODF101" s="73"/>
      <c r="ODG101" s="73"/>
      <c r="ODH101" s="73"/>
      <c r="ODI101" s="73"/>
      <c r="ODJ101" s="73"/>
      <c r="ODK101" s="73"/>
      <c r="ODL101" s="73"/>
      <c r="ODM101" s="73"/>
      <c r="ODN101" s="73"/>
      <c r="ODO101" s="73"/>
      <c r="ODP101" s="73"/>
      <c r="ODQ101" s="73"/>
      <c r="ODR101" s="73"/>
      <c r="ODS101" s="73"/>
      <c r="ODT101" s="73"/>
      <c r="ODU101" s="73"/>
      <c r="ODV101" s="73"/>
      <c r="ODW101" s="73"/>
      <c r="ODX101" s="73"/>
      <c r="ODY101" s="73"/>
      <c r="ODZ101" s="73"/>
      <c r="OEA101" s="73"/>
      <c r="OEB101" s="73"/>
      <c r="OEC101" s="73"/>
      <c r="OED101" s="73"/>
      <c r="OEE101" s="73"/>
      <c r="OEF101" s="73"/>
      <c r="OEG101" s="73"/>
      <c r="OEH101" s="73"/>
      <c r="OEI101" s="73"/>
      <c r="OEJ101" s="73"/>
      <c r="OEK101" s="73"/>
      <c r="OEL101" s="73"/>
      <c r="OEM101" s="73"/>
      <c r="OEN101" s="73"/>
      <c r="OEO101" s="73"/>
      <c r="OEP101" s="73"/>
      <c r="OEQ101" s="73"/>
      <c r="OER101" s="73"/>
      <c r="OES101" s="73"/>
      <c r="OET101" s="73"/>
      <c r="OEU101" s="73"/>
      <c r="OEV101" s="73"/>
      <c r="OEW101" s="73"/>
      <c r="OEX101" s="73"/>
      <c r="OEY101" s="73"/>
      <c r="OEZ101" s="73"/>
      <c r="OFA101" s="73"/>
      <c r="OFB101" s="73"/>
      <c r="OFC101" s="73"/>
      <c r="OFD101" s="73"/>
      <c r="OFE101" s="73"/>
      <c r="OFF101" s="73"/>
      <c r="OFG101" s="73"/>
      <c r="OFH101" s="73"/>
      <c r="OFI101" s="73"/>
      <c r="OFJ101" s="73"/>
      <c r="OFK101" s="73"/>
      <c r="OFL101" s="73"/>
      <c r="OFM101" s="73"/>
      <c r="OFN101" s="73"/>
      <c r="OFO101" s="73"/>
      <c r="OFP101" s="73"/>
      <c r="OFQ101" s="73"/>
      <c r="OFR101" s="73"/>
      <c r="OFS101" s="73"/>
      <c r="OFT101" s="73"/>
      <c r="OFU101" s="73"/>
      <c r="OFV101" s="73"/>
      <c r="OFW101" s="73"/>
      <c r="OFX101" s="73"/>
      <c r="OFY101" s="73"/>
      <c r="OFZ101" s="73"/>
      <c r="OGA101" s="73"/>
      <c r="OGB101" s="73"/>
      <c r="OGC101" s="73"/>
      <c r="OGD101" s="73"/>
      <c r="OGE101" s="73"/>
      <c r="OGF101" s="73"/>
      <c r="OGG101" s="73"/>
      <c r="OGH101" s="73"/>
      <c r="OGI101" s="73"/>
      <c r="OGJ101" s="73"/>
      <c r="OGK101" s="73"/>
      <c r="OGL101" s="73"/>
      <c r="OGM101" s="73"/>
      <c r="OGN101" s="73"/>
      <c r="OGO101" s="73"/>
      <c r="OGP101" s="73"/>
      <c r="OGQ101" s="73"/>
      <c r="OGR101" s="73"/>
      <c r="OGS101" s="73"/>
      <c r="OGT101" s="73"/>
      <c r="OGU101" s="73"/>
      <c r="OGV101" s="73"/>
      <c r="OGW101" s="73"/>
      <c r="OGX101" s="73"/>
      <c r="OGY101" s="73"/>
      <c r="OGZ101" s="73"/>
      <c r="OHA101" s="73"/>
      <c r="OHB101" s="73"/>
      <c r="OHC101" s="73"/>
      <c r="OHD101" s="73"/>
      <c r="OHE101" s="73"/>
      <c r="OHF101" s="73"/>
      <c r="OHG101" s="73"/>
      <c r="OHH101" s="73"/>
      <c r="OHI101" s="73"/>
      <c r="OHJ101" s="73"/>
      <c r="OHK101" s="73"/>
      <c r="OHL101" s="73"/>
      <c r="OHM101" s="73"/>
      <c r="OHN101" s="73"/>
      <c r="OHO101" s="73"/>
      <c r="OHP101" s="73"/>
      <c r="OHQ101" s="73"/>
      <c r="OHR101" s="73"/>
      <c r="OHS101" s="73"/>
      <c r="OHT101" s="73"/>
      <c r="OHU101" s="73"/>
      <c r="OHV101" s="73"/>
      <c r="OHW101" s="73"/>
      <c r="OHX101" s="73"/>
      <c r="OHY101" s="73"/>
      <c r="OHZ101" s="73"/>
      <c r="OIA101" s="73"/>
      <c r="OIB101" s="73"/>
      <c r="OIC101" s="73"/>
      <c r="OID101" s="73"/>
      <c r="OIE101" s="73"/>
      <c r="OIF101" s="73"/>
      <c r="OIG101" s="73"/>
      <c r="OIH101" s="73"/>
      <c r="OII101" s="73"/>
      <c r="OIJ101" s="73"/>
      <c r="OIK101" s="73"/>
      <c r="OIL101" s="73"/>
      <c r="OIM101" s="73"/>
      <c r="OIN101" s="73"/>
      <c r="OIO101" s="73"/>
      <c r="OIP101" s="73"/>
      <c r="OIQ101" s="73"/>
      <c r="OIR101" s="73"/>
      <c r="OIS101" s="73"/>
      <c r="OIT101" s="73"/>
      <c r="OIU101" s="73"/>
      <c r="OIV101" s="73"/>
      <c r="OIW101" s="73"/>
      <c r="OIX101" s="73"/>
      <c r="OIY101" s="73"/>
      <c r="OIZ101" s="73"/>
      <c r="OJA101" s="73"/>
      <c r="OJB101" s="73"/>
      <c r="OJC101" s="73"/>
      <c r="OJD101" s="73"/>
      <c r="OJE101" s="73"/>
      <c r="OJF101" s="73"/>
      <c r="OJG101" s="73"/>
      <c r="OJH101" s="73"/>
      <c r="OJI101" s="73"/>
      <c r="OJJ101" s="73"/>
      <c r="OJK101" s="73"/>
      <c r="OJL101" s="73"/>
      <c r="OJM101" s="73"/>
      <c r="OJN101" s="73"/>
      <c r="OJO101" s="73"/>
      <c r="OJP101" s="73"/>
      <c r="OJQ101" s="73"/>
      <c r="OJR101" s="73"/>
      <c r="OJS101" s="73"/>
      <c r="OJT101" s="73"/>
      <c r="OJU101" s="73"/>
      <c r="OJV101" s="73"/>
      <c r="OJW101" s="73"/>
      <c r="OJX101" s="73"/>
      <c r="OJY101" s="73"/>
      <c r="OJZ101" s="73"/>
      <c r="OKA101" s="73"/>
      <c r="OKB101" s="73"/>
      <c r="OKC101" s="73"/>
      <c r="OKD101" s="73"/>
      <c r="OKE101" s="73"/>
      <c r="OKF101" s="73"/>
      <c r="OKG101" s="73"/>
      <c r="OKH101" s="73"/>
      <c r="OKI101" s="73"/>
      <c r="OKJ101" s="73"/>
      <c r="OKK101" s="73"/>
      <c r="OKL101" s="73"/>
      <c r="OKM101" s="73"/>
      <c r="OKN101" s="73"/>
      <c r="OKO101" s="73"/>
      <c r="OKP101" s="73"/>
      <c r="OKQ101" s="73"/>
      <c r="OKR101" s="73"/>
      <c r="OKS101" s="73"/>
      <c r="OKT101" s="73"/>
      <c r="OKU101" s="73"/>
      <c r="OKV101" s="73"/>
      <c r="OKW101" s="73"/>
      <c r="OKX101" s="73"/>
      <c r="OKY101" s="73"/>
      <c r="OKZ101" s="73"/>
      <c r="OLA101" s="73"/>
      <c r="OLB101" s="73"/>
      <c r="OLC101" s="73"/>
      <c r="OLD101" s="73"/>
      <c r="OLE101" s="73"/>
      <c r="OLF101" s="73"/>
      <c r="OLG101" s="73"/>
      <c r="OLH101" s="73"/>
      <c r="OLI101" s="73"/>
      <c r="OLJ101" s="73"/>
      <c r="OLK101" s="73"/>
      <c r="OLL101" s="73"/>
      <c r="OLM101" s="73"/>
      <c r="OLN101" s="73"/>
      <c r="OLO101" s="73"/>
      <c r="OLP101" s="73"/>
      <c r="OLQ101" s="73"/>
      <c r="OLR101" s="73"/>
      <c r="OLS101" s="73"/>
      <c r="OLT101" s="73"/>
      <c r="OLU101" s="73"/>
      <c r="OLV101" s="73"/>
      <c r="OLW101" s="73"/>
      <c r="OLX101" s="73"/>
      <c r="OLY101" s="73"/>
      <c r="OLZ101" s="73"/>
      <c r="OMA101" s="73"/>
      <c r="OMB101" s="73"/>
      <c r="OMC101" s="73"/>
      <c r="OMD101" s="73"/>
      <c r="OME101" s="73"/>
      <c r="OMF101" s="73"/>
      <c r="OMG101" s="73"/>
      <c r="OMH101" s="73"/>
      <c r="OMI101" s="73"/>
      <c r="OMJ101" s="73"/>
      <c r="OMK101" s="73"/>
      <c r="OML101" s="73"/>
      <c r="OMM101" s="73"/>
      <c r="OMN101" s="73"/>
      <c r="OMO101" s="73"/>
      <c r="OMP101" s="73"/>
      <c r="OMQ101" s="73"/>
      <c r="OMR101" s="73"/>
      <c r="OMS101" s="73"/>
      <c r="OMT101" s="73"/>
      <c r="OMU101" s="73"/>
      <c r="OMV101" s="73"/>
      <c r="OMW101" s="73"/>
      <c r="OMX101" s="73"/>
      <c r="OMY101" s="73"/>
      <c r="OMZ101" s="73"/>
      <c r="ONA101" s="73"/>
      <c r="ONB101" s="73"/>
      <c r="ONC101" s="73"/>
      <c r="OND101" s="73"/>
      <c r="ONE101" s="73"/>
      <c r="ONF101" s="73"/>
      <c r="ONG101" s="73"/>
      <c r="ONH101" s="73"/>
      <c r="ONI101" s="73"/>
      <c r="ONJ101" s="73"/>
      <c r="ONK101" s="73"/>
      <c r="ONL101" s="73"/>
      <c r="ONM101" s="73"/>
      <c r="ONN101" s="73"/>
      <c r="ONO101" s="73"/>
      <c r="ONP101" s="73"/>
      <c r="ONQ101" s="73"/>
      <c r="ONR101" s="73"/>
      <c r="ONS101" s="73"/>
      <c r="ONT101" s="73"/>
      <c r="ONU101" s="73"/>
      <c r="ONV101" s="73"/>
      <c r="ONW101" s="73"/>
      <c r="ONX101" s="73"/>
      <c r="ONY101" s="73"/>
      <c r="ONZ101" s="73"/>
      <c r="OOA101" s="73"/>
      <c r="OOB101" s="73"/>
      <c r="OOC101" s="73"/>
      <c r="OOD101" s="73"/>
      <c r="OOE101" s="73"/>
      <c r="OOF101" s="73"/>
      <c r="OOG101" s="73"/>
      <c r="OOH101" s="73"/>
      <c r="OOI101" s="73"/>
      <c r="OOJ101" s="73"/>
      <c r="OOK101" s="73"/>
      <c r="OOL101" s="73"/>
      <c r="OOM101" s="73"/>
      <c r="OON101" s="73"/>
      <c r="OOO101" s="73"/>
      <c r="OOP101" s="73"/>
      <c r="OOQ101" s="73"/>
      <c r="OOR101" s="73"/>
      <c r="OOS101" s="73"/>
      <c r="OOT101" s="73"/>
      <c r="OOU101" s="73"/>
      <c r="OOV101" s="73"/>
      <c r="OOW101" s="73"/>
      <c r="OOX101" s="73"/>
      <c r="OOY101" s="73"/>
      <c r="OOZ101" s="73"/>
      <c r="OPA101" s="73"/>
      <c r="OPB101" s="73"/>
      <c r="OPC101" s="73"/>
      <c r="OPD101" s="73"/>
      <c r="OPE101" s="73"/>
      <c r="OPF101" s="73"/>
      <c r="OPG101" s="73"/>
      <c r="OPH101" s="73"/>
      <c r="OPI101" s="73"/>
      <c r="OPJ101" s="73"/>
      <c r="OPK101" s="73"/>
      <c r="OPL101" s="73"/>
      <c r="OPM101" s="73"/>
      <c r="OPN101" s="73"/>
      <c r="OPO101" s="73"/>
      <c r="OPP101" s="73"/>
      <c r="OPQ101" s="73"/>
      <c r="OPR101" s="73"/>
      <c r="OPS101" s="73"/>
      <c r="OPT101" s="73"/>
      <c r="OPU101" s="73"/>
      <c r="OPV101" s="73"/>
      <c r="OPW101" s="73"/>
      <c r="OPX101" s="73"/>
      <c r="OPY101" s="73"/>
      <c r="OPZ101" s="73"/>
      <c r="OQA101" s="73"/>
      <c r="OQB101" s="73"/>
      <c r="OQC101" s="73"/>
      <c r="OQD101" s="73"/>
      <c r="OQE101" s="73"/>
      <c r="OQF101" s="73"/>
      <c r="OQG101" s="73"/>
      <c r="OQH101" s="73"/>
      <c r="OQI101" s="73"/>
      <c r="OQJ101" s="73"/>
      <c r="OQK101" s="73"/>
      <c r="OQL101" s="73"/>
      <c r="OQM101" s="73"/>
      <c r="OQN101" s="73"/>
      <c r="OQO101" s="73"/>
      <c r="OQP101" s="73"/>
      <c r="OQQ101" s="73"/>
      <c r="OQR101" s="73"/>
      <c r="OQS101" s="73"/>
      <c r="OQT101" s="73"/>
      <c r="OQU101" s="73"/>
      <c r="OQV101" s="73"/>
      <c r="OQW101" s="73"/>
      <c r="OQX101" s="73"/>
      <c r="OQY101" s="73"/>
      <c r="OQZ101" s="73"/>
      <c r="ORA101" s="73"/>
      <c r="ORB101" s="73"/>
      <c r="ORC101" s="73"/>
      <c r="ORD101" s="73"/>
      <c r="ORE101" s="73"/>
      <c r="ORF101" s="73"/>
      <c r="ORG101" s="73"/>
      <c r="ORH101" s="73"/>
      <c r="ORI101" s="73"/>
      <c r="ORJ101" s="73"/>
      <c r="ORK101" s="73"/>
      <c r="ORL101" s="73"/>
      <c r="ORM101" s="73"/>
      <c r="ORN101" s="73"/>
      <c r="ORO101" s="73"/>
      <c r="ORP101" s="73"/>
      <c r="ORQ101" s="73"/>
      <c r="ORR101" s="73"/>
      <c r="ORS101" s="73"/>
      <c r="ORT101" s="73"/>
      <c r="ORU101" s="73"/>
      <c r="ORV101" s="73"/>
      <c r="ORW101" s="73"/>
      <c r="ORX101" s="73"/>
      <c r="ORY101" s="73"/>
      <c r="ORZ101" s="73"/>
      <c r="OSA101" s="73"/>
      <c r="OSB101" s="73"/>
      <c r="OSC101" s="73"/>
      <c r="OSD101" s="73"/>
      <c r="OSE101" s="73"/>
      <c r="OSF101" s="73"/>
      <c r="OSG101" s="73"/>
      <c r="OSH101" s="73"/>
      <c r="OSI101" s="73"/>
      <c r="OSJ101" s="73"/>
      <c r="OSK101" s="73"/>
      <c r="OSL101" s="73"/>
      <c r="OSM101" s="73"/>
      <c r="OSN101" s="73"/>
      <c r="OSO101" s="73"/>
      <c r="OSP101" s="73"/>
      <c r="OSQ101" s="73"/>
      <c r="OSR101" s="73"/>
      <c r="OSS101" s="73"/>
      <c r="OST101" s="73"/>
      <c r="OSU101" s="73"/>
      <c r="OSV101" s="73"/>
      <c r="OSW101" s="73"/>
      <c r="OSX101" s="73"/>
      <c r="OSY101" s="73"/>
      <c r="OSZ101" s="73"/>
      <c r="OTA101" s="73"/>
      <c r="OTB101" s="73"/>
      <c r="OTC101" s="73"/>
      <c r="OTD101" s="73"/>
      <c r="OTE101" s="73"/>
      <c r="OTF101" s="73"/>
      <c r="OTG101" s="73"/>
      <c r="OTH101" s="73"/>
      <c r="OTI101" s="73"/>
      <c r="OTJ101" s="73"/>
      <c r="OTK101" s="73"/>
      <c r="OTL101" s="73"/>
      <c r="OTM101" s="73"/>
      <c r="OTN101" s="73"/>
      <c r="OTO101" s="73"/>
      <c r="OTP101" s="73"/>
      <c r="OTQ101" s="73"/>
      <c r="OTR101" s="73"/>
      <c r="OTS101" s="73"/>
      <c r="OTT101" s="73"/>
      <c r="OTU101" s="73"/>
      <c r="OTV101" s="73"/>
      <c r="OTW101" s="73"/>
      <c r="OTX101" s="73"/>
      <c r="OTY101" s="73"/>
      <c r="OTZ101" s="73"/>
      <c r="OUA101" s="73"/>
      <c r="OUB101" s="73"/>
      <c r="OUC101" s="73"/>
      <c r="OUD101" s="73"/>
      <c r="OUE101" s="73"/>
      <c r="OUF101" s="73"/>
      <c r="OUG101" s="73"/>
      <c r="OUH101" s="73"/>
      <c r="OUI101" s="73"/>
      <c r="OUJ101" s="73"/>
      <c r="OUK101" s="73"/>
      <c r="OUL101" s="73"/>
      <c r="OUM101" s="73"/>
      <c r="OUN101" s="73"/>
      <c r="OUO101" s="73"/>
      <c r="OUP101" s="73"/>
      <c r="OUQ101" s="73"/>
      <c r="OUR101" s="73"/>
      <c r="OUS101" s="73"/>
      <c r="OUT101" s="73"/>
      <c r="OUU101" s="73"/>
      <c r="OUV101" s="73"/>
      <c r="OUW101" s="73"/>
      <c r="OUX101" s="73"/>
      <c r="OUY101" s="73"/>
      <c r="OUZ101" s="73"/>
      <c r="OVA101" s="73"/>
      <c r="OVB101" s="73"/>
      <c r="OVC101" s="73"/>
      <c r="OVD101" s="73"/>
      <c r="OVE101" s="73"/>
      <c r="OVF101" s="73"/>
      <c r="OVG101" s="73"/>
      <c r="OVH101" s="73"/>
      <c r="OVI101" s="73"/>
      <c r="OVJ101" s="73"/>
      <c r="OVK101" s="73"/>
      <c r="OVL101" s="73"/>
      <c r="OVM101" s="73"/>
      <c r="OVN101" s="73"/>
      <c r="OVO101" s="73"/>
      <c r="OVP101" s="73"/>
      <c r="OVQ101" s="73"/>
      <c r="OVR101" s="73"/>
      <c r="OVS101" s="73"/>
      <c r="OVT101" s="73"/>
      <c r="OVU101" s="73"/>
      <c r="OVV101" s="73"/>
      <c r="OVW101" s="73"/>
      <c r="OVX101" s="73"/>
      <c r="OVY101" s="73"/>
      <c r="OVZ101" s="73"/>
      <c r="OWA101" s="73"/>
      <c r="OWB101" s="73"/>
      <c r="OWC101" s="73"/>
      <c r="OWD101" s="73"/>
      <c r="OWE101" s="73"/>
      <c r="OWF101" s="73"/>
      <c r="OWG101" s="73"/>
      <c r="OWH101" s="73"/>
      <c r="OWI101" s="73"/>
      <c r="OWJ101" s="73"/>
      <c r="OWK101" s="73"/>
      <c r="OWL101" s="73"/>
      <c r="OWM101" s="73"/>
      <c r="OWN101" s="73"/>
      <c r="OWO101" s="73"/>
      <c r="OWP101" s="73"/>
      <c r="OWQ101" s="73"/>
      <c r="OWR101" s="73"/>
      <c r="OWS101" s="73"/>
      <c r="OWT101" s="73"/>
      <c r="OWU101" s="73"/>
      <c r="OWV101" s="73"/>
      <c r="OWW101" s="73"/>
      <c r="OWX101" s="73"/>
      <c r="OWY101" s="73"/>
      <c r="OWZ101" s="73"/>
      <c r="OXA101" s="73"/>
      <c r="OXB101" s="73"/>
      <c r="OXC101" s="73"/>
      <c r="OXD101" s="73"/>
      <c r="OXE101" s="73"/>
      <c r="OXF101" s="73"/>
      <c r="OXG101" s="73"/>
      <c r="OXH101" s="73"/>
      <c r="OXI101" s="73"/>
      <c r="OXJ101" s="73"/>
      <c r="OXK101" s="73"/>
      <c r="OXL101" s="73"/>
      <c r="OXM101" s="73"/>
      <c r="OXN101" s="73"/>
      <c r="OXO101" s="73"/>
      <c r="OXP101" s="73"/>
      <c r="OXQ101" s="73"/>
      <c r="OXR101" s="73"/>
      <c r="OXS101" s="73"/>
      <c r="OXT101" s="73"/>
      <c r="OXU101" s="73"/>
      <c r="OXV101" s="73"/>
      <c r="OXW101" s="73"/>
      <c r="OXX101" s="73"/>
      <c r="OXY101" s="73"/>
      <c r="OXZ101" s="73"/>
      <c r="OYA101" s="73"/>
      <c r="OYB101" s="73"/>
      <c r="OYC101" s="73"/>
      <c r="OYD101" s="73"/>
      <c r="OYE101" s="73"/>
      <c r="OYF101" s="73"/>
      <c r="OYG101" s="73"/>
      <c r="OYH101" s="73"/>
      <c r="OYI101" s="73"/>
      <c r="OYJ101" s="73"/>
      <c r="OYK101" s="73"/>
      <c r="OYL101" s="73"/>
      <c r="OYM101" s="73"/>
      <c r="OYN101" s="73"/>
      <c r="OYO101" s="73"/>
      <c r="OYP101" s="73"/>
      <c r="OYQ101" s="73"/>
      <c r="OYR101" s="73"/>
      <c r="OYS101" s="73"/>
      <c r="OYT101" s="73"/>
      <c r="OYU101" s="73"/>
      <c r="OYV101" s="73"/>
      <c r="OYW101" s="73"/>
      <c r="OYX101" s="73"/>
      <c r="OYY101" s="73"/>
      <c r="OYZ101" s="73"/>
      <c r="OZA101" s="73"/>
      <c r="OZB101" s="73"/>
      <c r="OZC101" s="73"/>
      <c r="OZD101" s="73"/>
      <c r="OZE101" s="73"/>
      <c r="OZF101" s="73"/>
      <c r="OZG101" s="73"/>
      <c r="OZH101" s="73"/>
      <c r="OZI101" s="73"/>
      <c r="OZJ101" s="73"/>
      <c r="OZK101" s="73"/>
      <c r="OZL101" s="73"/>
      <c r="OZM101" s="73"/>
      <c r="OZN101" s="73"/>
      <c r="OZO101" s="73"/>
      <c r="OZP101" s="73"/>
      <c r="OZQ101" s="73"/>
      <c r="OZR101" s="73"/>
      <c r="OZS101" s="73"/>
      <c r="OZT101" s="73"/>
      <c r="OZU101" s="73"/>
      <c r="OZV101" s="73"/>
      <c r="OZW101" s="73"/>
      <c r="OZX101" s="73"/>
      <c r="OZY101" s="73"/>
      <c r="OZZ101" s="73"/>
      <c r="PAA101" s="73"/>
      <c r="PAB101" s="73"/>
      <c r="PAC101" s="73"/>
      <c r="PAD101" s="73"/>
      <c r="PAE101" s="73"/>
      <c r="PAF101" s="73"/>
      <c r="PAG101" s="73"/>
      <c r="PAH101" s="73"/>
      <c r="PAI101" s="73"/>
      <c r="PAJ101" s="73"/>
      <c r="PAK101" s="73"/>
      <c r="PAL101" s="73"/>
      <c r="PAM101" s="73"/>
      <c r="PAN101" s="73"/>
      <c r="PAO101" s="73"/>
      <c r="PAP101" s="73"/>
      <c r="PAQ101" s="73"/>
      <c r="PAR101" s="73"/>
      <c r="PAS101" s="73"/>
      <c r="PAT101" s="73"/>
      <c r="PAU101" s="73"/>
      <c r="PAV101" s="73"/>
      <c r="PAW101" s="73"/>
      <c r="PAX101" s="73"/>
      <c r="PAY101" s="73"/>
      <c r="PAZ101" s="73"/>
      <c r="PBA101" s="73"/>
      <c r="PBB101" s="73"/>
      <c r="PBC101" s="73"/>
      <c r="PBD101" s="73"/>
      <c r="PBE101" s="73"/>
      <c r="PBF101" s="73"/>
      <c r="PBG101" s="73"/>
      <c r="PBH101" s="73"/>
      <c r="PBI101" s="73"/>
      <c r="PBJ101" s="73"/>
      <c r="PBK101" s="73"/>
      <c r="PBL101" s="73"/>
      <c r="PBM101" s="73"/>
      <c r="PBN101" s="73"/>
      <c r="PBO101" s="73"/>
      <c r="PBP101" s="73"/>
      <c r="PBQ101" s="73"/>
      <c r="PBR101" s="73"/>
      <c r="PBS101" s="73"/>
      <c r="PBT101" s="73"/>
      <c r="PBU101" s="73"/>
      <c r="PBV101" s="73"/>
      <c r="PBW101" s="73"/>
      <c r="PBX101" s="73"/>
      <c r="PBY101" s="73"/>
      <c r="PBZ101" s="73"/>
      <c r="PCA101" s="73"/>
      <c r="PCB101" s="73"/>
      <c r="PCC101" s="73"/>
      <c r="PCD101" s="73"/>
      <c r="PCE101" s="73"/>
      <c r="PCF101" s="73"/>
      <c r="PCG101" s="73"/>
      <c r="PCH101" s="73"/>
      <c r="PCI101" s="73"/>
      <c r="PCJ101" s="73"/>
      <c r="PCK101" s="73"/>
      <c r="PCL101" s="73"/>
      <c r="PCM101" s="73"/>
      <c r="PCN101" s="73"/>
      <c r="PCO101" s="73"/>
      <c r="PCP101" s="73"/>
      <c r="PCQ101" s="73"/>
      <c r="PCR101" s="73"/>
      <c r="PCS101" s="73"/>
      <c r="PCT101" s="73"/>
      <c r="PCU101" s="73"/>
      <c r="PCV101" s="73"/>
      <c r="PCW101" s="73"/>
      <c r="PCX101" s="73"/>
      <c r="PCY101" s="73"/>
      <c r="PCZ101" s="73"/>
      <c r="PDA101" s="73"/>
      <c r="PDB101" s="73"/>
      <c r="PDC101" s="73"/>
      <c r="PDD101" s="73"/>
      <c r="PDE101" s="73"/>
      <c r="PDF101" s="73"/>
      <c r="PDG101" s="73"/>
      <c r="PDH101" s="73"/>
      <c r="PDI101" s="73"/>
      <c r="PDJ101" s="73"/>
      <c r="PDK101" s="73"/>
      <c r="PDL101" s="73"/>
      <c r="PDM101" s="73"/>
      <c r="PDN101" s="73"/>
      <c r="PDO101" s="73"/>
      <c r="PDP101" s="73"/>
      <c r="PDQ101" s="73"/>
      <c r="PDR101" s="73"/>
      <c r="PDS101" s="73"/>
      <c r="PDT101" s="73"/>
      <c r="PDU101" s="73"/>
      <c r="PDV101" s="73"/>
      <c r="PDW101" s="73"/>
      <c r="PDX101" s="73"/>
      <c r="PDY101" s="73"/>
      <c r="PDZ101" s="73"/>
      <c r="PEA101" s="73"/>
      <c r="PEB101" s="73"/>
      <c r="PEC101" s="73"/>
      <c r="PED101" s="73"/>
      <c r="PEE101" s="73"/>
      <c r="PEF101" s="73"/>
      <c r="PEG101" s="73"/>
      <c r="PEH101" s="73"/>
      <c r="PEI101" s="73"/>
      <c r="PEJ101" s="73"/>
      <c r="PEK101" s="73"/>
      <c r="PEL101" s="73"/>
      <c r="PEM101" s="73"/>
      <c r="PEN101" s="73"/>
      <c r="PEO101" s="73"/>
      <c r="PEP101" s="73"/>
      <c r="PEQ101" s="73"/>
      <c r="PER101" s="73"/>
      <c r="PES101" s="73"/>
      <c r="PET101" s="73"/>
      <c r="PEU101" s="73"/>
      <c r="PEV101" s="73"/>
      <c r="PEW101" s="73"/>
      <c r="PEX101" s="73"/>
      <c r="PEY101" s="73"/>
      <c r="PEZ101" s="73"/>
      <c r="PFA101" s="73"/>
      <c r="PFB101" s="73"/>
      <c r="PFC101" s="73"/>
      <c r="PFD101" s="73"/>
      <c r="PFE101" s="73"/>
      <c r="PFF101" s="73"/>
      <c r="PFG101" s="73"/>
      <c r="PFH101" s="73"/>
      <c r="PFI101" s="73"/>
      <c r="PFJ101" s="73"/>
      <c r="PFK101" s="73"/>
      <c r="PFL101" s="73"/>
      <c r="PFM101" s="73"/>
      <c r="PFN101" s="73"/>
      <c r="PFO101" s="73"/>
      <c r="PFP101" s="73"/>
      <c r="PFQ101" s="73"/>
      <c r="PFR101" s="73"/>
      <c r="PFS101" s="73"/>
      <c r="PFT101" s="73"/>
      <c r="PFU101" s="73"/>
      <c r="PFV101" s="73"/>
      <c r="PFW101" s="73"/>
      <c r="PFX101" s="73"/>
      <c r="PFY101" s="73"/>
      <c r="PFZ101" s="73"/>
      <c r="PGA101" s="73"/>
      <c r="PGB101" s="73"/>
      <c r="PGC101" s="73"/>
      <c r="PGD101" s="73"/>
      <c r="PGE101" s="73"/>
      <c r="PGF101" s="73"/>
      <c r="PGG101" s="73"/>
      <c r="PGH101" s="73"/>
      <c r="PGI101" s="73"/>
      <c r="PGJ101" s="73"/>
      <c r="PGK101" s="73"/>
      <c r="PGL101" s="73"/>
      <c r="PGM101" s="73"/>
      <c r="PGN101" s="73"/>
      <c r="PGO101" s="73"/>
      <c r="PGP101" s="73"/>
      <c r="PGQ101" s="73"/>
      <c r="PGR101" s="73"/>
      <c r="PGS101" s="73"/>
      <c r="PGT101" s="73"/>
      <c r="PGU101" s="73"/>
      <c r="PGV101" s="73"/>
      <c r="PGW101" s="73"/>
      <c r="PGX101" s="73"/>
      <c r="PGY101" s="73"/>
      <c r="PGZ101" s="73"/>
      <c r="PHA101" s="73"/>
      <c r="PHB101" s="73"/>
      <c r="PHC101" s="73"/>
      <c r="PHD101" s="73"/>
      <c r="PHE101" s="73"/>
      <c r="PHF101" s="73"/>
      <c r="PHG101" s="73"/>
      <c r="PHH101" s="73"/>
      <c r="PHI101" s="73"/>
      <c r="PHJ101" s="73"/>
      <c r="PHK101" s="73"/>
      <c r="PHL101" s="73"/>
      <c r="PHM101" s="73"/>
      <c r="PHN101" s="73"/>
      <c r="PHO101" s="73"/>
      <c r="PHP101" s="73"/>
      <c r="PHQ101" s="73"/>
      <c r="PHR101" s="73"/>
      <c r="PHS101" s="73"/>
      <c r="PHT101" s="73"/>
      <c r="PHU101" s="73"/>
      <c r="PHV101" s="73"/>
      <c r="PHW101" s="73"/>
      <c r="PHX101" s="73"/>
      <c r="PHY101" s="73"/>
      <c r="PHZ101" s="73"/>
      <c r="PIA101" s="73"/>
      <c r="PIB101" s="73"/>
      <c r="PIC101" s="73"/>
      <c r="PID101" s="73"/>
      <c r="PIE101" s="73"/>
      <c r="PIF101" s="73"/>
      <c r="PIG101" s="73"/>
      <c r="PIH101" s="73"/>
      <c r="PII101" s="73"/>
      <c r="PIJ101" s="73"/>
      <c r="PIK101" s="73"/>
      <c r="PIL101" s="73"/>
      <c r="PIM101" s="73"/>
      <c r="PIN101" s="73"/>
      <c r="PIO101" s="73"/>
      <c r="PIP101" s="73"/>
      <c r="PIQ101" s="73"/>
      <c r="PIR101" s="73"/>
      <c r="PIS101" s="73"/>
      <c r="PIT101" s="73"/>
      <c r="PIU101" s="73"/>
      <c r="PIV101" s="73"/>
      <c r="PIW101" s="73"/>
      <c r="PIX101" s="73"/>
      <c r="PIY101" s="73"/>
      <c r="PIZ101" s="73"/>
      <c r="PJA101" s="73"/>
      <c r="PJB101" s="73"/>
      <c r="PJC101" s="73"/>
      <c r="PJD101" s="73"/>
      <c r="PJE101" s="73"/>
      <c r="PJF101" s="73"/>
      <c r="PJG101" s="73"/>
      <c r="PJH101" s="73"/>
      <c r="PJI101" s="73"/>
      <c r="PJJ101" s="73"/>
      <c r="PJK101" s="73"/>
      <c r="PJL101" s="73"/>
      <c r="PJM101" s="73"/>
      <c r="PJN101" s="73"/>
      <c r="PJO101" s="73"/>
      <c r="PJP101" s="73"/>
      <c r="PJQ101" s="73"/>
      <c r="PJR101" s="73"/>
      <c r="PJS101" s="73"/>
      <c r="PJT101" s="73"/>
      <c r="PJU101" s="73"/>
      <c r="PJV101" s="73"/>
      <c r="PJW101" s="73"/>
      <c r="PJX101" s="73"/>
      <c r="PJY101" s="73"/>
      <c r="PJZ101" s="73"/>
      <c r="PKA101" s="73"/>
      <c r="PKB101" s="73"/>
      <c r="PKC101" s="73"/>
      <c r="PKD101" s="73"/>
      <c r="PKE101" s="73"/>
      <c r="PKF101" s="73"/>
      <c r="PKG101" s="73"/>
      <c r="PKH101" s="73"/>
      <c r="PKI101" s="73"/>
      <c r="PKJ101" s="73"/>
      <c r="PKK101" s="73"/>
      <c r="PKL101" s="73"/>
      <c r="PKM101" s="73"/>
      <c r="PKN101" s="73"/>
      <c r="PKO101" s="73"/>
      <c r="PKP101" s="73"/>
      <c r="PKQ101" s="73"/>
      <c r="PKR101" s="73"/>
      <c r="PKS101" s="73"/>
      <c r="PKT101" s="73"/>
      <c r="PKU101" s="73"/>
      <c r="PKV101" s="73"/>
      <c r="PKW101" s="73"/>
      <c r="PKX101" s="73"/>
      <c r="PKY101" s="73"/>
      <c r="PKZ101" s="73"/>
      <c r="PLA101" s="73"/>
      <c r="PLB101" s="73"/>
      <c r="PLC101" s="73"/>
      <c r="PLD101" s="73"/>
      <c r="PLE101" s="73"/>
      <c r="PLF101" s="73"/>
      <c r="PLG101" s="73"/>
      <c r="PLH101" s="73"/>
      <c r="PLI101" s="73"/>
      <c r="PLJ101" s="73"/>
      <c r="PLK101" s="73"/>
      <c r="PLL101" s="73"/>
      <c r="PLM101" s="73"/>
      <c r="PLN101" s="73"/>
      <c r="PLO101" s="73"/>
      <c r="PLP101" s="73"/>
      <c r="PLQ101" s="73"/>
      <c r="PLR101" s="73"/>
      <c r="PLS101" s="73"/>
      <c r="PLT101" s="73"/>
      <c r="PLU101" s="73"/>
      <c r="PLV101" s="73"/>
      <c r="PLW101" s="73"/>
      <c r="PLX101" s="73"/>
      <c r="PLY101" s="73"/>
      <c r="PLZ101" s="73"/>
      <c r="PMA101" s="73"/>
      <c r="PMB101" s="73"/>
      <c r="PMC101" s="73"/>
      <c r="PMD101" s="73"/>
      <c r="PME101" s="73"/>
      <c r="PMF101" s="73"/>
      <c r="PMG101" s="73"/>
      <c r="PMH101" s="73"/>
      <c r="PMI101" s="73"/>
      <c r="PMJ101" s="73"/>
      <c r="PMK101" s="73"/>
      <c r="PML101" s="73"/>
      <c r="PMM101" s="73"/>
      <c r="PMN101" s="73"/>
      <c r="PMO101" s="73"/>
      <c r="PMP101" s="73"/>
      <c r="PMQ101" s="73"/>
      <c r="PMR101" s="73"/>
      <c r="PMS101" s="73"/>
      <c r="PMT101" s="73"/>
      <c r="PMU101" s="73"/>
      <c r="PMV101" s="73"/>
      <c r="PMW101" s="73"/>
      <c r="PMX101" s="73"/>
      <c r="PMY101" s="73"/>
      <c r="PMZ101" s="73"/>
      <c r="PNA101" s="73"/>
      <c r="PNB101" s="73"/>
      <c r="PNC101" s="73"/>
      <c r="PND101" s="73"/>
      <c r="PNE101" s="73"/>
      <c r="PNF101" s="73"/>
      <c r="PNG101" s="73"/>
      <c r="PNH101" s="73"/>
      <c r="PNI101" s="73"/>
      <c r="PNJ101" s="73"/>
      <c r="PNK101" s="73"/>
      <c r="PNL101" s="73"/>
      <c r="PNM101" s="73"/>
      <c r="PNN101" s="73"/>
      <c r="PNO101" s="73"/>
      <c r="PNP101" s="73"/>
      <c r="PNQ101" s="73"/>
      <c r="PNR101" s="73"/>
      <c r="PNS101" s="73"/>
      <c r="PNT101" s="73"/>
      <c r="PNU101" s="73"/>
      <c r="PNV101" s="73"/>
      <c r="PNW101" s="73"/>
      <c r="PNX101" s="73"/>
      <c r="PNY101" s="73"/>
      <c r="PNZ101" s="73"/>
      <c r="POA101" s="73"/>
      <c r="POB101" s="73"/>
      <c r="POC101" s="73"/>
      <c r="POD101" s="73"/>
      <c r="POE101" s="73"/>
      <c r="POF101" s="73"/>
      <c r="POG101" s="73"/>
      <c r="POH101" s="73"/>
      <c r="POI101" s="73"/>
      <c r="POJ101" s="73"/>
      <c r="POK101" s="73"/>
      <c r="POL101" s="73"/>
      <c r="POM101" s="73"/>
      <c r="PON101" s="73"/>
      <c r="POO101" s="73"/>
      <c r="POP101" s="73"/>
      <c r="POQ101" s="73"/>
      <c r="POR101" s="73"/>
      <c r="POS101" s="73"/>
      <c r="POT101" s="73"/>
      <c r="POU101" s="73"/>
      <c r="POV101" s="73"/>
      <c r="POW101" s="73"/>
      <c r="POX101" s="73"/>
      <c r="POY101" s="73"/>
      <c r="POZ101" s="73"/>
      <c r="PPA101" s="73"/>
      <c r="PPB101" s="73"/>
      <c r="PPC101" s="73"/>
      <c r="PPD101" s="73"/>
      <c r="PPE101" s="73"/>
      <c r="PPF101" s="73"/>
      <c r="PPG101" s="73"/>
      <c r="PPH101" s="73"/>
      <c r="PPI101" s="73"/>
      <c r="PPJ101" s="73"/>
      <c r="PPK101" s="73"/>
      <c r="PPL101" s="73"/>
      <c r="PPM101" s="73"/>
      <c r="PPN101" s="73"/>
      <c r="PPO101" s="73"/>
      <c r="PPP101" s="73"/>
      <c r="PPQ101" s="73"/>
      <c r="PPR101" s="73"/>
      <c r="PPS101" s="73"/>
      <c r="PPT101" s="73"/>
      <c r="PPU101" s="73"/>
      <c r="PPV101" s="73"/>
      <c r="PPW101" s="73"/>
      <c r="PPX101" s="73"/>
      <c r="PPY101" s="73"/>
      <c r="PPZ101" s="73"/>
      <c r="PQA101" s="73"/>
      <c r="PQB101" s="73"/>
      <c r="PQC101" s="73"/>
      <c r="PQD101" s="73"/>
      <c r="PQE101" s="73"/>
      <c r="PQF101" s="73"/>
      <c r="PQG101" s="73"/>
      <c r="PQH101" s="73"/>
      <c r="PQI101" s="73"/>
      <c r="PQJ101" s="73"/>
      <c r="PQK101" s="73"/>
      <c r="PQL101" s="73"/>
      <c r="PQM101" s="73"/>
      <c r="PQN101" s="73"/>
      <c r="PQO101" s="73"/>
      <c r="PQP101" s="73"/>
      <c r="PQQ101" s="73"/>
      <c r="PQR101" s="73"/>
      <c r="PQS101" s="73"/>
      <c r="PQT101" s="73"/>
      <c r="PQU101" s="73"/>
      <c r="PQV101" s="73"/>
      <c r="PQW101" s="73"/>
      <c r="PQX101" s="73"/>
      <c r="PQY101" s="73"/>
      <c r="PQZ101" s="73"/>
      <c r="PRA101" s="73"/>
      <c r="PRB101" s="73"/>
      <c r="PRC101" s="73"/>
      <c r="PRD101" s="73"/>
      <c r="PRE101" s="73"/>
      <c r="PRF101" s="73"/>
      <c r="PRG101" s="73"/>
      <c r="PRH101" s="73"/>
      <c r="PRI101" s="73"/>
      <c r="PRJ101" s="73"/>
      <c r="PRK101" s="73"/>
      <c r="PRL101" s="73"/>
      <c r="PRM101" s="73"/>
      <c r="PRN101" s="73"/>
      <c r="PRO101" s="73"/>
      <c r="PRP101" s="73"/>
      <c r="PRQ101" s="73"/>
      <c r="PRR101" s="73"/>
      <c r="PRS101" s="73"/>
      <c r="PRT101" s="73"/>
      <c r="PRU101" s="73"/>
      <c r="PRV101" s="73"/>
      <c r="PRW101" s="73"/>
      <c r="PRX101" s="73"/>
      <c r="PRY101" s="73"/>
      <c r="PRZ101" s="73"/>
      <c r="PSA101" s="73"/>
      <c r="PSB101" s="73"/>
      <c r="PSC101" s="73"/>
      <c r="PSD101" s="73"/>
      <c r="PSE101" s="73"/>
      <c r="PSF101" s="73"/>
      <c r="PSG101" s="73"/>
      <c r="PSH101" s="73"/>
      <c r="PSI101" s="73"/>
      <c r="PSJ101" s="73"/>
      <c r="PSK101" s="73"/>
      <c r="PSL101" s="73"/>
      <c r="PSM101" s="73"/>
      <c r="PSN101" s="73"/>
      <c r="PSO101" s="73"/>
      <c r="PSP101" s="73"/>
      <c r="PSQ101" s="73"/>
      <c r="PSR101" s="73"/>
      <c r="PSS101" s="73"/>
      <c r="PST101" s="73"/>
      <c r="PSU101" s="73"/>
      <c r="PSV101" s="73"/>
      <c r="PSW101" s="73"/>
      <c r="PSX101" s="73"/>
      <c r="PSY101" s="73"/>
      <c r="PSZ101" s="73"/>
      <c r="PTA101" s="73"/>
      <c r="PTB101" s="73"/>
      <c r="PTC101" s="73"/>
      <c r="PTD101" s="73"/>
      <c r="PTE101" s="73"/>
      <c r="PTF101" s="73"/>
      <c r="PTG101" s="73"/>
      <c r="PTH101" s="73"/>
      <c r="PTI101" s="73"/>
      <c r="PTJ101" s="73"/>
      <c r="PTK101" s="73"/>
      <c r="PTL101" s="73"/>
      <c r="PTM101" s="73"/>
      <c r="PTN101" s="73"/>
      <c r="PTO101" s="73"/>
      <c r="PTP101" s="73"/>
      <c r="PTQ101" s="73"/>
      <c r="PTR101" s="73"/>
      <c r="PTS101" s="73"/>
      <c r="PTT101" s="73"/>
      <c r="PTU101" s="73"/>
      <c r="PTV101" s="73"/>
      <c r="PTW101" s="73"/>
      <c r="PTX101" s="73"/>
      <c r="PTY101" s="73"/>
      <c r="PTZ101" s="73"/>
      <c r="PUA101" s="73"/>
      <c r="PUB101" s="73"/>
      <c r="PUC101" s="73"/>
      <c r="PUD101" s="73"/>
      <c r="PUE101" s="73"/>
      <c r="PUF101" s="73"/>
      <c r="PUG101" s="73"/>
      <c r="PUH101" s="73"/>
      <c r="PUI101" s="73"/>
      <c r="PUJ101" s="73"/>
      <c r="PUK101" s="73"/>
      <c r="PUL101" s="73"/>
      <c r="PUM101" s="73"/>
      <c r="PUN101" s="73"/>
      <c r="PUO101" s="73"/>
      <c r="PUP101" s="73"/>
      <c r="PUQ101" s="73"/>
      <c r="PUR101" s="73"/>
      <c r="PUS101" s="73"/>
      <c r="PUT101" s="73"/>
      <c r="PUU101" s="73"/>
      <c r="PUV101" s="73"/>
      <c r="PUW101" s="73"/>
      <c r="PUX101" s="73"/>
      <c r="PUY101" s="73"/>
      <c r="PUZ101" s="73"/>
      <c r="PVA101" s="73"/>
      <c r="PVB101" s="73"/>
      <c r="PVC101" s="73"/>
      <c r="PVD101" s="73"/>
      <c r="PVE101" s="73"/>
      <c r="PVF101" s="73"/>
      <c r="PVG101" s="73"/>
      <c r="PVH101" s="73"/>
      <c r="PVI101" s="73"/>
      <c r="PVJ101" s="73"/>
      <c r="PVK101" s="73"/>
      <c r="PVL101" s="73"/>
      <c r="PVM101" s="73"/>
      <c r="PVN101" s="73"/>
      <c r="PVO101" s="73"/>
      <c r="PVP101" s="73"/>
      <c r="PVQ101" s="73"/>
      <c r="PVR101" s="73"/>
      <c r="PVS101" s="73"/>
      <c r="PVT101" s="73"/>
      <c r="PVU101" s="73"/>
      <c r="PVV101" s="73"/>
      <c r="PVW101" s="73"/>
      <c r="PVX101" s="73"/>
      <c r="PVY101" s="73"/>
      <c r="PVZ101" s="73"/>
      <c r="PWA101" s="73"/>
      <c r="PWB101" s="73"/>
      <c r="PWC101" s="73"/>
      <c r="PWD101" s="73"/>
      <c r="PWE101" s="73"/>
      <c r="PWF101" s="73"/>
      <c r="PWG101" s="73"/>
      <c r="PWH101" s="73"/>
      <c r="PWI101" s="73"/>
      <c r="PWJ101" s="73"/>
      <c r="PWK101" s="73"/>
      <c r="PWL101" s="73"/>
      <c r="PWM101" s="73"/>
      <c r="PWN101" s="73"/>
      <c r="PWO101" s="73"/>
      <c r="PWP101" s="73"/>
      <c r="PWQ101" s="73"/>
      <c r="PWR101" s="73"/>
      <c r="PWS101" s="73"/>
      <c r="PWT101" s="73"/>
      <c r="PWU101" s="73"/>
      <c r="PWV101" s="73"/>
      <c r="PWW101" s="73"/>
      <c r="PWX101" s="73"/>
      <c r="PWY101" s="73"/>
      <c r="PWZ101" s="73"/>
      <c r="PXA101" s="73"/>
      <c r="PXB101" s="73"/>
      <c r="PXC101" s="73"/>
      <c r="PXD101" s="73"/>
      <c r="PXE101" s="73"/>
      <c r="PXF101" s="73"/>
      <c r="PXG101" s="73"/>
      <c r="PXH101" s="73"/>
      <c r="PXI101" s="73"/>
      <c r="PXJ101" s="73"/>
      <c r="PXK101" s="73"/>
      <c r="PXL101" s="73"/>
      <c r="PXM101" s="73"/>
      <c r="PXN101" s="73"/>
      <c r="PXO101" s="73"/>
      <c r="PXP101" s="73"/>
      <c r="PXQ101" s="73"/>
      <c r="PXR101" s="73"/>
      <c r="PXS101" s="73"/>
      <c r="PXT101" s="73"/>
      <c r="PXU101" s="73"/>
      <c r="PXV101" s="73"/>
      <c r="PXW101" s="73"/>
      <c r="PXX101" s="73"/>
      <c r="PXY101" s="73"/>
      <c r="PXZ101" s="73"/>
      <c r="PYA101" s="73"/>
      <c r="PYB101" s="73"/>
      <c r="PYC101" s="73"/>
      <c r="PYD101" s="73"/>
      <c r="PYE101" s="73"/>
      <c r="PYF101" s="73"/>
      <c r="PYG101" s="73"/>
      <c r="PYH101" s="73"/>
      <c r="PYI101" s="73"/>
      <c r="PYJ101" s="73"/>
      <c r="PYK101" s="73"/>
      <c r="PYL101" s="73"/>
      <c r="PYM101" s="73"/>
      <c r="PYN101" s="73"/>
      <c r="PYO101" s="73"/>
      <c r="PYP101" s="73"/>
      <c r="PYQ101" s="73"/>
      <c r="PYR101" s="73"/>
      <c r="PYS101" s="73"/>
      <c r="PYT101" s="73"/>
      <c r="PYU101" s="73"/>
      <c r="PYV101" s="73"/>
      <c r="PYW101" s="73"/>
      <c r="PYX101" s="73"/>
      <c r="PYY101" s="73"/>
      <c r="PYZ101" s="73"/>
      <c r="PZA101" s="73"/>
      <c r="PZB101" s="73"/>
      <c r="PZC101" s="73"/>
      <c r="PZD101" s="73"/>
      <c r="PZE101" s="73"/>
      <c r="PZF101" s="73"/>
      <c r="PZG101" s="73"/>
      <c r="PZH101" s="73"/>
      <c r="PZI101" s="73"/>
      <c r="PZJ101" s="73"/>
      <c r="PZK101" s="73"/>
      <c r="PZL101" s="73"/>
      <c r="PZM101" s="73"/>
      <c r="PZN101" s="73"/>
      <c r="PZO101" s="73"/>
      <c r="PZP101" s="73"/>
      <c r="PZQ101" s="73"/>
      <c r="PZR101" s="73"/>
      <c r="PZS101" s="73"/>
      <c r="PZT101" s="73"/>
      <c r="PZU101" s="73"/>
      <c r="PZV101" s="73"/>
      <c r="PZW101" s="73"/>
      <c r="PZX101" s="73"/>
      <c r="PZY101" s="73"/>
      <c r="PZZ101" s="73"/>
      <c r="QAA101" s="73"/>
      <c r="QAB101" s="73"/>
      <c r="QAC101" s="73"/>
      <c r="QAD101" s="73"/>
      <c r="QAE101" s="73"/>
      <c r="QAF101" s="73"/>
      <c r="QAG101" s="73"/>
      <c r="QAH101" s="73"/>
      <c r="QAI101" s="73"/>
      <c r="QAJ101" s="73"/>
      <c r="QAK101" s="73"/>
      <c r="QAL101" s="73"/>
      <c r="QAM101" s="73"/>
      <c r="QAN101" s="73"/>
      <c r="QAO101" s="73"/>
      <c r="QAP101" s="73"/>
      <c r="QAQ101" s="73"/>
      <c r="QAR101" s="73"/>
      <c r="QAS101" s="73"/>
      <c r="QAT101" s="73"/>
      <c r="QAU101" s="73"/>
      <c r="QAV101" s="73"/>
      <c r="QAW101" s="73"/>
      <c r="QAX101" s="73"/>
      <c r="QAY101" s="73"/>
      <c r="QAZ101" s="73"/>
      <c r="QBA101" s="73"/>
      <c r="QBB101" s="73"/>
      <c r="QBC101" s="73"/>
      <c r="QBD101" s="73"/>
      <c r="QBE101" s="73"/>
      <c r="QBF101" s="73"/>
      <c r="QBG101" s="73"/>
      <c r="QBH101" s="73"/>
      <c r="QBI101" s="73"/>
      <c r="QBJ101" s="73"/>
      <c r="QBK101" s="73"/>
      <c r="QBL101" s="73"/>
      <c r="QBM101" s="73"/>
      <c r="QBN101" s="73"/>
      <c r="QBO101" s="73"/>
      <c r="QBP101" s="73"/>
      <c r="QBQ101" s="73"/>
      <c r="QBR101" s="73"/>
      <c r="QBS101" s="73"/>
      <c r="QBT101" s="73"/>
      <c r="QBU101" s="73"/>
      <c r="QBV101" s="73"/>
      <c r="QBW101" s="73"/>
      <c r="QBX101" s="73"/>
      <c r="QBY101" s="73"/>
      <c r="QBZ101" s="73"/>
      <c r="QCA101" s="73"/>
      <c r="QCB101" s="73"/>
      <c r="QCC101" s="73"/>
      <c r="QCD101" s="73"/>
      <c r="QCE101" s="73"/>
      <c r="QCF101" s="73"/>
      <c r="QCG101" s="73"/>
      <c r="QCH101" s="73"/>
      <c r="QCI101" s="73"/>
      <c r="QCJ101" s="73"/>
      <c r="QCK101" s="73"/>
      <c r="QCL101" s="73"/>
      <c r="QCM101" s="73"/>
      <c r="QCN101" s="73"/>
      <c r="QCO101" s="73"/>
      <c r="QCP101" s="73"/>
      <c r="QCQ101" s="73"/>
      <c r="QCR101" s="73"/>
      <c r="QCS101" s="73"/>
      <c r="QCT101" s="73"/>
      <c r="QCU101" s="73"/>
      <c r="QCV101" s="73"/>
      <c r="QCW101" s="73"/>
      <c r="QCX101" s="73"/>
      <c r="QCY101" s="73"/>
      <c r="QCZ101" s="73"/>
      <c r="QDA101" s="73"/>
      <c r="QDB101" s="73"/>
      <c r="QDC101" s="73"/>
      <c r="QDD101" s="73"/>
      <c r="QDE101" s="73"/>
      <c r="QDF101" s="73"/>
      <c r="QDG101" s="73"/>
      <c r="QDH101" s="73"/>
      <c r="QDI101" s="73"/>
      <c r="QDJ101" s="73"/>
      <c r="QDK101" s="73"/>
      <c r="QDL101" s="73"/>
      <c r="QDM101" s="73"/>
      <c r="QDN101" s="73"/>
      <c r="QDO101" s="73"/>
      <c r="QDP101" s="73"/>
      <c r="QDQ101" s="73"/>
      <c r="QDR101" s="73"/>
      <c r="QDS101" s="73"/>
      <c r="QDT101" s="73"/>
      <c r="QDU101" s="73"/>
      <c r="QDV101" s="73"/>
      <c r="QDW101" s="73"/>
      <c r="QDX101" s="73"/>
      <c r="QDY101" s="73"/>
      <c r="QDZ101" s="73"/>
      <c r="QEA101" s="73"/>
      <c r="QEB101" s="73"/>
      <c r="QEC101" s="73"/>
      <c r="QED101" s="73"/>
      <c r="QEE101" s="73"/>
      <c r="QEF101" s="73"/>
      <c r="QEG101" s="73"/>
      <c r="QEH101" s="73"/>
      <c r="QEI101" s="73"/>
      <c r="QEJ101" s="73"/>
      <c r="QEK101" s="73"/>
      <c r="QEL101" s="73"/>
      <c r="QEM101" s="73"/>
      <c r="QEN101" s="73"/>
      <c r="QEO101" s="73"/>
      <c r="QEP101" s="73"/>
      <c r="QEQ101" s="73"/>
      <c r="QER101" s="73"/>
      <c r="QES101" s="73"/>
      <c r="QET101" s="73"/>
      <c r="QEU101" s="73"/>
      <c r="QEV101" s="73"/>
      <c r="QEW101" s="73"/>
      <c r="QEX101" s="73"/>
      <c r="QEY101" s="73"/>
      <c r="QEZ101" s="73"/>
      <c r="QFA101" s="73"/>
      <c r="QFB101" s="73"/>
      <c r="QFC101" s="73"/>
      <c r="QFD101" s="73"/>
      <c r="QFE101" s="73"/>
      <c r="QFF101" s="73"/>
      <c r="QFG101" s="73"/>
      <c r="QFH101" s="73"/>
      <c r="QFI101" s="73"/>
      <c r="QFJ101" s="73"/>
      <c r="QFK101" s="73"/>
      <c r="QFL101" s="73"/>
      <c r="QFM101" s="73"/>
      <c r="QFN101" s="73"/>
      <c r="QFO101" s="73"/>
      <c r="QFP101" s="73"/>
      <c r="QFQ101" s="73"/>
      <c r="QFR101" s="73"/>
      <c r="QFS101" s="73"/>
      <c r="QFT101" s="73"/>
      <c r="QFU101" s="73"/>
      <c r="QFV101" s="73"/>
      <c r="QFW101" s="73"/>
      <c r="QFX101" s="73"/>
      <c r="QFY101" s="73"/>
      <c r="QFZ101" s="73"/>
      <c r="QGA101" s="73"/>
      <c r="QGB101" s="73"/>
      <c r="QGC101" s="73"/>
      <c r="QGD101" s="73"/>
      <c r="QGE101" s="73"/>
      <c r="QGF101" s="73"/>
      <c r="QGG101" s="73"/>
      <c r="QGH101" s="73"/>
      <c r="QGI101" s="73"/>
      <c r="QGJ101" s="73"/>
      <c r="QGK101" s="73"/>
      <c r="QGL101" s="73"/>
      <c r="QGM101" s="73"/>
      <c r="QGN101" s="73"/>
      <c r="QGO101" s="73"/>
      <c r="QGP101" s="73"/>
      <c r="QGQ101" s="73"/>
      <c r="QGR101" s="73"/>
      <c r="QGS101" s="73"/>
      <c r="QGT101" s="73"/>
      <c r="QGU101" s="73"/>
      <c r="QGV101" s="73"/>
      <c r="QGW101" s="73"/>
      <c r="QGX101" s="73"/>
      <c r="QGY101" s="73"/>
      <c r="QGZ101" s="73"/>
      <c r="QHA101" s="73"/>
      <c r="QHB101" s="73"/>
      <c r="QHC101" s="73"/>
      <c r="QHD101" s="73"/>
      <c r="QHE101" s="73"/>
      <c r="QHF101" s="73"/>
      <c r="QHG101" s="73"/>
      <c r="QHH101" s="73"/>
      <c r="QHI101" s="73"/>
      <c r="QHJ101" s="73"/>
      <c r="QHK101" s="73"/>
      <c r="QHL101" s="73"/>
      <c r="QHM101" s="73"/>
      <c r="QHN101" s="73"/>
      <c r="QHO101" s="73"/>
      <c r="QHP101" s="73"/>
      <c r="QHQ101" s="73"/>
      <c r="QHR101" s="73"/>
      <c r="QHS101" s="73"/>
      <c r="QHT101" s="73"/>
      <c r="QHU101" s="73"/>
      <c r="QHV101" s="73"/>
      <c r="QHW101" s="73"/>
      <c r="QHX101" s="73"/>
      <c r="QHY101" s="73"/>
      <c r="QHZ101" s="73"/>
      <c r="QIA101" s="73"/>
      <c r="QIB101" s="73"/>
      <c r="QIC101" s="73"/>
      <c r="QID101" s="73"/>
      <c r="QIE101" s="73"/>
      <c r="QIF101" s="73"/>
      <c r="QIG101" s="73"/>
      <c r="QIH101" s="73"/>
      <c r="QII101" s="73"/>
      <c r="QIJ101" s="73"/>
      <c r="QIK101" s="73"/>
      <c r="QIL101" s="73"/>
      <c r="QIM101" s="73"/>
      <c r="QIN101" s="73"/>
      <c r="QIO101" s="73"/>
      <c r="QIP101" s="73"/>
      <c r="QIQ101" s="73"/>
      <c r="QIR101" s="73"/>
      <c r="QIS101" s="73"/>
      <c r="QIT101" s="73"/>
      <c r="QIU101" s="73"/>
      <c r="QIV101" s="73"/>
      <c r="QIW101" s="73"/>
      <c r="QIX101" s="73"/>
      <c r="QIY101" s="73"/>
      <c r="QIZ101" s="73"/>
      <c r="QJA101" s="73"/>
      <c r="QJB101" s="73"/>
      <c r="QJC101" s="73"/>
      <c r="QJD101" s="73"/>
      <c r="QJE101" s="73"/>
      <c r="QJF101" s="73"/>
      <c r="QJG101" s="73"/>
      <c r="QJH101" s="73"/>
      <c r="QJI101" s="73"/>
      <c r="QJJ101" s="73"/>
      <c r="QJK101" s="73"/>
      <c r="QJL101" s="73"/>
      <c r="QJM101" s="73"/>
      <c r="QJN101" s="73"/>
      <c r="QJO101" s="73"/>
      <c r="QJP101" s="73"/>
      <c r="QJQ101" s="73"/>
      <c r="QJR101" s="73"/>
      <c r="QJS101" s="73"/>
      <c r="QJT101" s="73"/>
      <c r="QJU101" s="73"/>
      <c r="QJV101" s="73"/>
      <c r="QJW101" s="73"/>
      <c r="QJX101" s="73"/>
      <c r="QJY101" s="73"/>
      <c r="QJZ101" s="73"/>
      <c r="QKA101" s="73"/>
      <c r="QKB101" s="73"/>
      <c r="QKC101" s="73"/>
      <c r="QKD101" s="73"/>
      <c r="QKE101" s="73"/>
      <c r="QKF101" s="73"/>
      <c r="QKG101" s="73"/>
      <c r="QKH101" s="73"/>
      <c r="QKI101" s="73"/>
      <c r="QKJ101" s="73"/>
      <c r="QKK101" s="73"/>
      <c r="QKL101" s="73"/>
      <c r="QKM101" s="73"/>
      <c r="QKN101" s="73"/>
      <c r="QKO101" s="73"/>
      <c r="QKP101" s="73"/>
      <c r="QKQ101" s="73"/>
      <c r="QKR101" s="73"/>
      <c r="QKS101" s="73"/>
      <c r="QKT101" s="73"/>
      <c r="QKU101" s="73"/>
      <c r="QKV101" s="73"/>
      <c r="QKW101" s="73"/>
      <c r="QKX101" s="73"/>
      <c r="QKY101" s="73"/>
      <c r="QKZ101" s="73"/>
      <c r="QLA101" s="73"/>
      <c r="QLB101" s="73"/>
      <c r="QLC101" s="73"/>
      <c r="QLD101" s="73"/>
      <c r="QLE101" s="73"/>
      <c r="QLF101" s="73"/>
      <c r="QLG101" s="73"/>
      <c r="QLH101" s="73"/>
      <c r="QLI101" s="73"/>
      <c r="QLJ101" s="73"/>
      <c r="QLK101" s="73"/>
      <c r="QLL101" s="73"/>
      <c r="QLM101" s="73"/>
      <c r="QLN101" s="73"/>
      <c r="QLO101" s="73"/>
      <c r="QLP101" s="73"/>
      <c r="QLQ101" s="73"/>
      <c r="QLR101" s="73"/>
      <c r="QLS101" s="73"/>
      <c r="QLT101" s="73"/>
      <c r="QLU101" s="73"/>
      <c r="QLV101" s="73"/>
      <c r="QLW101" s="73"/>
      <c r="QLX101" s="73"/>
      <c r="QLY101" s="73"/>
      <c r="QLZ101" s="73"/>
      <c r="QMA101" s="73"/>
      <c r="QMB101" s="73"/>
      <c r="QMC101" s="73"/>
      <c r="QMD101" s="73"/>
      <c r="QME101" s="73"/>
      <c r="QMF101" s="73"/>
      <c r="QMG101" s="73"/>
      <c r="QMH101" s="73"/>
      <c r="QMI101" s="73"/>
      <c r="QMJ101" s="73"/>
      <c r="QMK101" s="73"/>
      <c r="QML101" s="73"/>
      <c r="QMM101" s="73"/>
      <c r="QMN101" s="73"/>
      <c r="QMO101" s="73"/>
      <c r="QMP101" s="73"/>
      <c r="QMQ101" s="73"/>
      <c r="QMR101" s="73"/>
      <c r="QMS101" s="73"/>
      <c r="QMT101" s="73"/>
      <c r="QMU101" s="73"/>
      <c r="QMV101" s="73"/>
      <c r="QMW101" s="73"/>
      <c r="QMX101" s="73"/>
      <c r="QMY101" s="73"/>
      <c r="QMZ101" s="73"/>
      <c r="QNA101" s="73"/>
      <c r="QNB101" s="73"/>
      <c r="QNC101" s="73"/>
      <c r="QND101" s="73"/>
      <c r="QNE101" s="73"/>
      <c r="QNF101" s="73"/>
      <c r="QNG101" s="73"/>
      <c r="QNH101" s="73"/>
      <c r="QNI101" s="73"/>
      <c r="QNJ101" s="73"/>
      <c r="QNK101" s="73"/>
      <c r="QNL101" s="73"/>
      <c r="QNM101" s="73"/>
      <c r="QNN101" s="73"/>
      <c r="QNO101" s="73"/>
      <c r="QNP101" s="73"/>
      <c r="QNQ101" s="73"/>
      <c r="QNR101" s="73"/>
      <c r="QNS101" s="73"/>
      <c r="QNT101" s="73"/>
      <c r="QNU101" s="73"/>
      <c r="QNV101" s="73"/>
      <c r="QNW101" s="73"/>
      <c r="QNX101" s="73"/>
      <c r="QNY101" s="73"/>
      <c r="QNZ101" s="73"/>
      <c r="QOA101" s="73"/>
      <c r="QOB101" s="73"/>
      <c r="QOC101" s="73"/>
      <c r="QOD101" s="73"/>
      <c r="QOE101" s="73"/>
      <c r="QOF101" s="73"/>
      <c r="QOG101" s="73"/>
      <c r="QOH101" s="73"/>
      <c r="QOI101" s="73"/>
      <c r="QOJ101" s="73"/>
      <c r="QOK101" s="73"/>
      <c r="QOL101" s="73"/>
      <c r="QOM101" s="73"/>
      <c r="QON101" s="73"/>
      <c r="QOO101" s="73"/>
      <c r="QOP101" s="73"/>
      <c r="QOQ101" s="73"/>
      <c r="QOR101" s="73"/>
      <c r="QOS101" s="73"/>
      <c r="QOT101" s="73"/>
      <c r="QOU101" s="73"/>
      <c r="QOV101" s="73"/>
      <c r="QOW101" s="73"/>
      <c r="QOX101" s="73"/>
      <c r="QOY101" s="73"/>
      <c r="QOZ101" s="73"/>
      <c r="QPA101" s="73"/>
      <c r="QPB101" s="73"/>
      <c r="QPC101" s="73"/>
      <c r="QPD101" s="73"/>
      <c r="QPE101" s="73"/>
      <c r="QPF101" s="73"/>
      <c r="QPG101" s="73"/>
      <c r="QPH101" s="73"/>
      <c r="QPI101" s="73"/>
      <c r="QPJ101" s="73"/>
      <c r="QPK101" s="73"/>
      <c r="QPL101" s="73"/>
      <c r="QPM101" s="73"/>
      <c r="QPN101" s="73"/>
      <c r="QPO101" s="73"/>
      <c r="QPP101" s="73"/>
      <c r="QPQ101" s="73"/>
      <c r="QPR101" s="73"/>
      <c r="QPS101" s="73"/>
      <c r="QPT101" s="73"/>
      <c r="QPU101" s="73"/>
      <c r="QPV101" s="73"/>
      <c r="QPW101" s="73"/>
      <c r="QPX101" s="73"/>
      <c r="QPY101" s="73"/>
      <c r="QPZ101" s="73"/>
      <c r="QQA101" s="73"/>
      <c r="QQB101" s="73"/>
      <c r="QQC101" s="73"/>
      <c r="QQD101" s="73"/>
      <c r="QQE101" s="73"/>
      <c r="QQF101" s="73"/>
      <c r="QQG101" s="73"/>
      <c r="QQH101" s="73"/>
      <c r="QQI101" s="73"/>
      <c r="QQJ101" s="73"/>
      <c r="QQK101" s="73"/>
      <c r="QQL101" s="73"/>
      <c r="QQM101" s="73"/>
      <c r="QQN101" s="73"/>
      <c r="QQO101" s="73"/>
      <c r="QQP101" s="73"/>
      <c r="QQQ101" s="73"/>
      <c r="QQR101" s="73"/>
      <c r="QQS101" s="73"/>
      <c r="QQT101" s="73"/>
      <c r="QQU101" s="73"/>
      <c r="QQV101" s="73"/>
      <c r="QQW101" s="73"/>
      <c r="QQX101" s="73"/>
      <c r="QQY101" s="73"/>
      <c r="QQZ101" s="73"/>
      <c r="QRA101" s="73"/>
      <c r="QRB101" s="73"/>
      <c r="QRC101" s="73"/>
      <c r="QRD101" s="73"/>
      <c r="QRE101" s="73"/>
      <c r="QRF101" s="73"/>
      <c r="QRG101" s="73"/>
      <c r="QRH101" s="73"/>
      <c r="QRI101" s="73"/>
      <c r="QRJ101" s="73"/>
      <c r="QRK101" s="73"/>
      <c r="QRL101" s="73"/>
      <c r="QRM101" s="73"/>
      <c r="QRN101" s="73"/>
      <c r="QRO101" s="73"/>
      <c r="QRP101" s="73"/>
      <c r="QRQ101" s="73"/>
      <c r="QRR101" s="73"/>
      <c r="QRS101" s="73"/>
      <c r="QRT101" s="73"/>
      <c r="QRU101" s="73"/>
      <c r="QRV101" s="73"/>
      <c r="QRW101" s="73"/>
      <c r="QRX101" s="73"/>
      <c r="QRY101" s="73"/>
      <c r="QRZ101" s="73"/>
      <c r="QSA101" s="73"/>
      <c r="QSB101" s="73"/>
      <c r="QSC101" s="73"/>
      <c r="QSD101" s="73"/>
      <c r="QSE101" s="73"/>
      <c r="QSF101" s="73"/>
      <c r="QSG101" s="73"/>
      <c r="QSH101" s="73"/>
      <c r="QSI101" s="73"/>
      <c r="QSJ101" s="73"/>
      <c r="QSK101" s="73"/>
      <c r="QSL101" s="73"/>
      <c r="QSM101" s="73"/>
      <c r="QSN101" s="73"/>
      <c r="QSO101" s="73"/>
      <c r="QSP101" s="73"/>
      <c r="QSQ101" s="73"/>
      <c r="QSR101" s="73"/>
      <c r="QSS101" s="73"/>
      <c r="QST101" s="73"/>
      <c r="QSU101" s="73"/>
      <c r="QSV101" s="73"/>
      <c r="QSW101" s="73"/>
      <c r="QSX101" s="73"/>
      <c r="QSY101" s="73"/>
      <c r="QSZ101" s="73"/>
      <c r="QTA101" s="73"/>
      <c r="QTB101" s="73"/>
      <c r="QTC101" s="73"/>
      <c r="QTD101" s="73"/>
      <c r="QTE101" s="73"/>
      <c r="QTF101" s="73"/>
      <c r="QTG101" s="73"/>
      <c r="QTH101" s="73"/>
      <c r="QTI101" s="73"/>
      <c r="QTJ101" s="73"/>
      <c r="QTK101" s="73"/>
      <c r="QTL101" s="73"/>
      <c r="QTM101" s="73"/>
      <c r="QTN101" s="73"/>
      <c r="QTO101" s="73"/>
      <c r="QTP101" s="73"/>
      <c r="QTQ101" s="73"/>
      <c r="QTR101" s="73"/>
      <c r="QTS101" s="73"/>
      <c r="QTT101" s="73"/>
      <c r="QTU101" s="73"/>
      <c r="QTV101" s="73"/>
      <c r="QTW101" s="73"/>
      <c r="QTX101" s="73"/>
      <c r="QTY101" s="73"/>
      <c r="QTZ101" s="73"/>
      <c r="QUA101" s="73"/>
      <c r="QUB101" s="73"/>
      <c r="QUC101" s="73"/>
      <c r="QUD101" s="73"/>
      <c r="QUE101" s="73"/>
      <c r="QUF101" s="73"/>
      <c r="QUG101" s="73"/>
      <c r="QUH101" s="73"/>
      <c r="QUI101" s="73"/>
      <c r="QUJ101" s="73"/>
      <c r="QUK101" s="73"/>
      <c r="QUL101" s="73"/>
      <c r="QUM101" s="73"/>
      <c r="QUN101" s="73"/>
      <c r="QUO101" s="73"/>
      <c r="QUP101" s="73"/>
      <c r="QUQ101" s="73"/>
      <c r="QUR101" s="73"/>
      <c r="QUS101" s="73"/>
      <c r="QUT101" s="73"/>
      <c r="QUU101" s="73"/>
      <c r="QUV101" s="73"/>
      <c r="QUW101" s="73"/>
      <c r="QUX101" s="73"/>
      <c r="QUY101" s="73"/>
      <c r="QUZ101" s="73"/>
      <c r="QVA101" s="73"/>
      <c r="QVB101" s="73"/>
      <c r="QVC101" s="73"/>
      <c r="QVD101" s="73"/>
      <c r="QVE101" s="73"/>
      <c r="QVF101" s="73"/>
      <c r="QVG101" s="73"/>
      <c r="QVH101" s="73"/>
      <c r="QVI101" s="73"/>
      <c r="QVJ101" s="73"/>
      <c r="QVK101" s="73"/>
      <c r="QVL101" s="73"/>
      <c r="QVM101" s="73"/>
      <c r="QVN101" s="73"/>
      <c r="QVO101" s="73"/>
      <c r="QVP101" s="73"/>
      <c r="QVQ101" s="73"/>
      <c r="QVR101" s="73"/>
      <c r="QVS101" s="73"/>
      <c r="QVT101" s="73"/>
      <c r="QVU101" s="73"/>
      <c r="QVV101" s="73"/>
      <c r="QVW101" s="73"/>
      <c r="QVX101" s="73"/>
      <c r="QVY101" s="73"/>
      <c r="QVZ101" s="73"/>
      <c r="QWA101" s="73"/>
      <c r="QWB101" s="73"/>
      <c r="QWC101" s="73"/>
      <c r="QWD101" s="73"/>
      <c r="QWE101" s="73"/>
      <c r="QWF101" s="73"/>
      <c r="QWG101" s="73"/>
      <c r="QWH101" s="73"/>
      <c r="QWI101" s="73"/>
      <c r="QWJ101" s="73"/>
      <c r="QWK101" s="73"/>
      <c r="QWL101" s="73"/>
      <c r="QWM101" s="73"/>
      <c r="QWN101" s="73"/>
      <c r="QWO101" s="73"/>
      <c r="QWP101" s="73"/>
      <c r="QWQ101" s="73"/>
      <c r="QWR101" s="73"/>
      <c r="QWS101" s="73"/>
      <c r="QWT101" s="73"/>
      <c r="QWU101" s="73"/>
      <c r="QWV101" s="73"/>
      <c r="QWW101" s="73"/>
      <c r="QWX101" s="73"/>
      <c r="QWY101" s="73"/>
      <c r="QWZ101" s="73"/>
      <c r="QXA101" s="73"/>
      <c r="QXB101" s="73"/>
      <c r="QXC101" s="73"/>
      <c r="QXD101" s="73"/>
      <c r="QXE101" s="73"/>
      <c r="QXF101" s="73"/>
      <c r="QXG101" s="73"/>
      <c r="QXH101" s="73"/>
      <c r="QXI101" s="73"/>
      <c r="QXJ101" s="73"/>
      <c r="QXK101" s="73"/>
      <c r="QXL101" s="73"/>
      <c r="QXM101" s="73"/>
      <c r="QXN101" s="73"/>
      <c r="QXO101" s="73"/>
      <c r="QXP101" s="73"/>
      <c r="QXQ101" s="73"/>
      <c r="QXR101" s="73"/>
      <c r="QXS101" s="73"/>
      <c r="QXT101" s="73"/>
      <c r="QXU101" s="73"/>
      <c r="QXV101" s="73"/>
      <c r="QXW101" s="73"/>
      <c r="QXX101" s="73"/>
      <c r="QXY101" s="73"/>
      <c r="QXZ101" s="73"/>
      <c r="QYA101" s="73"/>
      <c r="QYB101" s="73"/>
      <c r="QYC101" s="73"/>
      <c r="QYD101" s="73"/>
      <c r="QYE101" s="73"/>
      <c r="QYF101" s="73"/>
      <c r="QYG101" s="73"/>
      <c r="QYH101" s="73"/>
      <c r="QYI101" s="73"/>
      <c r="QYJ101" s="73"/>
      <c r="QYK101" s="73"/>
      <c r="QYL101" s="73"/>
      <c r="QYM101" s="73"/>
      <c r="QYN101" s="73"/>
      <c r="QYO101" s="73"/>
      <c r="QYP101" s="73"/>
      <c r="QYQ101" s="73"/>
      <c r="QYR101" s="73"/>
      <c r="QYS101" s="73"/>
      <c r="QYT101" s="73"/>
      <c r="QYU101" s="73"/>
      <c r="QYV101" s="73"/>
      <c r="QYW101" s="73"/>
      <c r="QYX101" s="73"/>
      <c r="QYY101" s="73"/>
      <c r="QYZ101" s="73"/>
      <c r="QZA101" s="73"/>
      <c r="QZB101" s="73"/>
      <c r="QZC101" s="73"/>
      <c r="QZD101" s="73"/>
      <c r="QZE101" s="73"/>
      <c r="QZF101" s="73"/>
      <c r="QZG101" s="73"/>
      <c r="QZH101" s="73"/>
      <c r="QZI101" s="73"/>
      <c r="QZJ101" s="73"/>
      <c r="QZK101" s="73"/>
      <c r="QZL101" s="73"/>
      <c r="QZM101" s="73"/>
      <c r="QZN101" s="73"/>
      <c r="QZO101" s="73"/>
      <c r="QZP101" s="73"/>
      <c r="QZQ101" s="73"/>
      <c r="QZR101" s="73"/>
      <c r="QZS101" s="73"/>
      <c r="QZT101" s="73"/>
      <c r="QZU101" s="73"/>
      <c r="QZV101" s="73"/>
      <c r="QZW101" s="73"/>
      <c r="QZX101" s="73"/>
      <c r="QZY101" s="73"/>
      <c r="QZZ101" s="73"/>
      <c r="RAA101" s="73"/>
      <c r="RAB101" s="73"/>
      <c r="RAC101" s="73"/>
      <c r="RAD101" s="73"/>
      <c r="RAE101" s="73"/>
      <c r="RAF101" s="73"/>
      <c r="RAG101" s="73"/>
      <c r="RAH101" s="73"/>
      <c r="RAI101" s="73"/>
      <c r="RAJ101" s="73"/>
      <c r="RAK101" s="73"/>
      <c r="RAL101" s="73"/>
      <c r="RAM101" s="73"/>
      <c r="RAN101" s="73"/>
      <c r="RAO101" s="73"/>
      <c r="RAP101" s="73"/>
      <c r="RAQ101" s="73"/>
      <c r="RAR101" s="73"/>
      <c r="RAS101" s="73"/>
      <c r="RAT101" s="73"/>
      <c r="RAU101" s="73"/>
      <c r="RAV101" s="73"/>
      <c r="RAW101" s="73"/>
      <c r="RAX101" s="73"/>
      <c r="RAY101" s="73"/>
      <c r="RAZ101" s="73"/>
      <c r="RBA101" s="73"/>
      <c r="RBB101" s="73"/>
      <c r="RBC101" s="73"/>
      <c r="RBD101" s="73"/>
      <c r="RBE101" s="73"/>
      <c r="RBF101" s="73"/>
      <c r="RBG101" s="73"/>
      <c r="RBH101" s="73"/>
      <c r="RBI101" s="73"/>
      <c r="RBJ101" s="73"/>
      <c r="RBK101" s="73"/>
      <c r="RBL101" s="73"/>
      <c r="RBM101" s="73"/>
      <c r="RBN101" s="73"/>
      <c r="RBO101" s="73"/>
      <c r="RBP101" s="73"/>
      <c r="RBQ101" s="73"/>
      <c r="RBR101" s="73"/>
      <c r="RBS101" s="73"/>
      <c r="RBT101" s="73"/>
      <c r="RBU101" s="73"/>
      <c r="RBV101" s="73"/>
      <c r="RBW101" s="73"/>
      <c r="RBX101" s="73"/>
      <c r="RBY101" s="73"/>
      <c r="RBZ101" s="73"/>
      <c r="RCA101" s="73"/>
      <c r="RCB101" s="73"/>
      <c r="RCC101" s="73"/>
      <c r="RCD101" s="73"/>
      <c r="RCE101" s="73"/>
      <c r="RCF101" s="73"/>
      <c r="RCG101" s="73"/>
      <c r="RCH101" s="73"/>
      <c r="RCI101" s="73"/>
      <c r="RCJ101" s="73"/>
      <c r="RCK101" s="73"/>
      <c r="RCL101" s="73"/>
      <c r="RCM101" s="73"/>
      <c r="RCN101" s="73"/>
      <c r="RCO101" s="73"/>
      <c r="RCP101" s="73"/>
      <c r="RCQ101" s="73"/>
      <c r="RCR101" s="73"/>
      <c r="RCS101" s="73"/>
      <c r="RCT101" s="73"/>
      <c r="RCU101" s="73"/>
      <c r="RCV101" s="73"/>
      <c r="RCW101" s="73"/>
      <c r="RCX101" s="73"/>
      <c r="RCY101" s="73"/>
      <c r="RCZ101" s="73"/>
      <c r="RDA101" s="73"/>
      <c r="RDB101" s="73"/>
      <c r="RDC101" s="73"/>
      <c r="RDD101" s="73"/>
      <c r="RDE101" s="73"/>
      <c r="RDF101" s="73"/>
      <c r="RDG101" s="73"/>
      <c r="RDH101" s="73"/>
      <c r="RDI101" s="73"/>
      <c r="RDJ101" s="73"/>
      <c r="RDK101" s="73"/>
      <c r="RDL101" s="73"/>
      <c r="RDM101" s="73"/>
      <c r="RDN101" s="73"/>
      <c r="RDO101" s="73"/>
      <c r="RDP101" s="73"/>
      <c r="RDQ101" s="73"/>
      <c r="RDR101" s="73"/>
      <c r="RDS101" s="73"/>
      <c r="RDT101" s="73"/>
      <c r="RDU101" s="73"/>
      <c r="RDV101" s="73"/>
      <c r="RDW101" s="73"/>
      <c r="RDX101" s="73"/>
      <c r="RDY101" s="73"/>
      <c r="RDZ101" s="73"/>
      <c r="REA101" s="73"/>
      <c r="REB101" s="73"/>
      <c r="REC101" s="73"/>
      <c r="RED101" s="73"/>
      <c r="REE101" s="73"/>
      <c r="REF101" s="73"/>
      <c r="REG101" s="73"/>
      <c r="REH101" s="73"/>
      <c r="REI101" s="73"/>
      <c r="REJ101" s="73"/>
      <c r="REK101" s="73"/>
      <c r="REL101" s="73"/>
      <c r="REM101" s="73"/>
      <c r="REN101" s="73"/>
      <c r="REO101" s="73"/>
      <c r="REP101" s="73"/>
      <c r="REQ101" s="73"/>
      <c r="RER101" s="73"/>
      <c r="RES101" s="73"/>
      <c r="RET101" s="73"/>
      <c r="REU101" s="73"/>
      <c r="REV101" s="73"/>
      <c r="REW101" s="73"/>
      <c r="REX101" s="73"/>
      <c r="REY101" s="73"/>
      <c r="REZ101" s="73"/>
      <c r="RFA101" s="73"/>
      <c r="RFB101" s="73"/>
      <c r="RFC101" s="73"/>
      <c r="RFD101" s="73"/>
      <c r="RFE101" s="73"/>
      <c r="RFF101" s="73"/>
      <c r="RFG101" s="73"/>
      <c r="RFH101" s="73"/>
      <c r="RFI101" s="73"/>
      <c r="RFJ101" s="73"/>
      <c r="RFK101" s="73"/>
      <c r="RFL101" s="73"/>
      <c r="RFM101" s="73"/>
      <c r="RFN101" s="73"/>
      <c r="RFO101" s="73"/>
      <c r="RFP101" s="73"/>
      <c r="RFQ101" s="73"/>
      <c r="RFR101" s="73"/>
      <c r="RFS101" s="73"/>
      <c r="RFT101" s="73"/>
      <c r="RFU101" s="73"/>
      <c r="RFV101" s="73"/>
      <c r="RFW101" s="73"/>
      <c r="RFX101" s="73"/>
      <c r="RFY101" s="73"/>
      <c r="RFZ101" s="73"/>
      <c r="RGA101" s="73"/>
      <c r="RGB101" s="73"/>
      <c r="RGC101" s="73"/>
      <c r="RGD101" s="73"/>
      <c r="RGE101" s="73"/>
      <c r="RGF101" s="73"/>
      <c r="RGG101" s="73"/>
      <c r="RGH101" s="73"/>
      <c r="RGI101" s="73"/>
      <c r="RGJ101" s="73"/>
      <c r="RGK101" s="73"/>
      <c r="RGL101" s="73"/>
      <c r="RGM101" s="73"/>
      <c r="RGN101" s="73"/>
      <c r="RGO101" s="73"/>
      <c r="RGP101" s="73"/>
      <c r="RGQ101" s="73"/>
      <c r="RGR101" s="73"/>
      <c r="RGS101" s="73"/>
      <c r="RGT101" s="73"/>
      <c r="RGU101" s="73"/>
      <c r="RGV101" s="73"/>
      <c r="RGW101" s="73"/>
      <c r="RGX101" s="73"/>
      <c r="RGY101" s="73"/>
      <c r="RGZ101" s="73"/>
      <c r="RHA101" s="73"/>
      <c r="RHB101" s="73"/>
      <c r="RHC101" s="73"/>
      <c r="RHD101" s="73"/>
      <c r="RHE101" s="73"/>
      <c r="RHF101" s="73"/>
      <c r="RHG101" s="73"/>
      <c r="RHH101" s="73"/>
      <c r="RHI101" s="73"/>
      <c r="RHJ101" s="73"/>
      <c r="RHK101" s="73"/>
      <c r="RHL101" s="73"/>
      <c r="RHM101" s="73"/>
      <c r="RHN101" s="73"/>
      <c r="RHO101" s="73"/>
      <c r="RHP101" s="73"/>
      <c r="RHQ101" s="73"/>
      <c r="RHR101" s="73"/>
      <c r="RHS101" s="73"/>
      <c r="RHT101" s="73"/>
      <c r="RHU101" s="73"/>
      <c r="RHV101" s="73"/>
      <c r="RHW101" s="73"/>
      <c r="RHX101" s="73"/>
      <c r="RHY101" s="73"/>
      <c r="RHZ101" s="73"/>
      <c r="RIA101" s="73"/>
      <c r="RIB101" s="73"/>
      <c r="RIC101" s="73"/>
      <c r="RID101" s="73"/>
      <c r="RIE101" s="73"/>
      <c r="RIF101" s="73"/>
      <c r="RIG101" s="73"/>
      <c r="RIH101" s="73"/>
      <c r="RII101" s="73"/>
      <c r="RIJ101" s="73"/>
      <c r="RIK101" s="73"/>
      <c r="RIL101" s="73"/>
      <c r="RIM101" s="73"/>
      <c r="RIN101" s="73"/>
      <c r="RIO101" s="73"/>
      <c r="RIP101" s="73"/>
      <c r="RIQ101" s="73"/>
      <c r="RIR101" s="73"/>
      <c r="RIS101" s="73"/>
      <c r="RIT101" s="73"/>
      <c r="RIU101" s="73"/>
      <c r="RIV101" s="73"/>
      <c r="RIW101" s="73"/>
      <c r="RIX101" s="73"/>
      <c r="RIY101" s="73"/>
      <c r="RIZ101" s="73"/>
      <c r="RJA101" s="73"/>
      <c r="RJB101" s="73"/>
      <c r="RJC101" s="73"/>
      <c r="RJD101" s="73"/>
      <c r="RJE101" s="73"/>
      <c r="RJF101" s="73"/>
      <c r="RJG101" s="73"/>
      <c r="RJH101" s="73"/>
      <c r="RJI101" s="73"/>
      <c r="RJJ101" s="73"/>
      <c r="RJK101" s="73"/>
      <c r="RJL101" s="73"/>
      <c r="RJM101" s="73"/>
      <c r="RJN101" s="73"/>
      <c r="RJO101" s="73"/>
      <c r="RJP101" s="73"/>
      <c r="RJQ101" s="73"/>
      <c r="RJR101" s="73"/>
      <c r="RJS101" s="73"/>
      <c r="RJT101" s="73"/>
      <c r="RJU101" s="73"/>
      <c r="RJV101" s="73"/>
      <c r="RJW101" s="73"/>
      <c r="RJX101" s="73"/>
      <c r="RJY101" s="73"/>
      <c r="RJZ101" s="73"/>
      <c r="RKA101" s="73"/>
      <c r="RKB101" s="73"/>
      <c r="RKC101" s="73"/>
      <c r="RKD101" s="73"/>
      <c r="RKE101" s="73"/>
      <c r="RKF101" s="73"/>
      <c r="RKG101" s="73"/>
      <c r="RKH101" s="73"/>
      <c r="RKI101" s="73"/>
      <c r="RKJ101" s="73"/>
      <c r="RKK101" s="73"/>
      <c r="RKL101" s="73"/>
      <c r="RKM101" s="73"/>
      <c r="RKN101" s="73"/>
      <c r="RKO101" s="73"/>
      <c r="RKP101" s="73"/>
      <c r="RKQ101" s="73"/>
      <c r="RKR101" s="73"/>
      <c r="RKS101" s="73"/>
      <c r="RKT101" s="73"/>
      <c r="RKU101" s="73"/>
      <c r="RKV101" s="73"/>
      <c r="RKW101" s="73"/>
      <c r="RKX101" s="73"/>
      <c r="RKY101" s="73"/>
      <c r="RKZ101" s="73"/>
      <c r="RLA101" s="73"/>
      <c r="RLB101" s="73"/>
      <c r="RLC101" s="73"/>
      <c r="RLD101" s="73"/>
      <c r="RLE101" s="73"/>
      <c r="RLF101" s="73"/>
      <c r="RLG101" s="73"/>
      <c r="RLH101" s="73"/>
      <c r="RLI101" s="73"/>
      <c r="RLJ101" s="73"/>
      <c r="RLK101" s="73"/>
      <c r="RLL101" s="73"/>
      <c r="RLM101" s="73"/>
      <c r="RLN101" s="73"/>
      <c r="RLO101" s="73"/>
      <c r="RLP101" s="73"/>
      <c r="RLQ101" s="73"/>
      <c r="RLR101" s="73"/>
      <c r="RLS101" s="73"/>
      <c r="RLT101" s="73"/>
      <c r="RLU101" s="73"/>
      <c r="RLV101" s="73"/>
      <c r="RLW101" s="73"/>
      <c r="RLX101" s="73"/>
      <c r="RLY101" s="73"/>
      <c r="RLZ101" s="73"/>
      <c r="RMA101" s="73"/>
      <c r="RMB101" s="73"/>
      <c r="RMC101" s="73"/>
      <c r="RMD101" s="73"/>
      <c r="RME101" s="73"/>
      <c r="RMF101" s="73"/>
      <c r="RMG101" s="73"/>
      <c r="RMH101" s="73"/>
      <c r="RMI101" s="73"/>
      <c r="RMJ101" s="73"/>
      <c r="RMK101" s="73"/>
      <c r="RML101" s="73"/>
      <c r="RMM101" s="73"/>
      <c r="RMN101" s="73"/>
      <c r="RMO101" s="73"/>
      <c r="RMP101" s="73"/>
      <c r="RMQ101" s="73"/>
      <c r="RMR101" s="73"/>
      <c r="RMS101" s="73"/>
      <c r="RMT101" s="73"/>
      <c r="RMU101" s="73"/>
      <c r="RMV101" s="73"/>
      <c r="RMW101" s="73"/>
      <c r="RMX101" s="73"/>
      <c r="RMY101" s="73"/>
      <c r="RMZ101" s="73"/>
      <c r="RNA101" s="73"/>
      <c r="RNB101" s="73"/>
      <c r="RNC101" s="73"/>
      <c r="RND101" s="73"/>
      <c r="RNE101" s="73"/>
      <c r="RNF101" s="73"/>
      <c r="RNG101" s="73"/>
      <c r="RNH101" s="73"/>
      <c r="RNI101" s="73"/>
      <c r="RNJ101" s="73"/>
      <c r="RNK101" s="73"/>
      <c r="RNL101" s="73"/>
      <c r="RNM101" s="73"/>
      <c r="RNN101" s="73"/>
      <c r="RNO101" s="73"/>
      <c r="RNP101" s="73"/>
      <c r="RNQ101" s="73"/>
      <c r="RNR101" s="73"/>
      <c r="RNS101" s="73"/>
      <c r="RNT101" s="73"/>
      <c r="RNU101" s="73"/>
      <c r="RNV101" s="73"/>
      <c r="RNW101" s="73"/>
      <c r="RNX101" s="73"/>
      <c r="RNY101" s="73"/>
      <c r="RNZ101" s="73"/>
      <c r="ROA101" s="73"/>
      <c r="ROB101" s="73"/>
      <c r="ROC101" s="73"/>
      <c r="ROD101" s="73"/>
      <c r="ROE101" s="73"/>
      <c r="ROF101" s="73"/>
      <c r="ROG101" s="73"/>
      <c r="ROH101" s="73"/>
      <c r="ROI101" s="73"/>
      <c r="ROJ101" s="73"/>
      <c r="ROK101" s="73"/>
      <c r="ROL101" s="73"/>
      <c r="ROM101" s="73"/>
      <c r="RON101" s="73"/>
      <c r="ROO101" s="73"/>
      <c r="ROP101" s="73"/>
      <c r="ROQ101" s="73"/>
      <c r="ROR101" s="73"/>
      <c r="ROS101" s="73"/>
      <c r="ROT101" s="73"/>
      <c r="ROU101" s="73"/>
      <c r="ROV101" s="73"/>
      <c r="ROW101" s="73"/>
      <c r="ROX101" s="73"/>
      <c r="ROY101" s="73"/>
      <c r="ROZ101" s="73"/>
      <c r="RPA101" s="73"/>
      <c r="RPB101" s="73"/>
      <c r="RPC101" s="73"/>
      <c r="RPD101" s="73"/>
      <c r="RPE101" s="73"/>
      <c r="RPF101" s="73"/>
      <c r="RPG101" s="73"/>
      <c r="RPH101" s="73"/>
      <c r="RPI101" s="73"/>
      <c r="RPJ101" s="73"/>
      <c r="RPK101" s="73"/>
      <c r="RPL101" s="73"/>
      <c r="RPM101" s="73"/>
      <c r="RPN101" s="73"/>
      <c r="RPO101" s="73"/>
      <c r="RPP101" s="73"/>
      <c r="RPQ101" s="73"/>
      <c r="RPR101" s="73"/>
      <c r="RPS101" s="73"/>
      <c r="RPT101" s="73"/>
      <c r="RPU101" s="73"/>
      <c r="RPV101" s="73"/>
      <c r="RPW101" s="73"/>
      <c r="RPX101" s="73"/>
      <c r="RPY101" s="73"/>
      <c r="RPZ101" s="73"/>
      <c r="RQA101" s="73"/>
      <c r="RQB101" s="73"/>
      <c r="RQC101" s="73"/>
      <c r="RQD101" s="73"/>
      <c r="RQE101" s="73"/>
      <c r="RQF101" s="73"/>
      <c r="RQG101" s="73"/>
      <c r="RQH101" s="73"/>
      <c r="RQI101" s="73"/>
      <c r="RQJ101" s="73"/>
      <c r="RQK101" s="73"/>
      <c r="RQL101" s="73"/>
      <c r="RQM101" s="73"/>
      <c r="RQN101" s="73"/>
      <c r="RQO101" s="73"/>
      <c r="RQP101" s="73"/>
      <c r="RQQ101" s="73"/>
      <c r="RQR101" s="73"/>
      <c r="RQS101" s="73"/>
      <c r="RQT101" s="73"/>
      <c r="RQU101" s="73"/>
      <c r="RQV101" s="73"/>
      <c r="RQW101" s="73"/>
      <c r="RQX101" s="73"/>
      <c r="RQY101" s="73"/>
      <c r="RQZ101" s="73"/>
      <c r="RRA101" s="73"/>
      <c r="RRB101" s="73"/>
      <c r="RRC101" s="73"/>
      <c r="RRD101" s="73"/>
      <c r="RRE101" s="73"/>
      <c r="RRF101" s="73"/>
      <c r="RRG101" s="73"/>
      <c r="RRH101" s="73"/>
      <c r="RRI101" s="73"/>
      <c r="RRJ101" s="73"/>
      <c r="RRK101" s="73"/>
      <c r="RRL101" s="73"/>
      <c r="RRM101" s="73"/>
      <c r="RRN101" s="73"/>
      <c r="RRO101" s="73"/>
      <c r="RRP101" s="73"/>
      <c r="RRQ101" s="73"/>
      <c r="RRR101" s="73"/>
      <c r="RRS101" s="73"/>
      <c r="RRT101" s="73"/>
      <c r="RRU101" s="73"/>
      <c r="RRV101" s="73"/>
      <c r="RRW101" s="73"/>
      <c r="RRX101" s="73"/>
      <c r="RRY101" s="73"/>
      <c r="RRZ101" s="73"/>
      <c r="RSA101" s="73"/>
      <c r="RSB101" s="73"/>
      <c r="RSC101" s="73"/>
      <c r="RSD101" s="73"/>
      <c r="RSE101" s="73"/>
      <c r="RSF101" s="73"/>
      <c r="RSG101" s="73"/>
      <c r="RSH101" s="73"/>
      <c r="RSI101" s="73"/>
      <c r="RSJ101" s="73"/>
      <c r="RSK101" s="73"/>
      <c r="RSL101" s="73"/>
      <c r="RSM101" s="73"/>
      <c r="RSN101" s="73"/>
      <c r="RSO101" s="73"/>
      <c r="RSP101" s="73"/>
      <c r="RSQ101" s="73"/>
      <c r="RSR101" s="73"/>
      <c r="RSS101" s="73"/>
      <c r="RST101" s="73"/>
      <c r="RSU101" s="73"/>
      <c r="RSV101" s="73"/>
      <c r="RSW101" s="73"/>
      <c r="RSX101" s="73"/>
      <c r="RSY101" s="73"/>
      <c r="RSZ101" s="73"/>
      <c r="RTA101" s="73"/>
      <c r="RTB101" s="73"/>
      <c r="RTC101" s="73"/>
      <c r="RTD101" s="73"/>
      <c r="RTE101" s="73"/>
      <c r="RTF101" s="73"/>
      <c r="RTG101" s="73"/>
      <c r="RTH101" s="73"/>
      <c r="RTI101" s="73"/>
      <c r="RTJ101" s="73"/>
      <c r="RTK101" s="73"/>
      <c r="RTL101" s="73"/>
      <c r="RTM101" s="73"/>
      <c r="RTN101" s="73"/>
      <c r="RTO101" s="73"/>
      <c r="RTP101" s="73"/>
      <c r="RTQ101" s="73"/>
      <c r="RTR101" s="73"/>
      <c r="RTS101" s="73"/>
      <c r="RTT101" s="73"/>
      <c r="RTU101" s="73"/>
      <c r="RTV101" s="73"/>
      <c r="RTW101" s="73"/>
      <c r="RTX101" s="73"/>
      <c r="RTY101" s="73"/>
      <c r="RTZ101" s="73"/>
      <c r="RUA101" s="73"/>
      <c r="RUB101" s="73"/>
      <c r="RUC101" s="73"/>
      <c r="RUD101" s="73"/>
      <c r="RUE101" s="73"/>
      <c r="RUF101" s="73"/>
      <c r="RUG101" s="73"/>
      <c r="RUH101" s="73"/>
      <c r="RUI101" s="73"/>
      <c r="RUJ101" s="73"/>
      <c r="RUK101" s="73"/>
      <c r="RUL101" s="73"/>
      <c r="RUM101" s="73"/>
      <c r="RUN101" s="73"/>
      <c r="RUO101" s="73"/>
      <c r="RUP101" s="73"/>
      <c r="RUQ101" s="73"/>
      <c r="RUR101" s="73"/>
      <c r="RUS101" s="73"/>
      <c r="RUT101" s="73"/>
      <c r="RUU101" s="73"/>
      <c r="RUV101" s="73"/>
      <c r="RUW101" s="73"/>
      <c r="RUX101" s="73"/>
      <c r="RUY101" s="73"/>
      <c r="RUZ101" s="73"/>
      <c r="RVA101" s="73"/>
      <c r="RVB101" s="73"/>
      <c r="RVC101" s="73"/>
      <c r="RVD101" s="73"/>
      <c r="RVE101" s="73"/>
      <c r="RVF101" s="73"/>
      <c r="RVG101" s="73"/>
      <c r="RVH101" s="73"/>
      <c r="RVI101" s="73"/>
      <c r="RVJ101" s="73"/>
      <c r="RVK101" s="73"/>
      <c r="RVL101" s="73"/>
      <c r="RVM101" s="73"/>
      <c r="RVN101" s="73"/>
      <c r="RVO101" s="73"/>
      <c r="RVP101" s="73"/>
      <c r="RVQ101" s="73"/>
      <c r="RVR101" s="73"/>
      <c r="RVS101" s="73"/>
      <c r="RVT101" s="73"/>
      <c r="RVU101" s="73"/>
      <c r="RVV101" s="73"/>
      <c r="RVW101" s="73"/>
      <c r="RVX101" s="73"/>
      <c r="RVY101" s="73"/>
      <c r="RVZ101" s="73"/>
      <c r="RWA101" s="73"/>
      <c r="RWB101" s="73"/>
      <c r="RWC101" s="73"/>
      <c r="RWD101" s="73"/>
      <c r="RWE101" s="73"/>
      <c r="RWF101" s="73"/>
      <c r="RWG101" s="73"/>
      <c r="RWH101" s="73"/>
      <c r="RWI101" s="73"/>
      <c r="RWJ101" s="73"/>
      <c r="RWK101" s="73"/>
      <c r="RWL101" s="73"/>
      <c r="RWM101" s="73"/>
      <c r="RWN101" s="73"/>
      <c r="RWO101" s="73"/>
      <c r="RWP101" s="73"/>
      <c r="RWQ101" s="73"/>
      <c r="RWR101" s="73"/>
      <c r="RWS101" s="73"/>
      <c r="RWT101" s="73"/>
      <c r="RWU101" s="73"/>
      <c r="RWV101" s="73"/>
      <c r="RWW101" s="73"/>
      <c r="RWX101" s="73"/>
      <c r="RWY101" s="73"/>
      <c r="RWZ101" s="73"/>
      <c r="RXA101" s="73"/>
      <c r="RXB101" s="73"/>
      <c r="RXC101" s="73"/>
      <c r="RXD101" s="73"/>
      <c r="RXE101" s="73"/>
      <c r="RXF101" s="73"/>
      <c r="RXG101" s="73"/>
      <c r="RXH101" s="73"/>
      <c r="RXI101" s="73"/>
      <c r="RXJ101" s="73"/>
      <c r="RXK101" s="73"/>
      <c r="RXL101" s="73"/>
      <c r="RXM101" s="73"/>
      <c r="RXN101" s="73"/>
      <c r="RXO101" s="73"/>
      <c r="RXP101" s="73"/>
      <c r="RXQ101" s="73"/>
      <c r="RXR101" s="73"/>
      <c r="RXS101" s="73"/>
      <c r="RXT101" s="73"/>
      <c r="RXU101" s="73"/>
      <c r="RXV101" s="73"/>
      <c r="RXW101" s="73"/>
      <c r="RXX101" s="73"/>
      <c r="RXY101" s="73"/>
      <c r="RXZ101" s="73"/>
      <c r="RYA101" s="73"/>
      <c r="RYB101" s="73"/>
      <c r="RYC101" s="73"/>
      <c r="RYD101" s="73"/>
      <c r="RYE101" s="73"/>
      <c r="RYF101" s="73"/>
      <c r="RYG101" s="73"/>
      <c r="RYH101" s="73"/>
      <c r="RYI101" s="73"/>
      <c r="RYJ101" s="73"/>
      <c r="RYK101" s="73"/>
      <c r="RYL101" s="73"/>
      <c r="RYM101" s="73"/>
      <c r="RYN101" s="73"/>
      <c r="RYO101" s="73"/>
      <c r="RYP101" s="73"/>
      <c r="RYQ101" s="73"/>
      <c r="RYR101" s="73"/>
      <c r="RYS101" s="73"/>
      <c r="RYT101" s="73"/>
      <c r="RYU101" s="73"/>
      <c r="RYV101" s="73"/>
      <c r="RYW101" s="73"/>
      <c r="RYX101" s="73"/>
      <c r="RYY101" s="73"/>
      <c r="RYZ101" s="73"/>
      <c r="RZA101" s="73"/>
      <c r="RZB101" s="73"/>
      <c r="RZC101" s="73"/>
      <c r="RZD101" s="73"/>
      <c r="RZE101" s="73"/>
      <c r="RZF101" s="73"/>
      <c r="RZG101" s="73"/>
      <c r="RZH101" s="73"/>
      <c r="RZI101" s="73"/>
      <c r="RZJ101" s="73"/>
      <c r="RZK101" s="73"/>
      <c r="RZL101" s="73"/>
      <c r="RZM101" s="73"/>
      <c r="RZN101" s="73"/>
      <c r="RZO101" s="73"/>
      <c r="RZP101" s="73"/>
      <c r="RZQ101" s="73"/>
      <c r="RZR101" s="73"/>
      <c r="RZS101" s="73"/>
      <c r="RZT101" s="73"/>
      <c r="RZU101" s="73"/>
      <c r="RZV101" s="73"/>
      <c r="RZW101" s="73"/>
      <c r="RZX101" s="73"/>
      <c r="RZY101" s="73"/>
      <c r="RZZ101" s="73"/>
      <c r="SAA101" s="73"/>
      <c r="SAB101" s="73"/>
      <c r="SAC101" s="73"/>
      <c r="SAD101" s="73"/>
      <c r="SAE101" s="73"/>
      <c r="SAF101" s="73"/>
      <c r="SAG101" s="73"/>
      <c r="SAH101" s="73"/>
      <c r="SAI101" s="73"/>
      <c r="SAJ101" s="73"/>
      <c r="SAK101" s="73"/>
      <c r="SAL101" s="73"/>
      <c r="SAM101" s="73"/>
      <c r="SAN101" s="73"/>
      <c r="SAO101" s="73"/>
      <c r="SAP101" s="73"/>
      <c r="SAQ101" s="73"/>
      <c r="SAR101" s="73"/>
      <c r="SAS101" s="73"/>
      <c r="SAT101" s="73"/>
      <c r="SAU101" s="73"/>
      <c r="SAV101" s="73"/>
      <c r="SAW101" s="73"/>
      <c r="SAX101" s="73"/>
      <c r="SAY101" s="73"/>
      <c r="SAZ101" s="73"/>
      <c r="SBA101" s="73"/>
      <c r="SBB101" s="73"/>
      <c r="SBC101" s="73"/>
      <c r="SBD101" s="73"/>
      <c r="SBE101" s="73"/>
      <c r="SBF101" s="73"/>
      <c r="SBG101" s="73"/>
      <c r="SBH101" s="73"/>
      <c r="SBI101" s="73"/>
      <c r="SBJ101" s="73"/>
      <c r="SBK101" s="73"/>
      <c r="SBL101" s="73"/>
      <c r="SBM101" s="73"/>
      <c r="SBN101" s="73"/>
      <c r="SBO101" s="73"/>
      <c r="SBP101" s="73"/>
      <c r="SBQ101" s="73"/>
      <c r="SBR101" s="73"/>
      <c r="SBS101" s="73"/>
      <c r="SBT101" s="73"/>
      <c r="SBU101" s="73"/>
      <c r="SBV101" s="73"/>
      <c r="SBW101" s="73"/>
      <c r="SBX101" s="73"/>
      <c r="SBY101" s="73"/>
      <c r="SBZ101" s="73"/>
      <c r="SCA101" s="73"/>
      <c r="SCB101" s="73"/>
      <c r="SCC101" s="73"/>
      <c r="SCD101" s="73"/>
      <c r="SCE101" s="73"/>
      <c r="SCF101" s="73"/>
      <c r="SCG101" s="73"/>
      <c r="SCH101" s="73"/>
      <c r="SCI101" s="73"/>
      <c r="SCJ101" s="73"/>
      <c r="SCK101" s="73"/>
      <c r="SCL101" s="73"/>
      <c r="SCM101" s="73"/>
      <c r="SCN101" s="73"/>
      <c r="SCO101" s="73"/>
      <c r="SCP101" s="73"/>
      <c r="SCQ101" s="73"/>
      <c r="SCR101" s="73"/>
      <c r="SCS101" s="73"/>
      <c r="SCT101" s="73"/>
      <c r="SCU101" s="73"/>
      <c r="SCV101" s="73"/>
      <c r="SCW101" s="73"/>
      <c r="SCX101" s="73"/>
      <c r="SCY101" s="73"/>
      <c r="SCZ101" s="73"/>
      <c r="SDA101" s="73"/>
      <c r="SDB101" s="73"/>
      <c r="SDC101" s="73"/>
      <c r="SDD101" s="73"/>
      <c r="SDE101" s="73"/>
      <c r="SDF101" s="73"/>
      <c r="SDG101" s="73"/>
      <c r="SDH101" s="73"/>
      <c r="SDI101" s="73"/>
      <c r="SDJ101" s="73"/>
      <c r="SDK101" s="73"/>
      <c r="SDL101" s="73"/>
      <c r="SDM101" s="73"/>
      <c r="SDN101" s="73"/>
      <c r="SDO101" s="73"/>
      <c r="SDP101" s="73"/>
      <c r="SDQ101" s="73"/>
      <c r="SDR101" s="73"/>
      <c r="SDS101" s="73"/>
      <c r="SDT101" s="73"/>
      <c r="SDU101" s="73"/>
      <c r="SDV101" s="73"/>
      <c r="SDW101" s="73"/>
      <c r="SDX101" s="73"/>
      <c r="SDY101" s="73"/>
      <c r="SDZ101" s="73"/>
      <c r="SEA101" s="73"/>
      <c r="SEB101" s="73"/>
      <c r="SEC101" s="73"/>
      <c r="SED101" s="73"/>
      <c r="SEE101" s="73"/>
      <c r="SEF101" s="73"/>
      <c r="SEG101" s="73"/>
      <c r="SEH101" s="73"/>
      <c r="SEI101" s="73"/>
      <c r="SEJ101" s="73"/>
      <c r="SEK101" s="73"/>
      <c r="SEL101" s="73"/>
      <c r="SEM101" s="73"/>
      <c r="SEN101" s="73"/>
      <c r="SEO101" s="73"/>
      <c r="SEP101" s="73"/>
      <c r="SEQ101" s="73"/>
      <c r="SER101" s="73"/>
      <c r="SES101" s="73"/>
      <c r="SET101" s="73"/>
      <c r="SEU101" s="73"/>
      <c r="SEV101" s="73"/>
      <c r="SEW101" s="73"/>
      <c r="SEX101" s="73"/>
      <c r="SEY101" s="73"/>
      <c r="SEZ101" s="73"/>
      <c r="SFA101" s="73"/>
      <c r="SFB101" s="73"/>
      <c r="SFC101" s="73"/>
      <c r="SFD101" s="73"/>
      <c r="SFE101" s="73"/>
      <c r="SFF101" s="73"/>
      <c r="SFG101" s="73"/>
      <c r="SFH101" s="73"/>
      <c r="SFI101" s="73"/>
      <c r="SFJ101" s="73"/>
      <c r="SFK101" s="73"/>
      <c r="SFL101" s="73"/>
      <c r="SFM101" s="73"/>
      <c r="SFN101" s="73"/>
      <c r="SFO101" s="73"/>
      <c r="SFP101" s="73"/>
      <c r="SFQ101" s="73"/>
      <c r="SFR101" s="73"/>
      <c r="SFS101" s="73"/>
      <c r="SFT101" s="73"/>
      <c r="SFU101" s="73"/>
      <c r="SFV101" s="73"/>
      <c r="SFW101" s="73"/>
      <c r="SFX101" s="73"/>
      <c r="SFY101" s="73"/>
      <c r="SFZ101" s="73"/>
      <c r="SGA101" s="73"/>
      <c r="SGB101" s="73"/>
      <c r="SGC101" s="73"/>
      <c r="SGD101" s="73"/>
      <c r="SGE101" s="73"/>
      <c r="SGF101" s="73"/>
      <c r="SGG101" s="73"/>
      <c r="SGH101" s="73"/>
      <c r="SGI101" s="73"/>
      <c r="SGJ101" s="73"/>
      <c r="SGK101" s="73"/>
      <c r="SGL101" s="73"/>
      <c r="SGM101" s="73"/>
      <c r="SGN101" s="73"/>
      <c r="SGO101" s="73"/>
      <c r="SGP101" s="73"/>
      <c r="SGQ101" s="73"/>
      <c r="SGR101" s="73"/>
      <c r="SGS101" s="73"/>
      <c r="SGT101" s="73"/>
      <c r="SGU101" s="73"/>
      <c r="SGV101" s="73"/>
      <c r="SGW101" s="73"/>
      <c r="SGX101" s="73"/>
      <c r="SGY101" s="73"/>
      <c r="SGZ101" s="73"/>
      <c r="SHA101" s="73"/>
      <c r="SHB101" s="73"/>
      <c r="SHC101" s="73"/>
      <c r="SHD101" s="73"/>
      <c r="SHE101" s="73"/>
      <c r="SHF101" s="73"/>
      <c r="SHG101" s="73"/>
      <c r="SHH101" s="73"/>
      <c r="SHI101" s="73"/>
      <c r="SHJ101" s="73"/>
      <c r="SHK101" s="73"/>
      <c r="SHL101" s="73"/>
      <c r="SHM101" s="73"/>
      <c r="SHN101" s="73"/>
      <c r="SHO101" s="73"/>
      <c r="SHP101" s="73"/>
      <c r="SHQ101" s="73"/>
      <c r="SHR101" s="73"/>
      <c r="SHS101" s="73"/>
      <c r="SHT101" s="73"/>
      <c r="SHU101" s="73"/>
      <c r="SHV101" s="73"/>
      <c r="SHW101" s="73"/>
      <c r="SHX101" s="73"/>
      <c r="SHY101" s="73"/>
      <c r="SHZ101" s="73"/>
      <c r="SIA101" s="73"/>
      <c r="SIB101" s="73"/>
      <c r="SIC101" s="73"/>
      <c r="SID101" s="73"/>
      <c r="SIE101" s="73"/>
      <c r="SIF101" s="73"/>
      <c r="SIG101" s="73"/>
      <c r="SIH101" s="73"/>
      <c r="SII101" s="73"/>
      <c r="SIJ101" s="73"/>
      <c r="SIK101" s="73"/>
      <c r="SIL101" s="73"/>
      <c r="SIM101" s="73"/>
      <c r="SIN101" s="73"/>
      <c r="SIO101" s="73"/>
      <c r="SIP101" s="73"/>
      <c r="SIQ101" s="73"/>
      <c r="SIR101" s="73"/>
      <c r="SIS101" s="73"/>
      <c r="SIT101" s="73"/>
      <c r="SIU101" s="73"/>
      <c r="SIV101" s="73"/>
      <c r="SIW101" s="73"/>
      <c r="SIX101" s="73"/>
      <c r="SIY101" s="73"/>
      <c r="SIZ101" s="73"/>
      <c r="SJA101" s="73"/>
      <c r="SJB101" s="73"/>
      <c r="SJC101" s="73"/>
      <c r="SJD101" s="73"/>
      <c r="SJE101" s="73"/>
      <c r="SJF101" s="73"/>
      <c r="SJG101" s="73"/>
      <c r="SJH101" s="73"/>
      <c r="SJI101" s="73"/>
      <c r="SJJ101" s="73"/>
      <c r="SJK101" s="73"/>
      <c r="SJL101" s="73"/>
      <c r="SJM101" s="73"/>
      <c r="SJN101" s="73"/>
      <c r="SJO101" s="73"/>
      <c r="SJP101" s="73"/>
      <c r="SJQ101" s="73"/>
      <c r="SJR101" s="73"/>
      <c r="SJS101" s="73"/>
      <c r="SJT101" s="73"/>
      <c r="SJU101" s="73"/>
      <c r="SJV101" s="73"/>
      <c r="SJW101" s="73"/>
      <c r="SJX101" s="73"/>
      <c r="SJY101" s="73"/>
      <c r="SJZ101" s="73"/>
      <c r="SKA101" s="73"/>
      <c r="SKB101" s="73"/>
      <c r="SKC101" s="73"/>
      <c r="SKD101" s="73"/>
      <c r="SKE101" s="73"/>
      <c r="SKF101" s="73"/>
      <c r="SKG101" s="73"/>
      <c r="SKH101" s="73"/>
      <c r="SKI101" s="73"/>
      <c r="SKJ101" s="73"/>
      <c r="SKK101" s="73"/>
      <c r="SKL101" s="73"/>
      <c r="SKM101" s="73"/>
      <c r="SKN101" s="73"/>
      <c r="SKO101" s="73"/>
      <c r="SKP101" s="73"/>
      <c r="SKQ101" s="73"/>
      <c r="SKR101" s="73"/>
      <c r="SKS101" s="73"/>
      <c r="SKT101" s="73"/>
      <c r="SKU101" s="73"/>
      <c r="SKV101" s="73"/>
      <c r="SKW101" s="73"/>
      <c r="SKX101" s="73"/>
      <c r="SKY101" s="73"/>
      <c r="SKZ101" s="73"/>
      <c r="SLA101" s="73"/>
      <c r="SLB101" s="73"/>
      <c r="SLC101" s="73"/>
      <c r="SLD101" s="73"/>
      <c r="SLE101" s="73"/>
      <c r="SLF101" s="73"/>
      <c r="SLG101" s="73"/>
      <c r="SLH101" s="73"/>
      <c r="SLI101" s="73"/>
      <c r="SLJ101" s="73"/>
      <c r="SLK101" s="73"/>
      <c r="SLL101" s="73"/>
      <c r="SLM101" s="73"/>
      <c r="SLN101" s="73"/>
      <c r="SLO101" s="73"/>
      <c r="SLP101" s="73"/>
      <c r="SLQ101" s="73"/>
      <c r="SLR101" s="73"/>
      <c r="SLS101" s="73"/>
      <c r="SLT101" s="73"/>
      <c r="SLU101" s="73"/>
      <c r="SLV101" s="73"/>
      <c r="SLW101" s="73"/>
      <c r="SLX101" s="73"/>
      <c r="SLY101" s="73"/>
      <c r="SLZ101" s="73"/>
      <c r="SMA101" s="73"/>
      <c r="SMB101" s="73"/>
      <c r="SMC101" s="73"/>
      <c r="SMD101" s="73"/>
      <c r="SME101" s="73"/>
      <c r="SMF101" s="73"/>
      <c r="SMG101" s="73"/>
      <c r="SMH101" s="73"/>
      <c r="SMI101" s="73"/>
      <c r="SMJ101" s="73"/>
      <c r="SMK101" s="73"/>
      <c r="SML101" s="73"/>
      <c r="SMM101" s="73"/>
      <c r="SMN101" s="73"/>
      <c r="SMO101" s="73"/>
      <c r="SMP101" s="73"/>
      <c r="SMQ101" s="73"/>
      <c r="SMR101" s="73"/>
      <c r="SMS101" s="73"/>
      <c r="SMT101" s="73"/>
      <c r="SMU101" s="73"/>
      <c r="SMV101" s="73"/>
      <c r="SMW101" s="73"/>
      <c r="SMX101" s="73"/>
      <c r="SMY101" s="73"/>
      <c r="SMZ101" s="73"/>
      <c r="SNA101" s="73"/>
      <c r="SNB101" s="73"/>
      <c r="SNC101" s="73"/>
      <c r="SND101" s="73"/>
      <c r="SNE101" s="73"/>
      <c r="SNF101" s="73"/>
      <c r="SNG101" s="73"/>
      <c r="SNH101" s="73"/>
      <c r="SNI101" s="73"/>
      <c r="SNJ101" s="73"/>
      <c r="SNK101" s="73"/>
      <c r="SNL101" s="73"/>
      <c r="SNM101" s="73"/>
      <c r="SNN101" s="73"/>
      <c r="SNO101" s="73"/>
      <c r="SNP101" s="73"/>
      <c r="SNQ101" s="73"/>
      <c r="SNR101" s="73"/>
      <c r="SNS101" s="73"/>
      <c r="SNT101" s="73"/>
      <c r="SNU101" s="73"/>
      <c r="SNV101" s="73"/>
      <c r="SNW101" s="73"/>
      <c r="SNX101" s="73"/>
      <c r="SNY101" s="73"/>
      <c r="SNZ101" s="73"/>
      <c r="SOA101" s="73"/>
      <c r="SOB101" s="73"/>
      <c r="SOC101" s="73"/>
      <c r="SOD101" s="73"/>
      <c r="SOE101" s="73"/>
      <c r="SOF101" s="73"/>
      <c r="SOG101" s="73"/>
      <c r="SOH101" s="73"/>
      <c r="SOI101" s="73"/>
      <c r="SOJ101" s="73"/>
      <c r="SOK101" s="73"/>
      <c r="SOL101" s="73"/>
      <c r="SOM101" s="73"/>
      <c r="SON101" s="73"/>
      <c r="SOO101" s="73"/>
      <c r="SOP101" s="73"/>
      <c r="SOQ101" s="73"/>
      <c r="SOR101" s="73"/>
      <c r="SOS101" s="73"/>
      <c r="SOT101" s="73"/>
      <c r="SOU101" s="73"/>
      <c r="SOV101" s="73"/>
      <c r="SOW101" s="73"/>
      <c r="SOX101" s="73"/>
      <c r="SOY101" s="73"/>
      <c r="SOZ101" s="73"/>
      <c r="SPA101" s="73"/>
      <c r="SPB101" s="73"/>
      <c r="SPC101" s="73"/>
      <c r="SPD101" s="73"/>
      <c r="SPE101" s="73"/>
      <c r="SPF101" s="73"/>
      <c r="SPG101" s="73"/>
      <c r="SPH101" s="73"/>
      <c r="SPI101" s="73"/>
      <c r="SPJ101" s="73"/>
      <c r="SPK101" s="73"/>
      <c r="SPL101" s="73"/>
      <c r="SPM101" s="73"/>
      <c r="SPN101" s="73"/>
      <c r="SPO101" s="73"/>
      <c r="SPP101" s="73"/>
      <c r="SPQ101" s="73"/>
      <c r="SPR101" s="73"/>
      <c r="SPS101" s="73"/>
      <c r="SPT101" s="73"/>
      <c r="SPU101" s="73"/>
      <c r="SPV101" s="73"/>
      <c r="SPW101" s="73"/>
      <c r="SPX101" s="73"/>
      <c r="SPY101" s="73"/>
      <c r="SPZ101" s="73"/>
      <c r="SQA101" s="73"/>
      <c r="SQB101" s="73"/>
      <c r="SQC101" s="73"/>
      <c r="SQD101" s="73"/>
      <c r="SQE101" s="73"/>
      <c r="SQF101" s="73"/>
      <c r="SQG101" s="73"/>
      <c r="SQH101" s="73"/>
      <c r="SQI101" s="73"/>
      <c r="SQJ101" s="73"/>
      <c r="SQK101" s="73"/>
      <c r="SQL101" s="73"/>
      <c r="SQM101" s="73"/>
      <c r="SQN101" s="73"/>
      <c r="SQO101" s="73"/>
      <c r="SQP101" s="73"/>
      <c r="SQQ101" s="73"/>
      <c r="SQR101" s="73"/>
      <c r="SQS101" s="73"/>
      <c r="SQT101" s="73"/>
      <c r="SQU101" s="73"/>
      <c r="SQV101" s="73"/>
      <c r="SQW101" s="73"/>
      <c r="SQX101" s="73"/>
      <c r="SQY101" s="73"/>
      <c r="SQZ101" s="73"/>
      <c r="SRA101" s="73"/>
      <c r="SRB101" s="73"/>
      <c r="SRC101" s="73"/>
      <c r="SRD101" s="73"/>
      <c r="SRE101" s="73"/>
      <c r="SRF101" s="73"/>
      <c r="SRG101" s="73"/>
      <c r="SRH101" s="73"/>
      <c r="SRI101" s="73"/>
      <c r="SRJ101" s="73"/>
      <c r="SRK101" s="73"/>
      <c r="SRL101" s="73"/>
      <c r="SRM101" s="73"/>
      <c r="SRN101" s="73"/>
      <c r="SRO101" s="73"/>
      <c r="SRP101" s="73"/>
      <c r="SRQ101" s="73"/>
      <c r="SRR101" s="73"/>
      <c r="SRS101" s="73"/>
      <c r="SRT101" s="73"/>
      <c r="SRU101" s="73"/>
      <c r="SRV101" s="73"/>
      <c r="SRW101" s="73"/>
      <c r="SRX101" s="73"/>
      <c r="SRY101" s="73"/>
      <c r="SRZ101" s="73"/>
      <c r="SSA101" s="73"/>
      <c r="SSB101" s="73"/>
      <c r="SSC101" s="73"/>
      <c r="SSD101" s="73"/>
      <c r="SSE101" s="73"/>
      <c r="SSF101" s="73"/>
      <c r="SSG101" s="73"/>
      <c r="SSH101" s="73"/>
      <c r="SSI101" s="73"/>
      <c r="SSJ101" s="73"/>
      <c r="SSK101" s="73"/>
      <c r="SSL101" s="73"/>
      <c r="SSM101" s="73"/>
      <c r="SSN101" s="73"/>
      <c r="SSO101" s="73"/>
      <c r="SSP101" s="73"/>
      <c r="SSQ101" s="73"/>
      <c r="SSR101" s="73"/>
      <c r="SSS101" s="73"/>
      <c r="SST101" s="73"/>
      <c r="SSU101" s="73"/>
      <c r="SSV101" s="73"/>
      <c r="SSW101" s="73"/>
      <c r="SSX101" s="73"/>
      <c r="SSY101" s="73"/>
      <c r="SSZ101" s="73"/>
      <c r="STA101" s="73"/>
      <c r="STB101" s="73"/>
      <c r="STC101" s="73"/>
      <c r="STD101" s="73"/>
      <c r="STE101" s="73"/>
      <c r="STF101" s="73"/>
      <c r="STG101" s="73"/>
      <c r="STH101" s="73"/>
      <c r="STI101" s="73"/>
      <c r="STJ101" s="73"/>
      <c r="STK101" s="73"/>
      <c r="STL101" s="73"/>
      <c r="STM101" s="73"/>
      <c r="STN101" s="73"/>
      <c r="STO101" s="73"/>
      <c r="STP101" s="73"/>
      <c r="STQ101" s="73"/>
      <c r="STR101" s="73"/>
      <c r="STS101" s="73"/>
      <c r="STT101" s="73"/>
      <c r="STU101" s="73"/>
      <c r="STV101" s="73"/>
      <c r="STW101" s="73"/>
      <c r="STX101" s="73"/>
      <c r="STY101" s="73"/>
      <c r="STZ101" s="73"/>
      <c r="SUA101" s="73"/>
      <c r="SUB101" s="73"/>
      <c r="SUC101" s="73"/>
      <c r="SUD101" s="73"/>
      <c r="SUE101" s="73"/>
      <c r="SUF101" s="73"/>
      <c r="SUG101" s="73"/>
      <c r="SUH101" s="73"/>
      <c r="SUI101" s="73"/>
      <c r="SUJ101" s="73"/>
      <c r="SUK101" s="73"/>
      <c r="SUL101" s="73"/>
      <c r="SUM101" s="73"/>
      <c r="SUN101" s="73"/>
      <c r="SUO101" s="73"/>
      <c r="SUP101" s="73"/>
      <c r="SUQ101" s="73"/>
      <c r="SUR101" s="73"/>
      <c r="SUS101" s="73"/>
      <c r="SUT101" s="73"/>
      <c r="SUU101" s="73"/>
      <c r="SUV101" s="73"/>
      <c r="SUW101" s="73"/>
      <c r="SUX101" s="73"/>
      <c r="SUY101" s="73"/>
      <c r="SUZ101" s="73"/>
      <c r="SVA101" s="73"/>
      <c r="SVB101" s="73"/>
      <c r="SVC101" s="73"/>
      <c r="SVD101" s="73"/>
      <c r="SVE101" s="73"/>
      <c r="SVF101" s="73"/>
      <c r="SVG101" s="73"/>
      <c r="SVH101" s="73"/>
      <c r="SVI101" s="73"/>
      <c r="SVJ101" s="73"/>
      <c r="SVK101" s="73"/>
      <c r="SVL101" s="73"/>
      <c r="SVM101" s="73"/>
      <c r="SVN101" s="73"/>
      <c r="SVO101" s="73"/>
      <c r="SVP101" s="73"/>
      <c r="SVQ101" s="73"/>
      <c r="SVR101" s="73"/>
      <c r="SVS101" s="73"/>
      <c r="SVT101" s="73"/>
      <c r="SVU101" s="73"/>
      <c r="SVV101" s="73"/>
      <c r="SVW101" s="73"/>
      <c r="SVX101" s="73"/>
      <c r="SVY101" s="73"/>
      <c r="SVZ101" s="73"/>
      <c r="SWA101" s="73"/>
      <c r="SWB101" s="73"/>
      <c r="SWC101" s="73"/>
      <c r="SWD101" s="73"/>
      <c r="SWE101" s="73"/>
      <c r="SWF101" s="73"/>
      <c r="SWG101" s="73"/>
      <c r="SWH101" s="73"/>
      <c r="SWI101" s="73"/>
      <c r="SWJ101" s="73"/>
      <c r="SWK101" s="73"/>
      <c r="SWL101" s="73"/>
      <c r="SWM101" s="73"/>
      <c r="SWN101" s="73"/>
      <c r="SWO101" s="73"/>
      <c r="SWP101" s="73"/>
      <c r="SWQ101" s="73"/>
      <c r="SWR101" s="73"/>
      <c r="SWS101" s="73"/>
      <c r="SWT101" s="73"/>
      <c r="SWU101" s="73"/>
      <c r="SWV101" s="73"/>
      <c r="SWW101" s="73"/>
      <c r="SWX101" s="73"/>
      <c r="SWY101" s="73"/>
      <c r="SWZ101" s="73"/>
      <c r="SXA101" s="73"/>
      <c r="SXB101" s="73"/>
      <c r="SXC101" s="73"/>
      <c r="SXD101" s="73"/>
      <c r="SXE101" s="73"/>
      <c r="SXF101" s="73"/>
      <c r="SXG101" s="73"/>
      <c r="SXH101" s="73"/>
      <c r="SXI101" s="73"/>
      <c r="SXJ101" s="73"/>
      <c r="SXK101" s="73"/>
      <c r="SXL101" s="73"/>
      <c r="SXM101" s="73"/>
      <c r="SXN101" s="73"/>
      <c r="SXO101" s="73"/>
      <c r="SXP101" s="73"/>
      <c r="SXQ101" s="73"/>
      <c r="SXR101" s="73"/>
      <c r="SXS101" s="73"/>
      <c r="SXT101" s="73"/>
      <c r="SXU101" s="73"/>
      <c r="SXV101" s="73"/>
      <c r="SXW101" s="73"/>
      <c r="SXX101" s="73"/>
      <c r="SXY101" s="73"/>
      <c r="SXZ101" s="73"/>
      <c r="SYA101" s="73"/>
      <c r="SYB101" s="73"/>
      <c r="SYC101" s="73"/>
      <c r="SYD101" s="73"/>
      <c r="SYE101" s="73"/>
      <c r="SYF101" s="73"/>
      <c r="SYG101" s="73"/>
      <c r="SYH101" s="73"/>
      <c r="SYI101" s="73"/>
      <c r="SYJ101" s="73"/>
      <c r="SYK101" s="73"/>
      <c r="SYL101" s="73"/>
      <c r="SYM101" s="73"/>
      <c r="SYN101" s="73"/>
      <c r="SYO101" s="73"/>
      <c r="SYP101" s="73"/>
      <c r="SYQ101" s="73"/>
      <c r="SYR101" s="73"/>
      <c r="SYS101" s="73"/>
      <c r="SYT101" s="73"/>
      <c r="SYU101" s="73"/>
      <c r="SYV101" s="73"/>
      <c r="SYW101" s="73"/>
      <c r="SYX101" s="73"/>
      <c r="SYY101" s="73"/>
      <c r="SYZ101" s="73"/>
      <c r="SZA101" s="73"/>
      <c r="SZB101" s="73"/>
      <c r="SZC101" s="73"/>
      <c r="SZD101" s="73"/>
      <c r="SZE101" s="73"/>
      <c r="SZF101" s="73"/>
      <c r="SZG101" s="73"/>
      <c r="SZH101" s="73"/>
      <c r="SZI101" s="73"/>
      <c r="SZJ101" s="73"/>
      <c r="SZK101" s="73"/>
      <c r="SZL101" s="73"/>
      <c r="SZM101" s="73"/>
      <c r="SZN101" s="73"/>
      <c r="SZO101" s="73"/>
      <c r="SZP101" s="73"/>
      <c r="SZQ101" s="73"/>
      <c r="SZR101" s="73"/>
      <c r="SZS101" s="73"/>
      <c r="SZT101" s="73"/>
      <c r="SZU101" s="73"/>
      <c r="SZV101" s="73"/>
      <c r="SZW101" s="73"/>
      <c r="SZX101" s="73"/>
      <c r="SZY101" s="73"/>
      <c r="SZZ101" s="73"/>
      <c r="TAA101" s="73"/>
      <c r="TAB101" s="73"/>
      <c r="TAC101" s="73"/>
      <c r="TAD101" s="73"/>
      <c r="TAE101" s="73"/>
      <c r="TAF101" s="73"/>
      <c r="TAG101" s="73"/>
      <c r="TAH101" s="73"/>
      <c r="TAI101" s="73"/>
      <c r="TAJ101" s="73"/>
      <c r="TAK101" s="73"/>
      <c r="TAL101" s="73"/>
      <c r="TAM101" s="73"/>
      <c r="TAN101" s="73"/>
      <c r="TAO101" s="73"/>
      <c r="TAP101" s="73"/>
      <c r="TAQ101" s="73"/>
      <c r="TAR101" s="73"/>
      <c r="TAS101" s="73"/>
      <c r="TAT101" s="73"/>
      <c r="TAU101" s="73"/>
      <c r="TAV101" s="73"/>
      <c r="TAW101" s="73"/>
      <c r="TAX101" s="73"/>
      <c r="TAY101" s="73"/>
      <c r="TAZ101" s="73"/>
      <c r="TBA101" s="73"/>
      <c r="TBB101" s="73"/>
      <c r="TBC101" s="73"/>
      <c r="TBD101" s="73"/>
      <c r="TBE101" s="73"/>
      <c r="TBF101" s="73"/>
      <c r="TBG101" s="73"/>
      <c r="TBH101" s="73"/>
      <c r="TBI101" s="73"/>
      <c r="TBJ101" s="73"/>
      <c r="TBK101" s="73"/>
      <c r="TBL101" s="73"/>
      <c r="TBM101" s="73"/>
      <c r="TBN101" s="73"/>
      <c r="TBO101" s="73"/>
      <c r="TBP101" s="73"/>
      <c r="TBQ101" s="73"/>
      <c r="TBR101" s="73"/>
      <c r="TBS101" s="73"/>
      <c r="TBT101" s="73"/>
      <c r="TBU101" s="73"/>
      <c r="TBV101" s="73"/>
      <c r="TBW101" s="73"/>
      <c r="TBX101" s="73"/>
      <c r="TBY101" s="73"/>
      <c r="TBZ101" s="73"/>
      <c r="TCA101" s="73"/>
      <c r="TCB101" s="73"/>
      <c r="TCC101" s="73"/>
      <c r="TCD101" s="73"/>
      <c r="TCE101" s="73"/>
      <c r="TCF101" s="73"/>
      <c r="TCG101" s="73"/>
      <c r="TCH101" s="73"/>
      <c r="TCI101" s="73"/>
      <c r="TCJ101" s="73"/>
      <c r="TCK101" s="73"/>
      <c r="TCL101" s="73"/>
      <c r="TCM101" s="73"/>
      <c r="TCN101" s="73"/>
      <c r="TCO101" s="73"/>
      <c r="TCP101" s="73"/>
      <c r="TCQ101" s="73"/>
      <c r="TCR101" s="73"/>
      <c r="TCS101" s="73"/>
      <c r="TCT101" s="73"/>
      <c r="TCU101" s="73"/>
      <c r="TCV101" s="73"/>
      <c r="TCW101" s="73"/>
      <c r="TCX101" s="73"/>
      <c r="TCY101" s="73"/>
      <c r="TCZ101" s="73"/>
      <c r="TDA101" s="73"/>
      <c r="TDB101" s="73"/>
      <c r="TDC101" s="73"/>
      <c r="TDD101" s="73"/>
      <c r="TDE101" s="73"/>
      <c r="TDF101" s="73"/>
      <c r="TDG101" s="73"/>
      <c r="TDH101" s="73"/>
      <c r="TDI101" s="73"/>
      <c r="TDJ101" s="73"/>
      <c r="TDK101" s="73"/>
      <c r="TDL101" s="73"/>
      <c r="TDM101" s="73"/>
      <c r="TDN101" s="73"/>
      <c r="TDO101" s="73"/>
      <c r="TDP101" s="73"/>
      <c r="TDQ101" s="73"/>
      <c r="TDR101" s="73"/>
      <c r="TDS101" s="73"/>
      <c r="TDT101" s="73"/>
      <c r="TDU101" s="73"/>
      <c r="TDV101" s="73"/>
      <c r="TDW101" s="73"/>
      <c r="TDX101" s="73"/>
      <c r="TDY101" s="73"/>
      <c r="TDZ101" s="73"/>
      <c r="TEA101" s="73"/>
      <c r="TEB101" s="73"/>
      <c r="TEC101" s="73"/>
      <c r="TED101" s="73"/>
      <c r="TEE101" s="73"/>
      <c r="TEF101" s="73"/>
      <c r="TEG101" s="73"/>
      <c r="TEH101" s="73"/>
      <c r="TEI101" s="73"/>
      <c r="TEJ101" s="73"/>
      <c r="TEK101" s="73"/>
      <c r="TEL101" s="73"/>
      <c r="TEM101" s="73"/>
      <c r="TEN101" s="73"/>
      <c r="TEO101" s="73"/>
      <c r="TEP101" s="73"/>
      <c r="TEQ101" s="73"/>
      <c r="TER101" s="73"/>
      <c r="TES101" s="73"/>
      <c r="TET101" s="73"/>
      <c r="TEU101" s="73"/>
      <c r="TEV101" s="73"/>
      <c r="TEW101" s="73"/>
      <c r="TEX101" s="73"/>
      <c r="TEY101" s="73"/>
      <c r="TEZ101" s="73"/>
      <c r="TFA101" s="73"/>
      <c r="TFB101" s="73"/>
      <c r="TFC101" s="73"/>
      <c r="TFD101" s="73"/>
      <c r="TFE101" s="73"/>
      <c r="TFF101" s="73"/>
      <c r="TFG101" s="73"/>
      <c r="TFH101" s="73"/>
      <c r="TFI101" s="73"/>
      <c r="TFJ101" s="73"/>
      <c r="TFK101" s="73"/>
      <c r="TFL101" s="73"/>
      <c r="TFM101" s="73"/>
      <c r="TFN101" s="73"/>
      <c r="TFO101" s="73"/>
      <c r="TFP101" s="73"/>
      <c r="TFQ101" s="73"/>
      <c r="TFR101" s="73"/>
      <c r="TFS101" s="73"/>
      <c r="TFT101" s="73"/>
      <c r="TFU101" s="73"/>
      <c r="TFV101" s="73"/>
      <c r="TFW101" s="73"/>
      <c r="TFX101" s="73"/>
      <c r="TFY101" s="73"/>
      <c r="TFZ101" s="73"/>
      <c r="TGA101" s="73"/>
      <c r="TGB101" s="73"/>
      <c r="TGC101" s="73"/>
      <c r="TGD101" s="73"/>
      <c r="TGE101" s="73"/>
      <c r="TGF101" s="73"/>
      <c r="TGG101" s="73"/>
      <c r="TGH101" s="73"/>
      <c r="TGI101" s="73"/>
      <c r="TGJ101" s="73"/>
      <c r="TGK101" s="73"/>
      <c r="TGL101" s="73"/>
      <c r="TGM101" s="73"/>
      <c r="TGN101" s="73"/>
      <c r="TGO101" s="73"/>
      <c r="TGP101" s="73"/>
      <c r="TGQ101" s="73"/>
      <c r="TGR101" s="73"/>
      <c r="TGS101" s="73"/>
      <c r="TGT101" s="73"/>
      <c r="TGU101" s="73"/>
      <c r="TGV101" s="73"/>
      <c r="TGW101" s="73"/>
      <c r="TGX101" s="73"/>
      <c r="TGY101" s="73"/>
      <c r="TGZ101" s="73"/>
      <c r="THA101" s="73"/>
      <c r="THB101" s="73"/>
      <c r="THC101" s="73"/>
      <c r="THD101" s="73"/>
      <c r="THE101" s="73"/>
      <c r="THF101" s="73"/>
      <c r="THG101" s="73"/>
      <c r="THH101" s="73"/>
      <c r="THI101" s="73"/>
      <c r="THJ101" s="73"/>
      <c r="THK101" s="73"/>
      <c r="THL101" s="73"/>
      <c r="THM101" s="73"/>
      <c r="THN101" s="73"/>
      <c r="THO101" s="73"/>
      <c r="THP101" s="73"/>
      <c r="THQ101" s="73"/>
      <c r="THR101" s="73"/>
      <c r="THS101" s="73"/>
      <c r="THT101" s="73"/>
      <c r="THU101" s="73"/>
      <c r="THV101" s="73"/>
      <c r="THW101" s="73"/>
      <c r="THX101" s="73"/>
      <c r="THY101" s="73"/>
      <c r="THZ101" s="73"/>
      <c r="TIA101" s="73"/>
      <c r="TIB101" s="73"/>
      <c r="TIC101" s="73"/>
      <c r="TID101" s="73"/>
      <c r="TIE101" s="73"/>
      <c r="TIF101" s="73"/>
      <c r="TIG101" s="73"/>
      <c r="TIH101" s="73"/>
      <c r="TII101" s="73"/>
      <c r="TIJ101" s="73"/>
      <c r="TIK101" s="73"/>
      <c r="TIL101" s="73"/>
      <c r="TIM101" s="73"/>
      <c r="TIN101" s="73"/>
      <c r="TIO101" s="73"/>
      <c r="TIP101" s="73"/>
      <c r="TIQ101" s="73"/>
      <c r="TIR101" s="73"/>
      <c r="TIS101" s="73"/>
      <c r="TIT101" s="73"/>
      <c r="TIU101" s="73"/>
      <c r="TIV101" s="73"/>
      <c r="TIW101" s="73"/>
      <c r="TIX101" s="73"/>
      <c r="TIY101" s="73"/>
      <c r="TIZ101" s="73"/>
      <c r="TJA101" s="73"/>
      <c r="TJB101" s="73"/>
      <c r="TJC101" s="73"/>
      <c r="TJD101" s="73"/>
      <c r="TJE101" s="73"/>
      <c r="TJF101" s="73"/>
      <c r="TJG101" s="73"/>
      <c r="TJH101" s="73"/>
      <c r="TJI101" s="73"/>
      <c r="TJJ101" s="73"/>
      <c r="TJK101" s="73"/>
      <c r="TJL101" s="73"/>
      <c r="TJM101" s="73"/>
      <c r="TJN101" s="73"/>
      <c r="TJO101" s="73"/>
      <c r="TJP101" s="73"/>
      <c r="TJQ101" s="73"/>
      <c r="TJR101" s="73"/>
      <c r="TJS101" s="73"/>
      <c r="TJT101" s="73"/>
      <c r="TJU101" s="73"/>
      <c r="TJV101" s="73"/>
      <c r="TJW101" s="73"/>
      <c r="TJX101" s="73"/>
      <c r="TJY101" s="73"/>
      <c r="TJZ101" s="73"/>
      <c r="TKA101" s="73"/>
      <c r="TKB101" s="73"/>
      <c r="TKC101" s="73"/>
      <c r="TKD101" s="73"/>
      <c r="TKE101" s="73"/>
      <c r="TKF101" s="73"/>
      <c r="TKG101" s="73"/>
      <c r="TKH101" s="73"/>
      <c r="TKI101" s="73"/>
      <c r="TKJ101" s="73"/>
      <c r="TKK101" s="73"/>
      <c r="TKL101" s="73"/>
      <c r="TKM101" s="73"/>
      <c r="TKN101" s="73"/>
      <c r="TKO101" s="73"/>
      <c r="TKP101" s="73"/>
      <c r="TKQ101" s="73"/>
      <c r="TKR101" s="73"/>
      <c r="TKS101" s="73"/>
      <c r="TKT101" s="73"/>
      <c r="TKU101" s="73"/>
      <c r="TKV101" s="73"/>
      <c r="TKW101" s="73"/>
      <c r="TKX101" s="73"/>
      <c r="TKY101" s="73"/>
      <c r="TKZ101" s="73"/>
      <c r="TLA101" s="73"/>
      <c r="TLB101" s="73"/>
      <c r="TLC101" s="73"/>
      <c r="TLD101" s="73"/>
      <c r="TLE101" s="73"/>
      <c r="TLF101" s="73"/>
      <c r="TLG101" s="73"/>
      <c r="TLH101" s="73"/>
      <c r="TLI101" s="73"/>
      <c r="TLJ101" s="73"/>
      <c r="TLK101" s="73"/>
      <c r="TLL101" s="73"/>
      <c r="TLM101" s="73"/>
      <c r="TLN101" s="73"/>
      <c r="TLO101" s="73"/>
      <c r="TLP101" s="73"/>
      <c r="TLQ101" s="73"/>
      <c r="TLR101" s="73"/>
      <c r="TLS101" s="73"/>
      <c r="TLT101" s="73"/>
      <c r="TLU101" s="73"/>
      <c r="TLV101" s="73"/>
      <c r="TLW101" s="73"/>
      <c r="TLX101" s="73"/>
      <c r="TLY101" s="73"/>
      <c r="TLZ101" s="73"/>
      <c r="TMA101" s="73"/>
      <c r="TMB101" s="73"/>
      <c r="TMC101" s="73"/>
      <c r="TMD101" s="73"/>
      <c r="TME101" s="73"/>
      <c r="TMF101" s="73"/>
      <c r="TMG101" s="73"/>
      <c r="TMH101" s="73"/>
      <c r="TMI101" s="73"/>
      <c r="TMJ101" s="73"/>
      <c r="TMK101" s="73"/>
      <c r="TML101" s="73"/>
      <c r="TMM101" s="73"/>
      <c r="TMN101" s="73"/>
      <c r="TMO101" s="73"/>
      <c r="TMP101" s="73"/>
      <c r="TMQ101" s="73"/>
      <c r="TMR101" s="73"/>
      <c r="TMS101" s="73"/>
      <c r="TMT101" s="73"/>
      <c r="TMU101" s="73"/>
      <c r="TMV101" s="73"/>
      <c r="TMW101" s="73"/>
      <c r="TMX101" s="73"/>
      <c r="TMY101" s="73"/>
      <c r="TMZ101" s="73"/>
      <c r="TNA101" s="73"/>
      <c r="TNB101" s="73"/>
      <c r="TNC101" s="73"/>
      <c r="TND101" s="73"/>
      <c r="TNE101" s="73"/>
      <c r="TNF101" s="73"/>
      <c r="TNG101" s="73"/>
      <c r="TNH101" s="73"/>
      <c r="TNI101" s="73"/>
      <c r="TNJ101" s="73"/>
      <c r="TNK101" s="73"/>
      <c r="TNL101" s="73"/>
      <c r="TNM101" s="73"/>
      <c r="TNN101" s="73"/>
      <c r="TNO101" s="73"/>
      <c r="TNP101" s="73"/>
      <c r="TNQ101" s="73"/>
      <c r="TNR101" s="73"/>
      <c r="TNS101" s="73"/>
      <c r="TNT101" s="73"/>
      <c r="TNU101" s="73"/>
      <c r="TNV101" s="73"/>
      <c r="TNW101" s="73"/>
      <c r="TNX101" s="73"/>
      <c r="TNY101" s="73"/>
      <c r="TNZ101" s="73"/>
      <c r="TOA101" s="73"/>
      <c r="TOB101" s="73"/>
      <c r="TOC101" s="73"/>
      <c r="TOD101" s="73"/>
      <c r="TOE101" s="73"/>
      <c r="TOF101" s="73"/>
      <c r="TOG101" s="73"/>
      <c r="TOH101" s="73"/>
      <c r="TOI101" s="73"/>
      <c r="TOJ101" s="73"/>
      <c r="TOK101" s="73"/>
      <c r="TOL101" s="73"/>
      <c r="TOM101" s="73"/>
      <c r="TON101" s="73"/>
      <c r="TOO101" s="73"/>
      <c r="TOP101" s="73"/>
      <c r="TOQ101" s="73"/>
      <c r="TOR101" s="73"/>
      <c r="TOS101" s="73"/>
      <c r="TOT101" s="73"/>
      <c r="TOU101" s="73"/>
      <c r="TOV101" s="73"/>
      <c r="TOW101" s="73"/>
      <c r="TOX101" s="73"/>
      <c r="TOY101" s="73"/>
      <c r="TOZ101" s="73"/>
      <c r="TPA101" s="73"/>
      <c r="TPB101" s="73"/>
      <c r="TPC101" s="73"/>
      <c r="TPD101" s="73"/>
      <c r="TPE101" s="73"/>
      <c r="TPF101" s="73"/>
      <c r="TPG101" s="73"/>
      <c r="TPH101" s="73"/>
      <c r="TPI101" s="73"/>
      <c r="TPJ101" s="73"/>
      <c r="TPK101" s="73"/>
      <c r="TPL101" s="73"/>
      <c r="TPM101" s="73"/>
      <c r="TPN101" s="73"/>
      <c r="TPO101" s="73"/>
      <c r="TPP101" s="73"/>
      <c r="TPQ101" s="73"/>
      <c r="TPR101" s="73"/>
      <c r="TPS101" s="73"/>
      <c r="TPT101" s="73"/>
      <c r="TPU101" s="73"/>
      <c r="TPV101" s="73"/>
      <c r="TPW101" s="73"/>
      <c r="TPX101" s="73"/>
      <c r="TPY101" s="73"/>
      <c r="TPZ101" s="73"/>
      <c r="TQA101" s="73"/>
      <c r="TQB101" s="73"/>
      <c r="TQC101" s="73"/>
      <c r="TQD101" s="73"/>
      <c r="TQE101" s="73"/>
      <c r="TQF101" s="73"/>
      <c r="TQG101" s="73"/>
      <c r="TQH101" s="73"/>
      <c r="TQI101" s="73"/>
      <c r="TQJ101" s="73"/>
      <c r="TQK101" s="73"/>
      <c r="TQL101" s="73"/>
      <c r="TQM101" s="73"/>
      <c r="TQN101" s="73"/>
      <c r="TQO101" s="73"/>
      <c r="TQP101" s="73"/>
      <c r="TQQ101" s="73"/>
      <c r="TQR101" s="73"/>
      <c r="TQS101" s="73"/>
      <c r="TQT101" s="73"/>
      <c r="TQU101" s="73"/>
      <c r="TQV101" s="73"/>
      <c r="TQW101" s="73"/>
      <c r="TQX101" s="73"/>
      <c r="TQY101" s="73"/>
      <c r="TQZ101" s="73"/>
      <c r="TRA101" s="73"/>
      <c r="TRB101" s="73"/>
      <c r="TRC101" s="73"/>
      <c r="TRD101" s="73"/>
      <c r="TRE101" s="73"/>
      <c r="TRF101" s="73"/>
      <c r="TRG101" s="73"/>
      <c r="TRH101" s="73"/>
      <c r="TRI101" s="73"/>
      <c r="TRJ101" s="73"/>
      <c r="TRK101" s="73"/>
      <c r="TRL101" s="73"/>
      <c r="TRM101" s="73"/>
      <c r="TRN101" s="73"/>
      <c r="TRO101" s="73"/>
      <c r="TRP101" s="73"/>
      <c r="TRQ101" s="73"/>
      <c r="TRR101" s="73"/>
      <c r="TRS101" s="73"/>
      <c r="TRT101" s="73"/>
      <c r="TRU101" s="73"/>
      <c r="TRV101" s="73"/>
      <c r="TRW101" s="73"/>
      <c r="TRX101" s="73"/>
      <c r="TRY101" s="73"/>
      <c r="TRZ101" s="73"/>
      <c r="TSA101" s="73"/>
      <c r="TSB101" s="73"/>
      <c r="TSC101" s="73"/>
      <c r="TSD101" s="73"/>
      <c r="TSE101" s="73"/>
      <c r="TSF101" s="73"/>
      <c r="TSG101" s="73"/>
      <c r="TSH101" s="73"/>
      <c r="TSI101" s="73"/>
      <c r="TSJ101" s="73"/>
      <c r="TSK101" s="73"/>
      <c r="TSL101" s="73"/>
      <c r="TSM101" s="73"/>
      <c r="TSN101" s="73"/>
      <c r="TSO101" s="73"/>
      <c r="TSP101" s="73"/>
      <c r="TSQ101" s="73"/>
      <c r="TSR101" s="73"/>
      <c r="TSS101" s="73"/>
      <c r="TST101" s="73"/>
      <c r="TSU101" s="73"/>
      <c r="TSV101" s="73"/>
      <c r="TSW101" s="73"/>
      <c r="TSX101" s="73"/>
      <c r="TSY101" s="73"/>
      <c r="TSZ101" s="73"/>
      <c r="TTA101" s="73"/>
      <c r="TTB101" s="73"/>
      <c r="TTC101" s="73"/>
      <c r="TTD101" s="73"/>
      <c r="TTE101" s="73"/>
      <c r="TTF101" s="73"/>
      <c r="TTG101" s="73"/>
      <c r="TTH101" s="73"/>
      <c r="TTI101" s="73"/>
      <c r="TTJ101" s="73"/>
      <c r="TTK101" s="73"/>
      <c r="TTL101" s="73"/>
      <c r="TTM101" s="73"/>
      <c r="TTN101" s="73"/>
      <c r="TTO101" s="73"/>
      <c r="TTP101" s="73"/>
      <c r="TTQ101" s="73"/>
      <c r="TTR101" s="73"/>
      <c r="TTS101" s="73"/>
      <c r="TTT101" s="73"/>
      <c r="TTU101" s="73"/>
      <c r="TTV101" s="73"/>
      <c r="TTW101" s="73"/>
      <c r="TTX101" s="73"/>
      <c r="TTY101" s="73"/>
      <c r="TTZ101" s="73"/>
      <c r="TUA101" s="73"/>
      <c r="TUB101" s="73"/>
      <c r="TUC101" s="73"/>
      <c r="TUD101" s="73"/>
      <c r="TUE101" s="73"/>
      <c r="TUF101" s="73"/>
      <c r="TUG101" s="73"/>
      <c r="TUH101" s="73"/>
      <c r="TUI101" s="73"/>
      <c r="TUJ101" s="73"/>
      <c r="TUK101" s="73"/>
      <c r="TUL101" s="73"/>
      <c r="TUM101" s="73"/>
      <c r="TUN101" s="73"/>
      <c r="TUO101" s="73"/>
      <c r="TUP101" s="73"/>
      <c r="TUQ101" s="73"/>
      <c r="TUR101" s="73"/>
      <c r="TUS101" s="73"/>
      <c r="TUT101" s="73"/>
      <c r="TUU101" s="73"/>
      <c r="TUV101" s="73"/>
      <c r="TUW101" s="73"/>
      <c r="TUX101" s="73"/>
      <c r="TUY101" s="73"/>
      <c r="TUZ101" s="73"/>
      <c r="TVA101" s="73"/>
      <c r="TVB101" s="73"/>
      <c r="TVC101" s="73"/>
      <c r="TVD101" s="73"/>
      <c r="TVE101" s="73"/>
      <c r="TVF101" s="73"/>
      <c r="TVG101" s="73"/>
      <c r="TVH101" s="73"/>
      <c r="TVI101" s="73"/>
      <c r="TVJ101" s="73"/>
      <c r="TVK101" s="73"/>
      <c r="TVL101" s="73"/>
      <c r="TVM101" s="73"/>
      <c r="TVN101" s="73"/>
      <c r="TVO101" s="73"/>
      <c r="TVP101" s="73"/>
      <c r="TVQ101" s="73"/>
      <c r="TVR101" s="73"/>
      <c r="TVS101" s="73"/>
      <c r="TVT101" s="73"/>
      <c r="TVU101" s="73"/>
      <c r="TVV101" s="73"/>
      <c r="TVW101" s="73"/>
      <c r="TVX101" s="73"/>
      <c r="TVY101" s="73"/>
      <c r="TVZ101" s="73"/>
      <c r="TWA101" s="73"/>
      <c r="TWB101" s="73"/>
      <c r="TWC101" s="73"/>
      <c r="TWD101" s="73"/>
      <c r="TWE101" s="73"/>
      <c r="TWF101" s="73"/>
      <c r="TWG101" s="73"/>
      <c r="TWH101" s="73"/>
      <c r="TWI101" s="73"/>
      <c r="TWJ101" s="73"/>
      <c r="TWK101" s="73"/>
      <c r="TWL101" s="73"/>
      <c r="TWM101" s="73"/>
      <c r="TWN101" s="73"/>
      <c r="TWO101" s="73"/>
      <c r="TWP101" s="73"/>
      <c r="TWQ101" s="73"/>
      <c r="TWR101" s="73"/>
      <c r="TWS101" s="73"/>
      <c r="TWT101" s="73"/>
      <c r="TWU101" s="73"/>
      <c r="TWV101" s="73"/>
      <c r="TWW101" s="73"/>
      <c r="TWX101" s="73"/>
      <c r="TWY101" s="73"/>
      <c r="TWZ101" s="73"/>
      <c r="TXA101" s="73"/>
      <c r="TXB101" s="73"/>
      <c r="TXC101" s="73"/>
      <c r="TXD101" s="73"/>
      <c r="TXE101" s="73"/>
      <c r="TXF101" s="73"/>
      <c r="TXG101" s="73"/>
      <c r="TXH101" s="73"/>
      <c r="TXI101" s="73"/>
      <c r="TXJ101" s="73"/>
      <c r="TXK101" s="73"/>
      <c r="TXL101" s="73"/>
      <c r="TXM101" s="73"/>
      <c r="TXN101" s="73"/>
      <c r="TXO101" s="73"/>
      <c r="TXP101" s="73"/>
      <c r="TXQ101" s="73"/>
      <c r="TXR101" s="73"/>
      <c r="TXS101" s="73"/>
      <c r="TXT101" s="73"/>
      <c r="TXU101" s="73"/>
      <c r="TXV101" s="73"/>
      <c r="TXW101" s="73"/>
      <c r="TXX101" s="73"/>
      <c r="TXY101" s="73"/>
      <c r="TXZ101" s="73"/>
      <c r="TYA101" s="73"/>
      <c r="TYB101" s="73"/>
      <c r="TYC101" s="73"/>
      <c r="TYD101" s="73"/>
      <c r="TYE101" s="73"/>
      <c r="TYF101" s="73"/>
      <c r="TYG101" s="73"/>
      <c r="TYH101" s="73"/>
      <c r="TYI101" s="73"/>
      <c r="TYJ101" s="73"/>
      <c r="TYK101" s="73"/>
      <c r="TYL101" s="73"/>
      <c r="TYM101" s="73"/>
      <c r="TYN101" s="73"/>
      <c r="TYO101" s="73"/>
      <c r="TYP101" s="73"/>
      <c r="TYQ101" s="73"/>
      <c r="TYR101" s="73"/>
      <c r="TYS101" s="73"/>
      <c r="TYT101" s="73"/>
      <c r="TYU101" s="73"/>
      <c r="TYV101" s="73"/>
      <c r="TYW101" s="73"/>
      <c r="TYX101" s="73"/>
      <c r="TYY101" s="73"/>
      <c r="TYZ101" s="73"/>
      <c r="TZA101" s="73"/>
      <c r="TZB101" s="73"/>
      <c r="TZC101" s="73"/>
      <c r="TZD101" s="73"/>
      <c r="TZE101" s="73"/>
      <c r="TZF101" s="73"/>
      <c r="TZG101" s="73"/>
      <c r="TZH101" s="73"/>
      <c r="TZI101" s="73"/>
      <c r="TZJ101" s="73"/>
      <c r="TZK101" s="73"/>
      <c r="TZL101" s="73"/>
      <c r="TZM101" s="73"/>
      <c r="TZN101" s="73"/>
      <c r="TZO101" s="73"/>
      <c r="TZP101" s="73"/>
      <c r="TZQ101" s="73"/>
      <c r="TZR101" s="73"/>
      <c r="TZS101" s="73"/>
      <c r="TZT101" s="73"/>
      <c r="TZU101" s="73"/>
      <c r="TZV101" s="73"/>
      <c r="TZW101" s="73"/>
      <c r="TZX101" s="73"/>
      <c r="TZY101" s="73"/>
      <c r="TZZ101" s="73"/>
      <c r="UAA101" s="73"/>
      <c r="UAB101" s="73"/>
      <c r="UAC101" s="73"/>
      <c r="UAD101" s="73"/>
      <c r="UAE101" s="73"/>
      <c r="UAF101" s="73"/>
      <c r="UAG101" s="73"/>
      <c r="UAH101" s="73"/>
      <c r="UAI101" s="73"/>
      <c r="UAJ101" s="73"/>
      <c r="UAK101" s="73"/>
      <c r="UAL101" s="73"/>
      <c r="UAM101" s="73"/>
      <c r="UAN101" s="73"/>
      <c r="UAO101" s="73"/>
      <c r="UAP101" s="73"/>
      <c r="UAQ101" s="73"/>
      <c r="UAR101" s="73"/>
      <c r="UAS101" s="73"/>
      <c r="UAT101" s="73"/>
      <c r="UAU101" s="73"/>
      <c r="UAV101" s="73"/>
      <c r="UAW101" s="73"/>
      <c r="UAX101" s="73"/>
      <c r="UAY101" s="73"/>
      <c r="UAZ101" s="73"/>
      <c r="UBA101" s="73"/>
      <c r="UBB101" s="73"/>
      <c r="UBC101" s="73"/>
      <c r="UBD101" s="73"/>
      <c r="UBE101" s="73"/>
      <c r="UBF101" s="73"/>
      <c r="UBG101" s="73"/>
      <c r="UBH101" s="73"/>
      <c r="UBI101" s="73"/>
      <c r="UBJ101" s="73"/>
      <c r="UBK101" s="73"/>
      <c r="UBL101" s="73"/>
      <c r="UBM101" s="73"/>
      <c r="UBN101" s="73"/>
      <c r="UBO101" s="73"/>
      <c r="UBP101" s="73"/>
      <c r="UBQ101" s="73"/>
      <c r="UBR101" s="73"/>
      <c r="UBS101" s="73"/>
      <c r="UBT101" s="73"/>
      <c r="UBU101" s="73"/>
      <c r="UBV101" s="73"/>
      <c r="UBW101" s="73"/>
      <c r="UBX101" s="73"/>
      <c r="UBY101" s="73"/>
      <c r="UBZ101" s="73"/>
      <c r="UCA101" s="73"/>
      <c r="UCB101" s="73"/>
      <c r="UCC101" s="73"/>
      <c r="UCD101" s="73"/>
      <c r="UCE101" s="73"/>
      <c r="UCF101" s="73"/>
      <c r="UCG101" s="73"/>
      <c r="UCH101" s="73"/>
      <c r="UCI101" s="73"/>
      <c r="UCJ101" s="73"/>
      <c r="UCK101" s="73"/>
      <c r="UCL101" s="73"/>
      <c r="UCM101" s="73"/>
      <c r="UCN101" s="73"/>
      <c r="UCO101" s="73"/>
      <c r="UCP101" s="73"/>
      <c r="UCQ101" s="73"/>
      <c r="UCR101" s="73"/>
      <c r="UCS101" s="73"/>
      <c r="UCT101" s="73"/>
      <c r="UCU101" s="73"/>
      <c r="UCV101" s="73"/>
      <c r="UCW101" s="73"/>
      <c r="UCX101" s="73"/>
      <c r="UCY101" s="73"/>
      <c r="UCZ101" s="73"/>
      <c r="UDA101" s="73"/>
      <c r="UDB101" s="73"/>
      <c r="UDC101" s="73"/>
      <c r="UDD101" s="73"/>
      <c r="UDE101" s="73"/>
      <c r="UDF101" s="73"/>
      <c r="UDG101" s="73"/>
      <c r="UDH101" s="73"/>
      <c r="UDI101" s="73"/>
      <c r="UDJ101" s="73"/>
      <c r="UDK101" s="73"/>
      <c r="UDL101" s="73"/>
      <c r="UDM101" s="73"/>
      <c r="UDN101" s="73"/>
      <c r="UDO101" s="73"/>
      <c r="UDP101" s="73"/>
      <c r="UDQ101" s="73"/>
      <c r="UDR101" s="73"/>
      <c r="UDS101" s="73"/>
      <c r="UDT101" s="73"/>
      <c r="UDU101" s="73"/>
      <c r="UDV101" s="73"/>
      <c r="UDW101" s="73"/>
      <c r="UDX101" s="73"/>
      <c r="UDY101" s="73"/>
      <c r="UDZ101" s="73"/>
      <c r="UEA101" s="73"/>
      <c r="UEB101" s="73"/>
      <c r="UEC101" s="73"/>
      <c r="UED101" s="73"/>
      <c r="UEE101" s="73"/>
      <c r="UEF101" s="73"/>
      <c r="UEG101" s="73"/>
      <c r="UEH101" s="73"/>
      <c r="UEI101" s="73"/>
      <c r="UEJ101" s="73"/>
      <c r="UEK101" s="73"/>
      <c r="UEL101" s="73"/>
      <c r="UEM101" s="73"/>
      <c r="UEN101" s="73"/>
      <c r="UEO101" s="73"/>
      <c r="UEP101" s="73"/>
      <c r="UEQ101" s="73"/>
      <c r="UER101" s="73"/>
      <c r="UES101" s="73"/>
      <c r="UET101" s="73"/>
      <c r="UEU101" s="73"/>
      <c r="UEV101" s="73"/>
      <c r="UEW101" s="73"/>
      <c r="UEX101" s="73"/>
      <c r="UEY101" s="73"/>
      <c r="UEZ101" s="73"/>
      <c r="UFA101" s="73"/>
      <c r="UFB101" s="73"/>
      <c r="UFC101" s="73"/>
      <c r="UFD101" s="73"/>
      <c r="UFE101" s="73"/>
      <c r="UFF101" s="73"/>
      <c r="UFG101" s="73"/>
      <c r="UFH101" s="73"/>
      <c r="UFI101" s="73"/>
      <c r="UFJ101" s="73"/>
      <c r="UFK101" s="73"/>
      <c r="UFL101" s="73"/>
      <c r="UFM101" s="73"/>
      <c r="UFN101" s="73"/>
      <c r="UFO101" s="73"/>
      <c r="UFP101" s="73"/>
      <c r="UFQ101" s="73"/>
      <c r="UFR101" s="73"/>
      <c r="UFS101" s="73"/>
      <c r="UFT101" s="73"/>
      <c r="UFU101" s="73"/>
      <c r="UFV101" s="73"/>
      <c r="UFW101" s="73"/>
      <c r="UFX101" s="73"/>
      <c r="UFY101" s="73"/>
      <c r="UFZ101" s="73"/>
      <c r="UGA101" s="73"/>
      <c r="UGB101" s="73"/>
      <c r="UGC101" s="73"/>
      <c r="UGD101" s="73"/>
      <c r="UGE101" s="73"/>
      <c r="UGF101" s="73"/>
      <c r="UGG101" s="73"/>
      <c r="UGH101" s="73"/>
      <c r="UGI101" s="73"/>
      <c r="UGJ101" s="73"/>
      <c r="UGK101" s="73"/>
      <c r="UGL101" s="73"/>
      <c r="UGM101" s="73"/>
      <c r="UGN101" s="73"/>
      <c r="UGO101" s="73"/>
      <c r="UGP101" s="73"/>
      <c r="UGQ101" s="73"/>
      <c r="UGR101" s="73"/>
      <c r="UGS101" s="73"/>
      <c r="UGT101" s="73"/>
      <c r="UGU101" s="73"/>
      <c r="UGV101" s="73"/>
      <c r="UGW101" s="73"/>
      <c r="UGX101" s="73"/>
      <c r="UGY101" s="73"/>
      <c r="UGZ101" s="73"/>
      <c r="UHA101" s="73"/>
      <c r="UHB101" s="73"/>
      <c r="UHC101" s="73"/>
      <c r="UHD101" s="73"/>
      <c r="UHE101" s="73"/>
      <c r="UHF101" s="73"/>
      <c r="UHG101" s="73"/>
      <c r="UHH101" s="73"/>
      <c r="UHI101" s="73"/>
      <c r="UHJ101" s="73"/>
      <c r="UHK101" s="73"/>
      <c r="UHL101" s="73"/>
      <c r="UHM101" s="73"/>
      <c r="UHN101" s="73"/>
      <c r="UHO101" s="73"/>
      <c r="UHP101" s="73"/>
      <c r="UHQ101" s="73"/>
      <c r="UHR101" s="73"/>
      <c r="UHS101" s="73"/>
      <c r="UHT101" s="73"/>
      <c r="UHU101" s="73"/>
      <c r="UHV101" s="73"/>
      <c r="UHW101" s="73"/>
      <c r="UHX101" s="73"/>
      <c r="UHY101" s="73"/>
      <c r="UHZ101" s="73"/>
      <c r="UIA101" s="73"/>
      <c r="UIB101" s="73"/>
      <c r="UIC101" s="73"/>
      <c r="UID101" s="73"/>
      <c r="UIE101" s="73"/>
      <c r="UIF101" s="73"/>
      <c r="UIG101" s="73"/>
      <c r="UIH101" s="73"/>
      <c r="UII101" s="73"/>
      <c r="UIJ101" s="73"/>
      <c r="UIK101" s="73"/>
      <c r="UIL101" s="73"/>
      <c r="UIM101" s="73"/>
      <c r="UIN101" s="73"/>
      <c r="UIO101" s="73"/>
      <c r="UIP101" s="73"/>
      <c r="UIQ101" s="73"/>
      <c r="UIR101" s="73"/>
      <c r="UIS101" s="73"/>
      <c r="UIT101" s="73"/>
      <c r="UIU101" s="73"/>
      <c r="UIV101" s="73"/>
      <c r="UIW101" s="73"/>
      <c r="UIX101" s="73"/>
      <c r="UIY101" s="73"/>
      <c r="UIZ101" s="73"/>
      <c r="UJA101" s="73"/>
      <c r="UJB101" s="73"/>
      <c r="UJC101" s="73"/>
      <c r="UJD101" s="73"/>
      <c r="UJE101" s="73"/>
      <c r="UJF101" s="73"/>
      <c r="UJG101" s="73"/>
      <c r="UJH101" s="73"/>
      <c r="UJI101" s="73"/>
      <c r="UJJ101" s="73"/>
      <c r="UJK101" s="73"/>
      <c r="UJL101" s="73"/>
      <c r="UJM101" s="73"/>
      <c r="UJN101" s="73"/>
      <c r="UJO101" s="73"/>
      <c r="UJP101" s="73"/>
      <c r="UJQ101" s="73"/>
      <c r="UJR101" s="73"/>
      <c r="UJS101" s="73"/>
      <c r="UJT101" s="73"/>
      <c r="UJU101" s="73"/>
      <c r="UJV101" s="73"/>
      <c r="UJW101" s="73"/>
      <c r="UJX101" s="73"/>
      <c r="UJY101" s="73"/>
      <c r="UJZ101" s="73"/>
      <c r="UKA101" s="73"/>
      <c r="UKB101" s="73"/>
      <c r="UKC101" s="73"/>
      <c r="UKD101" s="73"/>
      <c r="UKE101" s="73"/>
      <c r="UKF101" s="73"/>
      <c r="UKG101" s="73"/>
      <c r="UKH101" s="73"/>
      <c r="UKI101" s="73"/>
      <c r="UKJ101" s="73"/>
      <c r="UKK101" s="73"/>
      <c r="UKL101" s="73"/>
      <c r="UKM101" s="73"/>
      <c r="UKN101" s="73"/>
      <c r="UKO101" s="73"/>
      <c r="UKP101" s="73"/>
      <c r="UKQ101" s="73"/>
      <c r="UKR101" s="73"/>
      <c r="UKS101" s="73"/>
      <c r="UKT101" s="73"/>
      <c r="UKU101" s="73"/>
      <c r="UKV101" s="73"/>
      <c r="UKW101" s="73"/>
      <c r="UKX101" s="73"/>
      <c r="UKY101" s="73"/>
      <c r="UKZ101" s="73"/>
      <c r="ULA101" s="73"/>
      <c r="ULB101" s="73"/>
      <c r="ULC101" s="73"/>
      <c r="ULD101" s="73"/>
      <c r="ULE101" s="73"/>
      <c r="ULF101" s="73"/>
      <c r="ULG101" s="73"/>
      <c r="ULH101" s="73"/>
      <c r="ULI101" s="73"/>
      <c r="ULJ101" s="73"/>
      <c r="ULK101" s="73"/>
      <c r="ULL101" s="73"/>
      <c r="ULM101" s="73"/>
      <c r="ULN101" s="73"/>
      <c r="ULO101" s="73"/>
      <c r="ULP101" s="73"/>
      <c r="ULQ101" s="73"/>
      <c r="ULR101" s="73"/>
      <c r="ULS101" s="73"/>
      <c r="ULT101" s="73"/>
      <c r="ULU101" s="73"/>
      <c r="ULV101" s="73"/>
      <c r="ULW101" s="73"/>
      <c r="ULX101" s="73"/>
      <c r="ULY101" s="73"/>
      <c r="ULZ101" s="73"/>
      <c r="UMA101" s="73"/>
      <c r="UMB101" s="73"/>
      <c r="UMC101" s="73"/>
      <c r="UMD101" s="73"/>
      <c r="UME101" s="73"/>
      <c r="UMF101" s="73"/>
      <c r="UMG101" s="73"/>
      <c r="UMH101" s="73"/>
      <c r="UMI101" s="73"/>
      <c r="UMJ101" s="73"/>
      <c r="UMK101" s="73"/>
      <c r="UML101" s="73"/>
      <c r="UMM101" s="73"/>
      <c r="UMN101" s="73"/>
      <c r="UMO101" s="73"/>
      <c r="UMP101" s="73"/>
      <c r="UMQ101" s="73"/>
      <c r="UMR101" s="73"/>
      <c r="UMS101" s="73"/>
      <c r="UMT101" s="73"/>
      <c r="UMU101" s="73"/>
      <c r="UMV101" s="73"/>
      <c r="UMW101" s="73"/>
      <c r="UMX101" s="73"/>
      <c r="UMY101" s="73"/>
      <c r="UMZ101" s="73"/>
      <c r="UNA101" s="73"/>
      <c r="UNB101" s="73"/>
      <c r="UNC101" s="73"/>
      <c r="UND101" s="73"/>
      <c r="UNE101" s="73"/>
      <c r="UNF101" s="73"/>
      <c r="UNG101" s="73"/>
      <c r="UNH101" s="73"/>
      <c r="UNI101" s="73"/>
      <c r="UNJ101" s="73"/>
      <c r="UNK101" s="73"/>
      <c r="UNL101" s="73"/>
      <c r="UNM101" s="73"/>
      <c r="UNN101" s="73"/>
      <c r="UNO101" s="73"/>
      <c r="UNP101" s="73"/>
      <c r="UNQ101" s="73"/>
      <c r="UNR101" s="73"/>
      <c r="UNS101" s="73"/>
      <c r="UNT101" s="73"/>
      <c r="UNU101" s="73"/>
      <c r="UNV101" s="73"/>
      <c r="UNW101" s="73"/>
      <c r="UNX101" s="73"/>
      <c r="UNY101" s="73"/>
      <c r="UNZ101" s="73"/>
      <c r="UOA101" s="73"/>
      <c r="UOB101" s="73"/>
      <c r="UOC101" s="73"/>
      <c r="UOD101" s="73"/>
      <c r="UOE101" s="73"/>
      <c r="UOF101" s="73"/>
      <c r="UOG101" s="73"/>
      <c r="UOH101" s="73"/>
      <c r="UOI101" s="73"/>
      <c r="UOJ101" s="73"/>
      <c r="UOK101" s="73"/>
      <c r="UOL101" s="73"/>
      <c r="UOM101" s="73"/>
      <c r="UON101" s="73"/>
      <c r="UOO101" s="73"/>
      <c r="UOP101" s="73"/>
      <c r="UOQ101" s="73"/>
      <c r="UOR101" s="73"/>
      <c r="UOS101" s="73"/>
      <c r="UOT101" s="73"/>
      <c r="UOU101" s="73"/>
      <c r="UOV101" s="73"/>
      <c r="UOW101" s="73"/>
      <c r="UOX101" s="73"/>
      <c r="UOY101" s="73"/>
      <c r="UOZ101" s="73"/>
      <c r="UPA101" s="73"/>
      <c r="UPB101" s="73"/>
      <c r="UPC101" s="73"/>
      <c r="UPD101" s="73"/>
      <c r="UPE101" s="73"/>
      <c r="UPF101" s="73"/>
      <c r="UPG101" s="73"/>
      <c r="UPH101" s="73"/>
      <c r="UPI101" s="73"/>
      <c r="UPJ101" s="73"/>
      <c r="UPK101" s="73"/>
      <c r="UPL101" s="73"/>
      <c r="UPM101" s="73"/>
      <c r="UPN101" s="73"/>
      <c r="UPO101" s="73"/>
      <c r="UPP101" s="73"/>
      <c r="UPQ101" s="73"/>
      <c r="UPR101" s="73"/>
      <c r="UPS101" s="73"/>
      <c r="UPT101" s="73"/>
      <c r="UPU101" s="73"/>
      <c r="UPV101" s="73"/>
      <c r="UPW101" s="73"/>
      <c r="UPX101" s="73"/>
      <c r="UPY101" s="73"/>
      <c r="UPZ101" s="73"/>
      <c r="UQA101" s="73"/>
      <c r="UQB101" s="73"/>
      <c r="UQC101" s="73"/>
      <c r="UQD101" s="73"/>
      <c r="UQE101" s="73"/>
      <c r="UQF101" s="73"/>
      <c r="UQG101" s="73"/>
      <c r="UQH101" s="73"/>
      <c r="UQI101" s="73"/>
      <c r="UQJ101" s="73"/>
      <c r="UQK101" s="73"/>
      <c r="UQL101" s="73"/>
      <c r="UQM101" s="73"/>
      <c r="UQN101" s="73"/>
      <c r="UQO101" s="73"/>
      <c r="UQP101" s="73"/>
      <c r="UQQ101" s="73"/>
      <c r="UQR101" s="73"/>
      <c r="UQS101" s="73"/>
      <c r="UQT101" s="73"/>
      <c r="UQU101" s="73"/>
      <c r="UQV101" s="73"/>
      <c r="UQW101" s="73"/>
      <c r="UQX101" s="73"/>
      <c r="UQY101" s="73"/>
      <c r="UQZ101" s="73"/>
      <c r="URA101" s="73"/>
      <c r="URB101" s="73"/>
      <c r="URC101" s="73"/>
      <c r="URD101" s="73"/>
      <c r="URE101" s="73"/>
      <c r="URF101" s="73"/>
      <c r="URG101" s="73"/>
      <c r="URH101" s="73"/>
      <c r="URI101" s="73"/>
      <c r="URJ101" s="73"/>
      <c r="URK101" s="73"/>
      <c r="URL101" s="73"/>
      <c r="URM101" s="73"/>
      <c r="URN101" s="73"/>
      <c r="URO101" s="73"/>
      <c r="URP101" s="73"/>
      <c r="URQ101" s="73"/>
      <c r="URR101" s="73"/>
      <c r="URS101" s="73"/>
      <c r="URT101" s="73"/>
      <c r="URU101" s="73"/>
      <c r="URV101" s="73"/>
      <c r="URW101" s="73"/>
      <c r="URX101" s="73"/>
      <c r="URY101" s="73"/>
      <c r="URZ101" s="73"/>
      <c r="USA101" s="73"/>
      <c r="USB101" s="73"/>
      <c r="USC101" s="73"/>
      <c r="USD101" s="73"/>
      <c r="USE101" s="73"/>
      <c r="USF101" s="73"/>
      <c r="USG101" s="73"/>
      <c r="USH101" s="73"/>
      <c r="USI101" s="73"/>
      <c r="USJ101" s="73"/>
      <c r="USK101" s="73"/>
      <c r="USL101" s="73"/>
      <c r="USM101" s="73"/>
      <c r="USN101" s="73"/>
      <c r="USO101" s="73"/>
      <c r="USP101" s="73"/>
      <c r="USQ101" s="73"/>
      <c r="USR101" s="73"/>
      <c r="USS101" s="73"/>
      <c r="UST101" s="73"/>
      <c r="USU101" s="73"/>
      <c r="USV101" s="73"/>
      <c r="USW101" s="73"/>
      <c r="USX101" s="73"/>
      <c r="USY101" s="73"/>
      <c r="USZ101" s="73"/>
      <c r="UTA101" s="73"/>
      <c r="UTB101" s="73"/>
      <c r="UTC101" s="73"/>
      <c r="UTD101" s="73"/>
      <c r="UTE101" s="73"/>
      <c r="UTF101" s="73"/>
      <c r="UTG101" s="73"/>
      <c r="UTH101" s="73"/>
      <c r="UTI101" s="73"/>
      <c r="UTJ101" s="73"/>
      <c r="UTK101" s="73"/>
      <c r="UTL101" s="73"/>
      <c r="UTM101" s="73"/>
      <c r="UTN101" s="73"/>
      <c r="UTO101" s="73"/>
      <c r="UTP101" s="73"/>
      <c r="UTQ101" s="73"/>
      <c r="UTR101" s="73"/>
      <c r="UTS101" s="73"/>
      <c r="UTT101" s="73"/>
      <c r="UTU101" s="73"/>
      <c r="UTV101" s="73"/>
      <c r="UTW101" s="73"/>
      <c r="UTX101" s="73"/>
      <c r="UTY101" s="73"/>
      <c r="UTZ101" s="73"/>
      <c r="UUA101" s="73"/>
      <c r="UUB101" s="73"/>
      <c r="UUC101" s="73"/>
      <c r="UUD101" s="73"/>
      <c r="UUE101" s="73"/>
      <c r="UUF101" s="73"/>
      <c r="UUG101" s="73"/>
      <c r="UUH101" s="73"/>
      <c r="UUI101" s="73"/>
      <c r="UUJ101" s="73"/>
      <c r="UUK101" s="73"/>
      <c r="UUL101" s="73"/>
      <c r="UUM101" s="73"/>
      <c r="UUN101" s="73"/>
      <c r="UUO101" s="73"/>
      <c r="UUP101" s="73"/>
      <c r="UUQ101" s="73"/>
      <c r="UUR101" s="73"/>
      <c r="UUS101" s="73"/>
      <c r="UUT101" s="73"/>
      <c r="UUU101" s="73"/>
      <c r="UUV101" s="73"/>
      <c r="UUW101" s="73"/>
      <c r="UUX101" s="73"/>
      <c r="UUY101" s="73"/>
      <c r="UUZ101" s="73"/>
      <c r="UVA101" s="73"/>
      <c r="UVB101" s="73"/>
      <c r="UVC101" s="73"/>
      <c r="UVD101" s="73"/>
      <c r="UVE101" s="73"/>
      <c r="UVF101" s="73"/>
      <c r="UVG101" s="73"/>
      <c r="UVH101" s="73"/>
      <c r="UVI101" s="73"/>
      <c r="UVJ101" s="73"/>
      <c r="UVK101" s="73"/>
      <c r="UVL101" s="73"/>
      <c r="UVM101" s="73"/>
      <c r="UVN101" s="73"/>
      <c r="UVO101" s="73"/>
      <c r="UVP101" s="73"/>
      <c r="UVQ101" s="73"/>
      <c r="UVR101" s="73"/>
      <c r="UVS101" s="73"/>
      <c r="UVT101" s="73"/>
      <c r="UVU101" s="73"/>
      <c r="UVV101" s="73"/>
      <c r="UVW101" s="73"/>
      <c r="UVX101" s="73"/>
      <c r="UVY101" s="73"/>
      <c r="UVZ101" s="73"/>
      <c r="UWA101" s="73"/>
      <c r="UWB101" s="73"/>
      <c r="UWC101" s="73"/>
      <c r="UWD101" s="73"/>
      <c r="UWE101" s="73"/>
      <c r="UWF101" s="73"/>
      <c r="UWG101" s="73"/>
      <c r="UWH101" s="73"/>
      <c r="UWI101" s="73"/>
      <c r="UWJ101" s="73"/>
      <c r="UWK101" s="73"/>
      <c r="UWL101" s="73"/>
      <c r="UWM101" s="73"/>
      <c r="UWN101" s="73"/>
      <c r="UWO101" s="73"/>
      <c r="UWP101" s="73"/>
      <c r="UWQ101" s="73"/>
      <c r="UWR101" s="73"/>
      <c r="UWS101" s="73"/>
      <c r="UWT101" s="73"/>
      <c r="UWU101" s="73"/>
      <c r="UWV101" s="73"/>
      <c r="UWW101" s="73"/>
      <c r="UWX101" s="73"/>
      <c r="UWY101" s="73"/>
      <c r="UWZ101" s="73"/>
      <c r="UXA101" s="73"/>
      <c r="UXB101" s="73"/>
      <c r="UXC101" s="73"/>
      <c r="UXD101" s="73"/>
      <c r="UXE101" s="73"/>
      <c r="UXF101" s="73"/>
      <c r="UXG101" s="73"/>
      <c r="UXH101" s="73"/>
      <c r="UXI101" s="73"/>
      <c r="UXJ101" s="73"/>
      <c r="UXK101" s="73"/>
      <c r="UXL101" s="73"/>
      <c r="UXM101" s="73"/>
      <c r="UXN101" s="73"/>
      <c r="UXO101" s="73"/>
      <c r="UXP101" s="73"/>
      <c r="UXQ101" s="73"/>
      <c r="UXR101" s="73"/>
      <c r="UXS101" s="73"/>
      <c r="UXT101" s="73"/>
      <c r="UXU101" s="73"/>
      <c r="UXV101" s="73"/>
      <c r="UXW101" s="73"/>
      <c r="UXX101" s="73"/>
      <c r="UXY101" s="73"/>
      <c r="UXZ101" s="73"/>
      <c r="UYA101" s="73"/>
      <c r="UYB101" s="73"/>
      <c r="UYC101" s="73"/>
      <c r="UYD101" s="73"/>
      <c r="UYE101" s="73"/>
      <c r="UYF101" s="73"/>
      <c r="UYG101" s="73"/>
      <c r="UYH101" s="73"/>
      <c r="UYI101" s="73"/>
      <c r="UYJ101" s="73"/>
      <c r="UYK101" s="73"/>
      <c r="UYL101" s="73"/>
      <c r="UYM101" s="73"/>
      <c r="UYN101" s="73"/>
      <c r="UYO101" s="73"/>
      <c r="UYP101" s="73"/>
      <c r="UYQ101" s="73"/>
      <c r="UYR101" s="73"/>
      <c r="UYS101" s="73"/>
      <c r="UYT101" s="73"/>
      <c r="UYU101" s="73"/>
      <c r="UYV101" s="73"/>
      <c r="UYW101" s="73"/>
      <c r="UYX101" s="73"/>
      <c r="UYY101" s="73"/>
      <c r="UYZ101" s="73"/>
      <c r="UZA101" s="73"/>
      <c r="UZB101" s="73"/>
      <c r="UZC101" s="73"/>
      <c r="UZD101" s="73"/>
      <c r="UZE101" s="73"/>
      <c r="UZF101" s="73"/>
      <c r="UZG101" s="73"/>
      <c r="UZH101" s="73"/>
      <c r="UZI101" s="73"/>
      <c r="UZJ101" s="73"/>
      <c r="UZK101" s="73"/>
      <c r="UZL101" s="73"/>
      <c r="UZM101" s="73"/>
      <c r="UZN101" s="73"/>
      <c r="UZO101" s="73"/>
      <c r="UZP101" s="73"/>
      <c r="UZQ101" s="73"/>
      <c r="UZR101" s="73"/>
      <c r="UZS101" s="73"/>
      <c r="UZT101" s="73"/>
      <c r="UZU101" s="73"/>
      <c r="UZV101" s="73"/>
      <c r="UZW101" s="73"/>
      <c r="UZX101" s="73"/>
      <c r="UZY101" s="73"/>
      <c r="UZZ101" s="73"/>
      <c r="VAA101" s="73"/>
      <c r="VAB101" s="73"/>
      <c r="VAC101" s="73"/>
      <c r="VAD101" s="73"/>
      <c r="VAE101" s="73"/>
      <c r="VAF101" s="73"/>
      <c r="VAG101" s="73"/>
      <c r="VAH101" s="73"/>
      <c r="VAI101" s="73"/>
      <c r="VAJ101" s="73"/>
      <c r="VAK101" s="73"/>
      <c r="VAL101" s="73"/>
      <c r="VAM101" s="73"/>
      <c r="VAN101" s="73"/>
      <c r="VAO101" s="73"/>
      <c r="VAP101" s="73"/>
      <c r="VAQ101" s="73"/>
      <c r="VAR101" s="73"/>
      <c r="VAS101" s="73"/>
      <c r="VAT101" s="73"/>
      <c r="VAU101" s="73"/>
      <c r="VAV101" s="73"/>
      <c r="VAW101" s="73"/>
      <c r="VAX101" s="73"/>
      <c r="VAY101" s="73"/>
      <c r="VAZ101" s="73"/>
      <c r="VBA101" s="73"/>
      <c r="VBB101" s="73"/>
      <c r="VBC101" s="73"/>
      <c r="VBD101" s="73"/>
      <c r="VBE101" s="73"/>
      <c r="VBF101" s="73"/>
      <c r="VBG101" s="73"/>
      <c r="VBH101" s="73"/>
      <c r="VBI101" s="73"/>
      <c r="VBJ101" s="73"/>
      <c r="VBK101" s="73"/>
      <c r="VBL101" s="73"/>
      <c r="VBM101" s="73"/>
      <c r="VBN101" s="73"/>
      <c r="VBO101" s="73"/>
      <c r="VBP101" s="73"/>
      <c r="VBQ101" s="73"/>
      <c r="VBR101" s="73"/>
      <c r="VBS101" s="73"/>
      <c r="VBT101" s="73"/>
      <c r="VBU101" s="73"/>
      <c r="VBV101" s="73"/>
      <c r="VBW101" s="73"/>
      <c r="VBX101" s="73"/>
      <c r="VBY101" s="73"/>
      <c r="VBZ101" s="73"/>
      <c r="VCA101" s="73"/>
      <c r="VCB101" s="73"/>
      <c r="VCC101" s="73"/>
      <c r="VCD101" s="73"/>
      <c r="VCE101" s="73"/>
      <c r="VCF101" s="73"/>
      <c r="VCG101" s="73"/>
      <c r="VCH101" s="73"/>
      <c r="VCI101" s="73"/>
      <c r="VCJ101" s="73"/>
      <c r="VCK101" s="73"/>
      <c r="VCL101" s="73"/>
      <c r="VCM101" s="73"/>
      <c r="VCN101" s="73"/>
      <c r="VCO101" s="73"/>
      <c r="VCP101" s="73"/>
      <c r="VCQ101" s="73"/>
      <c r="VCR101" s="73"/>
      <c r="VCS101" s="73"/>
      <c r="VCT101" s="73"/>
      <c r="VCU101" s="73"/>
      <c r="VCV101" s="73"/>
      <c r="VCW101" s="73"/>
      <c r="VCX101" s="73"/>
      <c r="VCY101" s="73"/>
      <c r="VCZ101" s="73"/>
      <c r="VDA101" s="73"/>
      <c r="VDB101" s="73"/>
      <c r="VDC101" s="73"/>
      <c r="VDD101" s="73"/>
      <c r="VDE101" s="73"/>
      <c r="VDF101" s="73"/>
      <c r="VDG101" s="73"/>
      <c r="VDH101" s="73"/>
      <c r="VDI101" s="73"/>
      <c r="VDJ101" s="73"/>
      <c r="VDK101" s="73"/>
      <c r="VDL101" s="73"/>
      <c r="VDM101" s="73"/>
      <c r="VDN101" s="73"/>
      <c r="VDO101" s="73"/>
      <c r="VDP101" s="73"/>
      <c r="VDQ101" s="73"/>
      <c r="VDR101" s="73"/>
      <c r="VDS101" s="73"/>
      <c r="VDT101" s="73"/>
      <c r="VDU101" s="73"/>
      <c r="VDV101" s="73"/>
      <c r="VDW101" s="73"/>
      <c r="VDX101" s="73"/>
      <c r="VDY101" s="73"/>
      <c r="VDZ101" s="73"/>
      <c r="VEA101" s="73"/>
      <c r="VEB101" s="73"/>
      <c r="VEC101" s="73"/>
      <c r="VED101" s="73"/>
      <c r="VEE101" s="73"/>
      <c r="VEF101" s="73"/>
      <c r="VEG101" s="73"/>
      <c r="VEH101" s="73"/>
      <c r="VEI101" s="73"/>
      <c r="VEJ101" s="73"/>
      <c r="VEK101" s="73"/>
      <c r="VEL101" s="73"/>
      <c r="VEM101" s="73"/>
      <c r="VEN101" s="73"/>
      <c r="VEO101" s="73"/>
      <c r="VEP101" s="73"/>
      <c r="VEQ101" s="73"/>
      <c r="VER101" s="73"/>
      <c r="VES101" s="73"/>
      <c r="VET101" s="73"/>
      <c r="VEU101" s="73"/>
      <c r="VEV101" s="73"/>
      <c r="VEW101" s="73"/>
      <c r="VEX101" s="73"/>
      <c r="VEY101" s="73"/>
      <c r="VEZ101" s="73"/>
      <c r="VFA101" s="73"/>
      <c r="VFB101" s="73"/>
      <c r="VFC101" s="73"/>
      <c r="VFD101" s="73"/>
      <c r="VFE101" s="73"/>
      <c r="VFF101" s="73"/>
      <c r="VFG101" s="73"/>
      <c r="VFH101" s="73"/>
      <c r="VFI101" s="73"/>
      <c r="VFJ101" s="73"/>
      <c r="VFK101" s="73"/>
      <c r="VFL101" s="73"/>
      <c r="VFM101" s="73"/>
      <c r="VFN101" s="73"/>
      <c r="VFO101" s="73"/>
      <c r="VFP101" s="73"/>
      <c r="VFQ101" s="73"/>
      <c r="VFR101" s="73"/>
      <c r="VFS101" s="73"/>
      <c r="VFT101" s="73"/>
      <c r="VFU101" s="73"/>
      <c r="VFV101" s="73"/>
      <c r="VFW101" s="73"/>
      <c r="VFX101" s="73"/>
      <c r="VFY101" s="73"/>
      <c r="VFZ101" s="73"/>
      <c r="VGA101" s="73"/>
      <c r="VGB101" s="73"/>
      <c r="VGC101" s="73"/>
      <c r="VGD101" s="73"/>
      <c r="VGE101" s="73"/>
      <c r="VGF101" s="73"/>
      <c r="VGG101" s="73"/>
      <c r="VGH101" s="73"/>
      <c r="VGI101" s="73"/>
      <c r="VGJ101" s="73"/>
      <c r="VGK101" s="73"/>
      <c r="VGL101" s="73"/>
      <c r="VGM101" s="73"/>
      <c r="VGN101" s="73"/>
      <c r="VGO101" s="73"/>
      <c r="VGP101" s="73"/>
      <c r="VGQ101" s="73"/>
      <c r="VGR101" s="73"/>
      <c r="VGS101" s="73"/>
      <c r="VGT101" s="73"/>
      <c r="VGU101" s="73"/>
      <c r="VGV101" s="73"/>
      <c r="VGW101" s="73"/>
      <c r="VGX101" s="73"/>
      <c r="VGY101" s="73"/>
      <c r="VGZ101" s="73"/>
      <c r="VHA101" s="73"/>
      <c r="VHB101" s="73"/>
      <c r="VHC101" s="73"/>
      <c r="VHD101" s="73"/>
      <c r="VHE101" s="73"/>
      <c r="VHF101" s="73"/>
      <c r="VHG101" s="73"/>
      <c r="VHH101" s="73"/>
      <c r="VHI101" s="73"/>
      <c r="VHJ101" s="73"/>
      <c r="VHK101" s="73"/>
      <c r="VHL101" s="73"/>
      <c r="VHM101" s="73"/>
      <c r="VHN101" s="73"/>
      <c r="VHO101" s="73"/>
      <c r="VHP101" s="73"/>
      <c r="VHQ101" s="73"/>
      <c r="VHR101" s="73"/>
      <c r="VHS101" s="73"/>
      <c r="VHT101" s="73"/>
      <c r="VHU101" s="73"/>
      <c r="VHV101" s="73"/>
      <c r="VHW101" s="73"/>
      <c r="VHX101" s="73"/>
      <c r="VHY101" s="73"/>
      <c r="VHZ101" s="73"/>
      <c r="VIA101" s="73"/>
      <c r="VIB101" s="73"/>
      <c r="VIC101" s="73"/>
      <c r="VID101" s="73"/>
      <c r="VIE101" s="73"/>
      <c r="VIF101" s="73"/>
      <c r="VIG101" s="73"/>
      <c r="VIH101" s="73"/>
      <c r="VII101" s="73"/>
      <c r="VIJ101" s="73"/>
      <c r="VIK101" s="73"/>
      <c r="VIL101" s="73"/>
      <c r="VIM101" s="73"/>
      <c r="VIN101" s="73"/>
      <c r="VIO101" s="73"/>
      <c r="VIP101" s="73"/>
      <c r="VIQ101" s="73"/>
      <c r="VIR101" s="73"/>
      <c r="VIS101" s="73"/>
      <c r="VIT101" s="73"/>
      <c r="VIU101" s="73"/>
      <c r="VIV101" s="73"/>
      <c r="VIW101" s="73"/>
      <c r="VIX101" s="73"/>
      <c r="VIY101" s="73"/>
      <c r="VIZ101" s="73"/>
      <c r="VJA101" s="73"/>
      <c r="VJB101" s="73"/>
      <c r="VJC101" s="73"/>
      <c r="VJD101" s="73"/>
      <c r="VJE101" s="73"/>
      <c r="VJF101" s="73"/>
      <c r="VJG101" s="73"/>
      <c r="VJH101" s="73"/>
      <c r="VJI101" s="73"/>
      <c r="VJJ101" s="73"/>
      <c r="VJK101" s="73"/>
      <c r="VJL101" s="73"/>
      <c r="VJM101" s="73"/>
      <c r="VJN101" s="73"/>
      <c r="VJO101" s="73"/>
      <c r="VJP101" s="73"/>
      <c r="VJQ101" s="73"/>
      <c r="VJR101" s="73"/>
      <c r="VJS101" s="73"/>
      <c r="VJT101" s="73"/>
      <c r="VJU101" s="73"/>
      <c r="VJV101" s="73"/>
      <c r="VJW101" s="73"/>
      <c r="VJX101" s="73"/>
      <c r="VJY101" s="73"/>
      <c r="VJZ101" s="73"/>
      <c r="VKA101" s="73"/>
      <c r="VKB101" s="73"/>
      <c r="VKC101" s="73"/>
      <c r="VKD101" s="73"/>
      <c r="VKE101" s="73"/>
      <c r="VKF101" s="73"/>
      <c r="VKG101" s="73"/>
      <c r="VKH101" s="73"/>
      <c r="VKI101" s="73"/>
      <c r="VKJ101" s="73"/>
      <c r="VKK101" s="73"/>
      <c r="VKL101" s="73"/>
      <c r="VKM101" s="73"/>
      <c r="VKN101" s="73"/>
      <c r="VKO101" s="73"/>
      <c r="VKP101" s="73"/>
      <c r="VKQ101" s="73"/>
      <c r="VKR101" s="73"/>
      <c r="VKS101" s="73"/>
      <c r="VKT101" s="73"/>
      <c r="VKU101" s="73"/>
      <c r="VKV101" s="73"/>
      <c r="VKW101" s="73"/>
      <c r="VKX101" s="73"/>
      <c r="VKY101" s="73"/>
      <c r="VKZ101" s="73"/>
      <c r="VLA101" s="73"/>
      <c r="VLB101" s="73"/>
      <c r="VLC101" s="73"/>
      <c r="VLD101" s="73"/>
      <c r="VLE101" s="73"/>
      <c r="VLF101" s="73"/>
      <c r="VLG101" s="73"/>
      <c r="VLH101" s="73"/>
      <c r="VLI101" s="73"/>
      <c r="VLJ101" s="73"/>
      <c r="VLK101" s="73"/>
      <c r="VLL101" s="73"/>
      <c r="VLM101" s="73"/>
      <c r="VLN101" s="73"/>
      <c r="VLO101" s="73"/>
      <c r="VLP101" s="73"/>
      <c r="VLQ101" s="73"/>
      <c r="VLR101" s="73"/>
      <c r="VLS101" s="73"/>
      <c r="VLT101" s="73"/>
      <c r="VLU101" s="73"/>
      <c r="VLV101" s="73"/>
      <c r="VLW101" s="73"/>
      <c r="VLX101" s="73"/>
      <c r="VLY101" s="73"/>
      <c r="VLZ101" s="73"/>
      <c r="VMA101" s="73"/>
      <c r="VMB101" s="73"/>
      <c r="VMC101" s="73"/>
      <c r="VMD101" s="73"/>
      <c r="VME101" s="73"/>
      <c r="VMF101" s="73"/>
      <c r="VMG101" s="73"/>
      <c r="VMH101" s="73"/>
      <c r="VMI101" s="73"/>
      <c r="VMJ101" s="73"/>
      <c r="VMK101" s="73"/>
      <c r="VML101" s="73"/>
      <c r="VMM101" s="73"/>
      <c r="VMN101" s="73"/>
      <c r="VMO101" s="73"/>
      <c r="VMP101" s="73"/>
      <c r="VMQ101" s="73"/>
      <c r="VMR101" s="73"/>
      <c r="VMS101" s="73"/>
      <c r="VMT101" s="73"/>
      <c r="VMU101" s="73"/>
      <c r="VMV101" s="73"/>
      <c r="VMW101" s="73"/>
      <c r="VMX101" s="73"/>
      <c r="VMY101" s="73"/>
      <c r="VMZ101" s="73"/>
      <c r="VNA101" s="73"/>
      <c r="VNB101" s="73"/>
      <c r="VNC101" s="73"/>
      <c r="VND101" s="73"/>
      <c r="VNE101" s="73"/>
      <c r="VNF101" s="73"/>
      <c r="VNG101" s="73"/>
      <c r="VNH101" s="73"/>
      <c r="VNI101" s="73"/>
      <c r="VNJ101" s="73"/>
      <c r="VNK101" s="73"/>
      <c r="VNL101" s="73"/>
      <c r="VNM101" s="73"/>
      <c r="VNN101" s="73"/>
      <c r="VNO101" s="73"/>
      <c r="VNP101" s="73"/>
      <c r="VNQ101" s="73"/>
      <c r="VNR101" s="73"/>
      <c r="VNS101" s="73"/>
      <c r="VNT101" s="73"/>
      <c r="VNU101" s="73"/>
      <c r="VNV101" s="73"/>
      <c r="VNW101" s="73"/>
      <c r="VNX101" s="73"/>
      <c r="VNY101" s="73"/>
      <c r="VNZ101" s="73"/>
      <c r="VOA101" s="73"/>
      <c r="VOB101" s="73"/>
      <c r="VOC101" s="73"/>
      <c r="VOD101" s="73"/>
      <c r="VOE101" s="73"/>
      <c r="VOF101" s="73"/>
      <c r="VOG101" s="73"/>
      <c r="VOH101" s="73"/>
      <c r="VOI101" s="73"/>
      <c r="VOJ101" s="73"/>
      <c r="VOK101" s="73"/>
      <c r="VOL101" s="73"/>
      <c r="VOM101" s="73"/>
      <c r="VON101" s="73"/>
      <c r="VOO101" s="73"/>
      <c r="VOP101" s="73"/>
      <c r="VOQ101" s="73"/>
      <c r="VOR101" s="73"/>
      <c r="VOS101" s="73"/>
      <c r="VOT101" s="73"/>
      <c r="VOU101" s="73"/>
      <c r="VOV101" s="73"/>
      <c r="VOW101" s="73"/>
      <c r="VOX101" s="73"/>
      <c r="VOY101" s="73"/>
      <c r="VOZ101" s="73"/>
      <c r="VPA101" s="73"/>
      <c r="VPB101" s="73"/>
      <c r="VPC101" s="73"/>
      <c r="VPD101" s="73"/>
      <c r="VPE101" s="73"/>
      <c r="VPF101" s="73"/>
      <c r="VPG101" s="73"/>
      <c r="VPH101" s="73"/>
      <c r="VPI101" s="73"/>
      <c r="VPJ101" s="73"/>
      <c r="VPK101" s="73"/>
      <c r="VPL101" s="73"/>
      <c r="VPM101" s="73"/>
      <c r="VPN101" s="73"/>
      <c r="VPO101" s="73"/>
      <c r="VPP101" s="73"/>
      <c r="VPQ101" s="73"/>
      <c r="VPR101" s="73"/>
      <c r="VPS101" s="73"/>
      <c r="VPT101" s="73"/>
      <c r="VPU101" s="73"/>
      <c r="VPV101" s="73"/>
      <c r="VPW101" s="73"/>
      <c r="VPX101" s="73"/>
      <c r="VPY101" s="73"/>
      <c r="VPZ101" s="73"/>
      <c r="VQA101" s="73"/>
      <c r="VQB101" s="73"/>
      <c r="VQC101" s="73"/>
      <c r="VQD101" s="73"/>
      <c r="VQE101" s="73"/>
      <c r="VQF101" s="73"/>
      <c r="VQG101" s="73"/>
      <c r="VQH101" s="73"/>
      <c r="VQI101" s="73"/>
      <c r="VQJ101" s="73"/>
      <c r="VQK101" s="73"/>
      <c r="VQL101" s="73"/>
      <c r="VQM101" s="73"/>
      <c r="VQN101" s="73"/>
      <c r="VQO101" s="73"/>
      <c r="VQP101" s="73"/>
      <c r="VQQ101" s="73"/>
      <c r="VQR101" s="73"/>
      <c r="VQS101" s="73"/>
      <c r="VQT101" s="73"/>
      <c r="VQU101" s="73"/>
      <c r="VQV101" s="73"/>
      <c r="VQW101" s="73"/>
      <c r="VQX101" s="73"/>
      <c r="VQY101" s="73"/>
      <c r="VQZ101" s="73"/>
      <c r="VRA101" s="73"/>
      <c r="VRB101" s="73"/>
      <c r="VRC101" s="73"/>
      <c r="VRD101" s="73"/>
      <c r="VRE101" s="73"/>
      <c r="VRF101" s="73"/>
      <c r="VRG101" s="73"/>
      <c r="VRH101" s="73"/>
      <c r="VRI101" s="73"/>
      <c r="VRJ101" s="73"/>
      <c r="VRK101" s="73"/>
      <c r="VRL101" s="73"/>
      <c r="VRM101" s="73"/>
      <c r="VRN101" s="73"/>
      <c r="VRO101" s="73"/>
      <c r="VRP101" s="73"/>
      <c r="VRQ101" s="73"/>
      <c r="VRR101" s="73"/>
      <c r="VRS101" s="73"/>
      <c r="VRT101" s="73"/>
      <c r="VRU101" s="73"/>
      <c r="VRV101" s="73"/>
      <c r="VRW101" s="73"/>
      <c r="VRX101" s="73"/>
      <c r="VRY101" s="73"/>
      <c r="VRZ101" s="73"/>
      <c r="VSA101" s="73"/>
      <c r="VSB101" s="73"/>
      <c r="VSC101" s="73"/>
      <c r="VSD101" s="73"/>
      <c r="VSE101" s="73"/>
      <c r="VSF101" s="73"/>
      <c r="VSG101" s="73"/>
      <c r="VSH101" s="73"/>
      <c r="VSI101" s="73"/>
      <c r="VSJ101" s="73"/>
      <c r="VSK101" s="73"/>
      <c r="VSL101" s="73"/>
      <c r="VSM101" s="73"/>
      <c r="VSN101" s="73"/>
      <c r="VSO101" s="73"/>
      <c r="VSP101" s="73"/>
      <c r="VSQ101" s="73"/>
      <c r="VSR101" s="73"/>
      <c r="VSS101" s="73"/>
      <c r="VST101" s="73"/>
      <c r="VSU101" s="73"/>
      <c r="VSV101" s="73"/>
      <c r="VSW101" s="73"/>
      <c r="VSX101" s="73"/>
      <c r="VSY101" s="73"/>
      <c r="VSZ101" s="73"/>
      <c r="VTA101" s="73"/>
      <c r="VTB101" s="73"/>
      <c r="VTC101" s="73"/>
      <c r="VTD101" s="73"/>
      <c r="VTE101" s="73"/>
      <c r="VTF101" s="73"/>
      <c r="VTG101" s="73"/>
      <c r="VTH101" s="73"/>
      <c r="VTI101" s="73"/>
      <c r="VTJ101" s="73"/>
      <c r="VTK101" s="73"/>
      <c r="VTL101" s="73"/>
      <c r="VTM101" s="73"/>
      <c r="VTN101" s="73"/>
      <c r="VTO101" s="73"/>
      <c r="VTP101" s="73"/>
      <c r="VTQ101" s="73"/>
      <c r="VTR101" s="73"/>
      <c r="VTS101" s="73"/>
      <c r="VTT101" s="73"/>
      <c r="VTU101" s="73"/>
      <c r="VTV101" s="73"/>
      <c r="VTW101" s="73"/>
      <c r="VTX101" s="73"/>
      <c r="VTY101" s="73"/>
      <c r="VTZ101" s="73"/>
      <c r="VUA101" s="73"/>
      <c r="VUB101" s="73"/>
      <c r="VUC101" s="73"/>
      <c r="VUD101" s="73"/>
      <c r="VUE101" s="73"/>
      <c r="VUF101" s="73"/>
      <c r="VUG101" s="73"/>
      <c r="VUH101" s="73"/>
      <c r="VUI101" s="73"/>
      <c r="VUJ101" s="73"/>
      <c r="VUK101" s="73"/>
      <c r="VUL101" s="73"/>
      <c r="VUM101" s="73"/>
      <c r="VUN101" s="73"/>
      <c r="VUO101" s="73"/>
      <c r="VUP101" s="73"/>
      <c r="VUQ101" s="73"/>
      <c r="VUR101" s="73"/>
      <c r="VUS101" s="73"/>
      <c r="VUT101" s="73"/>
      <c r="VUU101" s="73"/>
      <c r="VUV101" s="73"/>
      <c r="VUW101" s="73"/>
      <c r="VUX101" s="73"/>
      <c r="VUY101" s="73"/>
      <c r="VUZ101" s="73"/>
      <c r="VVA101" s="73"/>
      <c r="VVB101" s="73"/>
      <c r="VVC101" s="73"/>
      <c r="VVD101" s="73"/>
      <c r="VVE101" s="73"/>
      <c r="VVF101" s="73"/>
      <c r="VVG101" s="73"/>
      <c r="VVH101" s="73"/>
      <c r="VVI101" s="73"/>
      <c r="VVJ101" s="73"/>
      <c r="VVK101" s="73"/>
      <c r="VVL101" s="73"/>
      <c r="VVM101" s="73"/>
      <c r="VVN101" s="73"/>
      <c r="VVO101" s="73"/>
      <c r="VVP101" s="73"/>
      <c r="VVQ101" s="73"/>
      <c r="VVR101" s="73"/>
      <c r="VVS101" s="73"/>
      <c r="VVT101" s="73"/>
      <c r="VVU101" s="73"/>
      <c r="VVV101" s="73"/>
      <c r="VVW101" s="73"/>
      <c r="VVX101" s="73"/>
      <c r="VVY101" s="73"/>
      <c r="VVZ101" s="73"/>
      <c r="VWA101" s="73"/>
      <c r="VWB101" s="73"/>
      <c r="VWC101" s="73"/>
      <c r="VWD101" s="73"/>
      <c r="VWE101" s="73"/>
      <c r="VWF101" s="73"/>
      <c r="VWG101" s="73"/>
      <c r="VWH101" s="73"/>
      <c r="VWI101" s="73"/>
      <c r="VWJ101" s="73"/>
      <c r="VWK101" s="73"/>
      <c r="VWL101" s="73"/>
      <c r="VWM101" s="73"/>
      <c r="VWN101" s="73"/>
      <c r="VWO101" s="73"/>
      <c r="VWP101" s="73"/>
      <c r="VWQ101" s="73"/>
      <c r="VWR101" s="73"/>
      <c r="VWS101" s="73"/>
      <c r="VWT101" s="73"/>
      <c r="VWU101" s="73"/>
      <c r="VWV101" s="73"/>
      <c r="VWW101" s="73"/>
      <c r="VWX101" s="73"/>
      <c r="VWY101" s="73"/>
      <c r="VWZ101" s="73"/>
      <c r="VXA101" s="73"/>
      <c r="VXB101" s="73"/>
      <c r="VXC101" s="73"/>
      <c r="VXD101" s="73"/>
      <c r="VXE101" s="73"/>
      <c r="VXF101" s="73"/>
      <c r="VXG101" s="73"/>
      <c r="VXH101" s="73"/>
      <c r="VXI101" s="73"/>
      <c r="VXJ101" s="73"/>
      <c r="VXK101" s="73"/>
      <c r="VXL101" s="73"/>
      <c r="VXM101" s="73"/>
      <c r="VXN101" s="73"/>
      <c r="VXO101" s="73"/>
      <c r="VXP101" s="73"/>
      <c r="VXQ101" s="73"/>
      <c r="VXR101" s="73"/>
      <c r="VXS101" s="73"/>
      <c r="VXT101" s="73"/>
      <c r="VXU101" s="73"/>
      <c r="VXV101" s="73"/>
      <c r="VXW101" s="73"/>
      <c r="VXX101" s="73"/>
      <c r="VXY101" s="73"/>
      <c r="VXZ101" s="73"/>
      <c r="VYA101" s="73"/>
      <c r="VYB101" s="73"/>
      <c r="VYC101" s="73"/>
      <c r="VYD101" s="73"/>
      <c r="VYE101" s="73"/>
      <c r="VYF101" s="73"/>
      <c r="VYG101" s="73"/>
      <c r="VYH101" s="73"/>
      <c r="VYI101" s="73"/>
      <c r="VYJ101" s="73"/>
      <c r="VYK101" s="73"/>
      <c r="VYL101" s="73"/>
      <c r="VYM101" s="73"/>
      <c r="VYN101" s="73"/>
      <c r="VYO101" s="73"/>
      <c r="VYP101" s="73"/>
      <c r="VYQ101" s="73"/>
      <c r="VYR101" s="73"/>
      <c r="VYS101" s="73"/>
      <c r="VYT101" s="73"/>
      <c r="VYU101" s="73"/>
      <c r="VYV101" s="73"/>
      <c r="VYW101" s="73"/>
      <c r="VYX101" s="73"/>
      <c r="VYY101" s="73"/>
      <c r="VYZ101" s="73"/>
      <c r="VZA101" s="73"/>
      <c r="VZB101" s="73"/>
      <c r="VZC101" s="73"/>
      <c r="VZD101" s="73"/>
      <c r="VZE101" s="73"/>
      <c r="VZF101" s="73"/>
      <c r="VZG101" s="73"/>
      <c r="VZH101" s="73"/>
      <c r="VZI101" s="73"/>
      <c r="VZJ101" s="73"/>
      <c r="VZK101" s="73"/>
      <c r="VZL101" s="73"/>
      <c r="VZM101" s="73"/>
      <c r="VZN101" s="73"/>
      <c r="VZO101" s="73"/>
      <c r="VZP101" s="73"/>
      <c r="VZQ101" s="73"/>
      <c r="VZR101" s="73"/>
      <c r="VZS101" s="73"/>
      <c r="VZT101" s="73"/>
      <c r="VZU101" s="73"/>
      <c r="VZV101" s="73"/>
      <c r="VZW101" s="73"/>
      <c r="VZX101" s="73"/>
      <c r="VZY101" s="73"/>
      <c r="VZZ101" s="73"/>
      <c r="WAA101" s="73"/>
      <c r="WAB101" s="73"/>
      <c r="WAC101" s="73"/>
      <c r="WAD101" s="73"/>
      <c r="WAE101" s="73"/>
      <c r="WAF101" s="73"/>
      <c r="WAG101" s="73"/>
      <c r="WAH101" s="73"/>
      <c r="WAI101" s="73"/>
      <c r="WAJ101" s="73"/>
      <c r="WAK101" s="73"/>
      <c r="WAL101" s="73"/>
      <c r="WAM101" s="73"/>
      <c r="WAN101" s="73"/>
      <c r="WAO101" s="73"/>
      <c r="WAP101" s="73"/>
      <c r="WAQ101" s="73"/>
      <c r="WAR101" s="73"/>
      <c r="WAS101" s="73"/>
      <c r="WAT101" s="73"/>
      <c r="WAU101" s="73"/>
      <c r="WAV101" s="73"/>
      <c r="WAW101" s="73"/>
      <c r="WAX101" s="73"/>
      <c r="WAY101" s="73"/>
      <c r="WAZ101" s="73"/>
      <c r="WBA101" s="73"/>
      <c r="WBB101" s="73"/>
      <c r="WBC101" s="73"/>
      <c r="WBD101" s="73"/>
      <c r="WBE101" s="73"/>
      <c r="WBF101" s="73"/>
      <c r="WBG101" s="73"/>
      <c r="WBH101" s="73"/>
      <c r="WBI101" s="73"/>
      <c r="WBJ101" s="73"/>
      <c r="WBK101" s="73"/>
      <c r="WBL101" s="73"/>
      <c r="WBM101" s="73"/>
      <c r="WBN101" s="73"/>
      <c r="WBO101" s="73"/>
      <c r="WBP101" s="73"/>
      <c r="WBQ101" s="73"/>
      <c r="WBR101" s="73"/>
      <c r="WBS101" s="73"/>
      <c r="WBT101" s="73"/>
      <c r="WBU101" s="73"/>
      <c r="WBV101" s="73"/>
      <c r="WBW101" s="73"/>
      <c r="WBX101" s="73"/>
      <c r="WBY101" s="73"/>
      <c r="WBZ101" s="73"/>
      <c r="WCA101" s="73"/>
      <c r="WCB101" s="73"/>
      <c r="WCC101" s="73"/>
      <c r="WCD101" s="73"/>
      <c r="WCE101" s="73"/>
      <c r="WCF101" s="73"/>
      <c r="WCG101" s="73"/>
      <c r="WCH101" s="73"/>
      <c r="WCI101" s="73"/>
      <c r="WCJ101" s="73"/>
      <c r="WCK101" s="73"/>
      <c r="WCL101" s="73"/>
      <c r="WCM101" s="73"/>
      <c r="WCN101" s="73"/>
      <c r="WCO101" s="73"/>
      <c r="WCP101" s="73"/>
      <c r="WCQ101" s="73"/>
      <c r="WCR101" s="73"/>
      <c r="WCS101" s="73"/>
      <c r="WCT101" s="73"/>
      <c r="WCU101" s="73"/>
      <c r="WCV101" s="73"/>
      <c r="WCW101" s="73"/>
      <c r="WCX101" s="73"/>
      <c r="WCY101" s="73"/>
      <c r="WCZ101" s="73"/>
      <c r="WDA101" s="73"/>
      <c r="WDB101" s="73"/>
      <c r="WDC101" s="73"/>
      <c r="WDD101" s="73"/>
      <c r="WDE101" s="73"/>
      <c r="WDF101" s="73"/>
      <c r="WDG101" s="73"/>
      <c r="WDH101" s="73"/>
      <c r="WDI101" s="73"/>
      <c r="WDJ101" s="73"/>
      <c r="WDK101" s="73"/>
      <c r="WDL101" s="73"/>
      <c r="WDM101" s="73"/>
      <c r="WDN101" s="73"/>
      <c r="WDO101" s="73"/>
      <c r="WDP101" s="73"/>
      <c r="WDQ101" s="73"/>
      <c r="WDR101" s="73"/>
      <c r="WDS101" s="73"/>
      <c r="WDT101" s="73"/>
      <c r="WDU101" s="73"/>
      <c r="WDV101" s="73"/>
      <c r="WDW101" s="73"/>
      <c r="WDX101" s="73"/>
      <c r="WDY101" s="73"/>
      <c r="WDZ101" s="73"/>
      <c r="WEA101" s="73"/>
      <c r="WEB101" s="73"/>
      <c r="WEC101" s="73"/>
      <c r="WED101" s="73"/>
      <c r="WEE101" s="73"/>
      <c r="WEF101" s="73"/>
      <c r="WEG101" s="73"/>
      <c r="WEH101" s="73"/>
      <c r="WEI101" s="73"/>
      <c r="WEJ101" s="73"/>
      <c r="WEK101" s="73"/>
      <c r="WEL101" s="73"/>
      <c r="WEM101" s="73"/>
      <c r="WEN101" s="73"/>
      <c r="WEO101" s="73"/>
      <c r="WEP101" s="73"/>
      <c r="WEQ101" s="73"/>
      <c r="WER101" s="73"/>
      <c r="WES101" s="73"/>
      <c r="WET101" s="73"/>
      <c r="WEU101" s="73"/>
      <c r="WEV101" s="73"/>
      <c r="WEW101" s="73"/>
      <c r="WEX101" s="73"/>
      <c r="WEY101" s="73"/>
      <c r="WEZ101" s="73"/>
      <c r="WFA101" s="73"/>
      <c r="WFB101" s="73"/>
      <c r="WFC101" s="73"/>
      <c r="WFD101" s="73"/>
      <c r="WFE101" s="73"/>
      <c r="WFF101" s="73"/>
      <c r="WFG101" s="73"/>
      <c r="WFH101" s="73"/>
      <c r="WFI101" s="73"/>
      <c r="WFJ101" s="73"/>
      <c r="WFK101" s="73"/>
      <c r="WFL101" s="73"/>
      <c r="WFM101" s="73"/>
      <c r="WFN101" s="73"/>
      <c r="WFO101" s="73"/>
      <c r="WFP101" s="73"/>
      <c r="WFQ101" s="73"/>
      <c r="WFR101" s="73"/>
      <c r="WFS101" s="73"/>
      <c r="WFT101" s="73"/>
      <c r="WFU101" s="73"/>
      <c r="WFV101" s="73"/>
      <c r="WFW101" s="73"/>
      <c r="WFX101" s="73"/>
      <c r="WFY101" s="73"/>
      <c r="WFZ101" s="73"/>
      <c r="WGA101" s="73"/>
      <c r="WGB101" s="73"/>
      <c r="WGC101" s="73"/>
      <c r="WGD101" s="73"/>
      <c r="WGE101" s="73"/>
      <c r="WGF101" s="73"/>
      <c r="WGG101" s="73"/>
      <c r="WGH101" s="73"/>
      <c r="WGI101" s="73"/>
      <c r="WGJ101" s="73"/>
      <c r="WGK101" s="73"/>
      <c r="WGL101" s="73"/>
      <c r="WGM101" s="73"/>
      <c r="WGN101" s="73"/>
      <c r="WGO101" s="73"/>
      <c r="WGP101" s="73"/>
      <c r="WGQ101" s="73"/>
      <c r="WGR101" s="73"/>
      <c r="WGS101" s="73"/>
      <c r="WGT101" s="73"/>
      <c r="WGU101" s="73"/>
      <c r="WGV101" s="73"/>
      <c r="WGW101" s="73"/>
      <c r="WGX101" s="73"/>
      <c r="WGY101" s="73"/>
      <c r="WGZ101" s="73"/>
      <c r="WHA101" s="73"/>
      <c r="WHB101" s="73"/>
      <c r="WHC101" s="73"/>
      <c r="WHD101" s="73"/>
      <c r="WHE101" s="73"/>
      <c r="WHF101" s="73"/>
      <c r="WHG101" s="73"/>
      <c r="WHH101" s="73"/>
      <c r="WHI101" s="73"/>
      <c r="WHJ101" s="73"/>
      <c r="WHK101" s="73"/>
      <c r="WHL101" s="73"/>
      <c r="WHM101" s="73"/>
      <c r="WHN101" s="73"/>
      <c r="WHO101" s="73"/>
      <c r="WHP101" s="73"/>
      <c r="WHQ101" s="73"/>
      <c r="WHR101" s="73"/>
      <c r="WHS101" s="73"/>
      <c r="WHT101" s="73"/>
      <c r="WHU101" s="73"/>
      <c r="WHV101" s="73"/>
      <c r="WHW101" s="73"/>
      <c r="WHX101" s="73"/>
      <c r="WHY101" s="73"/>
      <c r="WHZ101" s="73"/>
      <c r="WIA101" s="73"/>
      <c r="WIB101" s="73"/>
      <c r="WIC101" s="73"/>
      <c r="WID101" s="73"/>
      <c r="WIE101" s="73"/>
      <c r="WIF101" s="73"/>
      <c r="WIG101" s="73"/>
      <c r="WIH101" s="73"/>
      <c r="WII101" s="73"/>
      <c r="WIJ101" s="73"/>
      <c r="WIK101" s="73"/>
      <c r="WIL101" s="73"/>
      <c r="WIM101" s="73"/>
      <c r="WIN101" s="73"/>
      <c r="WIO101" s="73"/>
      <c r="WIP101" s="73"/>
      <c r="WIQ101" s="73"/>
      <c r="WIR101" s="73"/>
      <c r="WIS101" s="73"/>
      <c r="WIT101" s="73"/>
      <c r="WIU101" s="73"/>
      <c r="WIV101" s="73"/>
      <c r="WIW101" s="73"/>
      <c r="WIX101" s="73"/>
      <c r="WIY101" s="73"/>
      <c r="WIZ101" s="73"/>
      <c r="WJA101" s="73"/>
      <c r="WJB101" s="73"/>
      <c r="WJC101" s="73"/>
      <c r="WJD101" s="73"/>
      <c r="WJE101" s="73"/>
      <c r="WJF101" s="73"/>
      <c r="WJG101" s="73"/>
      <c r="WJH101" s="73"/>
      <c r="WJI101" s="73"/>
      <c r="WJJ101" s="73"/>
      <c r="WJK101" s="73"/>
      <c r="WJL101" s="73"/>
      <c r="WJM101" s="73"/>
      <c r="WJN101" s="73"/>
      <c r="WJO101" s="73"/>
      <c r="WJP101" s="73"/>
      <c r="WJQ101" s="73"/>
      <c r="WJR101" s="73"/>
      <c r="WJS101" s="73"/>
      <c r="WJT101" s="73"/>
      <c r="WJU101" s="73"/>
      <c r="WJV101" s="73"/>
      <c r="WJW101" s="73"/>
      <c r="WJX101" s="73"/>
      <c r="WJY101" s="73"/>
      <c r="WJZ101" s="73"/>
      <c r="WKA101" s="73"/>
      <c r="WKB101" s="73"/>
      <c r="WKC101" s="73"/>
      <c r="WKD101" s="73"/>
      <c r="WKE101" s="73"/>
      <c r="WKF101" s="73"/>
      <c r="WKG101" s="73"/>
      <c r="WKH101" s="73"/>
      <c r="WKI101" s="73"/>
      <c r="WKJ101" s="73"/>
      <c r="WKK101" s="73"/>
      <c r="WKL101" s="73"/>
      <c r="WKM101" s="73"/>
      <c r="WKN101" s="73"/>
      <c r="WKO101" s="73"/>
      <c r="WKP101" s="73"/>
      <c r="WKQ101" s="73"/>
      <c r="WKR101" s="73"/>
      <c r="WKS101" s="73"/>
      <c r="WKT101" s="73"/>
      <c r="WKU101" s="73"/>
      <c r="WKV101" s="73"/>
      <c r="WKW101" s="73"/>
      <c r="WKX101" s="73"/>
      <c r="WKY101" s="73"/>
      <c r="WKZ101" s="73"/>
      <c r="WLA101" s="73"/>
      <c r="WLB101" s="73"/>
      <c r="WLC101" s="73"/>
      <c r="WLD101" s="73"/>
      <c r="WLE101" s="73"/>
      <c r="WLF101" s="73"/>
      <c r="WLG101" s="73"/>
      <c r="WLH101" s="73"/>
      <c r="WLI101" s="73"/>
      <c r="WLJ101" s="73"/>
      <c r="WLK101" s="73"/>
      <c r="WLL101" s="73"/>
      <c r="WLM101" s="73"/>
      <c r="WLN101" s="73"/>
      <c r="WLO101" s="73"/>
      <c r="WLP101" s="73"/>
      <c r="WLQ101" s="73"/>
      <c r="WLR101" s="73"/>
      <c r="WLS101" s="73"/>
      <c r="WLT101" s="73"/>
      <c r="WLU101" s="73"/>
      <c r="WLV101" s="73"/>
      <c r="WLW101" s="73"/>
      <c r="WLX101" s="73"/>
      <c r="WLY101" s="73"/>
      <c r="WLZ101" s="73"/>
      <c r="WMA101" s="73"/>
      <c r="WMB101" s="73"/>
      <c r="WMC101" s="73"/>
      <c r="WMD101" s="73"/>
      <c r="WME101" s="73"/>
      <c r="WMF101" s="73"/>
      <c r="WMG101" s="73"/>
      <c r="WMH101" s="73"/>
      <c r="WMI101" s="73"/>
      <c r="WMJ101" s="73"/>
      <c r="WMK101" s="73"/>
      <c r="WML101" s="73"/>
      <c r="WMM101" s="73"/>
      <c r="WMN101" s="73"/>
      <c r="WMO101" s="73"/>
      <c r="WMP101" s="73"/>
      <c r="WMQ101" s="73"/>
      <c r="WMR101" s="73"/>
      <c r="WMS101" s="73"/>
      <c r="WMT101" s="73"/>
      <c r="WMU101" s="73"/>
      <c r="WMV101" s="73"/>
      <c r="WMW101" s="73"/>
      <c r="WMX101" s="73"/>
      <c r="WMY101" s="73"/>
      <c r="WMZ101" s="73"/>
      <c r="WNA101" s="73"/>
      <c r="WNB101" s="73"/>
      <c r="WNC101" s="73"/>
      <c r="WND101" s="73"/>
      <c r="WNE101" s="73"/>
      <c r="WNF101" s="73"/>
      <c r="WNG101" s="73"/>
      <c r="WNH101" s="73"/>
      <c r="WNI101" s="73"/>
      <c r="WNJ101" s="73"/>
      <c r="WNK101" s="73"/>
      <c r="WNL101" s="73"/>
      <c r="WNM101" s="73"/>
      <c r="WNN101" s="73"/>
      <c r="WNO101" s="73"/>
      <c r="WNP101" s="73"/>
      <c r="WNQ101" s="73"/>
      <c r="WNR101" s="73"/>
      <c r="WNS101" s="73"/>
      <c r="WNT101" s="73"/>
      <c r="WNU101" s="73"/>
      <c r="WNV101" s="73"/>
      <c r="WNW101" s="73"/>
      <c r="WNX101" s="73"/>
      <c r="WNY101" s="73"/>
      <c r="WNZ101" s="73"/>
      <c r="WOA101" s="73"/>
      <c r="WOB101" s="73"/>
      <c r="WOC101" s="73"/>
      <c r="WOD101" s="73"/>
      <c r="WOE101" s="73"/>
      <c r="WOF101" s="73"/>
      <c r="WOG101" s="73"/>
      <c r="WOH101" s="73"/>
      <c r="WOI101" s="73"/>
      <c r="WOJ101" s="73"/>
      <c r="WOK101" s="73"/>
      <c r="WOL101" s="73"/>
      <c r="WOM101" s="73"/>
      <c r="WON101" s="73"/>
      <c r="WOO101" s="73"/>
      <c r="WOP101" s="73"/>
      <c r="WOQ101" s="73"/>
      <c r="WOR101" s="73"/>
      <c r="WOS101" s="73"/>
      <c r="WOT101" s="73"/>
      <c r="WOU101" s="73"/>
      <c r="WOV101" s="73"/>
      <c r="WOW101" s="73"/>
      <c r="WOX101" s="73"/>
      <c r="WOY101" s="73"/>
      <c r="WOZ101" s="73"/>
      <c r="WPA101" s="73"/>
      <c r="WPB101" s="73"/>
      <c r="WPC101" s="73"/>
      <c r="WPD101" s="73"/>
      <c r="WPE101" s="73"/>
      <c r="WPF101" s="73"/>
      <c r="WPG101" s="73"/>
      <c r="WPH101" s="73"/>
      <c r="WPI101" s="73"/>
      <c r="WPJ101" s="73"/>
      <c r="WPK101" s="73"/>
      <c r="WPL101" s="73"/>
      <c r="WPM101" s="73"/>
      <c r="WPN101" s="73"/>
      <c r="WPO101" s="73"/>
      <c r="WPP101" s="73"/>
      <c r="WPQ101" s="73"/>
      <c r="WPR101" s="73"/>
      <c r="WPS101" s="73"/>
      <c r="WPT101" s="73"/>
      <c r="WPU101" s="73"/>
      <c r="WPV101" s="73"/>
      <c r="WPW101" s="73"/>
      <c r="WPX101" s="73"/>
      <c r="WPY101" s="73"/>
      <c r="WPZ101" s="73"/>
      <c r="WQA101" s="73"/>
      <c r="WQB101" s="73"/>
      <c r="WQC101" s="73"/>
      <c r="WQD101" s="73"/>
      <c r="WQE101" s="73"/>
      <c r="WQF101" s="73"/>
      <c r="WQG101" s="73"/>
      <c r="WQH101" s="73"/>
      <c r="WQI101" s="73"/>
      <c r="WQJ101" s="73"/>
      <c r="WQK101" s="73"/>
      <c r="WQL101" s="73"/>
      <c r="WQM101" s="73"/>
      <c r="WQN101" s="73"/>
      <c r="WQO101" s="73"/>
      <c r="WQP101" s="73"/>
      <c r="WQQ101" s="73"/>
      <c r="WQR101" s="73"/>
      <c r="WQS101" s="73"/>
      <c r="WQT101" s="73"/>
      <c r="WQU101" s="73"/>
      <c r="WQV101" s="73"/>
      <c r="WQW101" s="73"/>
      <c r="WQX101" s="73"/>
      <c r="WQY101" s="73"/>
      <c r="WQZ101" s="73"/>
      <c r="WRA101" s="73"/>
      <c r="WRB101" s="73"/>
      <c r="WRC101" s="73"/>
      <c r="WRD101" s="73"/>
      <c r="WRE101" s="73"/>
      <c r="WRF101" s="73"/>
      <c r="WRG101" s="73"/>
      <c r="WRH101" s="73"/>
      <c r="WRI101" s="73"/>
      <c r="WRJ101" s="73"/>
      <c r="WRK101" s="73"/>
      <c r="WRL101" s="73"/>
      <c r="WRM101" s="73"/>
      <c r="WRN101" s="73"/>
      <c r="WRO101" s="73"/>
      <c r="WRP101" s="73"/>
      <c r="WRQ101" s="73"/>
      <c r="WRR101" s="73"/>
      <c r="WRS101" s="73"/>
      <c r="WRT101" s="73"/>
      <c r="WRU101" s="73"/>
      <c r="WRV101" s="73"/>
      <c r="WRW101" s="73"/>
      <c r="WRX101" s="73"/>
      <c r="WRY101" s="73"/>
      <c r="WRZ101" s="73"/>
      <c r="WSA101" s="73"/>
      <c r="WSB101" s="73"/>
      <c r="WSC101" s="73"/>
      <c r="WSD101" s="73"/>
      <c r="WSE101" s="73"/>
      <c r="WSF101" s="73"/>
      <c r="WSG101" s="73"/>
      <c r="WSH101" s="73"/>
      <c r="WSI101" s="73"/>
      <c r="WSJ101" s="73"/>
      <c r="WSK101" s="73"/>
      <c r="WSL101" s="73"/>
      <c r="WSM101" s="73"/>
      <c r="WSN101" s="73"/>
      <c r="WSO101" s="73"/>
      <c r="WSP101" s="73"/>
      <c r="WSQ101" s="73"/>
      <c r="WSR101" s="73"/>
      <c r="WSS101" s="73"/>
      <c r="WST101" s="73"/>
      <c r="WSU101" s="73"/>
      <c r="WSV101" s="73"/>
      <c r="WSW101" s="73"/>
      <c r="WSX101" s="73"/>
      <c r="WSY101" s="73"/>
      <c r="WSZ101" s="73"/>
      <c r="WTA101" s="73"/>
      <c r="WTB101" s="73"/>
      <c r="WTC101" s="73"/>
      <c r="WTD101" s="73"/>
      <c r="WTE101" s="73"/>
      <c r="WTF101" s="73"/>
      <c r="WTG101" s="73"/>
      <c r="WTH101" s="73"/>
      <c r="WTI101" s="73"/>
      <c r="WTJ101" s="73"/>
      <c r="WTK101" s="73"/>
      <c r="WTL101" s="73"/>
      <c r="WTM101" s="73"/>
      <c r="WTN101" s="73"/>
      <c r="WTO101" s="73"/>
      <c r="WTP101" s="73"/>
      <c r="WTQ101" s="73"/>
      <c r="WTR101" s="73"/>
      <c r="WTS101" s="73"/>
      <c r="WTT101" s="73"/>
      <c r="WTU101" s="73"/>
      <c r="WTV101" s="73"/>
      <c r="WTW101" s="73"/>
      <c r="WTX101" s="73"/>
      <c r="WTY101" s="73"/>
      <c r="WTZ101" s="73"/>
      <c r="WUA101" s="73"/>
      <c r="WUB101" s="73"/>
      <c r="WUC101" s="73"/>
      <c r="WUD101" s="73"/>
      <c r="WUE101" s="73"/>
      <c r="WUF101" s="73"/>
      <c r="WUG101" s="73"/>
      <c r="WUH101" s="73"/>
      <c r="WUI101" s="73"/>
      <c r="WUJ101" s="73"/>
      <c r="WUK101" s="73"/>
      <c r="WUL101" s="73"/>
      <c r="WUM101" s="73"/>
      <c r="WUN101" s="73"/>
      <c r="WUO101" s="73"/>
      <c r="WUP101" s="73"/>
      <c r="WUQ101" s="73"/>
      <c r="WUR101" s="73"/>
      <c r="WUS101" s="73"/>
      <c r="WUT101" s="73"/>
      <c r="WUU101" s="73"/>
      <c r="WUV101" s="73"/>
      <c r="WUW101" s="73"/>
      <c r="WUX101" s="73"/>
      <c r="WUY101" s="73"/>
      <c r="WUZ101" s="73"/>
      <c r="WVA101" s="73"/>
      <c r="WVB101" s="73"/>
      <c r="WVC101" s="73"/>
      <c r="WVD101" s="73"/>
      <c r="WVE101" s="73"/>
      <c r="WVF101" s="73"/>
      <c r="WVG101" s="73"/>
      <c r="WVH101" s="73"/>
      <c r="WVI101" s="73"/>
      <c r="WVJ101" s="73"/>
      <c r="WVK101" s="73"/>
      <c r="WVL101" s="73"/>
      <c r="WVM101" s="73"/>
      <c r="WVN101" s="73"/>
      <c r="WVO101" s="73"/>
      <c r="WVP101" s="73"/>
      <c r="WVQ101" s="73"/>
      <c r="WVR101" s="73"/>
      <c r="WVS101" s="73"/>
      <c r="WVT101" s="73"/>
      <c r="WVU101" s="73"/>
      <c r="WVV101" s="73"/>
      <c r="WVW101" s="73"/>
      <c r="WVX101" s="73"/>
      <c r="WVY101" s="73"/>
      <c r="WVZ101" s="73"/>
      <c r="WWA101" s="73"/>
      <c r="WWB101" s="73"/>
      <c r="WWC101" s="73"/>
      <c r="WWD101" s="73"/>
      <c r="WWE101" s="73"/>
      <c r="WWF101" s="73"/>
      <c r="WWG101" s="73"/>
      <c r="WWH101" s="73"/>
      <c r="WWI101" s="73"/>
      <c r="WWJ101" s="73"/>
      <c r="WWK101" s="73"/>
      <c r="WWL101" s="73"/>
      <c r="WWM101" s="73"/>
      <c r="WWN101" s="73"/>
      <c r="WWO101" s="73"/>
      <c r="WWP101" s="73"/>
      <c r="WWQ101" s="73"/>
      <c r="WWR101" s="73"/>
      <c r="WWS101" s="73"/>
      <c r="WWT101" s="73"/>
      <c r="WWU101" s="73"/>
      <c r="WWV101" s="73"/>
      <c r="WWW101" s="73"/>
      <c r="WWX101" s="73"/>
      <c r="WWY101" s="73"/>
      <c r="WWZ101" s="73"/>
      <c r="WXA101" s="73"/>
      <c r="WXB101" s="73"/>
      <c r="WXC101" s="73"/>
      <c r="WXD101" s="73"/>
      <c r="WXE101" s="73"/>
      <c r="WXF101" s="73"/>
      <c r="WXG101" s="73"/>
      <c r="WXH101" s="73"/>
      <c r="WXI101" s="73"/>
      <c r="WXJ101" s="73"/>
      <c r="WXK101" s="73"/>
      <c r="WXL101" s="73"/>
      <c r="WXM101" s="73"/>
      <c r="WXN101" s="73"/>
      <c r="WXO101" s="73"/>
      <c r="WXP101" s="73"/>
      <c r="WXQ101" s="73"/>
      <c r="WXR101" s="73"/>
      <c r="WXS101" s="73"/>
      <c r="WXT101" s="73"/>
      <c r="WXU101" s="73"/>
      <c r="WXV101" s="73"/>
      <c r="WXW101" s="73"/>
      <c r="WXX101" s="73"/>
      <c r="WXY101" s="73"/>
      <c r="WXZ101" s="73"/>
      <c r="WYA101" s="73"/>
      <c r="WYB101" s="73"/>
      <c r="WYC101" s="73"/>
      <c r="WYD101" s="73"/>
      <c r="WYE101" s="73"/>
      <c r="WYF101" s="73"/>
      <c r="WYG101" s="73"/>
      <c r="WYH101" s="73"/>
      <c r="WYI101" s="73"/>
      <c r="WYJ101" s="73"/>
      <c r="WYK101" s="73"/>
      <c r="WYL101" s="73"/>
      <c r="WYM101" s="73"/>
      <c r="WYN101" s="73"/>
      <c r="WYO101" s="73"/>
      <c r="WYP101" s="73"/>
      <c r="WYQ101" s="73"/>
      <c r="WYR101" s="73"/>
      <c r="WYS101" s="73"/>
      <c r="WYT101" s="73"/>
      <c r="WYU101" s="73"/>
      <c r="WYV101" s="73"/>
      <c r="WYW101" s="73"/>
      <c r="WYX101" s="73"/>
      <c r="WYY101" s="73"/>
      <c r="WYZ101" s="73"/>
      <c r="WZA101" s="73"/>
      <c r="WZB101" s="73"/>
      <c r="WZC101" s="73"/>
      <c r="WZD101" s="73"/>
      <c r="WZE101" s="73"/>
      <c r="WZF101" s="73"/>
      <c r="WZG101" s="73"/>
      <c r="WZH101" s="73"/>
      <c r="WZI101" s="73"/>
      <c r="WZJ101" s="73"/>
      <c r="WZK101" s="73"/>
      <c r="WZL101" s="73"/>
      <c r="WZM101" s="73"/>
      <c r="WZN101" s="73"/>
      <c r="WZO101" s="73"/>
      <c r="WZP101" s="73"/>
      <c r="WZQ101" s="73"/>
      <c r="WZR101" s="73"/>
      <c r="WZS101" s="73"/>
      <c r="WZT101" s="73"/>
      <c r="WZU101" s="73"/>
      <c r="WZV101" s="73"/>
      <c r="WZW101" s="73"/>
      <c r="WZX101" s="73"/>
      <c r="WZY101" s="73"/>
      <c r="WZZ101" s="73"/>
      <c r="XAA101" s="73"/>
      <c r="XAB101" s="73"/>
      <c r="XAC101" s="73"/>
      <c r="XAD101" s="73"/>
      <c r="XAE101" s="73"/>
      <c r="XAF101" s="73"/>
      <c r="XAG101" s="73"/>
      <c r="XAH101" s="73"/>
      <c r="XAI101" s="73"/>
      <c r="XAJ101" s="73"/>
      <c r="XAK101" s="73"/>
      <c r="XAL101" s="73"/>
      <c r="XAM101" s="73"/>
      <c r="XAN101" s="73"/>
      <c r="XAO101" s="73"/>
      <c r="XAP101" s="73"/>
      <c r="XAQ101" s="73"/>
      <c r="XAR101" s="73"/>
      <c r="XAS101" s="73"/>
      <c r="XAT101" s="73"/>
      <c r="XAU101" s="73"/>
      <c r="XAV101" s="73"/>
      <c r="XAW101" s="73"/>
      <c r="XAX101" s="73"/>
      <c r="XAY101" s="73"/>
      <c r="XAZ101" s="73"/>
      <c r="XBA101" s="73"/>
      <c r="XBB101" s="73"/>
      <c r="XBC101" s="73"/>
      <c r="XBD101" s="73"/>
      <c r="XBE101" s="73"/>
      <c r="XBF101" s="73"/>
      <c r="XBG101" s="73"/>
      <c r="XBH101" s="73"/>
      <c r="XBI101" s="73"/>
      <c r="XBJ101" s="73"/>
      <c r="XBK101" s="73"/>
      <c r="XBL101" s="73"/>
      <c r="XBM101" s="73"/>
      <c r="XBN101" s="73"/>
      <c r="XBO101" s="73"/>
      <c r="XBP101" s="73"/>
      <c r="XBQ101" s="73"/>
      <c r="XBR101" s="73"/>
      <c r="XBS101" s="73"/>
      <c r="XBT101" s="73"/>
      <c r="XBU101" s="73"/>
      <c r="XBV101" s="73"/>
      <c r="XBW101" s="73"/>
      <c r="XBX101" s="73"/>
      <c r="XBY101" s="73"/>
      <c r="XBZ101" s="73"/>
      <c r="XCA101" s="73"/>
      <c r="XCB101" s="73"/>
      <c r="XCC101" s="73"/>
      <c r="XCD101" s="73"/>
      <c r="XCE101" s="73"/>
      <c r="XCF101" s="73"/>
      <c r="XCG101" s="73"/>
      <c r="XCH101" s="73"/>
      <c r="XCI101" s="73"/>
      <c r="XCJ101" s="73"/>
      <c r="XCK101" s="73"/>
      <c r="XCL101" s="73"/>
      <c r="XCM101" s="73"/>
      <c r="XCN101" s="73"/>
      <c r="XCO101" s="73"/>
      <c r="XCP101" s="73"/>
      <c r="XCQ101" s="73"/>
      <c r="XCR101" s="73"/>
      <c r="XCS101" s="73"/>
      <c r="XCT101" s="73"/>
      <c r="XCU101" s="73"/>
      <c r="XCV101" s="73"/>
      <c r="XCW101" s="73"/>
      <c r="XCX101" s="73"/>
      <c r="XCY101" s="73"/>
      <c r="XCZ101" s="73"/>
      <c r="XDA101" s="73"/>
      <c r="XDB101" s="73"/>
      <c r="XDC101" s="73"/>
      <c r="XDD101" s="73"/>
      <c r="XDE101" s="73"/>
      <c r="XDF101" s="73"/>
      <c r="XDG101" s="73"/>
      <c r="XDH101" s="73"/>
      <c r="XDI101" s="73"/>
      <c r="XDJ101" s="73"/>
      <c r="XDK101" s="73"/>
      <c r="XDL101" s="73"/>
      <c r="XDM101" s="73"/>
      <c r="XDN101" s="73"/>
      <c r="XDO101" s="73"/>
      <c r="XDP101" s="73"/>
      <c r="XDQ101" s="73"/>
      <c r="XDR101" s="73"/>
      <c r="XDS101" s="73"/>
      <c r="XDT101" s="73"/>
      <c r="XDU101" s="73"/>
      <c r="XDV101" s="73"/>
      <c r="XDW101" s="73"/>
      <c r="XDX101" s="73"/>
      <c r="XDY101" s="73"/>
      <c r="XDZ101" s="73"/>
      <c r="XEA101" s="73"/>
      <c r="XEB101" s="73"/>
      <c r="XEC101" s="73"/>
      <c r="XED101" s="73"/>
      <c r="XEE101" s="73"/>
      <c r="XEF101" s="73"/>
      <c r="XEG101" s="73"/>
      <c r="XEH101" s="73"/>
      <c r="XEI101" s="73"/>
      <c r="XEJ101" s="73"/>
      <c r="XEK101" s="73"/>
      <c r="XEL101" s="73"/>
      <c r="XEM101" s="73"/>
      <c r="XEN101" s="73"/>
      <c r="XEO101" s="73"/>
      <c r="XEP101" s="73"/>
      <c r="XEQ101" s="73"/>
      <c r="XER101" s="73"/>
      <c r="XES101" s="73"/>
      <c r="XET101" s="73"/>
      <c r="XEU101" s="73"/>
      <c r="XEV101" s="73"/>
      <c r="XEW101" s="73"/>
      <c r="XEX101" s="73"/>
      <c r="XEY101" s="73"/>
      <c r="XEZ101" s="73"/>
      <c r="XFA101" s="73"/>
      <c r="XFB101" s="73"/>
      <c r="XFC101" s="73"/>
      <c r="XFD101" s="73"/>
    </row>
    <row r="102" spans="1:16384" x14ac:dyDescent="0.35">
      <c r="A102" s="15" t="str">
        <f>VLOOKUP(C102,Master!A:D,4,0)</f>
        <v>RM</v>
      </c>
      <c r="B102" s="16" t="str">
        <f>VLOOKUP(C102,Master!A:C,3,0)</f>
        <v>Granuals</v>
      </c>
      <c r="C102" s="16" t="s">
        <v>32</v>
      </c>
      <c r="D102" s="17">
        <f t="shared" ref="D102:F103" si="45">+W53</f>
        <v>1569.8000000000002</v>
      </c>
      <c r="E102" s="17">
        <f t="shared" si="45"/>
        <v>550</v>
      </c>
      <c r="F102" s="17">
        <f t="shared" si="45"/>
        <v>0</v>
      </c>
      <c r="G102" s="17"/>
      <c r="H102" s="17"/>
      <c r="I102" s="71"/>
      <c r="J102" s="17">
        <v>325</v>
      </c>
      <c r="K102" s="17"/>
      <c r="L102" s="17"/>
      <c r="M102" s="17"/>
      <c r="N102" s="17"/>
      <c r="O102" s="17"/>
      <c r="P102" s="17">
        <v>500</v>
      </c>
      <c r="Q102" s="17"/>
      <c r="R102" s="17"/>
      <c r="S102" s="17"/>
      <c r="T102" s="17">
        <v>500</v>
      </c>
      <c r="U102" s="17">
        <f t="shared" ref="U102:U134" si="46">O102-S102</f>
        <v>0</v>
      </c>
      <c r="V102" s="17">
        <f t="shared" ref="V102:V134" si="47">P102-T102</f>
        <v>0</v>
      </c>
      <c r="W102" s="17">
        <f>D102+G102+H102+I102-K102-L102-M102-V102+U102</f>
        <v>1569.8000000000002</v>
      </c>
      <c r="X102" s="17">
        <f t="shared" ref="X102:X103" si="48">E102+J102-N102-T102+S102</f>
        <v>375</v>
      </c>
      <c r="Y102" s="17">
        <f t="shared" ref="Y102:Y103" si="49">F102-I102+M102-R102+Q102</f>
        <v>0</v>
      </c>
      <c r="Z102" s="48">
        <v>1569.8000000000002</v>
      </c>
      <c r="AA102" s="45">
        <v>375</v>
      </c>
      <c r="AB102" s="45">
        <v>0</v>
      </c>
      <c r="AC102" s="72">
        <f>W102-Z102</f>
        <v>0</v>
      </c>
      <c r="AD102" s="72">
        <f>X102-AA102</f>
        <v>0</v>
      </c>
      <c r="AE102" s="18">
        <f>Y102-AB102</f>
        <v>0</v>
      </c>
      <c r="AF102" s="56"/>
      <c r="AG102" s="61">
        <v>201</v>
      </c>
      <c r="AH102" s="113">
        <f>+W102*AG102</f>
        <v>315529.80000000005</v>
      </c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9"/>
      <c r="AZ102" s="115"/>
      <c r="BA102" s="243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6"/>
    </row>
    <row r="103" spans="1:16384" x14ac:dyDescent="0.35">
      <c r="A103" s="19" t="str">
        <f>VLOOKUP(C103,Master!A:D,4,0)</f>
        <v>RM</v>
      </c>
      <c r="B103" s="14" t="str">
        <f>VLOOKUP(C103,Master!A:C,3,0)</f>
        <v>Granuals</v>
      </c>
      <c r="C103" s="14" t="s">
        <v>37</v>
      </c>
      <c r="D103" s="2">
        <f>+W54</f>
        <v>20079.160000000003</v>
      </c>
      <c r="E103" s="2">
        <f t="shared" si="45"/>
        <v>384275.57</v>
      </c>
      <c r="F103" s="2">
        <f t="shared" si="45"/>
        <v>0</v>
      </c>
      <c r="G103" s="2"/>
      <c r="H103" s="2"/>
      <c r="I103" s="2"/>
      <c r="J103" s="2">
        <v>1250</v>
      </c>
      <c r="K103" s="2"/>
      <c r="L103" s="2"/>
      <c r="M103" s="2"/>
      <c r="N103" s="2"/>
      <c r="O103" s="2"/>
      <c r="P103" s="2">
        <v>121104.73000000001</v>
      </c>
      <c r="Q103" s="2"/>
      <c r="R103" s="2"/>
      <c r="S103" s="2"/>
      <c r="T103" s="2">
        <v>101025.57</v>
      </c>
      <c r="U103" s="2">
        <f t="shared" si="46"/>
        <v>0</v>
      </c>
      <c r="V103" s="2">
        <f t="shared" si="47"/>
        <v>20079.160000000003</v>
      </c>
      <c r="W103" s="54">
        <f t="shared" ref="W103:W138" si="50">D103+G103+H103+I103-K103-L103-M103-V103+U103</f>
        <v>0</v>
      </c>
      <c r="X103" s="2">
        <f t="shared" si="48"/>
        <v>284500</v>
      </c>
      <c r="Y103" s="2">
        <f t="shared" si="49"/>
        <v>0</v>
      </c>
      <c r="Z103" s="46">
        <v>0</v>
      </c>
      <c r="AA103" s="46">
        <v>284500</v>
      </c>
      <c r="AB103" s="46">
        <v>0</v>
      </c>
      <c r="AC103" s="58">
        <f t="shared" ref="AC103" si="51">W103-Z103</f>
        <v>0</v>
      </c>
      <c r="AD103" s="58">
        <f t="shared" ref="AD103" si="52">X103-AA103</f>
        <v>0</v>
      </c>
      <c r="AE103" s="12">
        <f t="shared" ref="AE103" si="53">Y103-AB103</f>
        <v>0</v>
      </c>
      <c r="AF103" s="56"/>
      <c r="AG103" s="60"/>
      <c r="AH103" s="117">
        <f>+W103*AG103</f>
        <v>0</v>
      </c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9"/>
      <c r="AZ103" s="115"/>
      <c r="BA103" s="243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6"/>
    </row>
    <row r="104" spans="1:16384" x14ac:dyDescent="0.35">
      <c r="A104" s="19" t="str">
        <f>VLOOKUP(C104,Master!A:D,4,0)</f>
        <v>RM</v>
      </c>
      <c r="B104" s="14" t="str">
        <f>VLOOKUP(C104,Master!A:C,3,0)</f>
        <v>Granuals</v>
      </c>
      <c r="C104" s="14" t="s">
        <v>40</v>
      </c>
      <c r="D104" s="2">
        <f t="shared" ref="D104:F104" si="54">+W55</f>
        <v>0</v>
      </c>
      <c r="E104" s="2">
        <f t="shared" si="54"/>
        <v>0</v>
      </c>
      <c r="F104" s="2">
        <f t="shared" si="54"/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>
        <v>0</v>
      </c>
      <c r="U104" s="2">
        <f t="shared" si="46"/>
        <v>0</v>
      </c>
      <c r="V104" s="2">
        <f t="shared" si="47"/>
        <v>0</v>
      </c>
      <c r="W104" s="54">
        <f t="shared" si="50"/>
        <v>0</v>
      </c>
      <c r="X104" s="2">
        <f t="shared" ref="X104:X138" si="55">E104+J104-N104-T104+S104</f>
        <v>0</v>
      </c>
      <c r="Y104" s="2">
        <f t="shared" ref="Y104:Y138" si="56">F104-I104+M104-R104+Q104</f>
        <v>0</v>
      </c>
      <c r="Z104" s="46">
        <v>0</v>
      </c>
      <c r="AA104" s="46">
        <v>0</v>
      </c>
      <c r="AB104" s="46">
        <v>0</v>
      </c>
      <c r="AC104" s="58">
        <f t="shared" ref="AC104:AC138" si="57">W104-Z104</f>
        <v>0</v>
      </c>
      <c r="AD104" s="58">
        <f t="shared" ref="AD104:AD138" si="58">X104-AA104</f>
        <v>0</v>
      </c>
      <c r="AE104" s="12">
        <f t="shared" ref="AE104:AE138" si="59">Y104-AB104</f>
        <v>0</v>
      </c>
      <c r="AF104" s="56"/>
      <c r="AG104" s="62"/>
      <c r="AH104" s="117">
        <f t="shared" ref="AH104:AH138" si="60">+W104*AG104</f>
        <v>0</v>
      </c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9"/>
      <c r="AZ104" s="115"/>
      <c r="BA104" s="243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6"/>
    </row>
    <row r="105" spans="1:16384" x14ac:dyDescent="0.35">
      <c r="A105" s="19" t="str">
        <f>VLOOKUP(C105,Master!A:D,4,0)</f>
        <v>RM</v>
      </c>
      <c r="B105" s="14" t="str">
        <f>VLOOKUP(C105,Master!A:C,3,0)</f>
        <v>Granuals</v>
      </c>
      <c r="C105" s="14" t="s">
        <v>46</v>
      </c>
      <c r="D105" s="2">
        <f t="shared" ref="D105:F105" si="61">+W56</f>
        <v>0</v>
      </c>
      <c r="E105" s="2">
        <f t="shared" si="61"/>
        <v>13000</v>
      </c>
      <c r="F105" s="2">
        <f t="shared" si="61"/>
        <v>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>
        <v>0</v>
      </c>
      <c r="U105" s="2">
        <f t="shared" si="46"/>
        <v>0</v>
      </c>
      <c r="V105" s="2">
        <f t="shared" si="47"/>
        <v>0</v>
      </c>
      <c r="W105" s="54">
        <f t="shared" si="50"/>
        <v>0</v>
      </c>
      <c r="X105" s="2">
        <f t="shared" si="55"/>
        <v>13000</v>
      </c>
      <c r="Y105" s="2">
        <f t="shared" si="56"/>
        <v>0</v>
      </c>
      <c r="Z105" s="46">
        <v>0</v>
      </c>
      <c r="AA105" s="46">
        <v>13000</v>
      </c>
      <c r="AB105" s="46">
        <v>0</v>
      </c>
      <c r="AC105" s="58">
        <f t="shared" si="57"/>
        <v>0</v>
      </c>
      <c r="AD105" s="58">
        <f t="shared" si="58"/>
        <v>0</v>
      </c>
      <c r="AE105" s="12">
        <f t="shared" si="59"/>
        <v>0</v>
      </c>
      <c r="AF105" s="56"/>
      <c r="AG105" s="62"/>
      <c r="AH105" s="117">
        <f t="shared" si="60"/>
        <v>0</v>
      </c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9"/>
      <c r="AZ105" s="115"/>
      <c r="BA105" s="243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6"/>
    </row>
    <row r="106" spans="1:16384" x14ac:dyDescent="0.35">
      <c r="A106" s="19" t="str">
        <f>VLOOKUP(C106,Master!A:D,4,0)</f>
        <v>RM</v>
      </c>
      <c r="B106" s="14" t="str">
        <f>VLOOKUP(C106,Master!A:C,3,0)</f>
        <v>Granuals</v>
      </c>
      <c r="C106" s="14" t="s">
        <v>49</v>
      </c>
      <c r="D106" s="2">
        <f t="shared" ref="D106:F106" si="62">+W57</f>
        <v>0</v>
      </c>
      <c r="E106" s="2">
        <f t="shared" si="62"/>
        <v>0</v>
      </c>
      <c r="F106" s="2">
        <f t="shared" si="62"/>
        <v>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>
        <v>0</v>
      </c>
      <c r="U106" s="2">
        <f t="shared" si="46"/>
        <v>0</v>
      </c>
      <c r="V106" s="2">
        <f t="shared" si="47"/>
        <v>0</v>
      </c>
      <c r="W106" s="54">
        <f t="shared" si="50"/>
        <v>0</v>
      </c>
      <c r="X106" s="2">
        <f t="shared" si="55"/>
        <v>0</v>
      </c>
      <c r="Y106" s="2">
        <f t="shared" si="56"/>
        <v>0</v>
      </c>
      <c r="Z106" s="46">
        <v>0</v>
      </c>
      <c r="AA106" s="46">
        <v>0</v>
      </c>
      <c r="AB106" s="46">
        <v>0</v>
      </c>
      <c r="AC106" s="58">
        <f t="shared" si="57"/>
        <v>0</v>
      </c>
      <c r="AD106" s="58">
        <f t="shared" si="58"/>
        <v>0</v>
      </c>
      <c r="AE106" s="12">
        <f t="shared" si="59"/>
        <v>0</v>
      </c>
      <c r="AF106" s="56"/>
      <c r="AG106" s="62"/>
      <c r="AH106" s="117">
        <f t="shared" si="60"/>
        <v>0</v>
      </c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9"/>
      <c r="AZ106" s="115"/>
      <c r="BA106" s="243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6"/>
    </row>
    <row r="107" spans="1:16384" x14ac:dyDescent="0.35">
      <c r="A107" s="19" t="str">
        <f>VLOOKUP(C107,Master!A:D,4,0)</f>
        <v>RM</v>
      </c>
      <c r="B107" s="14" t="str">
        <f>VLOOKUP(C107,Master!A:C,3,0)</f>
        <v>Granuals</v>
      </c>
      <c r="C107" s="14" t="s">
        <v>55</v>
      </c>
      <c r="D107" s="2">
        <f t="shared" ref="D107:F107" si="63">+W58</f>
        <v>0</v>
      </c>
      <c r="E107" s="2">
        <f t="shared" si="63"/>
        <v>22375</v>
      </c>
      <c r="F107" s="2">
        <f t="shared" si="63"/>
        <v>0</v>
      </c>
      <c r="G107" s="2"/>
      <c r="H107" s="2"/>
      <c r="I107" s="2"/>
      <c r="J107" s="2">
        <v>8000</v>
      </c>
      <c r="K107" s="2"/>
      <c r="L107" s="2"/>
      <c r="M107" s="2"/>
      <c r="N107" s="2"/>
      <c r="O107" s="2"/>
      <c r="P107" s="2">
        <v>6629.3</v>
      </c>
      <c r="Q107" s="2"/>
      <c r="R107" s="2"/>
      <c r="S107" s="2"/>
      <c r="T107" s="2">
        <v>6629.2999999999993</v>
      </c>
      <c r="U107" s="2">
        <f t="shared" si="46"/>
        <v>0</v>
      </c>
      <c r="V107" s="2">
        <f t="shared" si="47"/>
        <v>0</v>
      </c>
      <c r="W107" s="54">
        <f t="shared" si="50"/>
        <v>0</v>
      </c>
      <c r="X107" s="2">
        <f t="shared" si="55"/>
        <v>23745.7</v>
      </c>
      <c r="Y107" s="2">
        <f t="shared" si="56"/>
        <v>0</v>
      </c>
      <c r="Z107" s="46">
        <v>0</v>
      </c>
      <c r="AA107" s="46">
        <v>23745.7</v>
      </c>
      <c r="AB107" s="46">
        <v>0</v>
      </c>
      <c r="AC107" s="58">
        <f t="shared" si="57"/>
        <v>0</v>
      </c>
      <c r="AD107" s="58">
        <f t="shared" si="58"/>
        <v>0</v>
      </c>
      <c r="AE107" s="12">
        <f t="shared" si="59"/>
        <v>0</v>
      </c>
      <c r="AF107" s="56"/>
      <c r="AG107" s="62"/>
      <c r="AH107" s="117">
        <f t="shared" si="60"/>
        <v>0</v>
      </c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9"/>
      <c r="AZ107" s="115"/>
      <c r="BA107" s="243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6"/>
    </row>
    <row r="108" spans="1:16384" x14ac:dyDescent="0.35">
      <c r="A108" s="19" t="str">
        <f>VLOOKUP(C108,Master!A:D,4,0)</f>
        <v>RM</v>
      </c>
      <c r="B108" s="14" t="str">
        <f>VLOOKUP(C108,Master!A:C,3,0)</f>
        <v>FIBC Accessories</v>
      </c>
      <c r="C108" s="14" t="s">
        <v>69</v>
      </c>
      <c r="D108" s="2">
        <f t="shared" ref="D108:F108" si="64">+W59</f>
        <v>0</v>
      </c>
      <c r="E108" s="2">
        <f t="shared" si="64"/>
        <v>0</v>
      </c>
      <c r="F108" s="2">
        <f t="shared" si="64"/>
        <v>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>
        <v>0</v>
      </c>
      <c r="U108" s="2">
        <f t="shared" si="46"/>
        <v>0</v>
      </c>
      <c r="V108" s="2">
        <f t="shared" si="47"/>
        <v>0</v>
      </c>
      <c r="W108" s="54">
        <f t="shared" si="50"/>
        <v>0</v>
      </c>
      <c r="X108" s="2">
        <f t="shared" si="55"/>
        <v>0</v>
      </c>
      <c r="Y108" s="2">
        <f t="shared" si="56"/>
        <v>0</v>
      </c>
      <c r="Z108" s="46">
        <v>0</v>
      </c>
      <c r="AA108" s="46">
        <v>0</v>
      </c>
      <c r="AB108" s="46">
        <v>0</v>
      </c>
      <c r="AC108" s="58">
        <f t="shared" si="57"/>
        <v>0</v>
      </c>
      <c r="AD108" s="58">
        <f t="shared" si="58"/>
        <v>0</v>
      </c>
      <c r="AE108" s="12">
        <f t="shared" si="59"/>
        <v>0</v>
      </c>
      <c r="AF108" s="56"/>
      <c r="AG108" s="62"/>
      <c r="AH108" s="117">
        <f t="shared" si="60"/>
        <v>0</v>
      </c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9"/>
      <c r="AZ108" s="115"/>
      <c r="BA108" s="243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6"/>
    </row>
    <row r="109" spans="1:16384" x14ac:dyDescent="0.35">
      <c r="A109" s="19" t="str">
        <f>VLOOKUP(C109,Master!A:D,4,0)</f>
        <v>RM</v>
      </c>
      <c r="B109" s="14" t="str">
        <f>VLOOKUP(C109,Master!A:C,3,0)</f>
        <v>Films All</v>
      </c>
      <c r="C109" s="14" t="s">
        <v>71</v>
      </c>
      <c r="D109" s="2">
        <f t="shared" ref="D109:F109" si="65">+W60</f>
        <v>0</v>
      </c>
      <c r="E109" s="2">
        <f t="shared" si="65"/>
        <v>0</v>
      </c>
      <c r="F109" s="2">
        <f t="shared" si="65"/>
        <v>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>
        <v>0</v>
      </c>
      <c r="U109" s="2">
        <f t="shared" si="46"/>
        <v>0</v>
      </c>
      <c r="V109" s="2">
        <f t="shared" si="47"/>
        <v>0</v>
      </c>
      <c r="W109" s="54">
        <f t="shared" si="50"/>
        <v>0</v>
      </c>
      <c r="X109" s="2">
        <f t="shared" si="55"/>
        <v>0</v>
      </c>
      <c r="Y109" s="2">
        <f t="shared" si="56"/>
        <v>0</v>
      </c>
      <c r="Z109" s="46">
        <v>0</v>
      </c>
      <c r="AA109" s="46">
        <v>0</v>
      </c>
      <c r="AB109" s="46">
        <v>0</v>
      </c>
      <c r="AC109" s="58">
        <f t="shared" si="57"/>
        <v>0</v>
      </c>
      <c r="AD109" s="58">
        <f t="shared" si="58"/>
        <v>0</v>
      </c>
      <c r="AE109" s="12">
        <f t="shared" si="59"/>
        <v>0</v>
      </c>
      <c r="AF109" s="56"/>
      <c r="AG109" s="62"/>
      <c r="AH109" s="117">
        <f t="shared" si="60"/>
        <v>0</v>
      </c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9"/>
      <c r="AZ109" s="115"/>
      <c r="BA109" s="243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6"/>
    </row>
    <row r="110" spans="1:16384" x14ac:dyDescent="0.35">
      <c r="A110" s="19" t="str">
        <f>VLOOKUP(C110,Master!A:D,4,0)</f>
        <v>RM</v>
      </c>
      <c r="B110" s="14" t="str">
        <f>VLOOKUP(C110,Master!A:C,3,0)</f>
        <v>Granuals</v>
      </c>
      <c r="C110" s="14" t="s">
        <v>85</v>
      </c>
      <c r="D110" s="2">
        <f t="shared" ref="D110:F110" si="66">+W61</f>
        <v>0</v>
      </c>
      <c r="E110" s="2">
        <f t="shared" si="66"/>
        <v>2000</v>
      </c>
      <c r="F110" s="2">
        <f t="shared" si="66"/>
        <v>0</v>
      </c>
      <c r="G110" s="2"/>
      <c r="H110" s="2">
        <v>25000</v>
      </c>
      <c r="I110" s="2"/>
      <c r="J110" s="2"/>
      <c r="K110" s="2"/>
      <c r="L110" s="2"/>
      <c r="M110" s="2"/>
      <c r="N110" s="2"/>
      <c r="O110" s="2"/>
      <c r="P110" s="2">
        <v>25000</v>
      </c>
      <c r="Q110" s="2"/>
      <c r="R110" s="2"/>
      <c r="S110" s="2"/>
      <c r="T110" s="2">
        <v>0</v>
      </c>
      <c r="U110" s="2">
        <f t="shared" si="46"/>
        <v>0</v>
      </c>
      <c r="V110" s="2">
        <f t="shared" si="47"/>
        <v>25000</v>
      </c>
      <c r="W110" s="54">
        <f t="shared" si="50"/>
        <v>0</v>
      </c>
      <c r="X110" s="2">
        <f t="shared" si="55"/>
        <v>2000</v>
      </c>
      <c r="Y110" s="2">
        <f t="shared" si="56"/>
        <v>0</v>
      </c>
      <c r="Z110" s="46">
        <v>0</v>
      </c>
      <c r="AA110" s="46">
        <v>2000</v>
      </c>
      <c r="AB110" s="46">
        <v>0</v>
      </c>
      <c r="AC110" s="58">
        <f t="shared" si="57"/>
        <v>0</v>
      </c>
      <c r="AD110" s="58">
        <f t="shared" si="58"/>
        <v>0</v>
      </c>
      <c r="AE110" s="12">
        <f t="shared" si="59"/>
        <v>0</v>
      </c>
      <c r="AF110" s="56"/>
      <c r="AG110" s="62"/>
      <c r="AH110" s="117">
        <f t="shared" si="60"/>
        <v>0</v>
      </c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9"/>
      <c r="AZ110" s="115"/>
      <c r="BA110" s="243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6"/>
    </row>
    <row r="111" spans="1:16384" x14ac:dyDescent="0.35">
      <c r="A111" s="19" t="str">
        <f>VLOOKUP(C111,Master!A:D,4,0)</f>
        <v>RM</v>
      </c>
      <c r="B111" s="14" t="str">
        <f>VLOOKUP(C111,Master!A:C,3,0)</f>
        <v>Films All</v>
      </c>
      <c r="C111" s="14" t="s">
        <v>180</v>
      </c>
      <c r="D111" s="2">
        <f t="shared" ref="D111:F111" si="67">+W62</f>
        <v>0</v>
      </c>
      <c r="E111" s="2">
        <f t="shared" si="67"/>
        <v>0</v>
      </c>
      <c r="F111" s="2">
        <f t="shared" si="67"/>
        <v>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>
        <v>0</v>
      </c>
      <c r="U111" s="2">
        <f t="shared" si="46"/>
        <v>0</v>
      </c>
      <c r="V111" s="2">
        <f t="shared" si="47"/>
        <v>0</v>
      </c>
      <c r="W111" s="54">
        <f t="shared" si="50"/>
        <v>0</v>
      </c>
      <c r="X111" s="2">
        <f t="shared" si="55"/>
        <v>0</v>
      </c>
      <c r="Y111" s="2">
        <f t="shared" si="56"/>
        <v>0</v>
      </c>
      <c r="Z111" s="46">
        <v>0</v>
      </c>
      <c r="AA111" s="46">
        <v>0</v>
      </c>
      <c r="AB111" s="46">
        <v>0</v>
      </c>
      <c r="AC111" s="58">
        <f t="shared" si="57"/>
        <v>0</v>
      </c>
      <c r="AD111" s="58">
        <f t="shared" si="58"/>
        <v>0</v>
      </c>
      <c r="AE111" s="12">
        <f t="shared" si="59"/>
        <v>0</v>
      </c>
      <c r="AF111" s="56"/>
      <c r="AG111" s="62"/>
      <c r="AH111" s="117">
        <f t="shared" si="60"/>
        <v>0</v>
      </c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9"/>
      <c r="AZ111" s="115"/>
      <c r="BA111" s="243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6"/>
    </row>
    <row r="112" spans="1:16384" x14ac:dyDescent="0.35">
      <c r="A112" s="19" t="str">
        <f>VLOOKUP(C112,Master!A:D,4,0)</f>
        <v>RM</v>
      </c>
      <c r="B112" s="14" t="str">
        <f>VLOOKUP(C112,Master!A:C,3,0)</f>
        <v>Granuals</v>
      </c>
      <c r="C112" s="14" t="s">
        <v>277</v>
      </c>
      <c r="D112" s="2">
        <f t="shared" ref="D112:F112" si="68">+W63</f>
        <v>0</v>
      </c>
      <c r="E112" s="2">
        <f t="shared" si="68"/>
        <v>0</v>
      </c>
      <c r="F112" s="2">
        <f t="shared" si="68"/>
        <v>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>
        <v>0</v>
      </c>
      <c r="U112" s="2">
        <f t="shared" si="46"/>
        <v>0</v>
      </c>
      <c r="V112" s="2">
        <f t="shared" si="47"/>
        <v>0</v>
      </c>
      <c r="W112" s="54">
        <f t="shared" si="50"/>
        <v>0</v>
      </c>
      <c r="X112" s="2">
        <f t="shared" si="55"/>
        <v>0</v>
      </c>
      <c r="Y112" s="2">
        <f t="shared" si="56"/>
        <v>0</v>
      </c>
      <c r="Z112" s="46">
        <v>0</v>
      </c>
      <c r="AA112" s="46">
        <v>0</v>
      </c>
      <c r="AB112" s="46">
        <v>0</v>
      </c>
      <c r="AC112" s="58">
        <f t="shared" si="57"/>
        <v>0</v>
      </c>
      <c r="AD112" s="58">
        <f t="shared" si="58"/>
        <v>0</v>
      </c>
      <c r="AE112" s="12">
        <f t="shared" si="59"/>
        <v>0</v>
      </c>
      <c r="AF112" s="56"/>
      <c r="AG112" s="62"/>
      <c r="AH112" s="117">
        <f t="shared" si="60"/>
        <v>0</v>
      </c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9"/>
      <c r="AZ112" s="115"/>
      <c r="BA112" s="243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6"/>
    </row>
    <row r="113" spans="1:63" x14ac:dyDescent="0.35">
      <c r="A113" s="19" t="str">
        <f>VLOOKUP(C113,Master!A:D,4,0)</f>
        <v>RM</v>
      </c>
      <c r="B113" s="14" t="str">
        <f>VLOOKUP(C113,Master!A:C,3,0)</f>
        <v>Granuals</v>
      </c>
      <c r="C113" s="14" t="s">
        <v>387</v>
      </c>
      <c r="D113" s="2">
        <f t="shared" ref="D113:F113" si="69">+W64</f>
        <v>0</v>
      </c>
      <c r="E113" s="2">
        <f t="shared" si="69"/>
        <v>0</v>
      </c>
      <c r="F113" s="2">
        <f t="shared" si="69"/>
        <v>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>
        <v>0</v>
      </c>
      <c r="U113" s="2">
        <f t="shared" si="46"/>
        <v>0</v>
      </c>
      <c r="V113" s="2">
        <f t="shared" si="47"/>
        <v>0</v>
      </c>
      <c r="W113" s="54">
        <f t="shared" si="50"/>
        <v>0</v>
      </c>
      <c r="X113" s="2">
        <f t="shared" si="55"/>
        <v>0</v>
      </c>
      <c r="Y113" s="2">
        <f t="shared" si="56"/>
        <v>0</v>
      </c>
      <c r="Z113" s="46">
        <v>0</v>
      </c>
      <c r="AA113" s="46">
        <v>0</v>
      </c>
      <c r="AB113" s="46">
        <v>0</v>
      </c>
      <c r="AC113" s="58">
        <f t="shared" si="57"/>
        <v>0</v>
      </c>
      <c r="AD113" s="58">
        <f t="shared" si="58"/>
        <v>0</v>
      </c>
      <c r="AE113" s="12">
        <f t="shared" si="59"/>
        <v>0</v>
      </c>
      <c r="AF113" s="56"/>
      <c r="AG113" s="62"/>
      <c r="AH113" s="117">
        <f t="shared" si="60"/>
        <v>0</v>
      </c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9"/>
      <c r="AZ113" s="115"/>
      <c r="BA113" s="243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6"/>
    </row>
    <row r="114" spans="1:63" x14ac:dyDescent="0.35">
      <c r="A114" s="19" t="str">
        <f>VLOOKUP(C114,Master!A:D,4,0)</f>
        <v>RM</v>
      </c>
      <c r="B114" s="14" t="str">
        <f>VLOOKUP(C114,Master!A:C,3,0)</f>
        <v>Films All</v>
      </c>
      <c r="C114" s="14" t="s">
        <v>398</v>
      </c>
      <c r="D114" s="2">
        <f t="shared" ref="D114:F114" si="70">+W65</f>
        <v>0</v>
      </c>
      <c r="E114" s="2">
        <f t="shared" si="70"/>
        <v>0</v>
      </c>
      <c r="F114" s="2">
        <f t="shared" si="70"/>
        <v>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>
        <v>0</v>
      </c>
      <c r="U114" s="2">
        <f t="shared" si="46"/>
        <v>0</v>
      </c>
      <c r="V114" s="2">
        <f t="shared" si="47"/>
        <v>0</v>
      </c>
      <c r="W114" s="54">
        <f t="shared" si="50"/>
        <v>0</v>
      </c>
      <c r="X114" s="2">
        <f t="shared" si="55"/>
        <v>0</v>
      </c>
      <c r="Y114" s="2">
        <f t="shared" si="56"/>
        <v>0</v>
      </c>
      <c r="Z114" s="46">
        <v>0</v>
      </c>
      <c r="AA114" s="46">
        <v>0</v>
      </c>
      <c r="AB114" s="46">
        <v>0</v>
      </c>
      <c r="AC114" s="58">
        <f t="shared" si="57"/>
        <v>0</v>
      </c>
      <c r="AD114" s="58">
        <f t="shared" si="58"/>
        <v>0</v>
      </c>
      <c r="AE114" s="12">
        <f t="shared" si="59"/>
        <v>0</v>
      </c>
      <c r="AF114" s="56"/>
      <c r="AG114" s="62"/>
      <c r="AH114" s="117">
        <f t="shared" si="60"/>
        <v>0</v>
      </c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9"/>
      <c r="AZ114" s="115"/>
      <c r="BA114" s="243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6"/>
    </row>
    <row r="115" spans="1:63" x14ac:dyDescent="0.35">
      <c r="A115" s="19" t="str">
        <f>VLOOKUP(C115,Master!A:D,4,0)</f>
        <v>RM</v>
      </c>
      <c r="B115" s="14" t="str">
        <f>VLOOKUP(C115,Master!A:C,3,0)</f>
        <v>Granuals</v>
      </c>
      <c r="C115" s="14" t="s">
        <v>417</v>
      </c>
      <c r="D115" s="2">
        <f t="shared" ref="D115:F115" si="71">+W66</f>
        <v>0</v>
      </c>
      <c r="E115" s="2">
        <f t="shared" si="71"/>
        <v>0</v>
      </c>
      <c r="F115" s="2">
        <f t="shared" si="71"/>
        <v>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>
        <v>0</v>
      </c>
      <c r="U115" s="2">
        <f t="shared" si="46"/>
        <v>0</v>
      </c>
      <c r="V115" s="2">
        <f t="shared" si="47"/>
        <v>0</v>
      </c>
      <c r="W115" s="54">
        <f t="shared" si="50"/>
        <v>0</v>
      </c>
      <c r="X115" s="2">
        <f t="shared" si="55"/>
        <v>0</v>
      </c>
      <c r="Y115" s="2">
        <f t="shared" si="56"/>
        <v>0</v>
      </c>
      <c r="Z115" s="46">
        <v>0</v>
      </c>
      <c r="AA115" s="46">
        <v>0</v>
      </c>
      <c r="AB115" s="46">
        <v>0</v>
      </c>
      <c r="AC115" s="58">
        <f t="shared" si="57"/>
        <v>0</v>
      </c>
      <c r="AD115" s="58">
        <f t="shared" si="58"/>
        <v>0</v>
      </c>
      <c r="AE115" s="12">
        <f t="shared" si="59"/>
        <v>0</v>
      </c>
      <c r="AF115" s="56"/>
      <c r="AG115" s="62"/>
      <c r="AH115" s="117">
        <f t="shared" si="60"/>
        <v>0</v>
      </c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9"/>
      <c r="AZ115" s="115"/>
      <c r="BA115" s="243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6"/>
    </row>
    <row r="116" spans="1:63" x14ac:dyDescent="0.35">
      <c r="A116" s="19" t="str">
        <f>VLOOKUP(C116,Master!A:D,4,0)</f>
        <v>SF</v>
      </c>
      <c r="B116" s="14" t="str">
        <f>VLOOKUP(C116,Master!A:C,3,0)</f>
        <v>Yarn All</v>
      </c>
      <c r="C116" s="14" t="s">
        <v>629</v>
      </c>
      <c r="D116" s="2">
        <f t="shared" ref="D116:F116" si="72">+W67</f>
        <v>648.00000000000523</v>
      </c>
      <c r="E116" s="2">
        <f t="shared" si="72"/>
        <v>20038.699999999997</v>
      </c>
      <c r="F116" s="2">
        <f t="shared" si="72"/>
        <v>0</v>
      </c>
      <c r="G116" s="2"/>
      <c r="H116" s="2">
        <v>4315.95</v>
      </c>
      <c r="I116" s="2"/>
      <c r="J116" s="2">
        <v>17110.84</v>
      </c>
      <c r="K116" s="2"/>
      <c r="L116" s="2"/>
      <c r="M116" s="2"/>
      <c r="N116" s="2"/>
      <c r="O116" s="2">
        <v>880</v>
      </c>
      <c r="P116" s="2">
        <v>18418.449999999997</v>
      </c>
      <c r="Q116" s="2"/>
      <c r="R116" s="2"/>
      <c r="S116" s="2"/>
      <c r="T116" s="2">
        <v>12574.499999999993</v>
      </c>
      <c r="U116" s="2">
        <f t="shared" si="46"/>
        <v>880</v>
      </c>
      <c r="V116" s="2">
        <f t="shared" si="47"/>
        <v>5843.9500000000044</v>
      </c>
      <c r="W116" s="54">
        <f t="shared" si="50"/>
        <v>9.0949470177292824E-13</v>
      </c>
      <c r="X116" s="2">
        <f t="shared" si="55"/>
        <v>24575.040000000001</v>
      </c>
      <c r="Y116" s="2">
        <f t="shared" si="56"/>
        <v>0</v>
      </c>
      <c r="Z116" s="46">
        <v>9.0949470177292824E-13</v>
      </c>
      <c r="AA116" s="46">
        <v>24575.040000000005</v>
      </c>
      <c r="AB116" s="46">
        <v>0</v>
      </c>
      <c r="AC116" s="58">
        <f t="shared" si="57"/>
        <v>0</v>
      </c>
      <c r="AD116" s="58">
        <f t="shared" si="58"/>
        <v>0</v>
      </c>
      <c r="AE116" s="12">
        <f t="shared" si="59"/>
        <v>0</v>
      </c>
      <c r="AF116" s="56"/>
      <c r="AG116" s="62"/>
      <c r="AH116" s="117">
        <f t="shared" si="60"/>
        <v>0</v>
      </c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9"/>
      <c r="AZ116" s="115"/>
      <c r="BA116" s="243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6"/>
    </row>
    <row r="117" spans="1:63" x14ac:dyDescent="0.35">
      <c r="A117" s="19" t="str">
        <f>VLOOKUP(C117,Master!A:D,4,0)</f>
        <v>SF</v>
      </c>
      <c r="B117" s="14" t="str">
        <f>VLOOKUP(C117,Master!A:C,3,0)</f>
        <v>PP/PE Fabric</v>
      </c>
      <c r="C117" s="14" t="s">
        <v>639</v>
      </c>
      <c r="D117" s="2">
        <f t="shared" ref="D117:F117" si="73">+W68</f>
        <v>0</v>
      </c>
      <c r="E117" s="2">
        <f t="shared" si="73"/>
        <v>54200.299999999996</v>
      </c>
      <c r="F117" s="2">
        <f t="shared" si="73"/>
        <v>0</v>
      </c>
      <c r="G117" s="2"/>
      <c r="H117" s="2"/>
      <c r="I117" s="2"/>
      <c r="J117" s="2">
        <v>55526.8</v>
      </c>
      <c r="K117" s="2">
        <v>58853</v>
      </c>
      <c r="L117" s="2"/>
      <c r="M117" s="2"/>
      <c r="N117" s="2"/>
      <c r="O117" s="2">
        <v>178328</v>
      </c>
      <c r="P117" s="2">
        <v>147127.69999999998</v>
      </c>
      <c r="Q117" s="2"/>
      <c r="R117" s="2"/>
      <c r="S117" s="2"/>
      <c r="T117" s="2">
        <v>27652.699999999983</v>
      </c>
      <c r="U117" s="2">
        <f t="shared" si="46"/>
        <v>178328</v>
      </c>
      <c r="V117" s="2">
        <f t="shared" si="47"/>
        <v>119475</v>
      </c>
      <c r="W117" s="54">
        <f t="shared" si="50"/>
        <v>0</v>
      </c>
      <c r="X117" s="2">
        <f t="shared" si="55"/>
        <v>82074.400000000023</v>
      </c>
      <c r="Y117" s="2">
        <f t="shared" si="56"/>
        <v>0</v>
      </c>
      <c r="Z117" s="46">
        <v>0</v>
      </c>
      <c r="AA117" s="46">
        <v>82074.399999999994</v>
      </c>
      <c r="AB117" s="46">
        <v>0</v>
      </c>
      <c r="AC117" s="58">
        <f t="shared" si="57"/>
        <v>0</v>
      </c>
      <c r="AD117" s="58">
        <f t="shared" si="58"/>
        <v>0</v>
      </c>
      <c r="AE117" s="12">
        <f t="shared" si="59"/>
        <v>0</v>
      </c>
      <c r="AF117" s="56"/>
      <c r="AG117" s="62"/>
      <c r="AH117" s="117">
        <f t="shared" si="60"/>
        <v>0</v>
      </c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9"/>
      <c r="AZ117" s="115"/>
      <c r="BA117" s="243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6"/>
    </row>
    <row r="118" spans="1:63" x14ac:dyDescent="0.35">
      <c r="A118" s="19" t="str">
        <f>VLOOKUP(C118,Master!A:D,4,0)</f>
        <v>SF</v>
      </c>
      <c r="B118" s="14" t="str">
        <f>VLOOKUP(C118,Master!A:C,3,0)</f>
        <v>Flexitank Accessories</v>
      </c>
      <c r="C118" s="14" t="s">
        <v>641</v>
      </c>
      <c r="D118" s="2">
        <f t="shared" ref="D118:F118" si="74">+W69</f>
        <v>0</v>
      </c>
      <c r="E118" s="2">
        <f t="shared" si="74"/>
        <v>0</v>
      </c>
      <c r="F118" s="2">
        <f t="shared" si="74"/>
        <v>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>
        <v>0</v>
      </c>
      <c r="U118" s="2">
        <f t="shared" si="46"/>
        <v>0</v>
      </c>
      <c r="V118" s="2">
        <f t="shared" si="47"/>
        <v>0</v>
      </c>
      <c r="W118" s="54">
        <f t="shared" si="50"/>
        <v>0</v>
      </c>
      <c r="X118" s="2">
        <f t="shared" si="55"/>
        <v>0</v>
      </c>
      <c r="Y118" s="2">
        <f t="shared" si="56"/>
        <v>0</v>
      </c>
      <c r="Z118" s="46">
        <v>0</v>
      </c>
      <c r="AA118" s="46">
        <v>0</v>
      </c>
      <c r="AB118" s="46">
        <v>0</v>
      </c>
      <c r="AC118" s="58">
        <f t="shared" si="57"/>
        <v>0</v>
      </c>
      <c r="AD118" s="58">
        <f t="shared" si="58"/>
        <v>0</v>
      </c>
      <c r="AE118" s="12">
        <f t="shared" si="59"/>
        <v>0</v>
      </c>
      <c r="AF118" s="56"/>
      <c r="AG118" s="62"/>
      <c r="AH118" s="117">
        <f t="shared" si="60"/>
        <v>0</v>
      </c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9"/>
      <c r="AZ118" s="115"/>
      <c r="BA118" s="243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6"/>
    </row>
    <row r="119" spans="1:63" x14ac:dyDescent="0.35">
      <c r="A119" s="19" t="str">
        <f>VLOOKUP(C119,Master!A:D,4,0)</f>
        <v>SF</v>
      </c>
      <c r="B119" s="14" t="str">
        <f>VLOOKUP(C119,Master!A:C,3,0)</f>
        <v>PP/PE Fabric</v>
      </c>
      <c r="C119" s="14" t="s">
        <v>652</v>
      </c>
      <c r="D119" s="2">
        <f t="shared" ref="D119:F119" si="75">+W70</f>
        <v>0</v>
      </c>
      <c r="E119" s="2">
        <f t="shared" si="75"/>
        <v>2436</v>
      </c>
      <c r="F119" s="2">
        <f t="shared" si="75"/>
        <v>0</v>
      </c>
      <c r="G119" s="2"/>
      <c r="H119" s="2"/>
      <c r="I119" s="2"/>
      <c r="J119" s="2">
        <v>24413</v>
      </c>
      <c r="K119" s="2"/>
      <c r="L119" s="2"/>
      <c r="M119" s="2"/>
      <c r="N119" s="2"/>
      <c r="O119" s="2">
        <v>100274</v>
      </c>
      <c r="P119" s="2">
        <v>101773</v>
      </c>
      <c r="Q119" s="2"/>
      <c r="R119" s="2"/>
      <c r="S119" s="2"/>
      <c r="T119" s="2">
        <v>1499</v>
      </c>
      <c r="U119" s="2">
        <f t="shared" si="46"/>
        <v>100274</v>
      </c>
      <c r="V119" s="2">
        <f t="shared" si="47"/>
        <v>100274</v>
      </c>
      <c r="W119" s="54">
        <f t="shared" si="50"/>
        <v>0</v>
      </c>
      <c r="X119" s="2">
        <f t="shared" si="55"/>
        <v>25350</v>
      </c>
      <c r="Y119" s="2">
        <f t="shared" si="56"/>
        <v>0</v>
      </c>
      <c r="Z119" s="46">
        <v>0</v>
      </c>
      <c r="AA119" s="46">
        <v>25350</v>
      </c>
      <c r="AB119" s="46">
        <v>0</v>
      </c>
      <c r="AC119" s="58">
        <f t="shared" si="57"/>
        <v>0</v>
      </c>
      <c r="AD119" s="58">
        <f t="shared" si="58"/>
        <v>0</v>
      </c>
      <c r="AE119" s="12">
        <f t="shared" si="59"/>
        <v>0</v>
      </c>
      <c r="AF119" s="56"/>
      <c r="AG119" s="62"/>
      <c r="AH119" s="117">
        <f t="shared" si="60"/>
        <v>0</v>
      </c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9"/>
      <c r="AZ119" s="115"/>
      <c r="BA119" s="243"/>
      <c r="BB119" s="115"/>
      <c r="BC119" s="115"/>
      <c r="BD119" s="115"/>
      <c r="BE119" s="115"/>
      <c r="BF119" s="115"/>
      <c r="BG119" s="115"/>
      <c r="BH119" s="115"/>
      <c r="BI119" s="115"/>
      <c r="BJ119" s="115"/>
      <c r="BK119" s="116"/>
    </row>
    <row r="120" spans="1:63" x14ac:dyDescent="0.35">
      <c r="A120" s="19" t="str">
        <f>VLOOKUP(C120,Master!A:D,4,0)</f>
        <v>SF</v>
      </c>
      <c r="B120" s="14" t="str">
        <f>VLOOKUP(C120,Master!A:C,3,0)</f>
        <v>PP/PE Fabric</v>
      </c>
      <c r="C120" s="14" t="s">
        <v>664</v>
      </c>
      <c r="D120" s="2">
        <f t="shared" ref="D120:F120" si="76">+W71</f>
        <v>0</v>
      </c>
      <c r="E120" s="2">
        <f t="shared" si="76"/>
        <v>0</v>
      </c>
      <c r="F120" s="2">
        <f t="shared" si="76"/>
        <v>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>
        <v>0</v>
      </c>
      <c r="U120" s="2">
        <f t="shared" si="46"/>
        <v>0</v>
      </c>
      <c r="V120" s="2">
        <f t="shared" si="47"/>
        <v>0</v>
      </c>
      <c r="W120" s="54">
        <f t="shared" si="50"/>
        <v>0</v>
      </c>
      <c r="X120" s="2">
        <f t="shared" si="55"/>
        <v>0</v>
      </c>
      <c r="Y120" s="2">
        <f t="shared" si="56"/>
        <v>0</v>
      </c>
      <c r="Z120" s="46">
        <v>0</v>
      </c>
      <c r="AA120" s="46">
        <v>0</v>
      </c>
      <c r="AB120" s="46">
        <v>0</v>
      </c>
      <c r="AC120" s="58">
        <f t="shared" si="57"/>
        <v>0</v>
      </c>
      <c r="AD120" s="58">
        <f t="shared" si="58"/>
        <v>0</v>
      </c>
      <c r="AE120" s="12">
        <f t="shared" si="59"/>
        <v>0</v>
      </c>
      <c r="AF120" s="56"/>
      <c r="AG120" s="62"/>
      <c r="AH120" s="117">
        <f t="shared" si="60"/>
        <v>0</v>
      </c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9"/>
      <c r="AZ120" s="115"/>
      <c r="BA120" s="243"/>
      <c r="BB120" s="115"/>
      <c r="BC120" s="115"/>
      <c r="BD120" s="115"/>
      <c r="BE120" s="115"/>
      <c r="BF120" s="115"/>
      <c r="BG120" s="115"/>
      <c r="BH120" s="115"/>
      <c r="BI120" s="115"/>
      <c r="BJ120" s="115"/>
      <c r="BK120" s="116"/>
    </row>
    <row r="121" spans="1:63" x14ac:dyDescent="0.35">
      <c r="A121" s="19" t="str">
        <f>VLOOKUP(C121,Master!A:D,4,0)</f>
        <v>SF</v>
      </c>
      <c r="B121" s="14" t="str">
        <f>VLOOKUP(C121,Master!A:C,3,0)</f>
        <v>PP/PE Fabric</v>
      </c>
      <c r="C121" s="14" t="s">
        <v>675</v>
      </c>
      <c r="D121" s="2">
        <f t="shared" ref="D121:F121" si="77">+W72</f>
        <v>0</v>
      </c>
      <c r="E121" s="2">
        <f t="shared" si="77"/>
        <v>0</v>
      </c>
      <c r="F121" s="2">
        <f t="shared" si="77"/>
        <v>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>
        <v>0</v>
      </c>
      <c r="U121" s="2">
        <f t="shared" si="46"/>
        <v>0</v>
      </c>
      <c r="V121" s="2">
        <f t="shared" si="47"/>
        <v>0</v>
      </c>
      <c r="W121" s="54">
        <f t="shared" si="50"/>
        <v>0</v>
      </c>
      <c r="X121" s="2">
        <f t="shared" si="55"/>
        <v>0</v>
      </c>
      <c r="Y121" s="2">
        <f t="shared" si="56"/>
        <v>0</v>
      </c>
      <c r="Z121" s="46">
        <v>0</v>
      </c>
      <c r="AA121" s="46">
        <v>0</v>
      </c>
      <c r="AB121" s="46">
        <v>0</v>
      </c>
      <c r="AC121" s="58">
        <f t="shared" si="57"/>
        <v>0</v>
      </c>
      <c r="AD121" s="58">
        <f t="shared" si="58"/>
        <v>0</v>
      </c>
      <c r="AE121" s="12">
        <f t="shared" si="59"/>
        <v>0</v>
      </c>
      <c r="AF121" s="56"/>
      <c r="AG121" s="62"/>
      <c r="AH121" s="117">
        <f t="shared" si="60"/>
        <v>0</v>
      </c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9"/>
      <c r="AZ121" s="115"/>
      <c r="BA121" s="243"/>
      <c r="BB121" s="115"/>
      <c r="BC121" s="115"/>
      <c r="BD121" s="115"/>
      <c r="BE121" s="115"/>
      <c r="BF121" s="115"/>
      <c r="BG121" s="115"/>
      <c r="BH121" s="115"/>
      <c r="BI121" s="115"/>
      <c r="BJ121" s="115"/>
      <c r="BK121" s="116"/>
    </row>
    <row r="122" spans="1:63" x14ac:dyDescent="0.35">
      <c r="A122" s="19" t="str">
        <f>VLOOKUP(C122,Master!A:D,4,0)</f>
        <v>SF</v>
      </c>
      <c r="B122" s="14" t="str">
        <f>VLOOKUP(C122,Master!A:C,3,0)</f>
        <v>Granuals</v>
      </c>
      <c r="C122" s="14" t="s">
        <v>688</v>
      </c>
      <c r="D122" s="2">
        <f t="shared" ref="D122:F122" si="78">+W73</f>
        <v>17600</v>
      </c>
      <c r="E122" s="2">
        <f t="shared" si="78"/>
        <v>1000</v>
      </c>
      <c r="F122" s="2">
        <f t="shared" si="78"/>
        <v>0</v>
      </c>
      <c r="G122" s="2"/>
      <c r="H122" s="2"/>
      <c r="I122" s="6"/>
      <c r="J122" s="2"/>
      <c r="K122" s="2">
        <v>19900</v>
      </c>
      <c r="L122" s="2"/>
      <c r="M122" s="2"/>
      <c r="N122" s="2"/>
      <c r="O122" s="2">
        <v>54635</v>
      </c>
      <c r="P122" s="2">
        <v>52335</v>
      </c>
      <c r="Q122" s="2"/>
      <c r="R122" s="2"/>
      <c r="S122" s="2"/>
      <c r="T122" s="2">
        <v>0</v>
      </c>
      <c r="U122" s="2">
        <f t="shared" si="46"/>
        <v>54635</v>
      </c>
      <c r="V122" s="2">
        <f t="shared" si="47"/>
        <v>52335</v>
      </c>
      <c r="W122" s="54">
        <f t="shared" si="50"/>
        <v>0</v>
      </c>
      <c r="X122" s="2">
        <f t="shared" si="55"/>
        <v>1000</v>
      </c>
      <c r="Y122" s="2">
        <f t="shared" si="56"/>
        <v>0</v>
      </c>
      <c r="Z122" s="46">
        <v>0</v>
      </c>
      <c r="AA122" s="46">
        <v>1000</v>
      </c>
      <c r="AB122" s="46">
        <v>0</v>
      </c>
      <c r="AC122" s="58">
        <f t="shared" si="57"/>
        <v>0</v>
      </c>
      <c r="AD122" s="58">
        <f t="shared" si="58"/>
        <v>0</v>
      </c>
      <c r="AE122" s="12">
        <f t="shared" si="59"/>
        <v>0</v>
      </c>
      <c r="AF122" s="56"/>
      <c r="AG122" s="62"/>
      <c r="AH122" s="117">
        <f t="shared" si="60"/>
        <v>0</v>
      </c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9"/>
      <c r="AZ122" s="115"/>
      <c r="BA122" s="243"/>
      <c r="BB122" s="115"/>
      <c r="BC122" s="115"/>
      <c r="BD122" s="115"/>
      <c r="BE122" s="115"/>
      <c r="BF122" s="115"/>
      <c r="BG122" s="115"/>
      <c r="BH122" s="115"/>
      <c r="BI122" s="115"/>
      <c r="BJ122" s="115"/>
      <c r="BK122" s="116"/>
    </row>
    <row r="123" spans="1:63" x14ac:dyDescent="0.35">
      <c r="A123" s="19" t="str">
        <f>VLOOKUP(C123,Master!A:D,4,0)</f>
        <v>SF</v>
      </c>
      <c r="B123" s="14" t="str">
        <f>VLOOKUP(C123,Master!A:C,3,0)</f>
        <v>Liners</v>
      </c>
      <c r="C123" s="14" t="s">
        <v>707</v>
      </c>
      <c r="D123" s="2">
        <f t="shared" ref="D123:F123" si="79">+W74</f>
        <v>0</v>
      </c>
      <c r="E123" s="2">
        <f t="shared" si="79"/>
        <v>0</v>
      </c>
      <c r="F123" s="2">
        <f t="shared" si="79"/>
        <v>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>
        <v>0</v>
      </c>
      <c r="U123" s="2">
        <f t="shared" si="46"/>
        <v>0</v>
      </c>
      <c r="V123" s="2">
        <f t="shared" si="47"/>
        <v>0</v>
      </c>
      <c r="W123" s="54">
        <f t="shared" si="50"/>
        <v>0</v>
      </c>
      <c r="X123" s="2">
        <f t="shared" si="55"/>
        <v>0</v>
      </c>
      <c r="Y123" s="2">
        <f t="shared" si="56"/>
        <v>0</v>
      </c>
      <c r="Z123" s="46">
        <v>0</v>
      </c>
      <c r="AA123" s="46">
        <v>0</v>
      </c>
      <c r="AB123" s="46">
        <v>0</v>
      </c>
      <c r="AC123" s="58">
        <f t="shared" si="57"/>
        <v>0</v>
      </c>
      <c r="AD123" s="58">
        <f t="shared" si="58"/>
        <v>0</v>
      </c>
      <c r="AE123" s="12">
        <f t="shared" si="59"/>
        <v>0</v>
      </c>
      <c r="AF123" s="56"/>
      <c r="AG123" s="62"/>
      <c r="AH123" s="117">
        <f t="shared" si="60"/>
        <v>0</v>
      </c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9"/>
      <c r="AZ123" s="115"/>
      <c r="BA123" s="243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6"/>
    </row>
    <row r="124" spans="1:63" x14ac:dyDescent="0.35">
      <c r="A124" s="19" t="str">
        <f>VLOOKUP(C124,Master!A:D,4,0)</f>
        <v>SF</v>
      </c>
      <c r="B124" s="14" t="str">
        <f>VLOOKUP(C124,Master!A:C,3,0)</f>
        <v>Webbing</v>
      </c>
      <c r="C124" s="14" t="s">
        <v>710</v>
      </c>
      <c r="D124" s="2">
        <f t="shared" ref="D124:F124" si="80">+W75</f>
        <v>0</v>
      </c>
      <c r="E124" s="2">
        <f t="shared" si="80"/>
        <v>2125</v>
      </c>
      <c r="F124" s="2">
        <f t="shared" si="80"/>
        <v>0</v>
      </c>
      <c r="G124" s="2"/>
      <c r="H124" s="2"/>
      <c r="I124" s="2"/>
      <c r="J124" s="2">
        <v>171.4</v>
      </c>
      <c r="K124" s="2">
        <v>2546.3000000000002</v>
      </c>
      <c r="L124" s="2"/>
      <c r="M124" s="2"/>
      <c r="N124" s="2"/>
      <c r="O124" s="2">
        <v>42452</v>
      </c>
      <c r="P124" s="2">
        <v>40374.6</v>
      </c>
      <c r="Q124" s="2"/>
      <c r="R124" s="2"/>
      <c r="S124" s="2"/>
      <c r="T124" s="2">
        <v>468.89999999999986</v>
      </c>
      <c r="U124" s="2">
        <f t="shared" si="46"/>
        <v>42452</v>
      </c>
      <c r="V124" s="54">
        <f t="shared" si="47"/>
        <v>39905.699999999997</v>
      </c>
      <c r="W124" s="54">
        <f t="shared" si="50"/>
        <v>0</v>
      </c>
      <c r="X124" s="2">
        <f t="shared" si="55"/>
        <v>1827.5000000000002</v>
      </c>
      <c r="Y124" s="2">
        <f t="shared" si="56"/>
        <v>0</v>
      </c>
      <c r="Z124" s="46">
        <v>0</v>
      </c>
      <c r="AA124" s="46">
        <v>1827.5</v>
      </c>
      <c r="AB124" s="46">
        <v>0</v>
      </c>
      <c r="AC124" s="58">
        <f t="shared" si="57"/>
        <v>0</v>
      </c>
      <c r="AD124" s="58">
        <f t="shared" si="58"/>
        <v>0</v>
      </c>
      <c r="AE124" s="12">
        <f t="shared" si="59"/>
        <v>0</v>
      </c>
      <c r="AF124" s="56"/>
      <c r="AG124" s="62"/>
      <c r="AH124" s="117">
        <f t="shared" si="60"/>
        <v>0</v>
      </c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9"/>
      <c r="AZ124" s="115"/>
      <c r="BA124" s="243"/>
      <c r="BB124" s="115"/>
      <c r="BC124" s="115"/>
      <c r="BD124" s="115"/>
      <c r="BE124" s="115"/>
      <c r="BF124" s="115"/>
      <c r="BG124" s="115"/>
      <c r="BH124" s="115"/>
      <c r="BI124" s="115"/>
      <c r="BJ124" s="115"/>
      <c r="BK124" s="116"/>
    </row>
    <row r="125" spans="1:63" x14ac:dyDescent="0.35">
      <c r="A125" s="19" t="str">
        <f>VLOOKUP(C125,Master!A:D,4,0)</f>
        <v>SF</v>
      </c>
      <c r="B125" s="14" t="str">
        <f>VLOOKUP(C125,Master!A:C,3,0)</f>
        <v>Liners</v>
      </c>
      <c r="C125" s="14" t="s">
        <v>729</v>
      </c>
      <c r="D125" s="2">
        <f t="shared" ref="D125:F125" si="81">+W76</f>
        <v>0</v>
      </c>
      <c r="E125" s="2">
        <f t="shared" si="81"/>
        <v>95846.2</v>
      </c>
      <c r="F125" s="2">
        <f t="shared" si="81"/>
        <v>0</v>
      </c>
      <c r="G125" s="2"/>
      <c r="H125" s="2"/>
      <c r="I125" s="2"/>
      <c r="J125" s="2">
        <v>50844.13</v>
      </c>
      <c r="K125" s="2"/>
      <c r="L125" s="2"/>
      <c r="M125" s="2"/>
      <c r="N125" s="2"/>
      <c r="O125" s="2"/>
      <c r="P125" s="2">
        <v>52371.199999999997</v>
      </c>
      <c r="Q125" s="2"/>
      <c r="R125" s="2"/>
      <c r="S125" s="2"/>
      <c r="T125" s="2">
        <v>52371.199999999997</v>
      </c>
      <c r="U125" s="2">
        <f t="shared" si="46"/>
        <v>0</v>
      </c>
      <c r="V125" s="54">
        <f t="shared" si="47"/>
        <v>0</v>
      </c>
      <c r="W125" s="54">
        <f t="shared" si="50"/>
        <v>0</v>
      </c>
      <c r="X125" s="2">
        <f t="shared" si="55"/>
        <v>94319.12999999999</v>
      </c>
      <c r="Y125" s="2">
        <f t="shared" si="56"/>
        <v>0</v>
      </c>
      <c r="Z125" s="46">
        <v>0</v>
      </c>
      <c r="AA125" s="46">
        <v>94319.13</v>
      </c>
      <c r="AB125" s="46">
        <v>0</v>
      </c>
      <c r="AC125" s="58">
        <f t="shared" si="57"/>
        <v>0</v>
      </c>
      <c r="AD125" s="58">
        <f t="shared" si="58"/>
        <v>0</v>
      </c>
      <c r="AE125" s="12">
        <f t="shared" si="59"/>
        <v>0</v>
      </c>
      <c r="AF125" s="56"/>
      <c r="AG125" s="62"/>
      <c r="AH125" s="117">
        <f t="shared" si="60"/>
        <v>0</v>
      </c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9"/>
      <c r="AZ125" s="115"/>
      <c r="BA125" s="243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6"/>
    </row>
    <row r="126" spans="1:63" x14ac:dyDescent="0.35">
      <c r="A126" s="19" t="str">
        <f>VLOOKUP(C126,Master!A:D,4,0)</f>
        <v>SF</v>
      </c>
      <c r="B126" s="14" t="str">
        <f>VLOOKUP(C126,Master!A:C,3,0)</f>
        <v>Tape Stock</v>
      </c>
      <c r="C126" s="14" t="s">
        <v>772</v>
      </c>
      <c r="D126" s="2">
        <f t="shared" ref="D126:F126" si="82">+W77</f>
        <v>0</v>
      </c>
      <c r="E126" s="2">
        <f t="shared" si="82"/>
        <v>0</v>
      </c>
      <c r="F126" s="2">
        <f t="shared" si="82"/>
        <v>0</v>
      </c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>
        <v>0</v>
      </c>
      <c r="U126" s="2">
        <f t="shared" si="46"/>
        <v>0</v>
      </c>
      <c r="V126" s="54">
        <f t="shared" si="47"/>
        <v>0</v>
      </c>
      <c r="W126" s="54">
        <f t="shared" si="50"/>
        <v>0</v>
      </c>
      <c r="X126" s="2">
        <f t="shared" si="55"/>
        <v>0</v>
      </c>
      <c r="Y126" s="2">
        <f t="shared" si="56"/>
        <v>0</v>
      </c>
      <c r="Z126" s="46">
        <v>0</v>
      </c>
      <c r="AA126" s="46">
        <v>0</v>
      </c>
      <c r="AB126" s="46">
        <v>0</v>
      </c>
      <c r="AC126" s="58">
        <f t="shared" si="57"/>
        <v>0</v>
      </c>
      <c r="AD126" s="58">
        <f t="shared" si="58"/>
        <v>0</v>
      </c>
      <c r="AE126" s="12">
        <f t="shared" si="59"/>
        <v>0</v>
      </c>
      <c r="AF126" s="56"/>
      <c r="AG126" s="62"/>
      <c r="AH126" s="117">
        <f t="shared" si="60"/>
        <v>0</v>
      </c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9"/>
      <c r="AZ126" s="115"/>
      <c r="BA126" s="243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16"/>
    </row>
    <row r="127" spans="1:63" x14ac:dyDescent="0.35">
      <c r="A127" s="19" t="str">
        <f>VLOOKUP(C127,Master!A:D,4,0)</f>
        <v>SF</v>
      </c>
      <c r="B127" s="14" t="str">
        <f>VLOOKUP(C127,Master!A:C,3,0)</f>
        <v>Tape Stock</v>
      </c>
      <c r="C127" s="14" t="s">
        <v>773</v>
      </c>
      <c r="D127" s="2">
        <f t="shared" ref="D127:F127" si="83">+W78</f>
        <v>0</v>
      </c>
      <c r="E127" s="2">
        <f t="shared" si="83"/>
        <v>139218.04999999999</v>
      </c>
      <c r="F127" s="2">
        <f t="shared" si="83"/>
        <v>0</v>
      </c>
      <c r="G127" s="2"/>
      <c r="H127" s="2">
        <v>1124.07</v>
      </c>
      <c r="I127" s="2"/>
      <c r="J127" s="2">
        <v>10984.1</v>
      </c>
      <c r="K127" s="2"/>
      <c r="L127" s="2"/>
      <c r="M127" s="2"/>
      <c r="N127" s="2"/>
      <c r="O127" s="2">
        <v>202451</v>
      </c>
      <c r="P127" s="2">
        <v>295036.21999999997</v>
      </c>
      <c r="Q127" s="2"/>
      <c r="R127" s="2"/>
      <c r="S127" s="2"/>
      <c r="T127" s="2">
        <v>91461.15</v>
      </c>
      <c r="U127" s="2">
        <f t="shared" si="46"/>
        <v>202451</v>
      </c>
      <c r="V127" s="54">
        <f t="shared" si="47"/>
        <v>203575.06999999998</v>
      </c>
      <c r="W127" s="54">
        <f t="shared" si="50"/>
        <v>0</v>
      </c>
      <c r="X127" s="2">
        <f t="shared" si="55"/>
        <v>58741</v>
      </c>
      <c r="Y127" s="2">
        <f t="shared" si="56"/>
        <v>0</v>
      </c>
      <c r="Z127" s="46">
        <v>0</v>
      </c>
      <c r="AA127" s="46">
        <v>58741</v>
      </c>
      <c r="AB127" s="46">
        <v>0</v>
      </c>
      <c r="AC127" s="58">
        <f t="shared" si="57"/>
        <v>0</v>
      </c>
      <c r="AD127" s="58">
        <f t="shared" si="58"/>
        <v>0</v>
      </c>
      <c r="AE127" s="12">
        <f t="shared" si="59"/>
        <v>0</v>
      </c>
      <c r="AF127" s="56"/>
      <c r="AG127" s="62"/>
      <c r="AH127" s="117">
        <f t="shared" si="60"/>
        <v>0</v>
      </c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9"/>
      <c r="AZ127" s="115"/>
      <c r="BA127" s="243"/>
      <c r="BB127" s="115"/>
      <c r="BC127" s="115"/>
      <c r="BD127" s="115"/>
      <c r="BE127" s="115"/>
      <c r="BF127" s="115"/>
      <c r="BG127" s="115"/>
      <c r="BH127" s="115"/>
      <c r="BI127" s="115"/>
      <c r="BJ127" s="115"/>
      <c r="BK127" s="116"/>
    </row>
    <row r="128" spans="1:63" x14ac:dyDescent="0.35">
      <c r="A128" s="19" t="str">
        <f>VLOOKUP(C128,Master!A:D,4,0)</f>
        <v>SF</v>
      </c>
      <c r="B128" s="14" t="str">
        <f>VLOOKUP(C128,Master!A:C,3,0)</f>
        <v>RP Agglo</v>
      </c>
      <c r="C128" s="14" t="s">
        <v>810</v>
      </c>
      <c r="D128" s="2">
        <f t="shared" ref="D128:F128" si="84">+W79</f>
        <v>0</v>
      </c>
      <c r="E128" s="2">
        <f t="shared" si="84"/>
        <v>0</v>
      </c>
      <c r="F128" s="2">
        <f t="shared" si="84"/>
        <v>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>
        <v>0</v>
      </c>
      <c r="U128" s="2">
        <f t="shared" si="46"/>
        <v>0</v>
      </c>
      <c r="V128" s="54">
        <f t="shared" si="47"/>
        <v>0</v>
      </c>
      <c r="W128" s="54">
        <f t="shared" si="50"/>
        <v>0</v>
      </c>
      <c r="X128" s="2">
        <f t="shared" si="55"/>
        <v>0</v>
      </c>
      <c r="Y128" s="2">
        <f t="shared" si="56"/>
        <v>0</v>
      </c>
      <c r="Z128" s="46">
        <v>0</v>
      </c>
      <c r="AA128" s="46">
        <v>0</v>
      </c>
      <c r="AB128" s="46">
        <v>0</v>
      </c>
      <c r="AC128" s="58">
        <f t="shared" si="57"/>
        <v>0</v>
      </c>
      <c r="AD128" s="58">
        <f t="shared" si="58"/>
        <v>0</v>
      </c>
      <c r="AE128" s="12">
        <f t="shared" si="59"/>
        <v>0</v>
      </c>
      <c r="AF128" s="56"/>
      <c r="AG128" s="62"/>
      <c r="AH128" s="117">
        <f t="shared" si="60"/>
        <v>0</v>
      </c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9"/>
      <c r="AZ128" s="115"/>
      <c r="BA128" s="243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6"/>
    </row>
    <row r="129" spans="1:63" x14ac:dyDescent="0.35">
      <c r="A129" s="19" t="str">
        <f>VLOOKUP(C129,Master!A:D,4,0)</f>
        <v>SF</v>
      </c>
      <c r="B129" s="14" t="str">
        <f>VLOOKUP(C129,Master!A:C,3,0)</f>
        <v>Wastage/Scrap</v>
      </c>
      <c r="C129" s="14" t="s">
        <v>820</v>
      </c>
      <c r="D129" s="2">
        <f t="shared" ref="D129:F129" si="85">+W80</f>
        <v>0</v>
      </c>
      <c r="E129" s="2">
        <f t="shared" si="85"/>
        <v>0</v>
      </c>
      <c r="F129" s="2">
        <f t="shared" si="85"/>
        <v>0</v>
      </c>
      <c r="G129" s="2"/>
      <c r="H129" s="2">
        <v>17542.97</v>
      </c>
      <c r="I129" s="2"/>
      <c r="J129" s="2"/>
      <c r="K129" s="2"/>
      <c r="L129" s="2"/>
      <c r="M129" s="2"/>
      <c r="N129" s="2">
        <v>10251</v>
      </c>
      <c r="O129" s="2">
        <v>36635.800000000003</v>
      </c>
      <c r="P129" s="2">
        <v>43927.770000000004</v>
      </c>
      <c r="Q129" s="2"/>
      <c r="R129" s="2"/>
      <c r="S129" s="2">
        <v>10251</v>
      </c>
      <c r="T129" s="2">
        <v>0</v>
      </c>
      <c r="U129" s="2">
        <f t="shared" si="46"/>
        <v>26384.800000000003</v>
      </c>
      <c r="V129" s="54">
        <f t="shared" si="47"/>
        <v>43927.770000000004</v>
      </c>
      <c r="W129" s="54">
        <f t="shared" si="50"/>
        <v>0</v>
      </c>
      <c r="X129" s="2">
        <f t="shared" si="55"/>
        <v>0</v>
      </c>
      <c r="Y129" s="2">
        <f t="shared" si="56"/>
        <v>0</v>
      </c>
      <c r="Z129" s="46">
        <v>0</v>
      </c>
      <c r="AA129" s="46">
        <v>0</v>
      </c>
      <c r="AB129" s="46">
        <v>0</v>
      </c>
      <c r="AC129" s="58">
        <f t="shared" si="57"/>
        <v>0</v>
      </c>
      <c r="AD129" s="58">
        <f t="shared" si="58"/>
        <v>0</v>
      </c>
      <c r="AE129" s="12">
        <f t="shared" si="59"/>
        <v>0</v>
      </c>
      <c r="AF129" s="56"/>
      <c r="AG129" s="62"/>
      <c r="AH129" s="117">
        <f t="shared" si="60"/>
        <v>0</v>
      </c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9"/>
      <c r="AZ129" s="115"/>
      <c r="BA129" s="243"/>
      <c r="BB129" s="115"/>
      <c r="BC129" s="115"/>
      <c r="BD129" s="115"/>
      <c r="BE129" s="115"/>
      <c r="BF129" s="115"/>
      <c r="BG129" s="115"/>
      <c r="BH129" s="115"/>
      <c r="BI129" s="115"/>
      <c r="BJ129" s="115"/>
      <c r="BK129" s="116"/>
    </row>
    <row r="130" spans="1:63" x14ac:dyDescent="0.35">
      <c r="A130" s="19" t="str">
        <f>VLOOKUP(C130,Master!A:D,4,0)</f>
        <v>FG</v>
      </c>
      <c r="B130" s="14" t="str">
        <f>VLOOKUP(C130,Master!A:C,3,0)</f>
        <v>FIBC WIP</v>
      </c>
      <c r="C130" s="14" t="s">
        <v>892</v>
      </c>
      <c r="D130" s="2">
        <f>+W81</f>
        <v>23999.938888000252</v>
      </c>
      <c r="E130" s="2">
        <f t="shared" ref="E130:F130" si="86">+X81</f>
        <v>0</v>
      </c>
      <c r="F130" s="2">
        <f t="shared" si="86"/>
        <v>0</v>
      </c>
      <c r="G130" s="2"/>
      <c r="H130" s="2"/>
      <c r="I130" s="2"/>
      <c r="J130" s="2"/>
      <c r="K130" s="2"/>
      <c r="L130" s="2"/>
      <c r="M130" s="2"/>
      <c r="N130" s="2"/>
      <c r="O130" s="2">
        <v>327128.84999999998</v>
      </c>
      <c r="P130" s="2">
        <v>330759</v>
      </c>
      <c r="Q130" s="2"/>
      <c r="R130" s="2"/>
      <c r="S130" s="2"/>
      <c r="T130" s="2">
        <v>0</v>
      </c>
      <c r="U130" s="2">
        <f t="shared" si="46"/>
        <v>327128.84999999998</v>
      </c>
      <c r="V130" s="54">
        <f t="shared" si="47"/>
        <v>330759</v>
      </c>
      <c r="W130" s="54">
        <f t="shared" si="50"/>
        <v>20369.788888000243</v>
      </c>
      <c r="X130" s="2">
        <f t="shared" si="55"/>
        <v>0</v>
      </c>
      <c r="Y130" s="2">
        <f t="shared" si="56"/>
        <v>0</v>
      </c>
      <c r="Z130" s="46">
        <v>20369.788888000243</v>
      </c>
      <c r="AA130" s="46">
        <v>0</v>
      </c>
      <c r="AB130" s="46">
        <v>0</v>
      </c>
      <c r="AC130" s="58">
        <f t="shared" si="57"/>
        <v>0</v>
      </c>
      <c r="AD130" s="58">
        <f t="shared" si="58"/>
        <v>0</v>
      </c>
      <c r="AE130" s="12">
        <f t="shared" si="59"/>
        <v>0</v>
      </c>
      <c r="AF130" s="56"/>
      <c r="AG130" s="62">
        <v>135</v>
      </c>
      <c r="AH130" s="117">
        <f t="shared" si="60"/>
        <v>2749921.4998800326</v>
      </c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9"/>
      <c r="AZ130" s="115"/>
      <c r="BA130" s="243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6"/>
    </row>
    <row r="131" spans="1:63" x14ac:dyDescent="0.35">
      <c r="A131" s="19" t="str">
        <f>VLOOKUP(C131,Master!A:D,4,0)</f>
        <v>FG</v>
      </c>
      <c r="B131" s="14" t="str">
        <f>VLOOKUP(C131,Master!A:C,3,0)</f>
        <v>Label Div</v>
      </c>
      <c r="C131" s="14" t="s">
        <v>895</v>
      </c>
      <c r="D131" s="2">
        <f t="shared" ref="D131:F131" si="87">+W82</f>
        <v>0</v>
      </c>
      <c r="E131" s="2">
        <f t="shared" si="87"/>
        <v>0</v>
      </c>
      <c r="F131" s="2">
        <f t="shared" si="87"/>
        <v>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v>0</v>
      </c>
      <c r="U131" s="2">
        <f t="shared" si="46"/>
        <v>0</v>
      </c>
      <c r="V131" s="54">
        <f t="shared" si="47"/>
        <v>0</v>
      </c>
      <c r="W131" s="54">
        <f t="shared" si="50"/>
        <v>0</v>
      </c>
      <c r="X131" s="2">
        <f t="shared" si="55"/>
        <v>0</v>
      </c>
      <c r="Y131" s="2">
        <f t="shared" si="56"/>
        <v>0</v>
      </c>
      <c r="Z131" s="46">
        <v>0</v>
      </c>
      <c r="AA131" s="46">
        <v>0</v>
      </c>
      <c r="AB131" s="46">
        <v>0</v>
      </c>
      <c r="AC131" s="58">
        <f t="shared" si="57"/>
        <v>0</v>
      </c>
      <c r="AD131" s="58">
        <f t="shared" si="58"/>
        <v>0</v>
      </c>
      <c r="AE131" s="12">
        <f t="shared" si="59"/>
        <v>0</v>
      </c>
      <c r="AF131" s="56"/>
      <c r="AG131" s="62"/>
      <c r="AH131" s="117">
        <f t="shared" si="60"/>
        <v>0</v>
      </c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9"/>
      <c r="AZ131" s="115"/>
      <c r="BA131" s="243"/>
      <c r="BB131" s="115"/>
      <c r="BC131" s="115"/>
      <c r="BD131" s="115"/>
      <c r="BE131" s="115"/>
      <c r="BF131" s="115"/>
      <c r="BG131" s="115"/>
      <c r="BH131" s="115"/>
      <c r="BI131" s="115"/>
      <c r="BJ131" s="119"/>
      <c r="BK131" s="116"/>
    </row>
    <row r="132" spans="1:63" x14ac:dyDescent="0.35">
      <c r="A132" s="19" t="str">
        <f>VLOOKUP(C132,Master!A:D,4,0)</f>
        <v>FG</v>
      </c>
      <c r="B132" s="14" t="str">
        <f>VLOOKUP(C132,Master!A:C,3,0)</f>
        <v>FIBC Bags</v>
      </c>
      <c r="C132" s="14" t="s">
        <v>897</v>
      </c>
      <c r="D132" s="2">
        <f t="shared" ref="D132:F132" si="88">+W83</f>
        <v>0</v>
      </c>
      <c r="E132" s="2">
        <f t="shared" si="88"/>
        <v>0</v>
      </c>
      <c r="F132" s="2">
        <f t="shared" si="88"/>
        <v>0</v>
      </c>
      <c r="G132" s="2"/>
      <c r="H132" s="2"/>
      <c r="I132" s="2"/>
      <c r="J132" s="2"/>
      <c r="K132" s="2">
        <v>8641</v>
      </c>
      <c r="L132" s="2"/>
      <c r="M132" s="2"/>
      <c r="N132" s="2">
        <v>283931.32</v>
      </c>
      <c r="O132" s="2">
        <v>292572.32</v>
      </c>
      <c r="P132" s="2"/>
      <c r="Q132" s="2"/>
      <c r="R132" s="2"/>
      <c r="S132" s="2">
        <v>283931.32</v>
      </c>
      <c r="T132" s="2">
        <v>0</v>
      </c>
      <c r="U132" s="2">
        <f t="shared" si="46"/>
        <v>8641</v>
      </c>
      <c r="V132" s="54">
        <f t="shared" si="47"/>
        <v>0</v>
      </c>
      <c r="W132" s="54">
        <f t="shared" si="50"/>
        <v>0</v>
      </c>
      <c r="X132" s="2">
        <f t="shared" si="55"/>
        <v>0</v>
      </c>
      <c r="Y132" s="2">
        <f t="shared" si="56"/>
        <v>0</v>
      </c>
      <c r="Z132" s="46">
        <v>0</v>
      </c>
      <c r="AA132" s="46">
        <v>0</v>
      </c>
      <c r="AB132" s="46">
        <v>0</v>
      </c>
      <c r="AC132" s="58">
        <f t="shared" si="57"/>
        <v>0</v>
      </c>
      <c r="AD132" s="58">
        <f t="shared" si="58"/>
        <v>0</v>
      </c>
      <c r="AE132" s="12">
        <f t="shared" si="59"/>
        <v>0</v>
      </c>
      <c r="AF132" s="56"/>
      <c r="AG132" s="62"/>
      <c r="AH132" s="117">
        <f t="shared" si="60"/>
        <v>0</v>
      </c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9"/>
      <c r="AZ132" s="115"/>
      <c r="BA132" s="243"/>
      <c r="BB132" s="115"/>
      <c r="BC132" s="115"/>
      <c r="BD132" s="115"/>
      <c r="BE132" s="115"/>
      <c r="BF132" s="115"/>
      <c r="BG132" s="115"/>
      <c r="BH132" s="115"/>
      <c r="BI132" s="115"/>
      <c r="BJ132" s="124"/>
      <c r="BK132" s="116"/>
    </row>
    <row r="133" spans="1:63" x14ac:dyDescent="0.35">
      <c r="A133" s="19" t="str">
        <f>VLOOKUP(C133,Master!A:D,4,0)</f>
        <v>FG</v>
      </c>
      <c r="B133" s="14" t="str">
        <f>VLOOKUP(C133,Master!A:C,3,0)</f>
        <v>Small Bags</v>
      </c>
      <c r="C133" s="14" t="s">
        <v>900</v>
      </c>
      <c r="D133" s="2">
        <f t="shared" ref="D133:F133" si="89">+W84</f>
        <v>0</v>
      </c>
      <c r="E133" s="2">
        <f t="shared" si="89"/>
        <v>0</v>
      </c>
      <c r="F133" s="2">
        <f t="shared" si="89"/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f t="shared" si="46"/>
        <v>0</v>
      </c>
      <c r="V133" s="54">
        <f t="shared" si="47"/>
        <v>0</v>
      </c>
      <c r="W133" s="54">
        <f t="shared" si="50"/>
        <v>0</v>
      </c>
      <c r="X133" s="2">
        <f t="shared" si="55"/>
        <v>0</v>
      </c>
      <c r="Y133" s="2">
        <f t="shared" si="56"/>
        <v>0</v>
      </c>
      <c r="Z133" s="46">
        <v>0</v>
      </c>
      <c r="AA133" s="46">
        <v>0</v>
      </c>
      <c r="AB133" s="46">
        <v>0</v>
      </c>
      <c r="AC133" s="58">
        <f t="shared" si="57"/>
        <v>0</v>
      </c>
      <c r="AD133" s="58">
        <f t="shared" si="58"/>
        <v>0</v>
      </c>
      <c r="AE133" s="12">
        <f t="shared" si="59"/>
        <v>0</v>
      </c>
      <c r="AF133" s="56"/>
      <c r="AG133" s="62"/>
      <c r="AH133" s="117">
        <f t="shared" si="60"/>
        <v>0</v>
      </c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9"/>
      <c r="AZ133" s="115"/>
      <c r="BA133" s="243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6"/>
    </row>
    <row r="134" spans="1:63" x14ac:dyDescent="0.35">
      <c r="A134" s="19" t="str">
        <f>VLOOKUP(C134,Master!A:D,4,0)</f>
        <v>FG</v>
      </c>
      <c r="B134" s="14" t="str">
        <f>VLOOKUP(C134,Master!A:C,3,0)</f>
        <v>Tarps</v>
      </c>
      <c r="C134" s="14" t="s">
        <v>903</v>
      </c>
      <c r="D134" s="2">
        <f t="shared" ref="D134:F134" si="90">+W85</f>
        <v>0</v>
      </c>
      <c r="E134" s="2">
        <f t="shared" si="90"/>
        <v>0</v>
      </c>
      <c r="F134" s="2">
        <f t="shared" si="90"/>
        <v>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0</v>
      </c>
      <c r="U134" s="2">
        <f t="shared" si="46"/>
        <v>0</v>
      </c>
      <c r="V134" s="54">
        <f t="shared" si="47"/>
        <v>0</v>
      </c>
      <c r="W134" s="54">
        <f t="shared" si="50"/>
        <v>0</v>
      </c>
      <c r="X134" s="2">
        <f t="shared" si="55"/>
        <v>0</v>
      </c>
      <c r="Y134" s="2">
        <f t="shared" si="56"/>
        <v>0</v>
      </c>
      <c r="Z134" s="46">
        <v>0</v>
      </c>
      <c r="AA134" s="46">
        <v>0</v>
      </c>
      <c r="AB134" s="46">
        <v>0</v>
      </c>
      <c r="AC134" s="58">
        <f t="shared" si="57"/>
        <v>0</v>
      </c>
      <c r="AD134" s="58">
        <f t="shared" si="58"/>
        <v>0</v>
      </c>
      <c r="AE134" s="12">
        <f t="shared" si="59"/>
        <v>0</v>
      </c>
      <c r="AF134" s="56"/>
      <c r="AG134" s="62"/>
      <c r="AH134" s="117">
        <f t="shared" si="60"/>
        <v>0</v>
      </c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9"/>
      <c r="AZ134" s="115"/>
      <c r="BA134" s="243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6"/>
    </row>
    <row r="135" spans="1:63" x14ac:dyDescent="0.35">
      <c r="A135" s="19" t="str">
        <f>VLOOKUP(C135,Master!A:D,4,0)</f>
        <v>FG</v>
      </c>
      <c r="B135" s="14" t="str">
        <f>VLOOKUP(C135,Master!A:C,3,0)</f>
        <v>Trading Items</v>
      </c>
      <c r="C135" s="14" t="s">
        <v>905</v>
      </c>
      <c r="D135" s="2">
        <f t="shared" ref="D135:F135" si="91">+W86</f>
        <v>0</v>
      </c>
      <c r="E135" s="2">
        <f t="shared" si="91"/>
        <v>0</v>
      </c>
      <c r="F135" s="2">
        <f t="shared" si="91"/>
        <v>0</v>
      </c>
      <c r="G135" s="6"/>
      <c r="H135" s="6"/>
      <c r="I135" s="6"/>
      <c r="J135" s="2"/>
      <c r="K135" s="6"/>
      <c r="L135" s="6"/>
      <c r="M135" s="6"/>
      <c r="N135" s="6"/>
      <c r="O135" s="6"/>
      <c r="P135" s="6"/>
      <c r="Q135" s="2"/>
      <c r="R135" s="6"/>
      <c r="S135" s="6"/>
      <c r="T135" s="2">
        <v>0</v>
      </c>
      <c r="U135" s="6"/>
      <c r="V135" s="251"/>
      <c r="W135" s="54">
        <f t="shared" si="50"/>
        <v>0</v>
      </c>
      <c r="X135" s="2">
        <f t="shared" si="55"/>
        <v>0</v>
      </c>
      <c r="Y135" s="2">
        <f t="shared" si="56"/>
        <v>0</v>
      </c>
      <c r="Z135" s="46">
        <v>0</v>
      </c>
      <c r="AA135" s="46">
        <v>0</v>
      </c>
      <c r="AB135" s="46">
        <v>0</v>
      </c>
      <c r="AC135" s="58">
        <f t="shared" si="57"/>
        <v>0</v>
      </c>
      <c r="AD135" s="58">
        <f t="shared" si="58"/>
        <v>0</v>
      </c>
      <c r="AE135" s="12">
        <f t="shared" si="59"/>
        <v>0</v>
      </c>
      <c r="AF135" s="56"/>
      <c r="AG135" s="62"/>
      <c r="AH135" s="117">
        <f t="shared" si="60"/>
        <v>0</v>
      </c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9"/>
      <c r="AZ135" s="115"/>
      <c r="BA135" s="243"/>
      <c r="BB135" s="115"/>
      <c r="BC135" s="115"/>
      <c r="BD135" s="115"/>
      <c r="BE135" s="115"/>
      <c r="BF135" s="115"/>
      <c r="BG135" s="115"/>
      <c r="BH135" s="115"/>
      <c r="BI135" s="115"/>
      <c r="BJ135" s="115"/>
      <c r="BK135" s="116"/>
    </row>
    <row r="136" spans="1:63" x14ac:dyDescent="0.35">
      <c r="A136" s="19" t="str">
        <f>VLOOKUP(C136,Master!A:D,4,0)</f>
        <v>FG</v>
      </c>
      <c r="B136" s="14" t="str">
        <f>VLOOKUP(C136,Master!A:C,3,0)</f>
        <v>Small Bags</v>
      </c>
      <c r="C136" s="14" t="s">
        <v>907</v>
      </c>
      <c r="D136" s="2">
        <f t="shared" ref="D136:F136" si="92">+W87</f>
        <v>0</v>
      </c>
      <c r="E136" s="2">
        <f t="shared" si="92"/>
        <v>0</v>
      </c>
      <c r="F136" s="2">
        <f t="shared" si="92"/>
        <v>0</v>
      </c>
      <c r="G136" s="6"/>
      <c r="H136" s="2"/>
      <c r="I136" s="6"/>
      <c r="J136" s="2"/>
      <c r="K136" s="6"/>
      <c r="L136" s="6"/>
      <c r="M136" s="6"/>
      <c r="N136" s="6"/>
      <c r="O136" s="6"/>
      <c r="P136" s="6"/>
      <c r="Q136" s="2"/>
      <c r="R136" s="6"/>
      <c r="S136" s="6"/>
      <c r="T136" s="2">
        <v>0</v>
      </c>
      <c r="U136" s="6"/>
      <c r="V136" s="251"/>
      <c r="W136" s="54">
        <f t="shared" si="50"/>
        <v>0</v>
      </c>
      <c r="X136" s="2">
        <f t="shared" si="55"/>
        <v>0</v>
      </c>
      <c r="Y136" s="2">
        <f t="shared" si="56"/>
        <v>0</v>
      </c>
      <c r="Z136" s="46">
        <v>0</v>
      </c>
      <c r="AA136" s="46">
        <v>0</v>
      </c>
      <c r="AB136" s="46">
        <v>0</v>
      </c>
      <c r="AC136" s="58">
        <f t="shared" si="57"/>
        <v>0</v>
      </c>
      <c r="AD136" s="58">
        <f t="shared" si="58"/>
        <v>0</v>
      </c>
      <c r="AE136" s="12">
        <f t="shared" si="59"/>
        <v>0</v>
      </c>
      <c r="AF136" s="56"/>
      <c r="AG136" s="62"/>
      <c r="AH136" s="117">
        <f t="shared" si="60"/>
        <v>0</v>
      </c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9"/>
      <c r="AZ136" s="115"/>
      <c r="BA136" s="243"/>
      <c r="BB136" s="115"/>
      <c r="BC136" s="115"/>
      <c r="BD136" s="115"/>
      <c r="BE136" s="115"/>
      <c r="BF136" s="115"/>
      <c r="BG136" s="115"/>
      <c r="BH136" s="115"/>
      <c r="BI136" s="115"/>
      <c r="BJ136" s="115"/>
      <c r="BK136" s="116"/>
    </row>
    <row r="137" spans="1:63" x14ac:dyDescent="0.35">
      <c r="A137" s="19" t="str">
        <f>VLOOKUP(C137,Master!A:D,4,0)</f>
        <v>FG</v>
      </c>
      <c r="B137" s="14" t="str">
        <f>VLOOKUP(C137,Master!A:C,3,0)</f>
        <v>Small Bags WIP</v>
      </c>
      <c r="C137" s="14" t="s">
        <v>908</v>
      </c>
      <c r="D137" s="2">
        <f t="shared" ref="D137:F137" si="93">+W88</f>
        <v>0</v>
      </c>
      <c r="E137" s="2">
        <f t="shared" si="93"/>
        <v>0</v>
      </c>
      <c r="F137" s="2">
        <f t="shared" si="93"/>
        <v>0</v>
      </c>
      <c r="G137" s="7"/>
      <c r="H137" s="2"/>
      <c r="I137" s="7"/>
      <c r="J137" s="11"/>
      <c r="K137" s="7"/>
      <c r="L137" s="7"/>
      <c r="M137" s="7"/>
      <c r="N137" s="7"/>
      <c r="O137" s="7"/>
      <c r="P137" s="6"/>
      <c r="Q137" s="2"/>
      <c r="R137" s="7"/>
      <c r="S137" s="6"/>
      <c r="T137" s="2">
        <v>0</v>
      </c>
      <c r="U137" s="7"/>
      <c r="V137" s="252"/>
      <c r="W137" s="54">
        <f t="shared" si="50"/>
        <v>0</v>
      </c>
      <c r="X137" s="2">
        <f t="shared" si="55"/>
        <v>0</v>
      </c>
      <c r="Y137" s="2">
        <f t="shared" si="56"/>
        <v>0</v>
      </c>
      <c r="Z137" s="46">
        <v>0</v>
      </c>
      <c r="AA137" s="46">
        <v>0</v>
      </c>
      <c r="AB137" s="46">
        <v>0</v>
      </c>
      <c r="AC137" s="58">
        <f t="shared" si="57"/>
        <v>0</v>
      </c>
      <c r="AD137" s="58">
        <f t="shared" si="58"/>
        <v>0</v>
      </c>
      <c r="AE137" s="12">
        <f t="shared" si="59"/>
        <v>0</v>
      </c>
      <c r="AF137" s="56"/>
      <c r="AG137" s="62"/>
      <c r="AH137" s="117">
        <f t="shared" si="60"/>
        <v>0</v>
      </c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9"/>
      <c r="AZ137" s="115"/>
      <c r="BA137" s="243"/>
      <c r="BB137" s="115"/>
      <c r="BC137" s="115"/>
      <c r="BD137" s="115"/>
      <c r="BE137" s="115"/>
      <c r="BF137" s="115"/>
      <c r="BG137" s="115"/>
      <c r="BH137" s="115"/>
      <c r="BI137" s="115"/>
      <c r="BJ137" s="115"/>
      <c r="BK137" s="116"/>
    </row>
    <row r="138" spans="1:63" ht="15" thickBot="1" x14ac:dyDescent="0.4">
      <c r="A138" s="20" t="str">
        <f>VLOOKUP(C138,Master!A:D,4,0)</f>
        <v>FG</v>
      </c>
      <c r="B138" s="21" t="str">
        <f>VLOOKUP(C138,Master!A:C,3,0)</f>
        <v>Flexitank</v>
      </c>
      <c r="C138" s="21" t="s">
        <v>718</v>
      </c>
      <c r="D138" s="2">
        <f t="shared" ref="D138:F138" si="94">+W89</f>
        <v>0</v>
      </c>
      <c r="E138" s="2">
        <f t="shared" si="94"/>
        <v>0</v>
      </c>
      <c r="F138" s="2">
        <f t="shared" si="94"/>
        <v>0</v>
      </c>
      <c r="G138" s="22"/>
      <c r="H138" s="22"/>
      <c r="I138" s="22"/>
      <c r="J138" s="24"/>
      <c r="K138" s="22"/>
      <c r="L138" s="22"/>
      <c r="M138" s="22"/>
      <c r="N138" s="22"/>
      <c r="O138" s="22"/>
      <c r="P138" s="22"/>
      <c r="Q138" s="2"/>
      <c r="R138" s="22"/>
      <c r="S138" s="22"/>
      <c r="T138" s="2">
        <v>0</v>
      </c>
      <c r="U138" s="22"/>
      <c r="V138" s="253"/>
      <c r="W138" s="54">
        <f t="shared" si="50"/>
        <v>0</v>
      </c>
      <c r="X138" s="2">
        <f t="shared" si="55"/>
        <v>0</v>
      </c>
      <c r="Y138" s="2">
        <f t="shared" si="56"/>
        <v>0</v>
      </c>
      <c r="Z138" s="46">
        <v>0</v>
      </c>
      <c r="AA138" s="46">
        <v>0</v>
      </c>
      <c r="AB138" s="46">
        <v>0</v>
      </c>
      <c r="AC138" s="58">
        <f t="shared" si="57"/>
        <v>0</v>
      </c>
      <c r="AD138" s="58">
        <f t="shared" si="58"/>
        <v>0</v>
      </c>
      <c r="AE138" s="12">
        <f t="shared" si="59"/>
        <v>0</v>
      </c>
      <c r="AF138" s="56"/>
      <c r="AG138" s="65"/>
      <c r="AH138" s="117">
        <f t="shared" si="60"/>
        <v>0</v>
      </c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9"/>
      <c r="AZ138" s="115"/>
      <c r="BA138" s="243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6"/>
    </row>
    <row r="139" spans="1:63" x14ac:dyDescent="0.35">
      <c r="A139" s="536" t="s">
        <v>928</v>
      </c>
      <c r="B139" s="537"/>
      <c r="C139" s="538"/>
      <c r="D139" s="17">
        <f t="shared" ref="D139:AF139" si="95">SUM(D102:D138)</f>
        <v>63896.898888000258</v>
      </c>
      <c r="E139" s="17">
        <f t="shared" si="95"/>
        <v>737064.82000000007</v>
      </c>
      <c r="F139" s="17">
        <f t="shared" si="95"/>
        <v>0</v>
      </c>
      <c r="G139" s="17">
        <f t="shared" si="95"/>
        <v>0</v>
      </c>
      <c r="H139" s="17">
        <f t="shared" si="95"/>
        <v>47982.990000000005</v>
      </c>
      <c r="I139" s="17">
        <f t="shared" si="95"/>
        <v>0</v>
      </c>
      <c r="J139" s="17">
        <f t="shared" si="95"/>
        <v>168625.27</v>
      </c>
      <c r="K139" s="17">
        <f t="shared" si="95"/>
        <v>89940.3</v>
      </c>
      <c r="L139" s="17">
        <f t="shared" si="95"/>
        <v>0</v>
      </c>
      <c r="M139" s="17">
        <f t="shared" si="95"/>
        <v>0</v>
      </c>
      <c r="N139" s="17">
        <f t="shared" si="95"/>
        <v>294182.32</v>
      </c>
      <c r="O139" s="17">
        <f t="shared" si="95"/>
        <v>1235356.97</v>
      </c>
      <c r="P139" s="17">
        <f t="shared" si="95"/>
        <v>1235356.97</v>
      </c>
      <c r="Q139" s="17">
        <f t="shared" si="95"/>
        <v>0</v>
      </c>
      <c r="R139" s="17">
        <f t="shared" si="95"/>
        <v>0</v>
      </c>
      <c r="S139" s="17">
        <f t="shared" si="95"/>
        <v>294182.32</v>
      </c>
      <c r="T139" s="17">
        <f t="shared" si="95"/>
        <v>294182.31999999995</v>
      </c>
      <c r="U139" s="17">
        <f t="shared" si="95"/>
        <v>941174.65</v>
      </c>
      <c r="V139" s="17">
        <f t="shared" si="95"/>
        <v>941174.65</v>
      </c>
      <c r="W139" s="17">
        <f t="shared" si="95"/>
        <v>21939.588888000246</v>
      </c>
      <c r="X139" s="17">
        <f t="shared" si="95"/>
        <v>611507.77</v>
      </c>
      <c r="Y139" s="17">
        <f t="shared" si="95"/>
        <v>0</v>
      </c>
      <c r="Z139" s="17">
        <f t="shared" si="95"/>
        <v>21939.588888000246</v>
      </c>
      <c r="AA139" s="17">
        <f t="shared" si="95"/>
        <v>611507.77</v>
      </c>
      <c r="AB139" s="17">
        <f t="shared" si="95"/>
        <v>0</v>
      </c>
      <c r="AC139" s="17">
        <f t="shared" si="95"/>
        <v>0</v>
      </c>
      <c r="AD139" s="17">
        <f t="shared" si="95"/>
        <v>0</v>
      </c>
      <c r="AE139" s="17">
        <f t="shared" si="95"/>
        <v>0</v>
      </c>
      <c r="AF139" s="57">
        <f t="shared" si="95"/>
        <v>0</v>
      </c>
      <c r="AG139" s="61"/>
      <c r="AH139" s="120">
        <f>SUM(AH102:AH138)</f>
        <v>3065451.2998800324</v>
      </c>
      <c r="AI139" s="114"/>
      <c r="AJ139" s="114"/>
      <c r="AK139" s="114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247"/>
      <c r="AZ139" s="248"/>
      <c r="BA139" s="248"/>
      <c r="BB139" s="122"/>
      <c r="BC139" s="122"/>
      <c r="BD139" s="122"/>
      <c r="BE139" s="122"/>
      <c r="BF139" s="122"/>
      <c r="BG139" s="122"/>
      <c r="BH139" s="122"/>
      <c r="BI139" s="122"/>
      <c r="BJ139" s="115"/>
      <c r="BK139" s="116"/>
    </row>
    <row r="140" spans="1:63" x14ac:dyDescent="0.35">
      <c r="A140" s="533" t="s">
        <v>927</v>
      </c>
      <c r="B140" s="534"/>
      <c r="C140" s="535"/>
      <c r="D140" s="11"/>
      <c r="E140" s="11"/>
      <c r="F140" s="11"/>
      <c r="G140" s="11"/>
      <c r="H140" s="2">
        <v>47982.99</v>
      </c>
      <c r="I140" s="11"/>
      <c r="J140" s="11">
        <v>168625.27</v>
      </c>
      <c r="K140" s="11">
        <v>97520.3</v>
      </c>
      <c r="L140" s="11"/>
      <c r="M140" s="11"/>
      <c r="N140" s="11">
        <v>294182.32</v>
      </c>
      <c r="O140" s="11"/>
      <c r="P140" s="11"/>
      <c r="Q140" s="11"/>
      <c r="R140" s="11"/>
      <c r="S140" s="11"/>
      <c r="T140" s="11"/>
      <c r="U140" s="11"/>
      <c r="V140" s="12"/>
      <c r="W140" s="11"/>
      <c r="X140" s="11"/>
      <c r="Y140" s="12"/>
      <c r="Z140" s="11"/>
      <c r="AA140" s="81">
        <v>611507.77</v>
      </c>
      <c r="AB140" s="11"/>
      <c r="AC140" s="11"/>
      <c r="AD140" s="11"/>
      <c r="AE140" s="11"/>
      <c r="AF140" s="4"/>
      <c r="AG140" s="62"/>
      <c r="AH140" s="117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9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5"/>
      <c r="BJ140" s="115"/>
    </row>
    <row r="141" spans="1:63" ht="15" thickBot="1" x14ac:dyDescent="0.4">
      <c r="A141" s="547" t="s">
        <v>21</v>
      </c>
      <c r="B141" s="548"/>
      <c r="C141" s="549"/>
      <c r="D141" s="23"/>
      <c r="E141" s="23"/>
      <c r="F141" s="23"/>
      <c r="G141" s="24">
        <f>G139-G140</f>
        <v>0</v>
      </c>
      <c r="H141" s="24">
        <f t="shared" ref="H141:N141" si="96">H139-H140</f>
        <v>0</v>
      </c>
      <c r="I141" s="24">
        <f t="shared" si="96"/>
        <v>0</v>
      </c>
      <c r="J141" s="24">
        <f t="shared" si="96"/>
        <v>0</v>
      </c>
      <c r="K141" s="24">
        <f t="shared" si="96"/>
        <v>-7580</v>
      </c>
      <c r="L141" s="24">
        <f t="shared" si="96"/>
        <v>0</v>
      </c>
      <c r="M141" s="24">
        <f t="shared" si="96"/>
        <v>0</v>
      </c>
      <c r="N141" s="24">
        <f t="shared" si="96"/>
        <v>0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80">
        <f>+AA139-AA140</f>
        <v>0</v>
      </c>
      <c r="AB141" s="23"/>
      <c r="AC141" s="23"/>
      <c r="AD141" s="23"/>
      <c r="AE141" s="23"/>
      <c r="AF141" s="25"/>
      <c r="AG141" s="63"/>
      <c r="AH141" s="123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24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115"/>
    </row>
    <row r="142" spans="1:63" x14ac:dyDescent="0.35">
      <c r="O142" s="51" t="s">
        <v>970</v>
      </c>
      <c r="P142" s="70">
        <f>+O139-P139</f>
        <v>0</v>
      </c>
      <c r="S142" s="51" t="s">
        <v>970</v>
      </c>
      <c r="T142" s="70">
        <f>+S139-T139</f>
        <v>0</v>
      </c>
      <c r="W142" s="47"/>
      <c r="X142" s="47"/>
    </row>
    <row r="143" spans="1:63" x14ac:dyDescent="0.35">
      <c r="A143" s="29"/>
      <c r="O143" s="64"/>
      <c r="S143" s="47"/>
      <c r="W143" s="64"/>
      <c r="X143" s="47"/>
      <c r="AH143" s="116">
        <f>+AH116+AH117+AH119+AH124+AH127+AH110+AH102+AH103</f>
        <v>315529.80000000005</v>
      </c>
      <c r="AI143" s="105" t="s">
        <v>932</v>
      </c>
      <c r="AJ143" s="116"/>
      <c r="AK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246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</row>
    <row r="144" spans="1:63" x14ac:dyDescent="0.35">
      <c r="W144" s="47"/>
      <c r="X144" s="47"/>
      <c r="AH144" s="116">
        <f>+AH130</f>
        <v>2749921.4998800326</v>
      </c>
      <c r="AI144" s="105" t="s">
        <v>931</v>
      </c>
      <c r="AJ144" s="116"/>
      <c r="AK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246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</row>
    <row r="145" spans="1:62" x14ac:dyDescent="0.35">
      <c r="X145" s="47"/>
      <c r="AH145" s="116">
        <f>+AH122+AH129+AH132+AH136</f>
        <v>0</v>
      </c>
      <c r="AI145" s="105" t="s">
        <v>930</v>
      </c>
      <c r="AJ145" s="116"/>
      <c r="AK145" s="116"/>
      <c r="AM145" s="116"/>
      <c r="AN145" s="116"/>
      <c r="AO145" s="116"/>
      <c r="AP145" s="116"/>
      <c r="AQ145" s="116"/>
      <c r="AR145" s="116"/>
      <c r="AS145" s="116"/>
      <c r="AT145" s="116"/>
      <c r="AU145" s="116"/>
      <c r="AV145" s="116"/>
      <c r="AW145" s="116"/>
      <c r="AX145" s="116"/>
      <c r="AY145" s="246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</row>
    <row r="146" spans="1:62" x14ac:dyDescent="0.35">
      <c r="AH146" s="116">
        <f>+AH139-AH143-AH144-AH145</f>
        <v>0</v>
      </c>
      <c r="AI146" s="116" t="s">
        <v>1031</v>
      </c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246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24"/>
    </row>
    <row r="149" spans="1:62" ht="15" thickBot="1" x14ac:dyDescent="0.4">
      <c r="A149" s="5"/>
      <c r="B149" s="5"/>
      <c r="C149" s="8"/>
      <c r="D149" s="539" t="s">
        <v>0</v>
      </c>
      <c r="E149" s="540"/>
      <c r="F149" s="540"/>
      <c r="G149" s="541" t="s">
        <v>3033</v>
      </c>
      <c r="H149" s="542"/>
      <c r="I149" s="542"/>
      <c r="J149" s="542"/>
      <c r="K149" s="542"/>
      <c r="L149" s="542"/>
      <c r="M149" s="542"/>
      <c r="N149" s="542"/>
      <c r="O149" s="542"/>
      <c r="P149" s="542"/>
      <c r="Q149" s="542"/>
      <c r="R149" s="542"/>
      <c r="S149" s="542"/>
      <c r="T149" s="542"/>
      <c r="U149" s="542"/>
      <c r="V149" s="543"/>
      <c r="W149" s="554" t="s">
        <v>20</v>
      </c>
      <c r="X149" s="554"/>
      <c r="Y149" s="554"/>
      <c r="Z149" s="553" t="s">
        <v>929</v>
      </c>
      <c r="AA149" s="553"/>
      <c r="AB149" s="553"/>
      <c r="AC149" s="553" t="s">
        <v>21</v>
      </c>
      <c r="AD149" s="553"/>
      <c r="AE149" s="553"/>
      <c r="AF149" s="13"/>
      <c r="AG149" s="531"/>
      <c r="AH149" s="532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</row>
    <row r="150" spans="1:62" ht="29.5" thickBot="1" x14ac:dyDescent="0.4">
      <c r="A150" s="10" t="s">
        <v>24</v>
      </c>
      <c r="B150" s="10" t="s">
        <v>924</v>
      </c>
      <c r="C150" s="10" t="s">
        <v>23</v>
      </c>
      <c r="D150" s="26" t="s">
        <v>1</v>
      </c>
      <c r="E150" s="27" t="s">
        <v>2</v>
      </c>
      <c r="F150" s="27" t="s">
        <v>3</v>
      </c>
      <c r="G150" s="27" t="s">
        <v>4</v>
      </c>
      <c r="H150" s="27" t="s">
        <v>5</v>
      </c>
      <c r="I150" s="27" t="s">
        <v>6</v>
      </c>
      <c r="J150" s="27" t="s">
        <v>7</v>
      </c>
      <c r="K150" s="27" t="s">
        <v>8</v>
      </c>
      <c r="L150" s="27" t="s">
        <v>9</v>
      </c>
      <c r="M150" s="27" t="s">
        <v>10</v>
      </c>
      <c r="N150" s="27" t="s">
        <v>11</v>
      </c>
      <c r="O150" s="27" t="s">
        <v>12</v>
      </c>
      <c r="P150" s="27" t="s">
        <v>13</v>
      </c>
      <c r="Q150" s="27" t="s">
        <v>14</v>
      </c>
      <c r="R150" s="27" t="s">
        <v>15</v>
      </c>
      <c r="S150" s="27" t="s">
        <v>16</v>
      </c>
      <c r="T150" s="27" t="s">
        <v>17</v>
      </c>
      <c r="U150" s="27" t="s">
        <v>18</v>
      </c>
      <c r="V150" s="27" t="s">
        <v>19</v>
      </c>
      <c r="W150" s="28" t="s">
        <v>1</v>
      </c>
      <c r="X150" s="28" t="s">
        <v>2</v>
      </c>
      <c r="Y150" s="28" t="s">
        <v>3</v>
      </c>
      <c r="Z150" s="28" t="s">
        <v>1</v>
      </c>
      <c r="AA150" s="50" t="s">
        <v>2</v>
      </c>
      <c r="AB150" s="27" t="s">
        <v>3</v>
      </c>
      <c r="AC150" s="27" t="s">
        <v>1</v>
      </c>
      <c r="AD150" s="27" t="s">
        <v>2</v>
      </c>
      <c r="AE150" s="27" t="s">
        <v>3</v>
      </c>
      <c r="AF150" s="55" t="s">
        <v>22</v>
      </c>
      <c r="AG150" s="59" t="s">
        <v>934</v>
      </c>
      <c r="AH150" s="110" t="s">
        <v>933</v>
      </c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2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</row>
    <row r="151" spans="1:62" x14ac:dyDescent="0.35">
      <c r="A151" s="15" t="str">
        <f>VLOOKUP(C151,Master!A:D,4,0)</f>
        <v>RM</v>
      </c>
      <c r="B151" s="16" t="str">
        <f>VLOOKUP(C151,Master!A:C,3,0)</f>
        <v>Granuals</v>
      </c>
      <c r="C151" s="16" t="s">
        <v>32</v>
      </c>
      <c r="D151" s="17">
        <f>+W102</f>
        <v>1569.8000000000002</v>
      </c>
      <c r="E151" s="17">
        <f t="shared" ref="E151:F152" si="97">+X102</f>
        <v>375</v>
      </c>
      <c r="F151" s="17">
        <f t="shared" si="97"/>
        <v>0</v>
      </c>
      <c r="G151" s="17"/>
      <c r="H151" s="17">
        <f>+GETPIVOTDATA("Sum of Acceptedqty",Purchase!$A$1,"Itemname","MB Karnavati Polyplast Blue")</f>
        <v>925</v>
      </c>
      <c r="I151" s="71"/>
      <c r="J151" s="17">
        <f>+GETPIVOTDATA("Acceptedqty",'Job Received'!$A$1,"Itemname","MB Karnavati Polyplast Blue")</f>
        <v>150</v>
      </c>
      <c r="K151" s="17"/>
      <c r="L151" s="17"/>
      <c r="M151" s="17"/>
      <c r="N151" s="17"/>
      <c r="O151" s="17"/>
      <c r="P151" s="17">
        <v>325</v>
      </c>
      <c r="Q151" s="17"/>
      <c r="R151" s="17"/>
      <c r="S151" s="17"/>
      <c r="T151" s="17">
        <v>325</v>
      </c>
      <c r="U151" s="17">
        <f t="shared" ref="U151:U187" si="98">O151-S151</f>
        <v>0</v>
      </c>
      <c r="V151" s="17">
        <f t="shared" ref="V151:V187" si="99">P151-T151</f>
        <v>0</v>
      </c>
      <c r="W151" s="17">
        <f>D151+G151+H151+I151-K151-L151-M151-V151+U151</f>
        <v>2494.8000000000002</v>
      </c>
      <c r="X151" s="17">
        <f t="shared" ref="X151:X152" si="100">E151+J151-N151-T151+S151</f>
        <v>200</v>
      </c>
      <c r="Y151" s="17">
        <f t="shared" ref="Y151:Y152" si="101">F151-I151+M151-R151+Q151</f>
        <v>0</v>
      </c>
      <c r="Z151" s="48">
        <v>2494.8000000000002</v>
      </c>
      <c r="AA151" s="49">
        <v>200</v>
      </c>
      <c r="AB151" s="45">
        <v>0</v>
      </c>
      <c r="AC151" s="72">
        <f>W151-Z151</f>
        <v>0</v>
      </c>
      <c r="AD151" s="18">
        <f t="shared" ref="AD151:AD152" si="102">X151-AA151</f>
        <v>0</v>
      </c>
      <c r="AE151" s="18">
        <f>Y151-AB151</f>
        <v>0</v>
      </c>
      <c r="AF151" s="56"/>
      <c r="AG151" s="61">
        <f>+Purchase!D5</f>
        <v>190.13513513513513</v>
      </c>
      <c r="AH151" s="113">
        <f>+W151*AG151</f>
        <v>474349.13513513515</v>
      </c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9"/>
      <c r="AZ151" s="115"/>
      <c r="BA151" s="243"/>
      <c r="BB151" s="115"/>
      <c r="BC151" s="115"/>
      <c r="BD151" s="115"/>
      <c r="BE151" s="115"/>
      <c r="BF151" s="115"/>
      <c r="BG151" s="115"/>
      <c r="BH151" s="115"/>
      <c r="BI151" s="115"/>
      <c r="BJ151" s="115"/>
    </row>
    <row r="152" spans="1:62" x14ac:dyDescent="0.35">
      <c r="A152" s="19" t="str">
        <f>VLOOKUP(C152,Master!A:D,4,0)</f>
        <v>RM</v>
      </c>
      <c r="B152" s="14" t="str">
        <f>VLOOKUP(C152,Master!A:C,3,0)</f>
        <v>Granuals</v>
      </c>
      <c r="C152" s="14" t="s">
        <v>37</v>
      </c>
      <c r="D152" s="2">
        <f>+W103</f>
        <v>0</v>
      </c>
      <c r="E152" s="2">
        <f t="shared" si="97"/>
        <v>284500</v>
      </c>
      <c r="F152" s="2">
        <f t="shared" si="97"/>
        <v>0</v>
      </c>
      <c r="G152" s="2"/>
      <c r="H152" s="2">
        <f>+GETPIVOTDATA("Sum of Acceptedqty",Purchase!$A$1,"Itemname","PP Granules")</f>
        <v>182900</v>
      </c>
      <c r="I152" s="6"/>
      <c r="J152" s="2">
        <f>+GETPIVOTDATA("Acceptedqty",'Job Received'!$A$1,"Itemname","PP Granules")</f>
        <v>117000</v>
      </c>
      <c r="K152" s="2"/>
      <c r="L152" s="2"/>
      <c r="M152" s="2"/>
      <c r="N152" s="2"/>
      <c r="O152" s="2"/>
      <c r="P152" s="2">
        <v>213105.58</v>
      </c>
      <c r="Q152" s="2"/>
      <c r="R152" s="2"/>
      <c r="S152" s="2"/>
      <c r="T152" s="2">
        <v>60200.299999999988</v>
      </c>
      <c r="U152" s="2">
        <f t="shared" si="98"/>
        <v>0</v>
      </c>
      <c r="V152" s="2">
        <f t="shared" si="99"/>
        <v>152905.28</v>
      </c>
      <c r="W152" s="54">
        <f t="shared" ref="W152:W187" si="103">D152+G152+H152+I152-K152-L152-M152-V152+U152</f>
        <v>29994.720000000001</v>
      </c>
      <c r="X152" s="2">
        <f t="shared" si="100"/>
        <v>341299.7</v>
      </c>
      <c r="Y152" s="2">
        <f t="shared" si="101"/>
        <v>0</v>
      </c>
      <c r="Z152" s="46">
        <v>29994.720000000001</v>
      </c>
      <c r="AA152" s="46">
        <v>341299.7</v>
      </c>
      <c r="AB152" s="46">
        <v>0</v>
      </c>
      <c r="AC152" s="46">
        <f t="shared" ref="AC152" si="104">W152-Z152</f>
        <v>0</v>
      </c>
      <c r="AD152" s="12">
        <f t="shared" si="102"/>
        <v>0</v>
      </c>
      <c r="AE152" s="12">
        <f t="shared" ref="AE152" si="105">Y152-AB152</f>
        <v>0</v>
      </c>
      <c r="AF152" s="56"/>
      <c r="AG152" s="60">
        <f>+Purchase!D2</f>
        <v>116.05597047566977</v>
      </c>
      <c r="AH152" s="117">
        <f>+W152*AG152</f>
        <v>3481066.3387459815</v>
      </c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9"/>
      <c r="AZ152" s="115"/>
      <c r="BA152" s="243"/>
      <c r="BB152" s="115"/>
      <c r="BC152" s="115"/>
      <c r="BD152" s="115"/>
      <c r="BE152" s="115"/>
      <c r="BF152" s="115"/>
      <c r="BG152" s="115"/>
      <c r="BH152" s="115"/>
      <c r="BI152" s="115"/>
      <c r="BJ152" s="115"/>
    </row>
    <row r="153" spans="1:62" x14ac:dyDescent="0.35">
      <c r="A153" s="19" t="str">
        <f>VLOOKUP(C153,Master!A:D,4,0)</f>
        <v>RM</v>
      </c>
      <c r="B153" s="14" t="str">
        <f>VLOOKUP(C153,Master!A:C,3,0)</f>
        <v>Granuals</v>
      </c>
      <c r="C153" s="14" t="s">
        <v>40</v>
      </c>
      <c r="D153" s="2">
        <f t="shared" ref="D153:D187" si="106">+W104</f>
        <v>0</v>
      </c>
      <c r="E153" s="2">
        <f t="shared" ref="E153:E187" si="107">+X104</f>
        <v>0</v>
      </c>
      <c r="F153" s="2">
        <f t="shared" ref="F153:F187" si="108">+Y104</f>
        <v>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>
        <v>0</v>
      </c>
      <c r="U153" s="2">
        <f t="shared" si="98"/>
        <v>0</v>
      </c>
      <c r="V153" s="2">
        <f t="shared" si="99"/>
        <v>0</v>
      </c>
      <c r="W153" s="54">
        <f t="shared" si="103"/>
        <v>0</v>
      </c>
      <c r="X153" s="2">
        <f t="shared" ref="X153:X187" si="109">E153+J153-N153-T153+S153</f>
        <v>0</v>
      </c>
      <c r="Y153" s="2">
        <f t="shared" ref="Y153:Y187" si="110">F153-I153+M153-R153+Q153</f>
        <v>0</v>
      </c>
      <c r="Z153" s="46">
        <v>0</v>
      </c>
      <c r="AA153" s="46">
        <v>0</v>
      </c>
      <c r="AB153" s="46">
        <v>0</v>
      </c>
      <c r="AC153" s="46">
        <f t="shared" ref="AC153:AC187" si="111">W153-Z153</f>
        <v>0</v>
      </c>
      <c r="AD153" s="12">
        <f t="shared" ref="AD153:AD187" si="112">X153-AA153</f>
        <v>0</v>
      </c>
      <c r="AE153" s="12">
        <f t="shared" ref="AE153:AE187" si="113">Y153-AB153</f>
        <v>0</v>
      </c>
      <c r="AF153" s="56"/>
      <c r="AG153" s="62"/>
      <c r="AH153" s="117">
        <f t="shared" ref="AH153:AH187" si="114">+W153*AG153</f>
        <v>0</v>
      </c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9"/>
      <c r="AZ153" s="115"/>
      <c r="BA153" s="243"/>
      <c r="BB153" s="115"/>
      <c r="BC153" s="115"/>
      <c r="BD153" s="115"/>
      <c r="BE153" s="115"/>
      <c r="BF153" s="115"/>
      <c r="BG153" s="115"/>
      <c r="BH153" s="115"/>
      <c r="BI153" s="115"/>
      <c r="BJ153" s="115"/>
    </row>
    <row r="154" spans="1:62" x14ac:dyDescent="0.35">
      <c r="A154" s="19" t="str">
        <f>VLOOKUP(C154,Master!A:D,4,0)</f>
        <v>RM</v>
      </c>
      <c r="B154" s="14" t="str">
        <f>VLOOKUP(C154,Master!A:C,3,0)</f>
        <v>Granuals</v>
      </c>
      <c r="C154" s="14" t="s">
        <v>46</v>
      </c>
      <c r="D154" s="2">
        <f t="shared" si="106"/>
        <v>0</v>
      </c>
      <c r="E154" s="2">
        <f t="shared" si="107"/>
        <v>13000</v>
      </c>
      <c r="F154" s="2">
        <f t="shared" si="108"/>
        <v>0</v>
      </c>
      <c r="G154" s="2"/>
      <c r="H154" s="2">
        <f>+GETPIVOTDATA("Sum of Acceptedqty",Purchase!$A$1,"Itemname","LDPE Granuals")</f>
        <v>1000</v>
      </c>
      <c r="I154" s="2"/>
      <c r="J154" s="2">
        <f>+GETPIVOTDATA("Acceptedqty",'Job Received'!$A$1,"Itemname","LDPE Sumitomo L705")</f>
        <v>2000</v>
      </c>
      <c r="K154" s="2"/>
      <c r="L154" s="2"/>
      <c r="M154" s="2"/>
      <c r="N154" s="2"/>
      <c r="O154" s="2"/>
      <c r="P154" s="2">
        <v>1000</v>
      </c>
      <c r="Q154" s="2"/>
      <c r="R154" s="2"/>
      <c r="S154" s="2"/>
      <c r="T154" s="2">
        <v>0</v>
      </c>
      <c r="U154" s="2">
        <f t="shared" si="98"/>
        <v>0</v>
      </c>
      <c r="V154" s="2">
        <f t="shared" si="99"/>
        <v>1000</v>
      </c>
      <c r="W154" s="54">
        <f t="shared" si="103"/>
        <v>0</v>
      </c>
      <c r="X154" s="2">
        <f t="shared" si="109"/>
        <v>15000</v>
      </c>
      <c r="Y154" s="2">
        <f t="shared" si="110"/>
        <v>0</v>
      </c>
      <c r="Z154" s="46">
        <v>0</v>
      </c>
      <c r="AA154" s="46">
        <v>15000</v>
      </c>
      <c r="AB154" s="46">
        <v>0</v>
      </c>
      <c r="AC154" s="46">
        <f t="shared" si="111"/>
        <v>0</v>
      </c>
      <c r="AD154" s="12">
        <f t="shared" si="112"/>
        <v>0</v>
      </c>
      <c r="AE154" s="12">
        <f t="shared" si="113"/>
        <v>0</v>
      </c>
      <c r="AF154" s="56"/>
      <c r="AG154" s="62"/>
      <c r="AH154" s="117">
        <f t="shared" si="114"/>
        <v>0</v>
      </c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9"/>
      <c r="AZ154" s="115"/>
      <c r="BA154" s="243"/>
      <c r="BB154" s="115"/>
      <c r="BC154" s="115"/>
      <c r="BD154" s="115"/>
      <c r="BE154" s="115"/>
      <c r="BF154" s="115"/>
      <c r="BG154" s="115"/>
      <c r="BH154" s="115"/>
      <c r="BI154" s="115"/>
      <c r="BJ154" s="115"/>
    </row>
    <row r="155" spans="1:62" x14ac:dyDescent="0.35">
      <c r="A155" s="19" t="str">
        <f>VLOOKUP(C155,Master!A:D,4,0)</f>
        <v>RM</v>
      </c>
      <c r="B155" s="14" t="str">
        <f>VLOOKUP(C155,Master!A:C,3,0)</f>
        <v>Granuals</v>
      </c>
      <c r="C155" s="14" t="s">
        <v>49</v>
      </c>
      <c r="D155" s="2">
        <f t="shared" si="106"/>
        <v>0</v>
      </c>
      <c r="E155" s="2">
        <f t="shared" si="107"/>
        <v>0</v>
      </c>
      <c r="F155" s="2">
        <f t="shared" si="108"/>
        <v>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>
        <v>0</v>
      </c>
      <c r="U155" s="2">
        <f t="shared" si="98"/>
        <v>0</v>
      </c>
      <c r="V155" s="2">
        <f t="shared" si="99"/>
        <v>0</v>
      </c>
      <c r="W155" s="54">
        <f t="shared" si="103"/>
        <v>0</v>
      </c>
      <c r="X155" s="2">
        <f t="shared" si="109"/>
        <v>0</v>
      </c>
      <c r="Y155" s="2">
        <f t="shared" si="110"/>
        <v>0</v>
      </c>
      <c r="Z155" s="46">
        <v>0</v>
      </c>
      <c r="AA155" s="46">
        <v>0</v>
      </c>
      <c r="AB155" s="46">
        <v>0</v>
      </c>
      <c r="AC155" s="46">
        <f t="shared" si="111"/>
        <v>0</v>
      </c>
      <c r="AD155" s="12">
        <f t="shared" si="112"/>
        <v>0</v>
      </c>
      <c r="AE155" s="12">
        <f t="shared" si="113"/>
        <v>0</v>
      </c>
      <c r="AF155" s="56"/>
      <c r="AG155" s="62"/>
      <c r="AH155" s="117">
        <f t="shared" si="114"/>
        <v>0</v>
      </c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9"/>
      <c r="AZ155" s="115"/>
      <c r="BA155" s="243"/>
      <c r="BB155" s="115"/>
      <c r="BC155" s="115"/>
      <c r="BD155" s="115"/>
      <c r="BE155" s="115"/>
      <c r="BF155" s="115"/>
      <c r="BG155" s="115"/>
      <c r="BH155" s="115"/>
      <c r="BI155" s="115"/>
      <c r="BJ155" s="115"/>
    </row>
    <row r="156" spans="1:62" x14ac:dyDescent="0.35">
      <c r="A156" s="19" t="str">
        <f>VLOOKUP(C156,Master!A:D,4,0)</f>
        <v>RM</v>
      </c>
      <c r="B156" s="14" t="str">
        <f>VLOOKUP(C156,Master!A:C,3,0)</f>
        <v>Granuals</v>
      </c>
      <c r="C156" s="14" t="s">
        <v>55</v>
      </c>
      <c r="D156" s="2">
        <f t="shared" si="106"/>
        <v>0</v>
      </c>
      <c r="E156" s="2">
        <f t="shared" si="107"/>
        <v>23745.7</v>
      </c>
      <c r="F156" s="2">
        <f t="shared" si="108"/>
        <v>0</v>
      </c>
      <c r="G156" s="2"/>
      <c r="H156" s="2"/>
      <c r="I156" s="2"/>
      <c r="J156" s="2">
        <f>+GETPIVOTDATA("Acceptedqty",'Job Received'!$A$1,"Itemname","UV Arguvin FG 626 LD")</f>
        <v>3975</v>
      </c>
      <c r="K156" s="2"/>
      <c r="L156" s="2"/>
      <c r="M156" s="2"/>
      <c r="N156" s="2"/>
      <c r="O156" s="2"/>
      <c r="P156" s="2">
        <v>2170.7000000000007</v>
      </c>
      <c r="Q156" s="2"/>
      <c r="R156" s="2"/>
      <c r="S156" s="2"/>
      <c r="T156" s="2">
        <v>2170.7000000000007</v>
      </c>
      <c r="U156" s="2">
        <f t="shared" si="98"/>
        <v>0</v>
      </c>
      <c r="V156" s="2">
        <f t="shared" si="99"/>
        <v>0</v>
      </c>
      <c r="W156" s="54">
        <f t="shared" si="103"/>
        <v>0</v>
      </c>
      <c r="X156" s="2">
        <f t="shared" si="109"/>
        <v>25550</v>
      </c>
      <c r="Y156" s="2">
        <f t="shared" si="110"/>
        <v>0</v>
      </c>
      <c r="Z156" s="46">
        <v>0</v>
      </c>
      <c r="AA156" s="46">
        <v>25550</v>
      </c>
      <c r="AB156" s="46">
        <v>0</v>
      </c>
      <c r="AC156" s="46">
        <f t="shared" si="111"/>
        <v>0</v>
      </c>
      <c r="AD156" s="12">
        <f t="shared" si="112"/>
        <v>0</v>
      </c>
      <c r="AE156" s="12">
        <f t="shared" si="113"/>
        <v>0</v>
      </c>
      <c r="AF156" s="56"/>
      <c r="AG156" s="62"/>
      <c r="AH156" s="117">
        <f t="shared" si="114"/>
        <v>0</v>
      </c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9"/>
      <c r="AZ156" s="115"/>
      <c r="BA156" s="243"/>
      <c r="BB156" s="115"/>
      <c r="BC156" s="115"/>
      <c r="BD156" s="115"/>
      <c r="BE156" s="115"/>
      <c r="BF156" s="115"/>
      <c r="BG156" s="115"/>
      <c r="BH156" s="115"/>
      <c r="BI156" s="115"/>
      <c r="BJ156" s="115"/>
    </row>
    <row r="157" spans="1:62" x14ac:dyDescent="0.35">
      <c r="A157" s="19" t="str">
        <f>VLOOKUP(C157,Master!A:D,4,0)</f>
        <v>RM</v>
      </c>
      <c r="B157" s="14" t="str">
        <f>VLOOKUP(C157,Master!A:C,3,0)</f>
        <v>FIBC Accessories</v>
      </c>
      <c r="C157" s="14" t="s">
        <v>69</v>
      </c>
      <c r="D157" s="2">
        <f t="shared" si="106"/>
        <v>0</v>
      </c>
      <c r="E157" s="2">
        <f t="shared" si="107"/>
        <v>0</v>
      </c>
      <c r="F157" s="2">
        <f t="shared" si="108"/>
        <v>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>
        <v>0</v>
      </c>
      <c r="U157" s="2">
        <f t="shared" si="98"/>
        <v>0</v>
      </c>
      <c r="V157" s="2">
        <f t="shared" si="99"/>
        <v>0</v>
      </c>
      <c r="W157" s="54">
        <f t="shared" si="103"/>
        <v>0</v>
      </c>
      <c r="X157" s="2">
        <f t="shared" si="109"/>
        <v>0</v>
      </c>
      <c r="Y157" s="2">
        <f t="shared" si="110"/>
        <v>0</v>
      </c>
      <c r="Z157" s="46">
        <v>0</v>
      </c>
      <c r="AA157" s="46">
        <v>0</v>
      </c>
      <c r="AB157" s="46">
        <v>0</v>
      </c>
      <c r="AC157" s="46">
        <f t="shared" si="111"/>
        <v>0</v>
      </c>
      <c r="AD157" s="12">
        <f t="shared" si="112"/>
        <v>0</v>
      </c>
      <c r="AE157" s="12">
        <f t="shared" si="113"/>
        <v>0</v>
      </c>
      <c r="AF157" s="56"/>
      <c r="AG157" s="62"/>
      <c r="AH157" s="117">
        <f t="shared" si="114"/>
        <v>0</v>
      </c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9"/>
      <c r="AZ157" s="115"/>
      <c r="BA157" s="243"/>
      <c r="BB157" s="115"/>
      <c r="BC157" s="115"/>
      <c r="BD157" s="115"/>
      <c r="BE157" s="115"/>
      <c r="BF157" s="115"/>
      <c r="BG157" s="115"/>
      <c r="BH157" s="115"/>
      <c r="BI157" s="115"/>
      <c r="BJ157" s="115"/>
    </row>
    <row r="158" spans="1:62" x14ac:dyDescent="0.35">
      <c r="A158" s="19" t="str">
        <f>VLOOKUP(C158,Master!A:D,4,0)</f>
        <v>RM</v>
      </c>
      <c r="B158" s="14" t="str">
        <f>VLOOKUP(C158,Master!A:C,3,0)</f>
        <v>Films All</v>
      </c>
      <c r="C158" s="14" t="s">
        <v>71</v>
      </c>
      <c r="D158" s="2">
        <f t="shared" si="106"/>
        <v>0</v>
      </c>
      <c r="E158" s="2">
        <f t="shared" si="107"/>
        <v>0</v>
      </c>
      <c r="F158" s="2">
        <f t="shared" si="108"/>
        <v>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>
        <v>0</v>
      </c>
      <c r="U158" s="2">
        <f t="shared" si="98"/>
        <v>0</v>
      </c>
      <c r="V158" s="2">
        <f t="shared" si="99"/>
        <v>0</v>
      </c>
      <c r="W158" s="54">
        <f t="shared" si="103"/>
        <v>0</v>
      </c>
      <c r="X158" s="2">
        <f t="shared" si="109"/>
        <v>0</v>
      </c>
      <c r="Y158" s="2">
        <f t="shared" si="110"/>
        <v>0</v>
      </c>
      <c r="Z158" s="46">
        <v>0</v>
      </c>
      <c r="AA158" s="46">
        <v>0</v>
      </c>
      <c r="AB158" s="46">
        <v>0</v>
      </c>
      <c r="AC158" s="46">
        <f t="shared" si="111"/>
        <v>0</v>
      </c>
      <c r="AD158" s="12">
        <f t="shared" si="112"/>
        <v>0</v>
      </c>
      <c r="AE158" s="12">
        <f t="shared" si="113"/>
        <v>0</v>
      </c>
      <c r="AF158" s="56"/>
      <c r="AG158" s="62"/>
      <c r="AH158" s="117">
        <f t="shared" si="114"/>
        <v>0</v>
      </c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9"/>
      <c r="AZ158" s="115"/>
      <c r="BA158" s="243"/>
      <c r="BB158" s="115"/>
      <c r="BC158" s="115"/>
      <c r="BD158" s="115"/>
      <c r="BE158" s="115"/>
      <c r="BF158" s="115"/>
      <c r="BG158" s="115"/>
      <c r="BH158" s="115"/>
      <c r="BI158" s="115"/>
      <c r="BJ158" s="115"/>
    </row>
    <row r="159" spans="1:62" x14ac:dyDescent="0.35">
      <c r="A159" s="19" t="str">
        <f>VLOOKUP(C159,Master!A:D,4,0)</f>
        <v>RM</v>
      </c>
      <c r="B159" s="14" t="str">
        <f>VLOOKUP(C159,Master!A:C,3,0)</f>
        <v>Granuals</v>
      </c>
      <c r="C159" s="14" t="s">
        <v>85</v>
      </c>
      <c r="D159" s="2">
        <f t="shared" si="106"/>
        <v>0</v>
      </c>
      <c r="E159" s="2">
        <f t="shared" si="107"/>
        <v>2000</v>
      </c>
      <c r="F159" s="2">
        <f t="shared" si="108"/>
        <v>0</v>
      </c>
      <c r="G159" s="2"/>
      <c r="H159" s="2"/>
      <c r="I159" s="6"/>
      <c r="J159" s="2"/>
      <c r="K159" s="2"/>
      <c r="L159" s="2"/>
      <c r="M159" s="2"/>
      <c r="N159" s="2"/>
      <c r="O159" s="2"/>
      <c r="P159" s="2">
        <v>2000</v>
      </c>
      <c r="Q159" s="2"/>
      <c r="R159" s="2"/>
      <c r="S159" s="2"/>
      <c r="T159" s="2">
        <v>2000</v>
      </c>
      <c r="U159" s="2">
        <f t="shared" si="98"/>
        <v>0</v>
      </c>
      <c r="V159" s="2">
        <f t="shared" si="99"/>
        <v>0</v>
      </c>
      <c r="W159" s="54">
        <f t="shared" si="103"/>
        <v>0</v>
      </c>
      <c r="X159" s="2">
        <f t="shared" si="109"/>
        <v>0</v>
      </c>
      <c r="Y159" s="2">
        <f t="shared" si="110"/>
        <v>0</v>
      </c>
      <c r="Z159" s="46">
        <v>0</v>
      </c>
      <c r="AA159" s="46"/>
      <c r="AB159" s="46">
        <v>0</v>
      </c>
      <c r="AC159" s="46">
        <f t="shared" si="111"/>
        <v>0</v>
      </c>
      <c r="AD159" s="12">
        <f t="shared" si="112"/>
        <v>0</v>
      </c>
      <c r="AE159" s="12">
        <f t="shared" si="113"/>
        <v>0</v>
      </c>
      <c r="AF159" s="56"/>
      <c r="AG159" s="60"/>
      <c r="AH159" s="117">
        <f t="shared" si="114"/>
        <v>0</v>
      </c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9"/>
      <c r="AZ159" s="115"/>
      <c r="BA159" s="243"/>
      <c r="BB159" s="115"/>
      <c r="BC159" s="115"/>
      <c r="BD159" s="115"/>
      <c r="BE159" s="115"/>
      <c r="BF159" s="115"/>
      <c r="BG159" s="115"/>
      <c r="BH159" s="115"/>
      <c r="BI159" s="115"/>
      <c r="BJ159" s="115"/>
    </row>
    <row r="160" spans="1:62" x14ac:dyDescent="0.35">
      <c r="A160" s="19" t="str">
        <f>VLOOKUP(C160,Master!A:D,4,0)</f>
        <v>RM</v>
      </c>
      <c r="B160" s="14" t="str">
        <f>VLOOKUP(C160,Master!A:C,3,0)</f>
        <v>Films All</v>
      </c>
      <c r="C160" s="14" t="s">
        <v>180</v>
      </c>
      <c r="D160" s="2">
        <f t="shared" si="106"/>
        <v>0</v>
      </c>
      <c r="E160" s="2">
        <f t="shared" si="107"/>
        <v>0</v>
      </c>
      <c r="F160" s="2">
        <f t="shared" si="108"/>
        <v>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>
        <v>0</v>
      </c>
      <c r="U160" s="2">
        <f t="shared" si="98"/>
        <v>0</v>
      </c>
      <c r="V160" s="2">
        <f t="shared" si="99"/>
        <v>0</v>
      </c>
      <c r="W160" s="54">
        <f t="shared" si="103"/>
        <v>0</v>
      </c>
      <c r="X160" s="2">
        <f t="shared" si="109"/>
        <v>0</v>
      </c>
      <c r="Y160" s="2">
        <f t="shared" si="110"/>
        <v>0</v>
      </c>
      <c r="Z160" s="46">
        <v>0</v>
      </c>
      <c r="AA160" s="46">
        <v>0</v>
      </c>
      <c r="AB160" s="46">
        <v>0</v>
      </c>
      <c r="AC160" s="46">
        <f t="shared" si="111"/>
        <v>0</v>
      </c>
      <c r="AD160" s="12">
        <f t="shared" si="112"/>
        <v>0</v>
      </c>
      <c r="AE160" s="12">
        <f t="shared" si="113"/>
        <v>0</v>
      </c>
      <c r="AF160" s="56"/>
      <c r="AG160" s="62"/>
      <c r="AH160" s="117">
        <f t="shared" si="114"/>
        <v>0</v>
      </c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9"/>
      <c r="AZ160" s="115"/>
      <c r="BA160" s="243"/>
      <c r="BB160" s="115"/>
      <c r="BC160" s="115"/>
      <c r="BD160" s="115"/>
      <c r="BE160" s="115"/>
      <c r="BF160" s="115"/>
      <c r="BG160" s="115"/>
      <c r="BH160" s="115"/>
      <c r="BI160" s="115"/>
      <c r="BJ160" s="115"/>
    </row>
    <row r="161" spans="1:62" x14ac:dyDescent="0.35">
      <c r="A161" s="19" t="str">
        <f>VLOOKUP(C161,Master!A:D,4,0)</f>
        <v>RM</v>
      </c>
      <c r="B161" s="14" t="str">
        <f>VLOOKUP(C161,Master!A:C,3,0)</f>
        <v>Granuals</v>
      </c>
      <c r="C161" s="14" t="s">
        <v>277</v>
      </c>
      <c r="D161" s="2">
        <f t="shared" si="106"/>
        <v>0</v>
      </c>
      <c r="E161" s="2">
        <f t="shared" si="107"/>
        <v>0</v>
      </c>
      <c r="F161" s="2">
        <f t="shared" si="108"/>
        <v>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>
        <v>0</v>
      </c>
      <c r="U161" s="2">
        <f t="shared" si="98"/>
        <v>0</v>
      </c>
      <c r="V161" s="2">
        <f t="shared" si="99"/>
        <v>0</v>
      </c>
      <c r="W161" s="54">
        <f t="shared" si="103"/>
        <v>0</v>
      </c>
      <c r="X161" s="2">
        <f t="shared" si="109"/>
        <v>0</v>
      </c>
      <c r="Y161" s="2">
        <f t="shared" si="110"/>
        <v>0</v>
      </c>
      <c r="Z161" s="46">
        <v>0</v>
      </c>
      <c r="AA161" s="46">
        <v>0</v>
      </c>
      <c r="AB161" s="46">
        <v>0</v>
      </c>
      <c r="AC161" s="46">
        <f t="shared" si="111"/>
        <v>0</v>
      </c>
      <c r="AD161" s="12">
        <f t="shared" si="112"/>
        <v>0</v>
      </c>
      <c r="AE161" s="12">
        <f t="shared" si="113"/>
        <v>0</v>
      </c>
      <c r="AF161" s="56"/>
      <c r="AG161" s="62"/>
      <c r="AH161" s="117">
        <f t="shared" si="114"/>
        <v>0</v>
      </c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9"/>
      <c r="AZ161" s="115"/>
      <c r="BA161" s="243"/>
      <c r="BB161" s="115"/>
      <c r="BC161" s="115"/>
      <c r="BD161" s="115"/>
      <c r="BE161" s="115"/>
      <c r="BF161" s="115"/>
      <c r="BG161" s="115"/>
      <c r="BH161" s="115"/>
      <c r="BI161" s="115"/>
      <c r="BJ161" s="115"/>
    </row>
    <row r="162" spans="1:62" x14ac:dyDescent="0.35">
      <c r="A162" s="19" t="str">
        <f>VLOOKUP(C162,Master!A:D,4,0)</f>
        <v>RM</v>
      </c>
      <c r="B162" s="14" t="str">
        <f>VLOOKUP(C162,Master!A:C,3,0)</f>
        <v>Granuals</v>
      </c>
      <c r="C162" s="14" t="s">
        <v>387</v>
      </c>
      <c r="D162" s="2">
        <f t="shared" si="106"/>
        <v>0</v>
      </c>
      <c r="E162" s="2">
        <f t="shared" si="107"/>
        <v>0</v>
      </c>
      <c r="F162" s="2">
        <f t="shared" si="108"/>
        <v>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>
        <v>0</v>
      </c>
      <c r="U162" s="2">
        <f t="shared" si="98"/>
        <v>0</v>
      </c>
      <c r="V162" s="2">
        <f t="shared" si="99"/>
        <v>0</v>
      </c>
      <c r="W162" s="54">
        <f t="shared" si="103"/>
        <v>0</v>
      </c>
      <c r="X162" s="2">
        <f t="shared" si="109"/>
        <v>0</v>
      </c>
      <c r="Y162" s="2">
        <f t="shared" si="110"/>
        <v>0</v>
      </c>
      <c r="Z162" s="46">
        <v>0</v>
      </c>
      <c r="AA162" s="46">
        <v>0</v>
      </c>
      <c r="AB162" s="46">
        <v>0</v>
      </c>
      <c r="AC162" s="46">
        <f t="shared" si="111"/>
        <v>0</v>
      </c>
      <c r="AD162" s="12">
        <f t="shared" si="112"/>
        <v>0</v>
      </c>
      <c r="AE162" s="12">
        <f t="shared" si="113"/>
        <v>0</v>
      </c>
      <c r="AF162" s="56"/>
      <c r="AG162" s="62"/>
      <c r="AH162" s="117">
        <f t="shared" si="114"/>
        <v>0</v>
      </c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9"/>
      <c r="AZ162" s="115"/>
      <c r="BA162" s="243"/>
      <c r="BB162" s="115"/>
      <c r="BC162" s="115"/>
      <c r="BD162" s="115"/>
      <c r="BE162" s="115"/>
      <c r="BF162" s="115"/>
      <c r="BG162" s="115"/>
      <c r="BH162" s="115"/>
      <c r="BI162" s="115"/>
      <c r="BJ162" s="115"/>
    </row>
    <row r="163" spans="1:62" x14ac:dyDescent="0.35">
      <c r="A163" s="19" t="str">
        <f>VLOOKUP(C163,Master!A:D,4,0)</f>
        <v>RM</v>
      </c>
      <c r="B163" s="14" t="str">
        <f>VLOOKUP(C163,Master!A:C,3,0)</f>
        <v>Films All</v>
      </c>
      <c r="C163" s="14" t="s">
        <v>398</v>
      </c>
      <c r="D163" s="2">
        <f t="shared" si="106"/>
        <v>0</v>
      </c>
      <c r="E163" s="2">
        <f t="shared" si="107"/>
        <v>0</v>
      </c>
      <c r="F163" s="2">
        <f t="shared" si="108"/>
        <v>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>
        <v>0</v>
      </c>
      <c r="U163" s="2">
        <f t="shared" si="98"/>
        <v>0</v>
      </c>
      <c r="V163" s="2">
        <f t="shared" si="99"/>
        <v>0</v>
      </c>
      <c r="W163" s="54">
        <f t="shared" si="103"/>
        <v>0</v>
      </c>
      <c r="X163" s="2">
        <f t="shared" si="109"/>
        <v>0</v>
      </c>
      <c r="Y163" s="2">
        <f t="shared" si="110"/>
        <v>0</v>
      </c>
      <c r="Z163" s="46">
        <v>0</v>
      </c>
      <c r="AA163" s="46">
        <v>0</v>
      </c>
      <c r="AB163" s="46">
        <v>0</v>
      </c>
      <c r="AC163" s="46">
        <f t="shared" si="111"/>
        <v>0</v>
      </c>
      <c r="AD163" s="12">
        <f t="shared" si="112"/>
        <v>0</v>
      </c>
      <c r="AE163" s="12">
        <f t="shared" si="113"/>
        <v>0</v>
      </c>
      <c r="AF163" s="56"/>
      <c r="AG163" s="62"/>
      <c r="AH163" s="117">
        <f t="shared" si="114"/>
        <v>0</v>
      </c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9"/>
      <c r="AZ163" s="115"/>
      <c r="BA163" s="243"/>
      <c r="BB163" s="115"/>
      <c r="BC163" s="115"/>
      <c r="BD163" s="115"/>
      <c r="BE163" s="115"/>
      <c r="BF163" s="115"/>
      <c r="BG163" s="115"/>
      <c r="BH163" s="115"/>
      <c r="BI163" s="115"/>
      <c r="BJ163" s="115"/>
    </row>
    <row r="164" spans="1:62" x14ac:dyDescent="0.35">
      <c r="A164" s="19" t="str">
        <f>VLOOKUP(C164,Master!A:D,4,0)</f>
        <v>RM</v>
      </c>
      <c r="B164" s="14" t="str">
        <f>VLOOKUP(C164,Master!A:C,3,0)</f>
        <v>Granuals</v>
      </c>
      <c r="C164" s="14" t="s">
        <v>417</v>
      </c>
      <c r="D164" s="2">
        <f t="shared" si="106"/>
        <v>0</v>
      </c>
      <c r="E164" s="2">
        <f t="shared" si="107"/>
        <v>0</v>
      </c>
      <c r="F164" s="2">
        <f t="shared" si="108"/>
        <v>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>
        <v>0</v>
      </c>
      <c r="U164" s="2">
        <f t="shared" si="98"/>
        <v>0</v>
      </c>
      <c r="V164" s="2">
        <f t="shared" si="99"/>
        <v>0</v>
      </c>
      <c r="W164" s="54">
        <f t="shared" si="103"/>
        <v>0</v>
      </c>
      <c r="X164" s="2">
        <f t="shared" si="109"/>
        <v>0</v>
      </c>
      <c r="Y164" s="2">
        <f t="shared" si="110"/>
        <v>0</v>
      </c>
      <c r="Z164" s="46">
        <v>0</v>
      </c>
      <c r="AA164" s="46">
        <v>0</v>
      </c>
      <c r="AB164" s="46">
        <v>0</v>
      </c>
      <c r="AC164" s="46">
        <f t="shared" si="111"/>
        <v>0</v>
      </c>
      <c r="AD164" s="12">
        <f t="shared" si="112"/>
        <v>0</v>
      </c>
      <c r="AE164" s="12">
        <f t="shared" si="113"/>
        <v>0</v>
      </c>
      <c r="AF164" s="56"/>
      <c r="AG164" s="62"/>
      <c r="AH164" s="117">
        <f t="shared" si="114"/>
        <v>0</v>
      </c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9"/>
      <c r="AZ164" s="115"/>
      <c r="BA164" s="243"/>
      <c r="BB164" s="115"/>
      <c r="BC164" s="115"/>
      <c r="BD164" s="115"/>
      <c r="BE164" s="115"/>
      <c r="BF164" s="115"/>
      <c r="BG164" s="115"/>
      <c r="BH164" s="115"/>
      <c r="BI164" s="115"/>
      <c r="BJ164" s="115"/>
    </row>
    <row r="165" spans="1:62" x14ac:dyDescent="0.35">
      <c r="A165" s="19" t="str">
        <f>VLOOKUP(C165,Master!A:D,4,0)</f>
        <v>SF</v>
      </c>
      <c r="B165" s="14" t="str">
        <f>VLOOKUP(C165,Master!A:C,3,0)</f>
        <v>Yarn All</v>
      </c>
      <c r="C165" s="14" t="s">
        <v>629</v>
      </c>
      <c r="D165" s="2">
        <f t="shared" si="106"/>
        <v>9.0949470177292824E-13</v>
      </c>
      <c r="E165" s="2">
        <f t="shared" si="107"/>
        <v>24575.040000000001</v>
      </c>
      <c r="F165" s="2">
        <f t="shared" si="108"/>
        <v>0</v>
      </c>
      <c r="G165" s="2"/>
      <c r="H165" s="2">
        <f>+GETPIVOTDATA("Sum of Acceptedqty",Purchase!$A$1,"Itemname","PP MF Yarn Twisted")</f>
        <v>12102.53</v>
      </c>
      <c r="I165" s="6"/>
      <c r="J165" s="2">
        <f>+GETPIVOTDATA("Acceptedqty",'Job Received'!$A$1,"Itemname","PP MF Yarn Twisted")</f>
        <v>17007.23</v>
      </c>
      <c r="K165" s="2"/>
      <c r="L165" s="2"/>
      <c r="M165" s="2"/>
      <c r="N165" s="2"/>
      <c r="O165" s="2">
        <v>1221.0999999999999</v>
      </c>
      <c r="P165" s="2">
        <v>40620.07</v>
      </c>
      <c r="Q165" s="2"/>
      <c r="R165" s="2"/>
      <c r="S165" s="2"/>
      <c r="T165" s="58">
        <v>33296.44</v>
      </c>
      <c r="U165" s="2">
        <f t="shared" si="98"/>
        <v>1221.0999999999999</v>
      </c>
      <c r="V165" s="2">
        <f t="shared" si="99"/>
        <v>7323.6299999999974</v>
      </c>
      <c r="W165" s="54">
        <f t="shared" si="103"/>
        <v>6000.0000000000055</v>
      </c>
      <c r="X165" s="2">
        <f t="shared" si="109"/>
        <v>8285.8300000000017</v>
      </c>
      <c r="Y165" s="2">
        <f t="shared" si="110"/>
        <v>0</v>
      </c>
      <c r="Z165" s="46">
        <v>6000.0000000000055</v>
      </c>
      <c r="AA165" s="46">
        <v>8285.8299999999981</v>
      </c>
      <c r="AB165" s="46">
        <v>0</v>
      </c>
      <c r="AC165" s="46">
        <f t="shared" si="111"/>
        <v>0</v>
      </c>
      <c r="AD165" s="12">
        <f t="shared" si="112"/>
        <v>0</v>
      </c>
      <c r="AE165" s="12">
        <f t="shared" si="113"/>
        <v>0</v>
      </c>
      <c r="AF165" s="56"/>
      <c r="AG165" s="60">
        <f>+Purchase!D3</f>
        <v>121.15896428267477</v>
      </c>
      <c r="AH165" s="117">
        <f t="shared" si="114"/>
        <v>726953.78569604934</v>
      </c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9"/>
      <c r="AZ165" s="115"/>
      <c r="BA165" s="243"/>
      <c r="BB165" s="115"/>
      <c r="BC165" s="115"/>
      <c r="BD165" s="115"/>
      <c r="BE165" s="115"/>
      <c r="BF165" s="115"/>
      <c r="BG165" s="115"/>
      <c r="BH165" s="115"/>
      <c r="BI165" s="115"/>
      <c r="BJ165" s="115"/>
    </row>
    <row r="166" spans="1:62" x14ac:dyDescent="0.35">
      <c r="A166" s="19" t="str">
        <f>VLOOKUP(C166,Master!A:D,4,0)</f>
        <v>SF</v>
      </c>
      <c r="B166" s="14" t="str">
        <f>VLOOKUP(C166,Master!A:C,3,0)</f>
        <v>PP/PE Fabric</v>
      </c>
      <c r="C166" s="14" t="s">
        <v>639</v>
      </c>
      <c r="D166" s="2">
        <f t="shared" si="106"/>
        <v>0</v>
      </c>
      <c r="E166" s="2">
        <f t="shared" si="107"/>
        <v>82074.400000000023</v>
      </c>
      <c r="F166" s="2">
        <f t="shared" si="108"/>
        <v>0</v>
      </c>
      <c r="G166" s="2"/>
      <c r="H166" s="2">
        <f>+GETPIVOTDATA("Sum of Acceptedqty",Purchase!$A$1,"Itemname","PP Woven Fabric")</f>
        <v>3006.7</v>
      </c>
      <c r="I166" s="2"/>
      <c r="J166" s="2">
        <f>+GETPIVOTDATA("Acceptedqty",'Job Received'!$A$1,"Itemname","PP UL Fabric With UV")</f>
        <v>30749.300000000003</v>
      </c>
      <c r="K166" s="2">
        <f>+GETPIVOTDATA("Sum of Quantity",'Sales '!$A$1,"sales Group Name","PP Woven Fabric")</f>
        <v>76072.399999999994</v>
      </c>
      <c r="L166" s="2"/>
      <c r="M166" s="2"/>
      <c r="N166" s="2"/>
      <c r="O166" s="2">
        <v>241937</v>
      </c>
      <c r="P166" s="2">
        <v>268418</v>
      </c>
      <c r="Q166" s="2"/>
      <c r="R166" s="2"/>
      <c r="S166" s="2"/>
      <c r="T166" s="58">
        <v>99546.700000000026</v>
      </c>
      <c r="U166" s="2">
        <f t="shared" si="98"/>
        <v>241937</v>
      </c>
      <c r="V166" s="2">
        <f t="shared" si="99"/>
        <v>168871.3</v>
      </c>
      <c r="W166" s="54">
        <f t="shared" si="103"/>
        <v>0</v>
      </c>
      <c r="X166" s="2">
        <f t="shared" si="109"/>
        <v>13277</v>
      </c>
      <c r="Y166" s="2">
        <f t="shared" si="110"/>
        <v>0</v>
      </c>
      <c r="Z166" s="46">
        <v>0</v>
      </c>
      <c r="AA166" s="46">
        <v>13277</v>
      </c>
      <c r="AB166" s="46">
        <v>0</v>
      </c>
      <c r="AC166" s="46">
        <f t="shared" si="111"/>
        <v>0</v>
      </c>
      <c r="AD166" s="12">
        <f t="shared" si="112"/>
        <v>0</v>
      </c>
      <c r="AE166" s="12">
        <f t="shared" si="113"/>
        <v>0</v>
      </c>
      <c r="AF166" s="56"/>
      <c r="AG166" s="62"/>
      <c r="AH166" s="117">
        <f t="shared" si="114"/>
        <v>0</v>
      </c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9"/>
      <c r="AZ166" s="115"/>
      <c r="BA166" s="243"/>
      <c r="BB166" s="115"/>
      <c r="BC166" s="115"/>
      <c r="BD166" s="115"/>
      <c r="BE166" s="115"/>
      <c r="BF166" s="115"/>
      <c r="BG166" s="115"/>
      <c r="BH166" s="115"/>
      <c r="BI166" s="115"/>
      <c r="BJ166" s="115"/>
    </row>
    <row r="167" spans="1:62" x14ac:dyDescent="0.35">
      <c r="A167" s="19" t="str">
        <f>VLOOKUP(C167,Master!A:D,4,0)</f>
        <v>SF</v>
      </c>
      <c r="B167" s="14" t="str">
        <f>VLOOKUP(C167,Master!A:C,3,0)</f>
        <v>Flexitank Accessories</v>
      </c>
      <c r="C167" s="14" t="s">
        <v>641</v>
      </c>
      <c r="D167" s="2">
        <f t="shared" si="106"/>
        <v>0</v>
      </c>
      <c r="E167" s="2">
        <f t="shared" si="107"/>
        <v>0</v>
      </c>
      <c r="F167" s="2">
        <f t="shared" si="108"/>
        <v>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>
        <v>0</v>
      </c>
      <c r="U167" s="2">
        <f t="shared" si="98"/>
        <v>0</v>
      </c>
      <c r="V167" s="2">
        <f t="shared" si="99"/>
        <v>0</v>
      </c>
      <c r="W167" s="54">
        <f t="shared" si="103"/>
        <v>0</v>
      </c>
      <c r="X167" s="2">
        <f t="shared" si="109"/>
        <v>0</v>
      </c>
      <c r="Y167" s="2">
        <f t="shared" si="110"/>
        <v>0</v>
      </c>
      <c r="Z167" s="46">
        <v>0</v>
      </c>
      <c r="AA167" s="46">
        <v>0</v>
      </c>
      <c r="AB167" s="46">
        <v>0</v>
      </c>
      <c r="AC167" s="46">
        <f t="shared" si="111"/>
        <v>0</v>
      </c>
      <c r="AD167" s="12">
        <f t="shared" si="112"/>
        <v>0</v>
      </c>
      <c r="AE167" s="12">
        <f t="shared" si="113"/>
        <v>0</v>
      </c>
      <c r="AF167" s="56"/>
      <c r="AG167" s="62"/>
      <c r="AH167" s="117">
        <f t="shared" si="114"/>
        <v>0</v>
      </c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9"/>
      <c r="AZ167" s="115"/>
      <c r="BA167" s="243"/>
      <c r="BB167" s="115"/>
      <c r="BC167" s="115"/>
      <c r="BD167" s="115"/>
      <c r="BE167" s="115"/>
      <c r="BF167" s="115"/>
      <c r="BG167" s="115"/>
      <c r="BH167" s="115"/>
      <c r="BI167" s="115"/>
      <c r="BJ167" s="115"/>
    </row>
    <row r="168" spans="1:62" x14ac:dyDescent="0.35">
      <c r="A168" s="19" t="str">
        <f>VLOOKUP(C168,Master!A:D,4,0)</f>
        <v>SF</v>
      </c>
      <c r="B168" s="14" t="str">
        <f>VLOOKUP(C168,Master!A:C,3,0)</f>
        <v>PP/PE Fabric</v>
      </c>
      <c r="C168" s="14" t="s">
        <v>652</v>
      </c>
      <c r="D168" s="2">
        <f t="shared" si="106"/>
        <v>0</v>
      </c>
      <c r="E168" s="2">
        <f t="shared" si="107"/>
        <v>25350</v>
      </c>
      <c r="F168" s="2">
        <f t="shared" si="108"/>
        <v>0</v>
      </c>
      <c r="G168" s="2"/>
      <c r="H168" s="2"/>
      <c r="I168" s="2"/>
      <c r="J168" s="2">
        <f>+GETPIVOTDATA("Acceptedqty",'Job Received'!$A$1,"Itemname","PP Lam Fabric With UV")</f>
        <v>50112.1</v>
      </c>
      <c r="K168" s="2"/>
      <c r="L168" s="2"/>
      <c r="M168" s="2"/>
      <c r="N168" s="2"/>
      <c r="O168" s="2">
        <v>135373</v>
      </c>
      <c r="P168" s="2">
        <v>183730.3</v>
      </c>
      <c r="Q168" s="2"/>
      <c r="R168" s="2"/>
      <c r="S168" s="2"/>
      <c r="T168" s="2">
        <v>48357.3</v>
      </c>
      <c r="U168" s="2">
        <f t="shared" si="98"/>
        <v>135373</v>
      </c>
      <c r="V168" s="2">
        <f t="shared" si="99"/>
        <v>135373</v>
      </c>
      <c r="W168" s="54">
        <f t="shared" si="103"/>
        <v>0</v>
      </c>
      <c r="X168" s="2">
        <f t="shared" si="109"/>
        <v>27104.800000000003</v>
      </c>
      <c r="Y168" s="2">
        <f t="shared" si="110"/>
        <v>0</v>
      </c>
      <c r="Z168" s="46">
        <v>0</v>
      </c>
      <c r="AA168" s="46">
        <v>27104.799999999999</v>
      </c>
      <c r="AB168" s="46">
        <v>0</v>
      </c>
      <c r="AC168" s="46">
        <f t="shared" si="111"/>
        <v>0</v>
      </c>
      <c r="AD168" s="12">
        <f t="shared" si="112"/>
        <v>0</v>
      </c>
      <c r="AE168" s="12">
        <f t="shared" si="113"/>
        <v>0</v>
      </c>
      <c r="AF168" s="56"/>
      <c r="AG168" s="62"/>
      <c r="AH168" s="117">
        <f t="shared" si="114"/>
        <v>0</v>
      </c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9"/>
      <c r="AZ168" s="115"/>
      <c r="BA168" s="243"/>
      <c r="BB168" s="115"/>
      <c r="BC168" s="115"/>
      <c r="BD168" s="115"/>
      <c r="BE168" s="115"/>
      <c r="BF168" s="115"/>
      <c r="BG168" s="115"/>
      <c r="BH168" s="115"/>
      <c r="BI168" s="115"/>
      <c r="BJ168" s="115"/>
    </row>
    <row r="169" spans="1:62" x14ac:dyDescent="0.35">
      <c r="A169" s="19" t="str">
        <f>VLOOKUP(C169,Master!A:D,4,0)</f>
        <v>SF</v>
      </c>
      <c r="B169" s="14" t="str">
        <f>VLOOKUP(C169,Master!A:C,3,0)</f>
        <v>PP/PE Fabric</v>
      </c>
      <c r="C169" s="14" t="s">
        <v>664</v>
      </c>
      <c r="D169" s="2">
        <f t="shared" si="106"/>
        <v>0</v>
      </c>
      <c r="E169" s="2">
        <f t="shared" si="107"/>
        <v>0</v>
      </c>
      <c r="F169" s="2">
        <f t="shared" si="108"/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>
        <v>0</v>
      </c>
      <c r="U169" s="2">
        <f t="shared" si="98"/>
        <v>0</v>
      </c>
      <c r="V169" s="2">
        <f t="shared" si="99"/>
        <v>0</v>
      </c>
      <c r="W169" s="54">
        <f t="shared" si="103"/>
        <v>0</v>
      </c>
      <c r="X169" s="2">
        <f t="shared" si="109"/>
        <v>0</v>
      </c>
      <c r="Y169" s="2">
        <f t="shared" si="110"/>
        <v>0</v>
      </c>
      <c r="Z169" s="46">
        <v>0</v>
      </c>
      <c r="AA169" s="46">
        <v>0</v>
      </c>
      <c r="AB169" s="46">
        <v>0</v>
      </c>
      <c r="AC169" s="46">
        <f t="shared" si="111"/>
        <v>0</v>
      </c>
      <c r="AD169" s="12">
        <f t="shared" si="112"/>
        <v>0</v>
      </c>
      <c r="AE169" s="12">
        <f t="shared" si="113"/>
        <v>0</v>
      </c>
      <c r="AF169" s="56"/>
      <c r="AG169" s="62"/>
      <c r="AH169" s="117">
        <f t="shared" si="114"/>
        <v>0</v>
      </c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9"/>
      <c r="AZ169" s="115"/>
      <c r="BA169" s="243"/>
      <c r="BB169" s="115"/>
      <c r="BC169" s="115"/>
      <c r="BD169" s="115"/>
      <c r="BE169" s="115"/>
      <c r="BF169" s="115"/>
      <c r="BG169" s="115"/>
      <c r="BH169" s="115"/>
      <c r="BI169" s="115"/>
      <c r="BJ169" s="115"/>
    </row>
    <row r="170" spans="1:62" x14ac:dyDescent="0.35">
      <c r="A170" s="19" t="str">
        <f>VLOOKUP(C170,Master!A:D,4,0)</f>
        <v>SF</v>
      </c>
      <c r="B170" s="14" t="str">
        <f>VLOOKUP(C170,Master!A:C,3,0)</f>
        <v>PP/PE Fabric</v>
      </c>
      <c r="C170" s="14" t="s">
        <v>675</v>
      </c>
      <c r="D170" s="2">
        <f t="shared" si="106"/>
        <v>0</v>
      </c>
      <c r="E170" s="2">
        <f t="shared" si="107"/>
        <v>0</v>
      </c>
      <c r="F170" s="2">
        <f t="shared" si="108"/>
        <v>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>
        <v>0</v>
      </c>
      <c r="U170" s="2">
        <f t="shared" si="98"/>
        <v>0</v>
      </c>
      <c r="V170" s="2">
        <f t="shared" si="99"/>
        <v>0</v>
      </c>
      <c r="W170" s="54">
        <f t="shared" si="103"/>
        <v>0</v>
      </c>
      <c r="X170" s="2">
        <f t="shared" si="109"/>
        <v>0</v>
      </c>
      <c r="Y170" s="2">
        <f t="shared" si="110"/>
        <v>0</v>
      </c>
      <c r="Z170" s="46">
        <v>0</v>
      </c>
      <c r="AA170" s="46">
        <v>0</v>
      </c>
      <c r="AB170" s="46">
        <v>0</v>
      </c>
      <c r="AC170" s="46">
        <f t="shared" si="111"/>
        <v>0</v>
      </c>
      <c r="AD170" s="12">
        <f t="shared" si="112"/>
        <v>0</v>
      </c>
      <c r="AE170" s="12">
        <f t="shared" si="113"/>
        <v>0</v>
      </c>
      <c r="AF170" s="56"/>
      <c r="AG170" s="62"/>
      <c r="AH170" s="117">
        <f t="shared" si="114"/>
        <v>0</v>
      </c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9"/>
      <c r="AZ170" s="115"/>
      <c r="BA170" s="243"/>
      <c r="BB170" s="115"/>
      <c r="BC170" s="115"/>
      <c r="BD170" s="115"/>
      <c r="BE170" s="115"/>
      <c r="BF170" s="115"/>
      <c r="BG170" s="115"/>
      <c r="BH170" s="115"/>
      <c r="BI170" s="115"/>
      <c r="BJ170" s="115"/>
    </row>
    <row r="171" spans="1:62" x14ac:dyDescent="0.35">
      <c r="A171" s="19" t="str">
        <f>VLOOKUP(C171,Master!A:D,4,0)</f>
        <v>SF</v>
      </c>
      <c r="B171" s="14" t="str">
        <f>VLOOKUP(C171,Master!A:C,3,0)</f>
        <v>Granuals</v>
      </c>
      <c r="C171" s="14" t="s">
        <v>688</v>
      </c>
      <c r="D171" s="2">
        <f t="shared" si="106"/>
        <v>0</v>
      </c>
      <c r="E171" s="2">
        <f t="shared" si="107"/>
        <v>1000</v>
      </c>
      <c r="F171" s="2">
        <f t="shared" si="108"/>
        <v>0</v>
      </c>
      <c r="G171" s="2"/>
      <c r="H171" s="2"/>
      <c r="I171" s="6"/>
      <c r="J171" s="2"/>
      <c r="K171" s="2">
        <f>+GETPIVOTDATA("Sum of Quantity",'Sales '!$A$1,"sales Group Name","Reprocessed Granules")</f>
        <v>69750</v>
      </c>
      <c r="L171" s="2"/>
      <c r="M171" s="2"/>
      <c r="N171" s="2"/>
      <c r="O171" s="2">
        <v>69750</v>
      </c>
      <c r="P171" s="2">
        <v>1000</v>
      </c>
      <c r="Q171" s="2"/>
      <c r="R171" s="2"/>
      <c r="S171" s="2"/>
      <c r="T171" s="2">
        <v>1000</v>
      </c>
      <c r="U171" s="2">
        <f t="shared" si="98"/>
        <v>69750</v>
      </c>
      <c r="V171" s="2">
        <f t="shared" si="99"/>
        <v>0</v>
      </c>
      <c r="W171" s="54">
        <f t="shared" si="103"/>
        <v>0</v>
      </c>
      <c r="X171" s="2">
        <f t="shared" si="109"/>
        <v>0</v>
      </c>
      <c r="Y171" s="2">
        <f t="shared" si="110"/>
        <v>0</v>
      </c>
      <c r="Z171" s="46">
        <v>0</v>
      </c>
      <c r="AA171" s="46"/>
      <c r="AB171" s="46">
        <v>0</v>
      </c>
      <c r="AC171" s="46">
        <f t="shared" si="111"/>
        <v>0</v>
      </c>
      <c r="AD171" s="12">
        <f t="shared" si="112"/>
        <v>0</v>
      </c>
      <c r="AE171" s="12">
        <f t="shared" si="113"/>
        <v>0</v>
      </c>
      <c r="AF171" s="56"/>
      <c r="AG171" s="62"/>
      <c r="AH171" s="117">
        <f t="shared" si="114"/>
        <v>0</v>
      </c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9"/>
      <c r="AZ171" s="115"/>
      <c r="BA171" s="243"/>
      <c r="BB171" s="115"/>
      <c r="BC171" s="115"/>
      <c r="BD171" s="115"/>
      <c r="BE171" s="115"/>
      <c r="BF171" s="115"/>
      <c r="BG171" s="115"/>
      <c r="BH171" s="115"/>
      <c r="BI171" s="115"/>
      <c r="BJ171" s="115"/>
    </row>
    <row r="172" spans="1:62" x14ac:dyDescent="0.35">
      <c r="A172" s="19" t="str">
        <f>VLOOKUP(C172,Master!A:D,4,0)</f>
        <v>SF</v>
      </c>
      <c r="B172" s="14" t="str">
        <f>VLOOKUP(C172,Master!A:C,3,0)</f>
        <v>Liners</v>
      </c>
      <c r="C172" s="14" t="s">
        <v>707</v>
      </c>
      <c r="D172" s="2">
        <f t="shared" si="106"/>
        <v>0</v>
      </c>
      <c r="E172" s="2">
        <f t="shared" si="107"/>
        <v>0</v>
      </c>
      <c r="F172" s="2">
        <f t="shared" si="108"/>
        <v>0</v>
      </c>
      <c r="G172" s="2"/>
      <c r="H172" s="2"/>
      <c r="I172" s="2"/>
      <c r="J172" s="2"/>
      <c r="K172" s="2"/>
      <c r="L172" s="2"/>
      <c r="M172" s="2"/>
      <c r="N172" s="2"/>
      <c r="O172" s="2"/>
      <c r="P172" s="2">
        <v>0</v>
      </c>
      <c r="Q172" s="2"/>
      <c r="R172" s="2"/>
      <c r="S172" s="2"/>
      <c r="T172" s="2">
        <v>0</v>
      </c>
      <c r="U172" s="2">
        <f t="shared" si="98"/>
        <v>0</v>
      </c>
      <c r="V172" s="2">
        <f t="shared" si="99"/>
        <v>0</v>
      </c>
      <c r="W172" s="54">
        <f t="shared" si="103"/>
        <v>0</v>
      </c>
      <c r="X172" s="2">
        <f t="shared" si="109"/>
        <v>0</v>
      </c>
      <c r="Y172" s="2">
        <f t="shared" si="110"/>
        <v>0</v>
      </c>
      <c r="Z172" s="46">
        <v>0</v>
      </c>
      <c r="AA172" s="46">
        <v>0</v>
      </c>
      <c r="AB172" s="46">
        <v>0</v>
      </c>
      <c r="AC172" s="46">
        <f t="shared" si="111"/>
        <v>0</v>
      </c>
      <c r="AD172" s="12">
        <f t="shared" si="112"/>
        <v>0</v>
      </c>
      <c r="AE172" s="12">
        <f t="shared" si="113"/>
        <v>0</v>
      </c>
      <c r="AF172" s="56"/>
      <c r="AG172" s="62"/>
      <c r="AH172" s="117">
        <f t="shared" si="114"/>
        <v>0</v>
      </c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9"/>
      <c r="AZ172" s="115"/>
      <c r="BA172" s="243"/>
      <c r="BB172" s="115"/>
      <c r="BC172" s="115"/>
      <c r="BD172" s="115"/>
      <c r="BE172" s="115"/>
      <c r="BF172" s="115"/>
      <c r="BG172" s="115"/>
      <c r="BH172" s="115"/>
      <c r="BI172" s="115"/>
      <c r="BJ172" s="115"/>
    </row>
    <row r="173" spans="1:62" x14ac:dyDescent="0.35">
      <c r="A173" s="19" t="str">
        <f>VLOOKUP(C173,Master!A:D,4,0)</f>
        <v>SF</v>
      </c>
      <c r="B173" s="14" t="str">
        <f>VLOOKUP(C173,Master!A:C,3,0)</f>
        <v>Webbing</v>
      </c>
      <c r="C173" s="14" t="s">
        <v>710</v>
      </c>
      <c r="D173" s="2">
        <f t="shared" si="106"/>
        <v>0</v>
      </c>
      <c r="E173" s="2">
        <f t="shared" si="107"/>
        <v>1827.5000000000002</v>
      </c>
      <c r="F173" s="2">
        <f t="shared" si="108"/>
        <v>0</v>
      </c>
      <c r="G173" s="2"/>
      <c r="H173" s="2"/>
      <c r="I173" s="2"/>
      <c r="J173" s="2">
        <f>+GETPIVOTDATA("Acceptedqty",'Job Received'!$A$1,"Itemname","Webbing")</f>
        <v>100</v>
      </c>
      <c r="K173" s="2">
        <f>+GETPIVOTDATA("Sum of Quantity",'Sales '!$A$1,"sales Group Name","PP Webbing")</f>
        <v>1566.9</v>
      </c>
      <c r="L173" s="2"/>
      <c r="M173" s="2"/>
      <c r="N173" s="2"/>
      <c r="O173" s="2">
        <v>61456.800000000003</v>
      </c>
      <c r="P173" s="2">
        <v>60045.600000000006</v>
      </c>
      <c r="Q173" s="2"/>
      <c r="R173" s="2"/>
      <c r="S173" s="2"/>
      <c r="T173" s="2">
        <v>155.70000000000027</v>
      </c>
      <c r="U173" s="2">
        <f t="shared" si="98"/>
        <v>61456.800000000003</v>
      </c>
      <c r="V173" s="2">
        <f t="shared" si="99"/>
        <v>59889.900000000009</v>
      </c>
      <c r="W173" s="54">
        <f t="shared" si="103"/>
        <v>0</v>
      </c>
      <c r="X173" s="2">
        <f t="shared" si="109"/>
        <v>1771.8</v>
      </c>
      <c r="Y173" s="2">
        <f t="shared" si="110"/>
        <v>0</v>
      </c>
      <c r="Z173" s="46">
        <v>0</v>
      </c>
      <c r="AA173" s="46">
        <v>1771.8</v>
      </c>
      <c r="AB173" s="46">
        <v>0</v>
      </c>
      <c r="AC173" s="46">
        <f t="shared" si="111"/>
        <v>0</v>
      </c>
      <c r="AD173" s="12">
        <f t="shared" si="112"/>
        <v>0</v>
      </c>
      <c r="AE173" s="12">
        <f t="shared" si="113"/>
        <v>0</v>
      </c>
      <c r="AF173" s="56"/>
      <c r="AG173" s="62"/>
      <c r="AH173" s="117">
        <f t="shared" si="114"/>
        <v>0</v>
      </c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9"/>
      <c r="AZ173" s="115"/>
      <c r="BA173" s="243"/>
      <c r="BB173" s="115"/>
      <c r="BC173" s="115"/>
      <c r="BD173" s="115"/>
      <c r="BE173" s="115"/>
      <c r="BF173" s="115"/>
      <c r="BG173" s="115"/>
      <c r="BH173" s="115"/>
      <c r="BI173" s="115"/>
      <c r="BJ173" s="115"/>
    </row>
    <row r="174" spans="1:62" x14ac:dyDescent="0.35">
      <c r="A174" s="19" t="str">
        <f>VLOOKUP(C174,Master!A:D,4,0)</f>
        <v>SF</v>
      </c>
      <c r="B174" s="14" t="str">
        <f>VLOOKUP(C174,Master!A:C,3,0)</f>
        <v>Liners</v>
      </c>
      <c r="C174" s="14" t="s">
        <v>729</v>
      </c>
      <c r="D174" s="2">
        <f t="shared" si="106"/>
        <v>0</v>
      </c>
      <c r="E174" s="2">
        <f t="shared" si="107"/>
        <v>94319.12999999999</v>
      </c>
      <c r="F174" s="2">
        <f t="shared" si="108"/>
        <v>0</v>
      </c>
      <c r="G174" s="2"/>
      <c r="H174" s="2">
        <f>+GETPIVOTDATA("Sum of Acceptedqty",Purchase!$A$1,"Itemname","LDPE/LLDPE Bags/Liner")</f>
        <v>136</v>
      </c>
      <c r="I174" s="2"/>
      <c r="J174" s="2">
        <f>+GETPIVOTDATA("Acceptedqty",'Job Received'!$A$1,"Itemname","LDPE/LLDPE Bags/Liner")</f>
        <v>36603.67</v>
      </c>
      <c r="K174" s="2"/>
      <c r="L174" s="2"/>
      <c r="M174" s="2"/>
      <c r="N174" s="2"/>
      <c r="O174" s="2"/>
      <c r="P174" s="2">
        <v>116406.09999999999</v>
      </c>
      <c r="Q174" s="2"/>
      <c r="R174" s="2"/>
      <c r="S174" s="2"/>
      <c r="T174" s="2">
        <v>116270.09999999999</v>
      </c>
      <c r="U174" s="2">
        <f t="shared" si="98"/>
        <v>0</v>
      </c>
      <c r="V174" s="2">
        <f t="shared" si="99"/>
        <v>136</v>
      </c>
      <c r="W174" s="54">
        <f t="shared" si="103"/>
        <v>0</v>
      </c>
      <c r="X174" s="2">
        <f t="shared" si="109"/>
        <v>14652.699999999997</v>
      </c>
      <c r="Y174" s="2">
        <f t="shared" si="110"/>
        <v>0</v>
      </c>
      <c r="Z174" s="46">
        <v>0</v>
      </c>
      <c r="AA174" s="46">
        <v>14652.699999999999</v>
      </c>
      <c r="AB174" s="46">
        <v>0</v>
      </c>
      <c r="AC174" s="46">
        <f t="shared" si="111"/>
        <v>0</v>
      </c>
      <c r="AD174" s="12">
        <f t="shared" si="112"/>
        <v>0</v>
      </c>
      <c r="AE174" s="12">
        <f t="shared" si="113"/>
        <v>0</v>
      </c>
      <c r="AF174" s="56"/>
      <c r="AG174" s="62"/>
      <c r="AH174" s="117">
        <f t="shared" si="114"/>
        <v>0</v>
      </c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9"/>
      <c r="AZ174" s="115"/>
      <c r="BA174" s="243"/>
      <c r="BB174" s="115"/>
      <c r="BC174" s="115"/>
      <c r="BD174" s="115"/>
      <c r="BE174" s="115"/>
      <c r="BF174" s="115"/>
      <c r="BG174" s="115"/>
      <c r="BH174" s="115"/>
      <c r="BI174" s="115"/>
      <c r="BJ174" s="115"/>
    </row>
    <row r="175" spans="1:62" x14ac:dyDescent="0.35">
      <c r="A175" s="19" t="str">
        <f>VLOOKUP(C175,Master!A:D,4,0)</f>
        <v>SF</v>
      </c>
      <c r="B175" s="14" t="str">
        <f>VLOOKUP(C175,Master!A:C,3,0)</f>
        <v>Tape Stock</v>
      </c>
      <c r="C175" s="14" t="s">
        <v>772</v>
      </c>
      <c r="D175" s="2">
        <f t="shared" si="106"/>
        <v>0</v>
      </c>
      <c r="E175" s="2">
        <f t="shared" si="107"/>
        <v>0</v>
      </c>
      <c r="F175" s="2">
        <f t="shared" si="108"/>
        <v>0</v>
      </c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>
        <v>0</v>
      </c>
      <c r="U175" s="2">
        <f t="shared" si="98"/>
        <v>0</v>
      </c>
      <c r="V175" s="2">
        <f t="shared" si="99"/>
        <v>0</v>
      </c>
      <c r="W175" s="54">
        <f t="shared" si="103"/>
        <v>0</v>
      </c>
      <c r="X175" s="2">
        <f t="shared" si="109"/>
        <v>0</v>
      </c>
      <c r="Y175" s="2">
        <f t="shared" si="110"/>
        <v>0</v>
      </c>
      <c r="Z175" s="46">
        <v>0</v>
      </c>
      <c r="AA175" s="46">
        <v>0</v>
      </c>
      <c r="AB175" s="46">
        <v>0</v>
      </c>
      <c r="AC175" s="46">
        <f t="shared" si="111"/>
        <v>0</v>
      </c>
      <c r="AD175" s="12">
        <f t="shared" si="112"/>
        <v>0</v>
      </c>
      <c r="AE175" s="12">
        <f t="shared" si="113"/>
        <v>0</v>
      </c>
      <c r="AF175" s="56"/>
      <c r="AG175" s="62"/>
      <c r="AH175" s="117">
        <f t="shared" si="114"/>
        <v>0</v>
      </c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9"/>
      <c r="AZ175" s="115"/>
      <c r="BA175" s="243"/>
      <c r="BB175" s="115"/>
      <c r="BC175" s="115"/>
      <c r="BD175" s="115"/>
      <c r="BE175" s="115"/>
      <c r="BF175" s="115"/>
      <c r="BG175" s="115"/>
      <c r="BH175" s="115"/>
      <c r="BI175" s="115"/>
      <c r="BJ175" s="115"/>
    </row>
    <row r="176" spans="1:62" x14ac:dyDescent="0.35">
      <c r="A176" s="19" t="str">
        <f>VLOOKUP(C176,Master!A:D,4,0)</f>
        <v>SF</v>
      </c>
      <c r="B176" s="14" t="str">
        <f>VLOOKUP(C176,Master!A:C,3,0)</f>
        <v>Tape Stock</v>
      </c>
      <c r="C176" s="14" t="s">
        <v>773</v>
      </c>
      <c r="D176" s="2">
        <f t="shared" si="106"/>
        <v>0</v>
      </c>
      <c r="E176" s="2">
        <f t="shared" si="107"/>
        <v>58741</v>
      </c>
      <c r="F176" s="2">
        <f t="shared" si="108"/>
        <v>0</v>
      </c>
      <c r="G176" s="2"/>
      <c r="H176" s="2"/>
      <c r="I176" s="2"/>
      <c r="J176" s="2">
        <f>+GETPIVOTDATA("Acceptedqty",'Job Received'!$A$1,"Itemname","PP Tapes")</f>
        <v>8814.4000000000015</v>
      </c>
      <c r="K176" s="2"/>
      <c r="L176" s="2"/>
      <c r="M176" s="2"/>
      <c r="N176" s="2"/>
      <c r="O176" s="2">
        <v>299592</v>
      </c>
      <c r="P176" s="2">
        <v>364629.1</v>
      </c>
      <c r="Q176" s="2"/>
      <c r="R176" s="2"/>
      <c r="S176" s="2"/>
      <c r="T176" s="2">
        <v>65037.099999999991</v>
      </c>
      <c r="U176" s="2">
        <f t="shared" si="98"/>
        <v>299592</v>
      </c>
      <c r="V176" s="53">
        <f t="shared" si="99"/>
        <v>299592</v>
      </c>
      <c r="W176" s="54">
        <f t="shared" si="103"/>
        <v>0</v>
      </c>
      <c r="X176" s="2">
        <f t="shared" si="109"/>
        <v>2518.3000000000029</v>
      </c>
      <c r="Y176" s="2">
        <f t="shared" si="110"/>
        <v>0</v>
      </c>
      <c r="Z176" s="46">
        <v>0</v>
      </c>
      <c r="AA176" s="46">
        <v>2518.3000000000002</v>
      </c>
      <c r="AB176" s="46">
        <v>0</v>
      </c>
      <c r="AC176" s="46">
        <f t="shared" si="111"/>
        <v>0</v>
      </c>
      <c r="AD176" s="12">
        <f t="shared" si="112"/>
        <v>0</v>
      </c>
      <c r="AE176" s="12">
        <f t="shared" si="113"/>
        <v>0</v>
      </c>
      <c r="AF176" s="56"/>
      <c r="AG176" s="62"/>
      <c r="AH176" s="117">
        <f t="shared" si="114"/>
        <v>0</v>
      </c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9"/>
      <c r="AZ176" s="115"/>
      <c r="BA176" s="243"/>
      <c r="BB176" s="115"/>
      <c r="BC176" s="115"/>
      <c r="BD176" s="115"/>
      <c r="BE176" s="115"/>
      <c r="BF176" s="115"/>
      <c r="BG176" s="115"/>
      <c r="BH176" s="115"/>
      <c r="BI176" s="115"/>
      <c r="BJ176" s="115"/>
    </row>
    <row r="177" spans="1:62" x14ac:dyDescent="0.35">
      <c r="A177" s="19" t="str">
        <f>VLOOKUP(C177,Master!A:D,4,0)</f>
        <v>SF</v>
      </c>
      <c r="B177" s="14" t="str">
        <f>VLOOKUP(C177,Master!A:C,3,0)</f>
        <v>RP Agglo</v>
      </c>
      <c r="C177" s="14" t="s">
        <v>810</v>
      </c>
      <c r="D177" s="2">
        <f t="shared" si="106"/>
        <v>0</v>
      </c>
      <c r="E177" s="2">
        <f t="shared" si="107"/>
        <v>0</v>
      </c>
      <c r="F177" s="2">
        <f t="shared" si="108"/>
        <v>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>
        <v>0</v>
      </c>
      <c r="U177" s="2">
        <f t="shared" si="98"/>
        <v>0</v>
      </c>
      <c r="V177" s="2">
        <f t="shared" si="99"/>
        <v>0</v>
      </c>
      <c r="W177" s="54">
        <f t="shared" si="103"/>
        <v>0</v>
      </c>
      <c r="X177" s="2">
        <f t="shared" si="109"/>
        <v>0</v>
      </c>
      <c r="Y177" s="2">
        <f t="shared" si="110"/>
        <v>0</v>
      </c>
      <c r="Z177" s="46">
        <v>0</v>
      </c>
      <c r="AA177" s="46">
        <v>0</v>
      </c>
      <c r="AB177" s="46">
        <v>0</v>
      </c>
      <c r="AC177" s="46">
        <f t="shared" si="111"/>
        <v>0</v>
      </c>
      <c r="AD177" s="12">
        <f t="shared" si="112"/>
        <v>0</v>
      </c>
      <c r="AE177" s="12">
        <f t="shared" si="113"/>
        <v>0</v>
      </c>
      <c r="AF177" s="56"/>
      <c r="AG177" s="62"/>
      <c r="AH177" s="117">
        <f t="shared" si="114"/>
        <v>0</v>
      </c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9"/>
      <c r="AZ177" s="115"/>
      <c r="BA177" s="243"/>
      <c r="BB177" s="115"/>
      <c r="BC177" s="115"/>
      <c r="BD177" s="115"/>
      <c r="BE177" s="115"/>
      <c r="BF177" s="115"/>
      <c r="BG177" s="115"/>
      <c r="BH177" s="115"/>
      <c r="BI177" s="115"/>
      <c r="BJ177" s="115"/>
    </row>
    <row r="178" spans="1:62" x14ac:dyDescent="0.35">
      <c r="A178" s="19" t="str">
        <f>VLOOKUP(C178,Master!A:D,4,0)</f>
        <v>SF</v>
      </c>
      <c r="B178" s="14" t="str">
        <f>VLOOKUP(C178,Master!A:C,3,0)</f>
        <v>Wastage/Scrap</v>
      </c>
      <c r="C178" s="14" t="s">
        <v>820</v>
      </c>
      <c r="D178" s="2">
        <f t="shared" si="106"/>
        <v>0</v>
      </c>
      <c r="E178" s="2">
        <f t="shared" si="107"/>
        <v>0</v>
      </c>
      <c r="F178" s="2">
        <f t="shared" si="108"/>
        <v>0</v>
      </c>
      <c r="G178" s="2"/>
      <c r="H178" s="2">
        <f>+GETPIVOTDATA("Sum of Acceptedqty",Purchase!$A$1,"Itemname","PP/HD Wastage/Scrap")</f>
        <v>10643</v>
      </c>
      <c r="I178" s="2"/>
      <c r="J178" s="2"/>
      <c r="K178" s="2"/>
      <c r="L178" s="2"/>
      <c r="M178" s="2"/>
      <c r="N178" s="2">
        <f>+GETPIVOTDATA("Sum of Quantity",'JOB issued'!$A$1,"sales Group Name","Scrap")</f>
        <v>10643</v>
      </c>
      <c r="O178" s="2">
        <v>48971</v>
      </c>
      <c r="P178" s="2">
        <v>48971</v>
      </c>
      <c r="Q178" s="2"/>
      <c r="R178" s="2"/>
      <c r="S178" s="2">
        <f>+N178</f>
        <v>10643</v>
      </c>
      <c r="T178" s="2">
        <v>0</v>
      </c>
      <c r="U178" s="2">
        <f t="shared" si="98"/>
        <v>38328</v>
      </c>
      <c r="V178" s="2">
        <f t="shared" si="99"/>
        <v>48971</v>
      </c>
      <c r="W178" s="54">
        <f t="shared" si="103"/>
        <v>0</v>
      </c>
      <c r="X178" s="2">
        <f t="shared" si="109"/>
        <v>0</v>
      </c>
      <c r="Y178" s="2">
        <f t="shared" si="110"/>
        <v>0</v>
      </c>
      <c r="Z178" s="46">
        <v>0</v>
      </c>
      <c r="AA178" s="46">
        <v>0</v>
      </c>
      <c r="AB178" s="46">
        <v>0</v>
      </c>
      <c r="AC178" s="46">
        <f t="shared" si="111"/>
        <v>0</v>
      </c>
      <c r="AD178" s="12">
        <f t="shared" si="112"/>
        <v>0</v>
      </c>
      <c r="AE178" s="12">
        <f t="shared" si="113"/>
        <v>0</v>
      </c>
      <c r="AF178" s="56"/>
      <c r="AG178" s="62"/>
      <c r="AH178" s="117">
        <f t="shared" si="114"/>
        <v>0</v>
      </c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9"/>
      <c r="AZ178" s="115"/>
      <c r="BA178" s="243"/>
      <c r="BB178" s="115"/>
      <c r="BC178" s="115"/>
      <c r="BD178" s="115"/>
      <c r="BE178" s="115"/>
      <c r="BF178" s="115"/>
      <c r="BG178" s="115"/>
      <c r="BH178" s="115"/>
      <c r="BI178" s="115"/>
      <c r="BJ178" s="115"/>
    </row>
    <row r="179" spans="1:62" x14ac:dyDescent="0.35">
      <c r="A179" s="19" t="str">
        <f>VLOOKUP(C179,Master!A:D,4,0)</f>
        <v>FG</v>
      </c>
      <c r="B179" s="14" t="str">
        <f>VLOOKUP(C179,Master!A:C,3,0)</f>
        <v>FIBC WIP</v>
      </c>
      <c r="C179" s="14" t="s">
        <v>892</v>
      </c>
      <c r="D179" s="2">
        <f t="shared" si="106"/>
        <v>20369.788888000243</v>
      </c>
      <c r="E179" s="2">
        <f t="shared" si="107"/>
        <v>0</v>
      </c>
      <c r="F179" s="2">
        <f t="shared" si="108"/>
        <v>0</v>
      </c>
      <c r="G179" s="2"/>
      <c r="H179" s="2"/>
      <c r="I179" s="2"/>
      <c r="J179" s="2"/>
      <c r="K179" s="2"/>
      <c r="L179" s="2"/>
      <c r="M179" s="2"/>
      <c r="N179" s="2"/>
      <c r="O179" s="2">
        <v>406232.21111199999</v>
      </c>
      <c r="P179" s="2">
        <v>384580.00111200032</v>
      </c>
      <c r="Q179" s="2"/>
      <c r="R179" s="2"/>
      <c r="S179" s="2"/>
      <c r="T179" s="2">
        <v>0</v>
      </c>
      <c r="U179" s="2">
        <f t="shared" si="98"/>
        <v>406232.21111199999</v>
      </c>
      <c r="V179" s="2">
        <f t="shared" si="99"/>
        <v>384580.00111200032</v>
      </c>
      <c r="W179" s="54">
        <f t="shared" si="103"/>
        <v>42021.998887999915</v>
      </c>
      <c r="X179" s="2">
        <f t="shared" si="109"/>
        <v>0</v>
      </c>
      <c r="Y179" s="2">
        <f t="shared" si="110"/>
        <v>0</v>
      </c>
      <c r="Z179" s="46">
        <v>42021.998887999915</v>
      </c>
      <c r="AA179" s="46">
        <v>0</v>
      </c>
      <c r="AB179" s="46">
        <v>0</v>
      </c>
      <c r="AC179" s="46">
        <f t="shared" si="111"/>
        <v>0</v>
      </c>
      <c r="AD179" s="12">
        <f t="shared" si="112"/>
        <v>0</v>
      </c>
      <c r="AE179" s="12">
        <f t="shared" si="113"/>
        <v>0</v>
      </c>
      <c r="AF179" s="56"/>
      <c r="AG179" s="60">
        <v>135</v>
      </c>
      <c r="AH179" s="117">
        <f t="shared" si="114"/>
        <v>5672969.8498799885</v>
      </c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9"/>
      <c r="AZ179" s="115"/>
      <c r="BA179" s="243"/>
      <c r="BB179" s="115"/>
      <c r="BC179" s="115"/>
      <c r="BD179" s="115"/>
      <c r="BE179" s="115"/>
      <c r="BF179" s="115"/>
      <c r="BG179" s="115"/>
      <c r="BH179" s="115"/>
      <c r="BI179" s="115"/>
      <c r="BJ179" s="115"/>
    </row>
    <row r="180" spans="1:62" x14ac:dyDescent="0.35">
      <c r="A180" s="19" t="str">
        <f>VLOOKUP(C180,Master!A:D,4,0)</f>
        <v>FG</v>
      </c>
      <c r="B180" s="14" t="str">
        <f>VLOOKUP(C180,Master!A:C,3,0)</f>
        <v>Label Div</v>
      </c>
      <c r="C180" s="14" t="s">
        <v>895</v>
      </c>
      <c r="D180" s="2">
        <f t="shared" si="106"/>
        <v>0</v>
      </c>
      <c r="E180" s="2">
        <f t="shared" si="107"/>
        <v>0</v>
      </c>
      <c r="F180" s="2">
        <f t="shared" si="108"/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>
        <v>0</v>
      </c>
      <c r="U180" s="2">
        <f t="shared" si="98"/>
        <v>0</v>
      </c>
      <c r="V180" s="2">
        <f t="shared" si="99"/>
        <v>0</v>
      </c>
      <c r="W180" s="54">
        <f t="shared" si="103"/>
        <v>0</v>
      </c>
      <c r="X180" s="2">
        <f t="shared" si="109"/>
        <v>0</v>
      </c>
      <c r="Y180" s="2">
        <f t="shared" si="110"/>
        <v>0</v>
      </c>
      <c r="Z180" s="46">
        <v>0</v>
      </c>
      <c r="AA180" s="46">
        <v>0</v>
      </c>
      <c r="AB180" s="46">
        <v>0</v>
      </c>
      <c r="AC180" s="46">
        <f t="shared" si="111"/>
        <v>0</v>
      </c>
      <c r="AD180" s="12">
        <f t="shared" si="112"/>
        <v>0</v>
      </c>
      <c r="AE180" s="12">
        <f t="shared" si="113"/>
        <v>0</v>
      </c>
      <c r="AF180" s="56"/>
      <c r="AG180" s="62"/>
      <c r="AH180" s="117">
        <f t="shared" si="114"/>
        <v>0</v>
      </c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9"/>
      <c r="AZ180" s="115"/>
      <c r="BA180" s="243"/>
      <c r="BB180" s="115"/>
      <c r="BC180" s="115"/>
      <c r="BD180" s="115"/>
      <c r="BE180" s="115"/>
      <c r="BF180" s="115"/>
      <c r="BG180" s="115"/>
      <c r="BH180" s="115"/>
      <c r="BI180" s="115"/>
      <c r="BJ180" s="115"/>
    </row>
    <row r="181" spans="1:62" x14ac:dyDescent="0.35">
      <c r="A181" s="19" t="str">
        <f>VLOOKUP(C181,Master!A:D,4,0)</f>
        <v>FG</v>
      </c>
      <c r="B181" s="14" t="str">
        <f>VLOOKUP(C181,Master!A:C,3,0)</f>
        <v>FIBC Bags</v>
      </c>
      <c r="C181" s="14" t="s">
        <v>897</v>
      </c>
      <c r="D181" s="2">
        <f t="shared" si="106"/>
        <v>0</v>
      </c>
      <c r="E181" s="2">
        <f t="shared" si="107"/>
        <v>0</v>
      </c>
      <c r="F181" s="2">
        <f t="shared" si="108"/>
        <v>0</v>
      </c>
      <c r="G181" s="2"/>
      <c r="H181" s="2"/>
      <c r="I181" s="2"/>
      <c r="J181" s="2"/>
      <c r="K181" s="2">
        <f>+GETPIVOTDATA("Sum of Quantity",'Sales '!$A$1,"sales Group Name","Jambo Bag/Fibc Bag Mfr (Kg)")</f>
        <v>4752</v>
      </c>
      <c r="L181" s="2"/>
      <c r="M181" s="2"/>
      <c r="N181" s="2">
        <f>+GETPIVOTDATA("Sum of Quantity",'JOB issued'!$A$1,"sales Group Name","Jambo Bag/Fibc Bag Mfr (Kg)")</f>
        <v>417716.33999999985</v>
      </c>
      <c r="O181" s="2">
        <v>422468.34</v>
      </c>
      <c r="P181" s="2"/>
      <c r="Q181" s="2"/>
      <c r="R181" s="2"/>
      <c r="S181" s="2">
        <f>+N181</f>
        <v>417716.33999999985</v>
      </c>
      <c r="T181" s="2">
        <v>0</v>
      </c>
      <c r="U181" s="2">
        <f t="shared" si="98"/>
        <v>4752.0000000001746</v>
      </c>
      <c r="V181" s="2">
        <f t="shared" si="99"/>
        <v>0</v>
      </c>
      <c r="W181" s="54">
        <f t="shared" si="103"/>
        <v>1.7462298274040222E-10</v>
      </c>
      <c r="X181" s="2">
        <f t="shared" si="109"/>
        <v>0</v>
      </c>
      <c r="Y181" s="2">
        <f t="shared" si="110"/>
        <v>0</v>
      </c>
      <c r="Z181" s="46">
        <v>1.7462298274040222E-10</v>
      </c>
      <c r="AA181" s="46">
        <v>0</v>
      </c>
      <c r="AB181" s="46">
        <v>0</v>
      </c>
      <c r="AC181" s="46">
        <f t="shared" si="111"/>
        <v>0</v>
      </c>
      <c r="AD181" s="12">
        <f t="shared" si="112"/>
        <v>0</v>
      </c>
      <c r="AE181" s="12">
        <f t="shared" si="113"/>
        <v>0</v>
      </c>
      <c r="AF181" s="56"/>
      <c r="AG181" s="62"/>
      <c r="AH181" s="117">
        <f t="shared" si="114"/>
        <v>0</v>
      </c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9"/>
      <c r="AZ181" s="115"/>
      <c r="BA181" s="243"/>
      <c r="BB181" s="115"/>
      <c r="BC181" s="115"/>
      <c r="BD181" s="115"/>
      <c r="BE181" s="115"/>
      <c r="BF181" s="115"/>
      <c r="BG181" s="115"/>
      <c r="BH181" s="115"/>
      <c r="BI181" s="115"/>
      <c r="BJ181" s="115"/>
    </row>
    <row r="182" spans="1:62" x14ac:dyDescent="0.35">
      <c r="A182" s="19" t="str">
        <f>VLOOKUP(C182,Master!A:D,4,0)</f>
        <v>FG</v>
      </c>
      <c r="B182" s="14" t="str">
        <f>VLOOKUP(C182,Master!A:C,3,0)</f>
        <v>Small Bags</v>
      </c>
      <c r="C182" s="14" t="s">
        <v>900</v>
      </c>
      <c r="D182" s="2">
        <f t="shared" si="106"/>
        <v>0</v>
      </c>
      <c r="E182" s="2">
        <f t="shared" si="107"/>
        <v>0</v>
      </c>
      <c r="F182" s="2">
        <f t="shared" si="108"/>
        <v>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>
        <v>0</v>
      </c>
      <c r="U182" s="2">
        <f t="shared" si="98"/>
        <v>0</v>
      </c>
      <c r="V182" s="2">
        <f t="shared" si="99"/>
        <v>0</v>
      </c>
      <c r="W182" s="54">
        <f t="shared" si="103"/>
        <v>0</v>
      </c>
      <c r="X182" s="2">
        <f t="shared" si="109"/>
        <v>0</v>
      </c>
      <c r="Y182" s="2">
        <f t="shared" si="110"/>
        <v>0</v>
      </c>
      <c r="Z182" s="46">
        <v>0</v>
      </c>
      <c r="AA182" s="46">
        <v>0</v>
      </c>
      <c r="AB182" s="46">
        <v>0</v>
      </c>
      <c r="AC182" s="46">
        <f t="shared" si="111"/>
        <v>0</v>
      </c>
      <c r="AD182" s="12">
        <f t="shared" si="112"/>
        <v>0</v>
      </c>
      <c r="AE182" s="12">
        <f t="shared" si="113"/>
        <v>0</v>
      </c>
      <c r="AF182" s="56"/>
      <c r="AG182" s="62"/>
      <c r="AH182" s="117">
        <f t="shared" si="114"/>
        <v>0</v>
      </c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9"/>
      <c r="AZ182" s="115"/>
      <c r="BA182" s="243"/>
      <c r="BB182" s="115"/>
      <c r="BC182" s="115"/>
      <c r="BD182" s="115"/>
      <c r="BE182" s="115"/>
      <c r="BF182" s="115"/>
      <c r="BG182" s="115"/>
      <c r="BH182" s="115"/>
      <c r="BI182" s="115"/>
      <c r="BJ182" s="115"/>
    </row>
    <row r="183" spans="1:62" x14ac:dyDescent="0.35">
      <c r="A183" s="19" t="str">
        <f>VLOOKUP(C183,Master!A:D,4,0)</f>
        <v>FG</v>
      </c>
      <c r="B183" s="14" t="str">
        <f>VLOOKUP(C183,Master!A:C,3,0)</f>
        <v>Tarps</v>
      </c>
      <c r="C183" s="14" t="s">
        <v>903</v>
      </c>
      <c r="D183" s="2">
        <f t="shared" si="106"/>
        <v>0</v>
      </c>
      <c r="E183" s="2">
        <f t="shared" si="107"/>
        <v>0</v>
      </c>
      <c r="F183" s="2">
        <f t="shared" si="108"/>
        <v>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>
        <v>0</v>
      </c>
      <c r="U183" s="2">
        <f t="shared" si="98"/>
        <v>0</v>
      </c>
      <c r="V183" s="2">
        <f t="shared" si="99"/>
        <v>0</v>
      </c>
      <c r="W183" s="54">
        <f t="shared" si="103"/>
        <v>0</v>
      </c>
      <c r="X183" s="2">
        <f t="shared" si="109"/>
        <v>0</v>
      </c>
      <c r="Y183" s="2">
        <f t="shared" si="110"/>
        <v>0</v>
      </c>
      <c r="Z183" s="46">
        <v>0</v>
      </c>
      <c r="AA183" s="46">
        <v>0</v>
      </c>
      <c r="AB183" s="46">
        <v>0</v>
      </c>
      <c r="AC183" s="46">
        <f t="shared" si="111"/>
        <v>0</v>
      </c>
      <c r="AD183" s="12">
        <f t="shared" si="112"/>
        <v>0</v>
      </c>
      <c r="AE183" s="12">
        <f t="shared" si="113"/>
        <v>0</v>
      </c>
      <c r="AF183" s="56"/>
      <c r="AG183" s="62"/>
      <c r="AH183" s="117">
        <f t="shared" si="114"/>
        <v>0</v>
      </c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9"/>
      <c r="AZ183" s="115"/>
      <c r="BA183" s="243"/>
      <c r="BB183" s="115"/>
      <c r="BC183" s="115"/>
      <c r="BD183" s="115"/>
      <c r="BE183" s="115"/>
      <c r="BF183" s="115"/>
      <c r="BG183" s="115"/>
      <c r="BH183" s="115"/>
      <c r="BI183" s="115"/>
      <c r="BJ183" s="115"/>
    </row>
    <row r="184" spans="1:62" x14ac:dyDescent="0.35">
      <c r="A184" s="19" t="str">
        <f>VLOOKUP(C184,Master!A:D,4,0)</f>
        <v>FG</v>
      </c>
      <c r="B184" s="14" t="str">
        <f>VLOOKUP(C184,Master!A:C,3,0)</f>
        <v>Trading Items</v>
      </c>
      <c r="C184" s="14" t="s">
        <v>905</v>
      </c>
      <c r="D184" s="2">
        <f t="shared" si="106"/>
        <v>0</v>
      </c>
      <c r="E184" s="2">
        <f t="shared" si="107"/>
        <v>0</v>
      </c>
      <c r="F184" s="2">
        <f t="shared" si="108"/>
        <v>0</v>
      </c>
      <c r="G184" s="6"/>
      <c r="H184" s="6"/>
      <c r="I184" s="6"/>
      <c r="J184" s="2"/>
      <c r="K184" s="6"/>
      <c r="L184" s="6"/>
      <c r="M184" s="6"/>
      <c r="N184" s="6"/>
      <c r="O184" s="6"/>
      <c r="P184" s="6"/>
      <c r="Q184" s="2"/>
      <c r="R184" s="6"/>
      <c r="S184" s="6"/>
      <c r="T184" s="6">
        <v>0</v>
      </c>
      <c r="U184" s="2">
        <f t="shared" si="98"/>
        <v>0</v>
      </c>
      <c r="V184" s="2">
        <f t="shared" si="99"/>
        <v>0</v>
      </c>
      <c r="W184" s="54">
        <f t="shared" si="103"/>
        <v>0</v>
      </c>
      <c r="X184" s="2">
        <f t="shared" si="109"/>
        <v>0</v>
      </c>
      <c r="Y184" s="2">
        <f t="shared" si="110"/>
        <v>0</v>
      </c>
      <c r="Z184" s="46">
        <v>0</v>
      </c>
      <c r="AA184" s="46">
        <v>0</v>
      </c>
      <c r="AB184" s="46">
        <v>0</v>
      </c>
      <c r="AC184" s="46">
        <f t="shared" si="111"/>
        <v>0</v>
      </c>
      <c r="AD184" s="12">
        <f t="shared" si="112"/>
        <v>0</v>
      </c>
      <c r="AE184" s="12">
        <f t="shared" si="113"/>
        <v>0</v>
      </c>
      <c r="AF184" s="56"/>
      <c r="AG184" s="62"/>
      <c r="AH184" s="117">
        <f t="shared" si="114"/>
        <v>0</v>
      </c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9"/>
      <c r="AZ184" s="115"/>
      <c r="BA184" s="243"/>
      <c r="BB184" s="115"/>
      <c r="BC184" s="115"/>
      <c r="BD184" s="115"/>
      <c r="BE184" s="115"/>
      <c r="BF184" s="115"/>
      <c r="BG184" s="115"/>
      <c r="BH184" s="115"/>
      <c r="BI184" s="115"/>
      <c r="BJ184" s="115"/>
    </row>
    <row r="185" spans="1:62" x14ac:dyDescent="0.35">
      <c r="A185" s="19" t="str">
        <f>VLOOKUP(C185,Master!A:D,4,0)</f>
        <v>FG</v>
      </c>
      <c r="B185" s="14" t="str">
        <f>VLOOKUP(C185,Master!A:C,3,0)</f>
        <v>Small Bags</v>
      </c>
      <c r="C185" s="14" t="s">
        <v>907</v>
      </c>
      <c r="D185" s="2">
        <f t="shared" si="106"/>
        <v>0</v>
      </c>
      <c r="E185" s="2">
        <f t="shared" si="107"/>
        <v>0</v>
      </c>
      <c r="F185" s="2">
        <f t="shared" si="108"/>
        <v>0</v>
      </c>
      <c r="G185" s="6"/>
      <c r="H185" s="2"/>
      <c r="I185" s="6"/>
      <c r="J185" s="2"/>
      <c r="K185" s="6"/>
      <c r="L185" s="6"/>
      <c r="M185" s="6"/>
      <c r="N185" s="6"/>
      <c r="O185" s="6"/>
      <c r="P185" s="6"/>
      <c r="Q185" s="2"/>
      <c r="R185" s="6"/>
      <c r="S185" s="6"/>
      <c r="T185" s="6">
        <v>0</v>
      </c>
      <c r="U185" s="2">
        <f t="shared" si="98"/>
        <v>0</v>
      </c>
      <c r="V185" s="2">
        <f t="shared" si="99"/>
        <v>0</v>
      </c>
      <c r="W185" s="54">
        <f t="shared" si="103"/>
        <v>0</v>
      </c>
      <c r="X185" s="2">
        <f t="shared" si="109"/>
        <v>0</v>
      </c>
      <c r="Y185" s="2">
        <f t="shared" si="110"/>
        <v>0</v>
      </c>
      <c r="Z185" s="46">
        <v>0</v>
      </c>
      <c r="AA185" s="46">
        <v>0</v>
      </c>
      <c r="AB185" s="46">
        <v>0</v>
      </c>
      <c r="AC185" s="46">
        <f t="shared" si="111"/>
        <v>0</v>
      </c>
      <c r="AD185" s="12">
        <f t="shared" si="112"/>
        <v>0</v>
      </c>
      <c r="AE185" s="12">
        <f t="shared" si="113"/>
        <v>0</v>
      </c>
      <c r="AF185" s="56"/>
      <c r="AG185" s="62"/>
      <c r="AH185" s="117">
        <f t="shared" si="114"/>
        <v>0</v>
      </c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9"/>
      <c r="AZ185" s="115"/>
      <c r="BA185" s="243"/>
      <c r="BB185" s="115"/>
      <c r="BC185" s="115"/>
      <c r="BD185" s="115"/>
      <c r="BE185" s="115"/>
      <c r="BF185" s="115"/>
      <c r="BG185" s="115"/>
      <c r="BH185" s="115"/>
      <c r="BI185" s="115"/>
      <c r="BJ185" s="115"/>
    </row>
    <row r="186" spans="1:62" x14ac:dyDescent="0.35">
      <c r="A186" s="19" t="str">
        <f>VLOOKUP(C186,Master!A:D,4,0)</f>
        <v>FG</v>
      </c>
      <c r="B186" s="14" t="str">
        <f>VLOOKUP(C186,Master!A:C,3,0)</f>
        <v>Small Bags WIP</v>
      </c>
      <c r="C186" s="14" t="s">
        <v>908</v>
      </c>
      <c r="D186" s="2">
        <f t="shared" si="106"/>
        <v>0</v>
      </c>
      <c r="E186" s="2">
        <f t="shared" si="107"/>
        <v>0</v>
      </c>
      <c r="F186" s="2">
        <f t="shared" si="108"/>
        <v>0</v>
      </c>
      <c r="G186" s="7"/>
      <c r="H186" s="2"/>
      <c r="I186" s="7"/>
      <c r="J186" s="11"/>
      <c r="K186" s="7"/>
      <c r="L186" s="7"/>
      <c r="M186" s="7"/>
      <c r="N186" s="7"/>
      <c r="O186" s="7"/>
      <c r="P186" s="6"/>
      <c r="Q186" s="2"/>
      <c r="R186" s="7"/>
      <c r="S186" s="7"/>
      <c r="T186" s="6">
        <v>0</v>
      </c>
      <c r="U186" s="2">
        <f t="shared" si="98"/>
        <v>0</v>
      </c>
      <c r="V186" s="2">
        <f t="shared" si="99"/>
        <v>0</v>
      </c>
      <c r="W186" s="54">
        <f t="shared" si="103"/>
        <v>0</v>
      </c>
      <c r="X186" s="2">
        <f t="shared" si="109"/>
        <v>0</v>
      </c>
      <c r="Y186" s="2">
        <f t="shared" si="110"/>
        <v>0</v>
      </c>
      <c r="Z186" s="46">
        <v>0</v>
      </c>
      <c r="AA186" s="46">
        <v>0</v>
      </c>
      <c r="AB186" s="46">
        <v>0</v>
      </c>
      <c r="AC186" s="46">
        <f t="shared" si="111"/>
        <v>0</v>
      </c>
      <c r="AD186" s="12">
        <f t="shared" si="112"/>
        <v>0</v>
      </c>
      <c r="AE186" s="12">
        <f t="shared" si="113"/>
        <v>0</v>
      </c>
      <c r="AF186" s="56"/>
      <c r="AG186" s="62"/>
      <c r="AH186" s="117">
        <f t="shared" si="114"/>
        <v>0</v>
      </c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9"/>
      <c r="AZ186" s="115"/>
      <c r="BA186" s="243"/>
      <c r="BB186" s="115"/>
      <c r="BC186" s="115"/>
      <c r="BD186" s="115"/>
      <c r="BE186" s="115"/>
      <c r="BF186" s="115"/>
      <c r="BG186" s="115"/>
      <c r="BH186" s="115"/>
      <c r="BI186" s="115"/>
      <c r="BJ186" s="115"/>
    </row>
    <row r="187" spans="1:62" ht="15" thickBot="1" x14ac:dyDescent="0.4">
      <c r="A187" s="20" t="str">
        <f>VLOOKUP(C187,Master!A:D,4,0)</f>
        <v>FG</v>
      </c>
      <c r="B187" s="21" t="str">
        <f>VLOOKUP(C187,Master!A:C,3,0)</f>
        <v>Flexitank</v>
      </c>
      <c r="C187" s="21" t="s">
        <v>718</v>
      </c>
      <c r="D187" s="2">
        <f t="shared" si="106"/>
        <v>0</v>
      </c>
      <c r="E187" s="2">
        <f t="shared" si="107"/>
        <v>0</v>
      </c>
      <c r="F187" s="2">
        <f t="shared" si="108"/>
        <v>0</v>
      </c>
      <c r="G187" s="22"/>
      <c r="H187" s="22"/>
      <c r="I187" s="22"/>
      <c r="J187" s="24"/>
      <c r="K187" s="22"/>
      <c r="L187" s="22"/>
      <c r="M187" s="22"/>
      <c r="N187" s="22"/>
      <c r="O187" s="22"/>
      <c r="P187" s="22"/>
      <c r="Q187" s="2"/>
      <c r="R187" s="22"/>
      <c r="S187" s="22"/>
      <c r="T187" s="22">
        <v>0</v>
      </c>
      <c r="U187" s="2">
        <f t="shared" si="98"/>
        <v>0</v>
      </c>
      <c r="V187" s="2">
        <f t="shared" si="99"/>
        <v>0</v>
      </c>
      <c r="W187" s="54">
        <f t="shared" si="103"/>
        <v>0</v>
      </c>
      <c r="X187" s="2">
        <f t="shared" si="109"/>
        <v>0</v>
      </c>
      <c r="Y187" s="2">
        <f t="shared" si="110"/>
        <v>0</v>
      </c>
      <c r="Z187" s="46">
        <v>0</v>
      </c>
      <c r="AA187" s="46">
        <v>0</v>
      </c>
      <c r="AB187" s="46">
        <v>0</v>
      </c>
      <c r="AC187" s="46">
        <f t="shared" si="111"/>
        <v>0</v>
      </c>
      <c r="AD187" s="12">
        <f t="shared" si="112"/>
        <v>0</v>
      </c>
      <c r="AE187" s="12">
        <f t="shared" si="113"/>
        <v>0</v>
      </c>
      <c r="AF187" s="56"/>
      <c r="AG187" s="65"/>
      <c r="AH187" s="117">
        <f t="shared" si="114"/>
        <v>0</v>
      </c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9"/>
      <c r="AZ187" s="115"/>
      <c r="BA187" s="243"/>
      <c r="BB187" s="115"/>
      <c r="BC187" s="115"/>
      <c r="BD187" s="115"/>
      <c r="BE187" s="115"/>
      <c r="BF187" s="115"/>
      <c r="BG187" s="115"/>
      <c r="BH187" s="115"/>
      <c r="BI187" s="115"/>
      <c r="BJ187" s="115"/>
    </row>
    <row r="188" spans="1:62" x14ac:dyDescent="0.35">
      <c r="A188" s="536" t="s">
        <v>928</v>
      </c>
      <c r="B188" s="537"/>
      <c r="C188" s="538"/>
      <c r="D188" s="17">
        <f t="shared" ref="D188:Z188" si="115">SUM(D151:D187)</f>
        <v>21939.588888000246</v>
      </c>
      <c r="E188" s="17">
        <f t="shared" si="115"/>
        <v>611507.77</v>
      </c>
      <c r="F188" s="17">
        <f t="shared" si="115"/>
        <v>0</v>
      </c>
      <c r="G188" s="17">
        <f t="shared" si="115"/>
        <v>0</v>
      </c>
      <c r="H188" s="17">
        <f t="shared" si="115"/>
        <v>210713.23</v>
      </c>
      <c r="I188" s="17">
        <f t="shared" si="115"/>
        <v>0</v>
      </c>
      <c r="J188" s="17">
        <f t="shared" si="115"/>
        <v>266511.70000000007</v>
      </c>
      <c r="K188" s="17">
        <f t="shared" si="115"/>
        <v>152141.29999999999</v>
      </c>
      <c r="L188" s="17">
        <f t="shared" si="115"/>
        <v>0</v>
      </c>
      <c r="M188" s="17">
        <f t="shared" si="115"/>
        <v>0</v>
      </c>
      <c r="N188" s="17">
        <f t="shared" si="115"/>
        <v>428359.33999999985</v>
      </c>
      <c r="O188" s="17">
        <f t="shared" si="115"/>
        <v>1687001.451112</v>
      </c>
      <c r="P188" s="17">
        <f t="shared" si="115"/>
        <v>1687001.451112</v>
      </c>
      <c r="Q188" s="17">
        <f t="shared" si="115"/>
        <v>0</v>
      </c>
      <c r="R188" s="17">
        <f t="shared" si="115"/>
        <v>0</v>
      </c>
      <c r="S188" s="17">
        <f t="shared" si="115"/>
        <v>428359.33999999985</v>
      </c>
      <c r="T188" s="17">
        <f t="shared" si="115"/>
        <v>428359.33999999997</v>
      </c>
      <c r="U188" s="17">
        <f t="shared" si="115"/>
        <v>1258642.1111120002</v>
      </c>
      <c r="V188" s="17">
        <f t="shared" si="115"/>
        <v>1258642.1111120004</v>
      </c>
      <c r="W188" s="17">
        <f t="shared" si="115"/>
        <v>80511.518888000093</v>
      </c>
      <c r="X188" s="17">
        <f t="shared" si="115"/>
        <v>449660.13</v>
      </c>
      <c r="Y188" s="17">
        <f t="shared" si="115"/>
        <v>0</v>
      </c>
      <c r="Z188" s="17">
        <f t="shared" si="115"/>
        <v>80511.518888000093</v>
      </c>
      <c r="AA188" s="94">
        <f>SUM(AA151:AA187)</f>
        <v>449660.13</v>
      </c>
      <c r="AB188" s="17">
        <f t="shared" ref="AB188:AF188" si="116">SUM(AB151:AB187)</f>
        <v>0</v>
      </c>
      <c r="AC188" s="17">
        <f t="shared" si="116"/>
        <v>0</v>
      </c>
      <c r="AD188" s="17">
        <f t="shared" si="116"/>
        <v>0</v>
      </c>
      <c r="AE188" s="17">
        <f t="shared" si="116"/>
        <v>0</v>
      </c>
      <c r="AF188" s="57">
        <f t="shared" si="116"/>
        <v>0</v>
      </c>
      <c r="AG188" s="61"/>
      <c r="AH188" s="120">
        <f t="shared" ref="AH188" si="117">SUM(AH151:AH187)</f>
        <v>10355339.109457154</v>
      </c>
      <c r="AL188" s="121"/>
      <c r="AM188" s="121"/>
      <c r="AN188" s="121"/>
      <c r="AO188" s="121"/>
      <c r="AP188" s="121"/>
      <c r="AQ188" s="121"/>
      <c r="AR188" s="121"/>
      <c r="AS188" s="121"/>
      <c r="AT188" s="121"/>
      <c r="AU188" s="121"/>
      <c r="AV188" s="121"/>
      <c r="AW188" s="121"/>
      <c r="AX188" s="121"/>
      <c r="AY188" s="247"/>
      <c r="AZ188" s="248"/>
      <c r="BA188" s="248"/>
      <c r="BB188" s="122"/>
      <c r="BC188" s="122"/>
      <c r="BD188" s="122"/>
      <c r="BE188" s="122"/>
      <c r="BF188" s="122"/>
      <c r="BG188" s="122"/>
      <c r="BH188" s="122"/>
      <c r="BI188" s="122"/>
      <c r="BJ188" s="115"/>
    </row>
    <row r="189" spans="1:62" x14ac:dyDescent="0.35">
      <c r="A189" s="533" t="s">
        <v>927</v>
      </c>
      <c r="B189" s="534"/>
      <c r="C189" s="535"/>
      <c r="D189" s="11"/>
      <c r="E189" s="11"/>
      <c r="F189" s="11"/>
      <c r="G189" s="11"/>
      <c r="H189" s="11">
        <f>+GETPIVOTDATA("Sum of Acceptedqty",Purchase!$A$1)</f>
        <v>210713.23</v>
      </c>
      <c r="I189" s="11"/>
      <c r="J189" s="11">
        <f>+GETPIVOTDATA("Acceptedqty",'Job Received'!$A$1)</f>
        <v>266511.7</v>
      </c>
      <c r="K189" s="11">
        <f>+GETPIVOTDATA("Sum of Quantity",'Sales '!$A$1)</f>
        <v>168005.5</v>
      </c>
      <c r="L189" s="11"/>
      <c r="M189" s="11"/>
      <c r="N189" s="11">
        <f>+GETPIVOTDATA("Sum of Quantity",'JOB issued'!$A$1)</f>
        <v>428359.33999999985</v>
      </c>
      <c r="O189" s="11"/>
      <c r="P189" s="11"/>
      <c r="Q189" s="11"/>
      <c r="R189" s="11"/>
      <c r="S189" s="11"/>
      <c r="T189" s="11"/>
      <c r="U189" s="11"/>
      <c r="V189" s="12"/>
      <c r="W189" s="11"/>
      <c r="X189" s="11"/>
      <c r="Y189" s="12"/>
      <c r="Z189" s="11"/>
      <c r="AA189" s="11">
        <f>+GETPIVOTDATA("Balanced Qty",Challan!$A$1)</f>
        <v>449660.13</v>
      </c>
      <c r="AB189" s="11"/>
      <c r="AC189" s="11"/>
      <c r="AD189" s="11"/>
      <c r="AE189" s="11"/>
      <c r="AF189" s="4"/>
      <c r="AG189" s="62"/>
      <c r="AH189" s="117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9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115"/>
    </row>
    <row r="190" spans="1:62" ht="15" thickBot="1" x14ac:dyDescent="0.4">
      <c r="A190" s="547" t="s">
        <v>21</v>
      </c>
      <c r="B190" s="548"/>
      <c r="C190" s="549"/>
      <c r="D190" s="23"/>
      <c r="E190" s="23"/>
      <c r="F190" s="23"/>
      <c r="G190" s="24">
        <f>G188-G189</f>
        <v>0</v>
      </c>
      <c r="H190" s="24">
        <f t="shared" ref="H190:N190" si="118">H188-H189</f>
        <v>0</v>
      </c>
      <c r="I190" s="24">
        <f t="shared" si="118"/>
        <v>0</v>
      </c>
      <c r="J190" s="24">
        <f t="shared" si="118"/>
        <v>0</v>
      </c>
      <c r="K190" s="254">
        <f t="shared" si="118"/>
        <v>-15864.200000000012</v>
      </c>
      <c r="L190" s="24">
        <f t="shared" si="118"/>
        <v>0</v>
      </c>
      <c r="M190" s="24">
        <f t="shared" si="118"/>
        <v>0</v>
      </c>
      <c r="N190" s="24">
        <f t="shared" si="118"/>
        <v>0</v>
      </c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79">
        <f>+AA188-AA189</f>
        <v>0</v>
      </c>
      <c r="AB190" s="23"/>
      <c r="AC190" s="23"/>
      <c r="AD190" s="23"/>
      <c r="AE190" s="23"/>
      <c r="AF190" s="25"/>
      <c r="AG190" s="63"/>
      <c r="AH190" s="123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245"/>
      <c r="AZ190" s="115"/>
      <c r="BA190" s="115"/>
      <c r="BB190" s="115"/>
      <c r="BC190" s="115"/>
      <c r="BD190" s="115"/>
      <c r="BE190" s="115"/>
      <c r="BF190" s="115"/>
      <c r="BG190" s="115"/>
      <c r="BH190" s="115"/>
      <c r="BI190" s="115"/>
      <c r="BJ190" s="115"/>
    </row>
    <row r="191" spans="1:62" x14ac:dyDescent="0.35">
      <c r="O191" s="51" t="s">
        <v>970</v>
      </c>
      <c r="P191" s="70">
        <f>+O188-P188</f>
        <v>0</v>
      </c>
      <c r="S191" s="51" t="s">
        <v>970</v>
      </c>
      <c r="T191" s="70">
        <f>+S188-T188</f>
        <v>0</v>
      </c>
      <c r="W191" s="47"/>
      <c r="X191" s="47"/>
    </row>
    <row r="192" spans="1:62" x14ac:dyDescent="0.35">
      <c r="A192" s="29"/>
      <c r="H192" s="47"/>
      <c r="I192" s="47"/>
      <c r="J192" s="47"/>
      <c r="O192" s="64"/>
      <c r="P192" s="64"/>
      <c r="S192" s="47"/>
      <c r="W192" s="64">
        <f>+D188+H188-K188</f>
        <v>80511.518888000282</v>
      </c>
      <c r="X192" s="47">
        <f>+E188+J188-N188</f>
        <v>449660.13000000024</v>
      </c>
      <c r="AH192" s="116">
        <f>+AH152+AH165+AH151+AH159</f>
        <v>4682369.2595771663</v>
      </c>
      <c r="AI192" s="105" t="s">
        <v>932</v>
      </c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6"/>
      <c r="AT192" s="116"/>
      <c r="AU192" s="116"/>
      <c r="AV192" s="116"/>
      <c r="AW192" s="116"/>
      <c r="AX192" s="116"/>
      <c r="AY192" s="246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</row>
    <row r="193" spans="1:62" x14ac:dyDescent="0.35">
      <c r="E193" s="47"/>
      <c r="L193" s="47"/>
      <c r="W193" s="47">
        <f>+W188-W192</f>
        <v>-1.8917489796876907E-10</v>
      </c>
      <c r="X193" s="47">
        <f>+X188-X192</f>
        <v>0</v>
      </c>
      <c r="AH193" s="116">
        <f>+AH179</f>
        <v>5672969.8498799885</v>
      </c>
      <c r="AI193" s="105" t="s">
        <v>931</v>
      </c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/>
      <c r="AU193" s="116"/>
      <c r="AV193" s="116"/>
      <c r="AW193" s="116"/>
      <c r="AX193" s="116"/>
      <c r="AY193" s="246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</row>
    <row r="194" spans="1:62" x14ac:dyDescent="0.35">
      <c r="AH194" s="116">
        <f>+AH171+AH178+AH181+AH185</f>
        <v>0</v>
      </c>
      <c r="AI194" s="105" t="s">
        <v>930</v>
      </c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  <c r="AX194" s="116"/>
      <c r="AY194" s="246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</row>
    <row r="195" spans="1:62" x14ac:dyDescent="0.35">
      <c r="AH195" s="118">
        <f>+AH188-AH192-AH193-AH194</f>
        <v>-9.3132257461547852E-10</v>
      </c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  <c r="AT195" s="116"/>
      <c r="AU195" s="116"/>
      <c r="AV195" s="116"/>
      <c r="AW195" s="116"/>
      <c r="AX195" s="116"/>
      <c r="AY195" s="246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24"/>
    </row>
    <row r="198" spans="1:62" ht="15" hidden="1" thickBot="1" x14ac:dyDescent="0.4">
      <c r="A198" s="5"/>
      <c r="B198" s="5"/>
      <c r="C198" s="8"/>
      <c r="D198" s="539" t="s">
        <v>0</v>
      </c>
      <c r="E198" s="540"/>
      <c r="F198" s="540"/>
      <c r="G198" s="541" t="s">
        <v>2349</v>
      </c>
      <c r="H198" s="542"/>
      <c r="I198" s="542"/>
      <c r="J198" s="542"/>
      <c r="K198" s="542"/>
      <c r="L198" s="542"/>
      <c r="M198" s="542"/>
      <c r="N198" s="542"/>
      <c r="O198" s="542"/>
      <c r="P198" s="542"/>
      <c r="Q198" s="542"/>
      <c r="R198" s="542"/>
      <c r="S198" s="542"/>
      <c r="T198" s="542"/>
      <c r="U198" s="542"/>
      <c r="V198" s="543"/>
      <c r="W198" s="554" t="s">
        <v>20</v>
      </c>
      <c r="X198" s="554"/>
      <c r="Y198" s="554"/>
      <c r="Z198" s="553" t="s">
        <v>929</v>
      </c>
      <c r="AA198" s="553"/>
      <c r="AB198" s="553"/>
      <c r="AC198" s="553" t="s">
        <v>21</v>
      </c>
      <c r="AD198" s="553"/>
      <c r="AE198" s="553"/>
      <c r="AF198" s="13"/>
      <c r="AG198" s="531"/>
      <c r="AH198" s="532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</row>
    <row r="199" spans="1:62" ht="29.5" hidden="1" thickBot="1" x14ac:dyDescent="0.4">
      <c r="A199" s="10" t="s">
        <v>24</v>
      </c>
      <c r="B199" s="10" t="s">
        <v>924</v>
      </c>
      <c r="C199" s="10" t="s">
        <v>23</v>
      </c>
      <c r="D199" s="26" t="s">
        <v>1</v>
      </c>
      <c r="E199" s="27" t="s">
        <v>2</v>
      </c>
      <c r="F199" s="27" t="s">
        <v>3</v>
      </c>
      <c r="G199" s="27" t="s">
        <v>4</v>
      </c>
      <c r="H199" s="27" t="s">
        <v>5</v>
      </c>
      <c r="I199" s="27" t="s">
        <v>6</v>
      </c>
      <c r="J199" s="50" t="s">
        <v>7</v>
      </c>
      <c r="K199" s="27" t="s">
        <v>8</v>
      </c>
      <c r="L199" s="27" t="s">
        <v>9</v>
      </c>
      <c r="M199" s="27" t="s">
        <v>10</v>
      </c>
      <c r="N199" s="27" t="s">
        <v>11</v>
      </c>
      <c r="O199" s="27" t="s">
        <v>12</v>
      </c>
      <c r="P199" s="27" t="s">
        <v>13</v>
      </c>
      <c r="Q199" s="27" t="s">
        <v>14</v>
      </c>
      <c r="R199" s="27" t="s">
        <v>15</v>
      </c>
      <c r="S199" s="27" t="s">
        <v>16</v>
      </c>
      <c r="T199" s="27" t="s">
        <v>17</v>
      </c>
      <c r="U199" s="27" t="s">
        <v>18</v>
      </c>
      <c r="V199" s="27" t="s">
        <v>19</v>
      </c>
      <c r="W199" s="28" t="s">
        <v>1</v>
      </c>
      <c r="X199" s="28" t="s">
        <v>2</v>
      </c>
      <c r="Y199" s="28" t="s">
        <v>3</v>
      </c>
      <c r="Z199" s="28" t="s">
        <v>1</v>
      </c>
      <c r="AA199" s="50" t="s">
        <v>2</v>
      </c>
      <c r="AB199" s="27" t="s">
        <v>3</v>
      </c>
      <c r="AC199" s="27" t="s">
        <v>1</v>
      </c>
      <c r="AD199" s="27" t="s">
        <v>2</v>
      </c>
      <c r="AE199" s="27" t="s">
        <v>3</v>
      </c>
      <c r="AF199" s="55" t="s">
        <v>22</v>
      </c>
      <c r="AG199" s="59" t="s">
        <v>934</v>
      </c>
      <c r="AH199" s="110" t="s">
        <v>933</v>
      </c>
      <c r="AI199" s="114"/>
      <c r="AJ199" s="114"/>
      <c r="AK199" s="114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2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</row>
    <row r="200" spans="1:62" hidden="1" x14ac:dyDescent="0.35">
      <c r="A200" s="15" t="str">
        <f>VLOOKUP(C200,Master!A:D,4,0)</f>
        <v>RM</v>
      </c>
      <c r="B200" s="16" t="str">
        <f>VLOOKUP(C200,Master!A:C,3,0)</f>
        <v>Granuals</v>
      </c>
      <c r="C200" s="16" t="s">
        <v>32</v>
      </c>
      <c r="D200" s="17">
        <f>+W151</f>
        <v>2494.8000000000002</v>
      </c>
      <c r="E200" s="17">
        <f t="shared" ref="E200:F201" si="119">+X151</f>
        <v>200</v>
      </c>
      <c r="F200" s="17">
        <f t="shared" si="119"/>
        <v>0</v>
      </c>
      <c r="G200" s="17"/>
      <c r="H200" s="17"/>
      <c r="I200" s="71"/>
      <c r="J200" s="241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94">
        <f t="shared" ref="U200:V236" si="120">O200-S200</f>
        <v>0</v>
      </c>
      <c r="V200" s="94">
        <f t="shared" ref="V200:V236" si="121">P200-T200</f>
        <v>0</v>
      </c>
      <c r="W200" s="94">
        <f>D200+G200+H200+I200-K200-L200-M200-V200+U200</f>
        <v>2494.8000000000002</v>
      </c>
      <c r="X200" s="255">
        <f t="shared" ref="X200:X201" si="122">E200+J200-N200-T200+S200</f>
        <v>200</v>
      </c>
      <c r="Y200" s="17">
        <f t="shared" ref="Y200:Y201" si="123">F200-I200+M200-R200+Q200</f>
        <v>0</v>
      </c>
      <c r="Z200" s="48">
        <v>0</v>
      </c>
      <c r="AA200" s="48">
        <v>0</v>
      </c>
      <c r="AB200" s="48">
        <v>0</v>
      </c>
      <c r="AC200" s="72">
        <f>W200-Z200</f>
        <v>2494.8000000000002</v>
      </c>
      <c r="AD200" s="72">
        <f>X200-AA200</f>
        <v>200</v>
      </c>
      <c r="AE200" s="18">
        <f>Y200-AB200</f>
        <v>0</v>
      </c>
      <c r="AF200" s="56"/>
      <c r="AG200" s="61"/>
      <c r="AH200" s="113">
        <f>+W200*AG200</f>
        <v>0</v>
      </c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9"/>
      <c r="AZ200" s="115"/>
      <c r="BA200" s="243"/>
      <c r="BB200" s="115"/>
      <c r="BC200" s="115"/>
      <c r="BD200" s="115"/>
      <c r="BE200" s="115"/>
      <c r="BF200" s="115"/>
      <c r="BG200" s="115"/>
      <c r="BH200" s="115"/>
      <c r="BI200" s="115"/>
      <c r="BJ200" s="115"/>
    </row>
    <row r="201" spans="1:62" hidden="1" x14ac:dyDescent="0.35">
      <c r="A201" s="19" t="str">
        <f>VLOOKUP(C201,Master!A:D,4,0)</f>
        <v>RM</v>
      </c>
      <c r="B201" s="14" t="str">
        <f>VLOOKUP(C201,Master!A:C,3,0)</f>
        <v>Granuals</v>
      </c>
      <c r="C201" s="14" t="s">
        <v>37</v>
      </c>
      <c r="D201" s="2">
        <f>+W152</f>
        <v>29994.720000000001</v>
      </c>
      <c r="E201" s="2">
        <f t="shared" si="119"/>
        <v>341299.7</v>
      </c>
      <c r="F201" s="2">
        <f t="shared" si="119"/>
        <v>0</v>
      </c>
      <c r="G201" s="2"/>
      <c r="H201" s="2"/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54">
        <f t="shared" si="120"/>
        <v>0</v>
      </c>
      <c r="V201" s="54">
        <f t="shared" si="121"/>
        <v>0</v>
      </c>
      <c r="W201" s="54">
        <f t="shared" ref="W201" si="124">D201+G201+H201+I201-K201-L201-M201-V201+U201</f>
        <v>29994.720000000001</v>
      </c>
      <c r="X201" s="2">
        <f t="shared" si="122"/>
        <v>341299.7</v>
      </c>
      <c r="Y201" s="2">
        <f t="shared" si="123"/>
        <v>0</v>
      </c>
      <c r="Z201" s="46">
        <v>0</v>
      </c>
      <c r="AA201" s="46">
        <v>0</v>
      </c>
      <c r="AB201" s="46">
        <v>0</v>
      </c>
      <c r="AC201" s="58">
        <f t="shared" ref="AC201:AC203" si="125">W201-Z201</f>
        <v>29994.720000000001</v>
      </c>
      <c r="AD201" s="58">
        <f t="shared" ref="AD201:AD236" si="126">X201-AA201</f>
        <v>341299.7</v>
      </c>
      <c r="AE201" s="12">
        <f t="shared" ref="AE201:AE232" si="127">Y201-AB201</f>
        <v>0</v>
      </c>
      <c r="AF201" s="56"/>
      <c r="AG201" s="60"/>
      <c r="AH201" s="117">
        <f>+W201*AG201</f>
        <v>0</v>
      </c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9"/>
      <c r="AZ201" s="115"/>
      <c r="BA201" s="243"/>
      <c r="BB201" s="115"/>
      <c r="BC201" s="115"/>
      <c r="BD201" s="115"/>
      <c r="BE201" s="115"/>
      <c r="BF201" s="115"/>
      <c r="BG201" s="115"/>
      <c r="BH201" s="115"/>
      <c r="BI201" s="115"/>
      <c r="BJ201" s="115"/>
    </row>
    <row r="202" spans="1:62" hidden="1" x14ac:dyDescent="0.35">
      <c r="A202" s="19" t="str">
        <f>VLOOKUP(C202,Master!A:D,4,0)</f>
        <v>RM</v>
      </c>
      <c r="B202" s="14" t="str">
        <f>VLOOKUP(C202,Master!A:C,3,0)</f>
        <v>Granuals</v>
      </c>
      <c r="C202" s="14" t="s">
        <v>40</v>
      </c>
      <c r="D202" s="2">
        <f t="shared" ref="D202:D236" si="128">+W153</f>
        <v>0</v>
      </c>
      <c r="E202" s="2">
        <f t="shared" ref="E202:E236" si="129">+X153</f>
        <v>0</v>
      </c>
      <c r="F202" s="2">
        <f t="shared" ref="F202:F236" si="130">+Y153</f>
        <v>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54">
        <f t="shared" si="120"/>
        <v>0</v>
      </c>
      <c r="V202" s="54">
        <f t="shared" si="121"/>
        <v>0</v>
      </c>
      <c r="W202" s="54">
        <f t="shared" ref="W202:W236" si="131">D202+G202+H202+I202-K202-L202-M202-V202+U202</f>
        <v>0</v>
      </c>
      <c r="X202" s="2">
        <f t="shared" ref="X202:X236" si="132">E202+J202-N202-T202+S202</f>
        <v>0</v>
      </c>
      <c r="Y202" s="2">
        <f t="shared" ref="Y202:Y236" si="133">F202-I202+M202-R202+Q202</f>
        <v>0</v>
      </c>
      <c r="Z202" s="46">
        <v>0</v>
      </c>
      <c r="AA202" s="46">
        <v>0</v>
      </c>
      <c r="AB202" s="46">
        <v>0</v>
      </c>
      <c r="AC202" s="58">
        <f t="shared" si="125"/>
        <v>0</v>
      </c>
      <c r="AD202" s="58">
        <f t="shared" si="126"/>
        <v>0</v>
      </c>
      <c r="AE202" s="12">
        <f t="shared" si="127"/>
        <v>0</v>
      </c>
      <c r="AF202" s="56"/>
      <c r="AG202" s="62"/>
      <c r="AH202" s="117">
        <f t="shared" ref="AH202:AH236" si="134">+W202*AG202</f>
        <v>0</v>
      </c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9"/>
      <c r="AZ202" s="115"/>
      <c r="BA202" s="243"/>
      <c r="BB202" s="115"/>
      <c r="BC202" s="115"/>
      <c r="BD202" s="115"/>
      <c r="BE202" s="115"/>
      <c r="BF202" s="115"/>
      <c r="BG202" s="115"/>
      <c r="BH202" s="115"/>
      <c r="BI202" s="115"/>
      <c r="BJ202" s="115"/>
    </row>
    <row r="203" spans="1:62" hidden="1" x14ac:dyDescent="0.35">
      <c r="A203" s="19" t="str">
        <f>VLOOKUP(C203,Master!A:D,4,0)</f>
        <v>RM</v>
      </c>
      <c r="B203" s="14" t="str">
        <f>VLOOKUP(C203,Master!A:C,3,0)</f>
        <v>Granuals</v>
      </c>
      <c r="C203" s="14" t="s">
        <v>46</v>
      </c>
      <c r="D203" s="2">
        <f t="shared" si="128"/>
        <v>0</v>
      </c>
      <c r="E203" s="2">
        <f t="shared" si="129"/>
        <v>15000</v>
      </c>
      <c r="F203" s="2">
        <f t="shared" si="130"/>
        <v>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54">
        <f t="shared" si="120"/>
        <v>0</v>
      </c>
      <c r="V203" s="54">
        <f t="shared" si="121"/>
        <v>0</v>
      </c>
      <c r="W203" s="54">
        <f t="shared" si="131"/>
        <v>0</v>
      </c>
      <c r="X203" s="2">
        <f t="shared" si="132"/>
        <v>15000</v>
      </c>
      <c r="Y203" s="2">
        <f t="shared" si="133"/>
        <v>0</v>
      </c>
      <c r="Z203" s="46">
        <v>0</v>
      </c>
      <c r="AA203" s="46">
        <v>0</v>
      </c>
      <c r="AB203" s="46">
        <v>0</v>
      </c>
      <c r="AC203" s="58">
        <f t="shared" si="125"/>
        <v>0</v>
      </c>
      <c r="AD203" s="58">
        <f t="shared" si="126"/>
        <v>15000</v>
      </c>
      <c r="AE203" s="12">
        <f t="shared" si="127"/>
        <v>0</v>
      </c>
      <c r="AF203" s="56"/>
      <c r="AG203" s="62"/>
      <c r="AH203" s="117">
        <f t="shared" si="134"/>
        <v>0</v>
      </c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9"/>
      <c r="AZ203" s="115"/>
      <c r="BA203" s="243"/>
      <c r="BB203" s="115"/>
      <c r="BC203" s="115"/>
      <c r="BD203" s="115"/>
      <c r="BE203" s="115"/>
      <c r="BF203" s="115"/>
      <c r="BG203" s="115"/>
      <c r="BH203" s="115"/>
      <c r="BI203" s="115"/>
      <c r="BJ203" s="115"/>
    </row>
    <row r="204" spans="1:62" hidden="1" x14ac:dyDescent="0.35">
      <c r="A204" s="19" t="str">
        <f>VLOOKUP(C204,Master!A:D,4,0)</f>
        <v>RM</v>
      </c>
      <c r="B204" s="14" t="str">
        <f>VLOOKUP(C204,Master!A:C,3,0)</f>
        <v>Granuals</v>
      </c>
      <c r="C204" s="14" t="s">
        <v>49</v>
      </c>
      <c r="D204" s="2">
        <f t="shared" si="128"/>
        <v>0</v>
      </c>
      <c r="E204" s="2">
        <f t="shared" si="129"/>
        <v>0</v>
      </c>
      <c r="F204" s="2">
        <f t="shared" si="130"/>
        <v>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54">
        <f t="shared" si="120"/>
        <v>0</v>
      </c>
      <c r="V204" s="54">
        <f t="shared" si="121"/>
        <v>0</v>
      </c>
      <c r="W204" s="54">
        <f t="shared" si="131"/>
        <v>0</v>
      </c>
      <c r="X204" s="2">
        <f t="shared" si="132"/>
        <v>0</v>
      </c>
      <c r="Y204" s="2">
        <f t="shared" si="133"/>
        <v>0</v>
      </c>
      <c r="Z204" s="46">
        <v>0</v>
      </c>
      <c r="AA204" s="46">
        <v>0</v>
      </c>
      <c r="AB204" s="46">
        <v>0</v>
      </c>
      <c r="AC204" s="58">
        <f>W204-Z204</f>
        <v>0</v>
      </c>
      <c r="AD204" s="58">
        <f t="shared" si="126"/>
        <v>0</v>
      </c>
      <c r="AE204" s="12">
        <f t="shared" si="127"/>
        <v>0</v>
      </c>
      <c r="AF204" s="56"/>
      <c r="AG204" s="62"/>
      <c r="AH204" s="117">
        <f t="shared" si="134"/>
        <v>0</v>
      </c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9"/>
      <c r="AZ204" s="115"/>
      <c r="BA204" s="243"/>
      <c r="BB204" s="115"/>
      <c r="BC204" s="115"/>
      <c r="BD204" s="115"/>
      <c r="BE204" s="115"/>
      <c r="BF204" s="115"/>
      <c r="BG204" s="115"/>
      <c r="BH204" s="115"/>
      <c r="BI204" s="115"/>
      <c r="BJ204" s="115"/>
    </row>
    <row r="205" spans="1:62" hidden="1" x14ac:dyDescent="0.35">
      <c r="A205" s="19" t="str">
        <f>VLOOKUP(C205,Master!A:D,4,0)</f>
        <v>RM</v>
      </c>
      <c r="B205" s="14" t="str">
        <f>VLOOKUP(C205,Master!A:C,3,0)</f>
        <v>Granuals</v>
      </c>
      <c r="C205" s="14" t="s">
        <v>55</v>
      </c>
      <c r="D205" s="2">
        <f t="shared" si="128"/>
        <v>0</v>
      </c>
      <c r="E205" s="2">
        <f t="shared" si="129"/>
        <v>25550</v>
      </c>
      <c r="F205" s="2">
        <f t="shared" si="130"/>
        <v>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54">
        <f t="shared" si="120"/>
        <v>0</v>
      </c>
      <c r="V205" s="54">
        <f t="shared" si="121"/>
        <v>0</v>
      </c>
      <c r="W205" s="54">
        <f t="shared" si="131"/>
        <v>0</v>
      </c>
      <c r="X205" s="2">
        <f t="shared" si="132"/>
        <v>25550</v>
      </c>
      <c r="Y205" s="2">
        <f t="shared" si="133"/>
        <v>0</v>
      </c>
      <c r="Z205" s="46">
        <v>0</v>
      </c>
      <c r="AA205" s="46">
        <v>0</v>
      </c>
      <c r="AB205" s="46">
        <v>0</v>
      </c>
      <c r="AC205" s="58">
        <f t="shared" ref="AC205:AC216" si="135">W205-Z205</f>
        <v>0</v>
      </c>
      <c r="AD205" s="58">
        <f t="shared" si="126"/>
        <v>25550</v>
      </c>
      <c r="AE205" s="12">
        <f t="shared" si="127"/>
        <v>0</v>
      </c>
      <c r="AF205" s="56"/>
      <c r="AG205" s="62"/>
      <c r="AH205" s="117">
        <f t="shared" si="134"/>
        <v>0</v>
      </c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9"/>
      <c r="AZ205" s="115"/>
      <c r="BA205" s="243"/>
      <c r="BB205" s="115"/>
      <c r="BC205" s="115"/>
      <c r="BD205" s="115"/>
      <c r="BE205" s="115"/>
      <c r="BF205" s="115"/>
      <c r="BG205" s="115"/>
      <c r="BH205" s="115"/>
      <c r="BI205" s="115"/>
      <c r="BJ205" s="115"/>
    </row>
    <row r="206" spans="1:62" hidden="1" x14ac:dyDescent="0.35">
      <c r="A206" s="19" t="str">
        <f>VLOOKUP(C206,Master!A:D,4,0)</f>
        <v>RM</v>
      </c>
      <c r="B206" s="14" t="str">
        <f>VLOOKUP(C206,Master!A:C,3,0)</f>
        <v>FIBC Accessories</v>
      </c>
      <c r="C206" s="14" t="s">
        <v>69</v>
      </c>
      <c r="D206" s="2">
        <f t="shared" si="128"/>
        <v>0</v>
      </c>
      <c r="E206" s="2">
        <f t="shared" si="129"/>
        <v>0</v>
      </c>
      <c r="F206" s="2">
        <f t="shared" si="130"/>
        <v>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54">
        <f t="shared" si="120"/>
        <v>0</v>
      </c>
      <c r="V206" s="54">
        <f t="shared" si="121"/>
        <v>0</v>
      </c>
      <c r="W206" s="54">
        <f t="shared" si="131"/>
        <v>0</v>
      </c>
      <c r="X206" s="2">
        <f t="shared" si="132"/>
        <v>0</v>
      </c>
      <c r="Y206" s="2">
        <f t="shared" si="133"/>
        <v>0</v>
      </c>
      <c r="Z206" s="46">
        <v>0</v>
      </c>
      <c r="AA206" s="46">
        <v>0</v>
      </c>
      <c r="AB206" s="46">
        <v>0</v>
      </c>
      <c r="AC206" s="58">
        <f t="shared" si="135"/>
        <v>0</v>
      </c>
      <c r="AD206" s="58">
        <f t="shared" si="126"/>
        <v>0</v>
      </c>
      <c r="AE206" s="12">
        <f t="shared" si="127"/>
        <v>0</v>
      </c>
      <c r="AF206" s="56"/>
      <c r="AG206" s="62"/>
      <c r="AH206" s="117">
        <f t="shared" si="134"/>
        <v>0</v>
      </c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9"/>
      <c r="AZ206" s="115"/>
      <c r="BA206" s="243"/>
      <c r="BB206" s="115"/>
      <c r="BC206" s="115"/>
      <c r="BD206" s="115"/>
      <c r="BE206" s="115"/>
      <c r="BF206" s="115"/>
      <c r="BG206" s="115"/>
      <c r="BH206" s="115"/>
      <c r="BI206" s="115"/>
      <c r="BJ206" s="115"/>
    </row>
    <row r="207" spans="1:62" hidden="1" x14ac:dyDescent="0.35">
      <c r="A207" s="19" t="str">
        <f>VLOOKUP(C207,Master!A:D,4,0)</f>
        <v>RM</v>
      </c>
      <c r="B207" s="14" t="str">
        <f>VLOOKUP(C207,Master!A:C,3,0)</f>
        <v>Films All</v>
      </c>
      <c r="C207" s="14" t="s">
        <v>71</v>
      </c>
      <c r="D207" s="2">
        <f t="shared" si="128"/>
        <v>0</v>
      </c>
      <c r="E207" s="2">
        <f t="shared" si="129"/>
        <v>0</v>
      </c>
      <c r="F207" s="2">
        <f t="shared" si="130"/>
        <v>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54">
        <f t="shared" si="120"/>
        <v>0</v>
      </c>
      <c r="V207" s="54">
        <f t="shared" si="121"/>
        <v>0</v>
      </c>
      <c r="W207" s="54">
        <f t="shared" si="131"/>
        <v>0</v>
      </c>
      <c r="X207" s="2">
        <f t="shared" si="132"/>
        <v>0</v>
      </c>
      <c r="Y207" s="2">
        <f t="shared" si="133"/>
        <v>0</v>
      </c>
      <c r="Z207" s="46">
        <v>0</v>
      </c>
      <c r="AA207" s="46">
        <v>0</v>
      </c>
      <c r="AB207" s="46">
        <v>0</v>
      </c>
      <c r="AC207" s="58">
        <f t="shared" si="135"/>
        <v>0</v>
      </c>
      <c r="AD207" s="58">
        <f t="shared" si="126"/>
        <v>0</v>
      </c>
      <c r="AE207" s="12">
        <f t="shared" si="127"/>
        <v>0</v>
      </c>
      <c r="AF207" s="56"/>
      <c r="AG207" s="62"/>
      <c r="AH207" s="117">
        <f t="shared" si="134"/>
        <v>0</v>
      </c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9"/>
      <c r="AZ207" s="115"/>
      <c r="BA207" s="243"/>
      <c r="BB207" s="115"/>
      <c r="BC207" s="115"/>
      <c r="BD207" s="115"/>
      <c r="BE207" s="115"/>
      <c r="BF207" s="115"/>
      <c r="BG207" s="115"/>
      <c r="BH207" s="115"/>
      <c r="BI207" s="115"/>
      <c r="BJ207" s="115"/>
    </row>
    <row r="208" spans="1:62" hidden="1" x14ac:dyDescent="0.35">
      <c r="A208" s="19" t="str">
        <f>VLOOKUP(C208,Master!A:D,4,0)</f>
        <v>RM</v>
      </c>
      <c r="B208" s="14" t="str">
        <f>VLOOKUP(C208,Master!A:C,3,0)</f>
        <v>Granuals</v>
      </c>
      <c r="C208" s="14" t="s">
        <v>85</v>
      </c>
      <c r="D208" s="2">
        <f t="shared" si="128"/>
        <v>0</v>
      </c>
      <c r="E208" s="2">
        <f t="shared" si="129"/>
        <v>0</v>
      </c>
      <c r="F208" s="2">
        <f t="shared" si="130"/>
        <v>0</v>
      </c>
      <c r="G208" s="2"/>
      <c r="H208" s="2"/>
      <c r="I208" s="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54">
        <f t="shared" si="120"/>
        <v>0</v>
      </c>
      <c r="V208" s="54">
        <f t="shared" si="121"/>
        <v>0</v>
      </c>
      <c r="W208" s="54">
        <f t="shared" si="131"/>
        <v>0</v>
      </c>
      <c r="X208" s="2">
        <f t="shared" si="132"/>
        <v>0</v>
      </c>
      <c r="Y208" s="2">
        <f t="shared" si="133"/>
        <v>0</v>
      </c>
      <c r="Z208" s="46">
        <v>0</v>
      </c>
      <c r="AA208" s="46">
        <v>0</v>
      </c>
      <c r="AB208" s="46">
        <v>0</v>
      </c>
      <c r="AC208" s="58">
        <f t="shared" si="135"/>
        <v>0</v>
      </c>
      <c r="AD208" s="58">
        <f t="shared" si="126"/>
        <v>0</v>
      </c>
      <c r="AE208" s="12">
        <f t="shared" si="127"/>
        <v>0</v>
      </c>
      <c r="AF208" s="56"/>
      <c r="AG208" s="62"/>
      <c r="AH208" s="117">
        <f t="shared" si="134"/>
        <v>0</v>
      </c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9"/>
      <c r="AZ208" s="115"/>
      <c r="BA208" s="243"/>
      <c r="BB208" s="115"/>
      <c r="BC208" s="115"/>
      <c r="BD208" s="115"/>
      <c r="BE208" s="115"/>
      <c r="BF208" s="115"/>
      <c r="BG208" s="115"/>
      <c r="BH208" s="115"/>
      <c r="BI208" s="115"/>
      <c r="BJ208" s="115"/>
    </row>
    <row r="209" spans="1:62" hidden="1" x14ac:dyDescent="0.35">
      <c r="A209" s="19" t="str">
        <f>VLOOKUP(C209,Master!A:D,4,0)</f>
        <v>RM</v>
      </c>
      <c r="B209" s="14" t="str">
        <f>VLOOKUP(C209,Master!A:C,3,0)</f>
        <v>Films All</v>
      </c>
      <c r="C209" s="14" t="s">
        <v>180</v>
      </c>
      <c r="D209" s="2">
        <f t="shared" si="128"/>
        <v>0</v>
      </c>
      <c r="E209" s="2">
        <f t="shared" si="129"/>
        <v>0</v>
      </c>
      <c r="F209" s="2">
        <f t="shared" si="130"/>
        <v>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54">
        <f t="shared" si="120"/>
        <v>0</v>
      </c>
      <c r="V209" s="54">
        <f t="shared" si="121"/>
        <v>0</v>
      </c>
      <c r="W209" s="54">
        <f t="shared" si="131"/>
        <v>0</v>
      </c>
      <c r="X209" s="2">
        <f t="shared" si="132"/>
        <v>0</v>
      </c>
      <c r="Y209" s="2">
        <f t="shared" si="133"/>
        <v>0</v>
      </c>
      <c r="Z209" s="46">
        <v>0</v>
      </c>
      <c r="AA209" s="46">
        <v>0</v>
      </c>
      <c r="AB209" s="46">
        <v>0</v>
      </c>
      <c r="AC209" s="58">
        <f t="shared" si="135"/>
        <v>0</v>
      </c>
      <c r="AD209" s="58">
        <f t="shared" si="126"/>
        <v>0</v>
      </c>
      <c r="AE209" s="12">
        <f t="shared" si="127"/>
        <v>0</v>
      </c>
      <c r="AF209" s="56"/>
      <c r="AG209" s="62"/>
      <c r="AH209" s="117">
        <f t="shared" si="134"/>
        <v>0</v>
      </c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9"/>
      <c r="AZ209" s="115"/>
      <c r="BA209" s="243"/>
      <c r="BB209" s="115"/>
      <c r="BC209" s="115"/>
      <c r="BD209" s="115"/>
      <c r="BE209" s="115"/>
      <c r="BF209" s="115"/>
      <c r="BG209" s="115"/>
      <c r="BH209" s="115"/>
      <c r="BI209" s="115"/>
      <c r="BJ209" s="115"/>
    </row>
    <row r="210" spans="1:62" hidden="1" x14ac:dyDescent="0.35">
      <c r="A210" s="19" t="str">
        <f>VLOOKUP(C210,Master!A:D,4,0)</f>
        <v>RM</v>
      </c>
      <c r="B210" s="14" t="str">
        <f>VLOOKUP(C210,Master!A:C,3,0)</f>
        <v>Granuals</v>
      </c>
      <c r="C210" s="14" t="s">
        <v>277</v>
      </c>
      <c r="D210" s="2">
        <f t="shared" si="128"/>
        <v>0</v>
      </c>
      <c r="E210" s="2">
        <f t="shared" si="129"/>
        <v>0</v>
      </c>
      <c r="F210" s="2">
        <f t="shared" si="130"/>
        <v>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54">
        <f t="shared" si="120"/>
        <v>0</v>
      </c>
      <c r="V210" s="54">
        <f t="shared" si="121"/>
        <v>0</v>
      </c>
      <c r="W210" s="54">
        <f t="shared" si="131"/>
        <v>0</v>
      </c>
      <c r="X210" s="2">
        <f t="shared" si="132"/>
        <v>0</v>
      </c>
      <c r="Y210" s="2">
        <f t="shared" si="133"/>
        <v>0</v>
      </c>
      <c r="Z210" s="46">
        <v>0</v>
      </c>
      <c r="AA210" s="46">
        <v>0</v>
      </c>
      <c r="AB210" s="46">
        <v>0</v>
      </c>
      <c r="AC210" s="58">
        <f t="shared" si="135"/>
        <v>0</v>
      </c>
      <c r="AD210" s="58">
        <f t="shared" si="126"/>
        <v>0</v>
      </c>
      <c r="AE210" s="12">
        <f t="shared" si="127"/>
        <v>0</v>
      </c>
      <c r="AF210" s="56"/>
      <c r="AG210" s="62"/>
      <c r="AH210" s="117">
        <f t="shared" si="134"/>
        <v>0</v>
      </c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9"/>
      <c r="AZ210" s="115"/>
      <c r="BA210" s="243"/>
      <c r="BB210" s="115"/>
      <c r="BC210" s="115"/>
      <c r="BD210" s="115"/>
      <c r="BE210" s="115"/>
      <c r="BF210" s="115"/>
      <c r="BG210" s="115"/>
      <c r="BH210" s="115"/>
      <c r="BI210" s="115"/>
      <c r="BJ210" s="115"/>
    </row>
    <row r="211" spans="1:62" hidden="1" x14ac:dyDescent="0.35">
      <c r="A211" s="19" t="str">
        <f>VLOOKUP(C211,Master!A:D,4,0)</f>
        <v>RM</v>
      </c>
      <c r="B211" s="14" t="str">
        <f>VLOOKUP(C211,Master!A:C,3,0)</f>
        <v>Granuals</v>
      </c>
      <c r="C211" s="14" t="s">
        <v>387</v>
      </c>
      <c r="D211" s="2">
        <f t="shared" si="128"/>
        <v>0</v>
      </c>
      <c r="E211" s="2">
        <f t="shared" si="129"/>
        <v>0</v>
      </c>
      <c r="F211" s="2">
        <f t="shared" si="130"/>
        <v>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54">
        <f t="shared" si="120"/>
        <v>0</v>
      </c>
      <c r="V211" s="54">
        <f t="shared" si="121"/>
        <v>0</v>
      </c>
      <c r="W211" s="54">
        <f t="shared" si="131"/>
        <v>0</v>
      </c>
      <c r="X211" s="2">
        <f t="shared" si="132"/>
        <v>0</v>
      </c>
      <c r="Y211" s="2">
        <f t="shared" si="133"/>
        <v>0</v>
      </c>
      <c r="Z211" s="46">
        <v>0</v>
      </c>
      <c r="AA211" s="46">
        <v>0</v>
      </c>
      <c r="AB211" s="46">
        <v>0</v>
      </c>
      <c r="AC211" s="58">
        <f t="shared" si="135"/>
        <v>0</v>
      </c>
      <c r="AD211" s="58">
        <f t="shared" si="126"/>
        <v>0</v>
      </c>
      <c r="AE211" s="12">
        <f t="shared" si="127"/>
        <v>0</v>
      </c>
      <c r="AF211" s="56"/>
      <c r="AG211" s="62"/>
      <c r="AH211" s="117">
        <f t="shared" si="134"/>
        <v>0</v>
      </c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9"/>
      <c r="AZ211" s="115"/>
      <c r="BA211" s="243"/>
      <c r="BB211" s="115"/>
      <c r="BC211" s="115"/>
      <c r="BD211" s="115"/>
      <c r="BE211" s="115"/>
      <c r="BF211" s="115"/>
      <c r="BG211" s="115"/>
      <c r="BH211" s="115"/>
      <c r="BI211" s="115"/>
      <c r="BJ211" s="115"/>
    </row>
    <row r="212" spans="1:62" hidden="1" x14ac:dyDescent="0.35">
      <c r="A212" s="19" t="str">
        <f>VLOOKUP(C212,Master!A:D,4,0)</f>
        <v>RM</v>
      </c>
      <c r="B212" s="14" t="str">
        <f>VLOOKUP(C212,Master!A:C,3,0)</f>
        <v>Films All</v>
      </c>
      <c r="C212" s="14" t="s">
        <v>398</v>
      </c>
      <c r="D212" s="2">
        <f t="shared" si="128"/>
        <v>0</v>
      </c>
      <c r="E212" s="2">
        <f t="shared" si="129"/>
        <v>0</v>
      </c>
      <c r="F212" s="2">
        <f t="shared" si="130"/>
        <v>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54">
        <f t="shared" si="120"/>
        <v>0</v>
      </c>
      <c r="V212" s="54">
        <f t="shared" si="121"/>
        <v>0</v>
      </c>
      <c r="W212" s="54">
        <f t="shared" si="131"/>
        <v>0</v>
      </c>
      <c r="X212" s="2">
        <f t="shared" si="132"/>
        <v>0</v>
      </c>
      <c r="Y212" s="2">
        <f t="shared" si="133"/>
        <v>0</v>
      </c>
      <c r="Z212" s="46">
        <v>0</v>
      </c>
      <c r="AA212" s="46">
        <v>0</v>
      </c>
      <c r="AB212" s="46">
        <v>0</v>
      </c>
      <c r="AC212" s="58">
        <f t="shared" si="135"/>
        <v>0</v>
      </c>
      <c r="AD212" s="58">
        <f t="shared" si="126"/>
        <v>0</v>
      </c>
      <c r="AE212" s="12">
        <f t="shared" si="127"/>
        <v>0</v>
      </c>
      <c r="AF212" s="56"/>
      <c r="AG212" s="62"/>
      <c r="AH212" s="117">
        <f t="shared" si="134"/>
        <v>0</v>
      </c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9"/>
      <c r="AZ212" s="115"/>
      <c r="BA212" s="243"/>
      <c r="BB212" s="115"/>
      <c r="BC212" s="115"/>
      <c r="BD212" s="115"/>
      <c r="BE212" s="115"/>
      <c r="BF212" s="115"/>
      <c r="BG212" s="115"/>
      <c r="BH212" s="115"/>
      <c r="BI212" s="115"/>
      <c r="BJ212" s="115"/>
    </row>
    <row r="213" spans="1:62" hidden="1" x14ac:dyDescent="0.35">
      <c r="A213" s="19" t="str">
        <f>VLOOKUP(C213,Master!A:D,4,0)</f>
        <v>RM</v>
      </c>
      <c r="B213" s="14" t="str">
        <f>VLOOKUP(C213,Master!A:C,3,0)</f>
        <v>Granuals</v>
      </c>
      <c r="C213" s="14" t="s">
        <v>417</v>
      </c>
      <c r="D213" s="2">
        <f t="shared" si="128"/>
        <v>0</v>
      </c>
      <c r="E213" s="2">
        <f t="shared" si="129"/>
        <v>0</v>
      </c>
      <c r="F213" s="2">
        <f t="shared" si="130"/>
        <v>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54">
        <f t="shared" si="120"/>
        <v>0</v>
      </c>
      <c r="V213" s="54">
        <f t="shared" si="121"/>
        <v>0</v>
      </c>
      <c r="W213" s="54">
        <f t="shared" si="131"/>
        <v>0</v>
      </c>
      <c r="X213" s="2">
        <f t="shared" si="132"/>
        <v>0</v>
      </c>
      <c r="Y213" s="2">
        <f t="shared" si="133"/>
        <v>0</v>
      </c>
      <c r="Z213" s="46">
        <v>0</v>
      </c>
      <c r="AA213" s="46">
        <v>0</v>
      </c>
      <c r="AB213" s="46">
        <v>0</v>
      </c>
      <c r="AC213" s="58">
        <f t="shared" si="135"/>
        <v>0</v>
      </c>
      <c r="AD213" s="58">
        <f t="shared" si="126"/>
        <v>0</v>
      </c>
      <c r="AE213" s="12">
        <f t="shared" si="127"/>
        <v>0</v>
      </c>
      <c r="AF213" s="56"/>
      <c r="AG213" s="62"/>
      <c r="AH213" s="117">
        <f t="shared" si="134"/>
        <v>0</v>
      </c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9"/>
      <c r="AZ213" s="115"/>
      <c r="BA213" s="243"/>
      <c r="BB213" s="115"/>
      <c r="BC213" s="115"/>
      <c r="BD213" s="115"/>
      <c r="BE213" s="115"/>
      <c r="BF213" s="115"/>
      <c r="BG213" s="115"/>
      <c r="BH213" s="115"/>
      <c r="BI213" s="115"/>
      <c r="BJ213" s="115"/>
    </row>
    <row r="214" spans="1:62" hidden="1" x14ac:dyDescent="0.35">
      <c r="A214" s="19" t="str">
        <f>VLOOKUP(C214,Master!A:D,4,0)</f>
        <v>SF</v>
      </c>
      <c r="B214" s="14" t="str">
        <f>VLOOKUP(C214,Master!A:C,3,0)</f>
        <v>Yarn All</v>
      </c>
      <c r="C214" s="14" t="s">
        <v>629</v>
      </c>
      <c r="D214" s="2">
        <f t="shared" si="128"/>
        <v>6000.0000000000055</v>
      </c>
      <c r="E214" s="2">
        <f t="shared" si="129"/>
        <v>8285.8300000000017</v>
      </c>
      <c r="F214" s="2">
        <f t="shared" si="130"/>
        <v>0</v>
      </c>
      <c r="G214" s="2"/>
      <c r="H214" s="2"/>
      <c r="I214" s="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54">
        <f t="shared" si="120"/>
        <v>0</v>
      </c>
      <c r="V214" s="54">
        <f t="shared" si="121"/>
        <v>0</v>
      </c>
      <c r="W214" s="54">
        <f t="shared" si="131"/>
        <v>6000.0000000000055</v>
      </c>
      <c r="X214" s="2">
        <f t="shared" si="132"/>
        <v>8285.8300000000017</v>
      </c>
      <c r="Y214" s="2">
        <f t="shared" si="133"/>
        <v>0</v>
      </c>
      <c r="Z214" s="46">
        <v>0</v>
      </c>
      <c r="AA214" s="46">
        <v>0</v>
      </c>
      <c r="AB214" s="46">
        <v>0</v>
      </c>
      <c r="AC214" s="58">
        <f t="shared" si="135"/>
        <v>6000.0000000000055</v>
      </c>
      <c r="AD214" s="58">
        <f t="shared" si="126"/>
        <v>8285.8300000000017</v>
      </c>
      <c r="AE214" s="12">
        <f t="shared" si="127"/>
        <v>0</v>
      </c>
      <c r="AF214" s="56"/>
      <c r="AG214" s="62"/>
      <c r="AH214" s="117">
        <f t="shared" si="134"/>
        <v>0</v>
      </c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9"/>
      <c r="AZ214" s="115"/>
      <c r="BA214" s="243"/>
      <c r="BB214" s="115"/>
      <c r="BC214" s="115"/>
      <c r="BD214" s="115"/>
      <c r="BE214" s="115"/>
      <c r="BF214" s="115"/>
      <c r="BG214" s="115"/>
      <c r="BH214" s="115"/>
      <c r="BI214" s="115"/>
      <c r="BJ214" s="115"/>
    </row>
    <row r="215" spans="1:62" hidden="1" x14ac:dyDescent="0.35">
      <c r="A215" s="19" t="str">
        <f>VLOOKUP(C215,Master!A:D,4,0)</f>
        <v>SF</v>
      </c>
      <c r="B215" s="14" t="str">
        <f>VLOOKUP(C215,Master!A:C,3,0)</f>
        <v>PP/PE Fabric</v>
      </c>
      <c r="C215" s="14" t="s">
        <v>639</v>
      </c>
      <c r="D215" s="2">
        <f t="shared" si="128"/>
        <v>0</v>
      </c>
      <c r="E215" s="2">
        <f t="shared" si="129"/>
        <v>13277</v>
      </c>
      <c r="F215" s="2">
        <f t="shared" si="130"/>
        <v>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54">
        <f t="shared" si="120"/>
        <v>0</v>
      </c>
      <c r="V215" s="54">
        <f t="shared" si="121"/>
        <v>0</v>
      </c>
      <c r="W215" s="54">
        <f t="shared" si="131"/>
        <v>0</v>
      </c>
      <c r="X215" s="2">
        <f t="shared" si="132"/>
        <v>13277</v>
      </c>
      <c r="Y215" s="2">
        <f t="shared" si="133"/>
        <v>0</v>
      </c>
      <c r="Z215" s="46">
        <v>0</v>
      </c>
      <c r="AA215" s="46">
        <v>0</v>
      </c>
      <c r="AB215" s="46">
        <v>0</v>
      </c>
      <c r="AC215" s="58">
        <f t="shared" si="135"/>
        <v>0</v>
      </c>
      <c r="AD215" s="58">
        <f t="shared" si="126"/>
        <v>13277</v>
      </c>
      <c r="AE215" s="12">
        <f t="shared" si="127"/>
        <v>0</v>
      </c>
      <c r="AF215" s="56"/>
      <c r="AG215" s="62"/>
      <c r="AH215" s="117">
        <f t="shared" si="134"/>
        <v>0</v>
      </c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9"/>
      <c r="AZ215" s="115"/>
      <c r="BA215" s="243"/>
      <c r="BB215" s="115"/>
      <c r="BC215" s="115"/>
      <c r="BD215" s="115"/>
      <c r="BE215" s="115"/>
      <c r="BF215" s="115"/>
      <c r="BG215" s="115"/>
      <c r="BH215" s="115"/>
      <c r="BI215" s="115"/>
      <c r="BJ215" s="115"/>
    </row>
    <row r="216" spans="1:62" hidden="1" x14ac:dyDescent="0.35">
      <c r="A216" s="19" t="str">
        <f>VLOOKUP(C216,Master!A:D,4,0)</f>
        <v>SF</v>
      </c>
      <c r="B216" s="14" t="str">
        <f>VLOOKUP(C216,Master!A:C,3,0)</f>
        <v>Flexitank Accessories</v>
      </c>
      <c r="C216" s="14" t="s">
        <v>641</v>
      </c>
      <c r="D216" s="2">
        <f t="shared" si="128"/>
        <v>0</v>
      </c>
      <c r="E216" s="2">
        <f t="shared" si="129"/>
        <v>0</v>
      </c>
      <c r="F216" s="2">
        <f t="shared" si="130"/>
        <v>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54">
        <f t="shared" si="120"/>
        <v>0</v>
      </c>
      <c r="V216" s="54">
        <f t="shared" si="121"/>
        <v>0</v>
      </c>
      <c r="W216" s="54">
        <f t="shared" si="131"/>
        <v>0</v>
      </c>
      <c r="X216" s="2">
        <f t="shared" si="132"/>
        <v>0</v>
      </c>
      <c r="Y216" s="2">
        <f t="shared" si="133"/>
        <v>0</v>
      </c>
      <c r="Z216" s="46">
        <v>0</v>
      </c>
      <c r="AA216" s="46">
        <v>0</v>
      </c>
      <c r="AB216" s="46">
        <v>0</v>
      </c>
      <c r="AC216" s="58">
        <f t="shared" si="135"/>
        <v>0</v>
      </c>
      <c r="AD216" s="58">
        <f t="shared" si="126"/>
        <v>0</v>
      </c>
      <c r="AE216" s="12">
        <f t="shared" si="127"/>
        <v>0</v>
      </c>
      <c r="AF216" s="56"/>
      <c r="AG216" s="62"/>
      <c r="AH216" s="117">
        <f t="shared" si="134"/>
        <v>0</v>
      </c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9"/>
      <c r="AZ216" s="115"/>
      <c r="BA216" s="243"/>
      <c r="BB216" s="115"/>
      <c r="BC216" s="115"/>
      <c r="BD216" s="115"/>
      <c r="BE216" s="115"/>
      <c r="BF216" s="115"/>
      <c r="BG216" s="115"/>
      <c r="BH216" s="115"/>
      <c r="BI216" s="115"/>
      <c r="BJ216" s="115"/>
    </row>
    <row r="217" spans="1:62" hidden="1" x14ac:dyDescent="0.35">
      <c r="A217" s="19" t="str">
        <f>VLOOKUP(C217,Master!A:D,4,0)</f>
        <v>SF</v>
      </c>
      <c r="B217" s="14" t="str">
        <f>VLOOKUP(C217,Master!A:C,3,0)</f>
        <v>PP/PE Fabric</v>
      </c>
      <c r="C217" s="14" t="s">
        <v>652</v>
      </c>
      <c r="D217" s="2">
        <f t="shared" si="128"/>
        <v>0</v>
      </c>
      <c r="E217" s="2">
        <f>+X168</f>
        <v>27104.800000000003</v>
      </c>
      <c r="F217" s="2">
        <f t="shared" si="130"/>
        <v>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54">
        <f t="shared" si="120"/>
        <v>0</v>
      </c>
      <c r="V217" s="54">
        <f t="shared" si="121"/>
        <v>0</v>
      </c>
      <c r="W217" s="54">
        <f t="shared" si="131"/>
        <v>0</v>
      </c>
      <c r="X217" s="2">
        <f t="shared" si="132"/>
        <v>27104.800000000003</v>
      </c>
      <c r="Y217" s="2">
        <f t="shared" si="133"/>
        <v>0</v>
      </c>
      <c r="Z217" s="46">
        <v>0</v>
      </c>
      <c r="AA217" s="46">
        <v>0</v>
      </c>
      <c r="AB217" s="46">
        <v>0</v>
      </c>
      <c r="AC217" s="58">
        <f t="shared" ref="AC217:AC223" si="136">W217-Z217</f>
        <v>0</v>
      </c>
      <c r="AD217" s="58">
        <f t="shared" si="126"/>
        <v>27104.800000000003</v>
      </c>
      <c r="AE217" s="12">
        <f t="shared" si="127"/>
        <v>0</v>
      </c>
      <c r="AF217" s="56"/>
      <c r="AG217" s="62"/>
      <c r="AH217" s="117">
        <f t="shared" si="134"/>
        <v>0</v>
      </c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9"/>
      <c r="AZ217" s="115"/>
      <c r="BA217" s="243"/>
      <c r="BB217" s="115"/>
      <c r="BC217" s="115"/>
      <c r="BD217" s="115"/>
      <c r="BE217" s="115"/>
      <c r="BF217" s="115"/>
      <c r="BG217" s="115"/>
      <c r="BH217" s="115"/>
      <c r="BI217" s="115"/>
      <c r="BJ217" s="115"/>
    </row>
    <row r="218" spans="1:62" hidden="1" x14ac:dyDescent="0.35">
      <c r="A218" s="19" t="str">
        <f>VLOOKUP(C218,Master!A:D,4,0)</f>
        <v>SF</v>
      </c>
      <c r="B218" s="14" t="str">
        <f>VLOOKUP(C218,Master!A:C,3,0)</f>
        <v>PP/PE Fabric</v>
      </c>
      <c r="C218" s="14" t="s">
        <v>664</v>
      </c>
      <c r="D218" s="2">
        <f t="shared" si="128"/>
        <v>0</v>
      </c>
      <c r="E218" s="2">
        <f t="shared" si="129"/>
        <v>0</v>
      </c>
      <c r="F218" s="2">
        <f t="shared" si="130"/>
        <v>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54">
        <f t="shared" si="120"/>
        <v>0</v>
      </c>
      <c r="V218" s="54">
        <f t="shared" si="121"/>
        <v>0</v>
      </c>
      <c r="W218" s="54">
        <f t="shared" si="131"/>
        <v>0</v>
      </c>
      <c r="X218" s="2">
        <f t="shared" si="132"/>
        <v>0</v>
      </c>
      <c r="Y218" s="2">
        <f t="shared" si="133"/>
        <v>0</v>
      </c>
      <c r="Z218" s="46">
        <v>0</v>
      </c>
      <c r="AA218" s="46">
        <v>0</v>
      </c>
      <c r="AB218" s="46">
        <v>0</v>
      </c>
      <c r="AC218" s="58">
        <f t="shared" si="136"/>
        <v>0</v>
      </c>
      <c r="AD218" s="58">
        <f t="shared" si="126"/>
        <v>0</v>
      </c>
      <c r="AE218" s="12">
        <f t="shared" si="127"/>
        <v>0</v>
      </c>
      <c r="AF218" s="56"/>
      <c r="AG218" s="62"/>
      <c r="AH218" s="117">
        <f t="shared" si="134"/>
        <v>0</v>
      </c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  <c r="AY218" s="119"/>
      <c r="AZ218" s="115"/>
      <c r="BA218" s="243"/>
      <c r="BB218" s="115"/>
      <c r="BC218" s="115"/>
      <c r="BD218" s="115"/>
      <c r="BE218" s="115"/>
      <c r="BF218" s="115"/>
      <c r="BG218" s="115"/>
      <c r="BH218" s="115"/>
      <c r="BI218" s="115"/>
      <c r="BJ218" s="115"/>
    </row>
    <row r="219" spans="1:62" hidden="1" x14ac:dyDescent="0.35">
      <c r="A219" s="19" t="str">
        <f>VLOOKUP(C219,Master!A:D,4,0)</f>
        <v>SF</v>
      </c>
      <c r="B219" s="14" t="str">
        <f>VLOOKUP(C219,Master!A:C,3,0)</f>
        <v>PP/PE Fabric</v>
      </c>
      <c r="C219" s="14" t="s">
        <v>675</v>
      </c>
      <c r="D219" s="2">
        <f t="shared" si="128"/>
        <v>0</v>
      </c>
      <c r="E219" s="2">
        <f t="shared" si="129"/>
        <v>0</v>
      </c>
      <c r="F219" s="2">
        <f t="shared" si="130"/>
        <v>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54">
        <f t="shared" si="120"/>
        <v>0</v>
      </c>
      <c r="V219" s="54">
        <f t="shared" si="121"/>
        <v>0</v>
      </c>
      <c r="W219" s="54">
        <f t="shared" si="131"/>
        <v>0</v>
      </c>
      <c r="X219" s="2">
        <f t="shared" si="132"/>
        <v>0</v>
      </c>
      <c r="Y219" s="2">
        <f t="shared" si="133"/>
        <v>0</v>
      </c>
      <c r="Z219" s="46">
        <v>0</v>
      </c>
      <c r="AA219" s="46">
        <v>0</v>
      </c>
      <c r="AB219" s="46">
        <v>0</v>
      </c>
      <c r="AC219" s="58">
        <f t="shared" si="136"/>
        <v>0</v>
      </c>
      <c r="AD219" s="58">
        <f t="shared" si="126"/>
        <v>0</v>
      </c>
      <c r="AE219" s="12">
        <f t="shared" si="127"/>
        <v>0</v>
      </c>
      <c r="AF219" s="56"/>
      <c r="AG219" s="62"/>
      <c r="AH219" s="117">
        <f t="shared" si="134"/>
        <v>0</v>
      </c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  <c r="AW219" s="114"/>
      <c r="AX219" s="114"/>
      <c r="AY219" s="119"/>
      <c r="AZ219" s="115"/>
      <c r="BA219" s="243"/>
      <c r="BB219" s="115"/>
      <c r="BC219" s="115"/>
      <c r="BD219" s="115"/>
      <c r="BE219" s="115"/>
      <c r="BF219" s="115"/>
      <c r="BG219" s="115"/>
      <c r="BH219" s="115"/>
      <c r="BI219" s="115"/>
      <c r="BJ219" s="115"/>
    </row>
    <row r="220" spans="1:62" hidden="1" x14ac:dyDescent="0.35">
      <c r="A220" s="19" t="str">
        <f>VLOOKUP(C220,Master!A:D,4,0)</f>
        <v>SF</v>
      </c>
      <c r="B220" s="14" t="str">
        <f>VLOOKUP(C220,Master!A:C,3,0)</f>
        <v>Granuals</v>
      </c>
      <c r="C220" s="14" t="s">
        <v>688</v>
      </c>
      <c r="D220" s="2">
        <f t="shared" si="128"/>
        <v>0</v>
      </c>
      <c r="E220" s="2">
        <f t="shared" si="129"/>
        <v>0</v>
      </c>
      <c r="F220" s="2">
        <f t="shared" si="130"/>
        <v>0</v>
      </c>
      <c r="G220" s="2"/>
      <c r="H220" s="2"/>
      <c r="I220" s="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54">
        <f t="shared" si="120"/>
        <v>0</v>
      </c>
      <c r="V220" s="54">
        <f t="shared" si="121"/>
        <v>0</v>
      </c>
      <c r="W220" s="54">
        <f t="shared" si="131"/>
        <v>0</v>
      </c>
      <c r="X220" s="2">
        <f t="shared" si="132"/>
        <v>0</v>
      </c>
      <c r="Y220" s="2">
        <f t="shared" si="133"/>
        <v>0</v>
      </c>
      <c r="Z220" s="46">
        <v>0</v>
      </c>
      <c r="AA220" s="46">
        <v>0</v>
      </c>
      <c r="AB220" s="46">
        <v>0</v>
      </c>
      <c r="AC220" s="58">
        <f t="shared" si="136"/>
        <v>0</v>
      </c>
      <c r="AD220" s="58">
        <f t="shared" si="126"/>
        <v>0</v>
      </c>
      <c r="AE220" s="12">
        <f t="shared" si="127"/>
        <v>0</v>
      </c>
      <c r="AF220" s="56"/>
      <c r="AG220" s="62"/>
      <c r="AH220" s="117">
        <f t="shared" si="134"/>
        <v>0</v>
      </c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9"/>
      <c r="AZ220" s="115"/>
      <c r="BA220" s="243"/>
      <c r="BB220" s="115"/>
      <c r="BC220" s="115"/>
      <c r="BD220" s="115"/>
      <c r="BE220" s="115"/>
      <c r="BF220" s="115"/>
      <c r="BG220" s="115"/>
      <c r="BH220" s="115"/>
      <c r="BI220" s="115"/>
      <c r="BJ220" s="115"/>
    </row>
    <row r="221" spans="1:62" hidden="1" x14ac:dyDescent="0.35">
      <c r="A221" s="19" t="str">
        <f>VLOOKUP(C221,Master!A:D,4,0)</f>
        <v>SF</v>
      </c>
      <c r="B221" s="14" t="str">
        <f>VLOOKUP(C221,Master!A:C,3,0)</f>
        <v>Liners</v>
      </c>
      <c r="C221" s="14" t="s">
        <v>707</v>
      </c>
      <c r="D221" s="2">
        <f t="shared" si="128"/>
        <v>0</v>
      </c>
      <c r="E221" s="2">
        <f t="shared" si="129"/>
        <v>0</v>
      </c>
      <c r="F221" s="2">
        <f t="shared" si="130"/>
        <v>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54">
        <f t="shared" si="120"/>
        <v>0</v>
      </c>
      <c r="V221" s="54">
        <f t="shared" si="121"/>
        <v>0</v>
      </c>
      <c r="W221" s="54">
        <f t="shared" si="131"/>
        <v>0</v>
      </c>
      <c r="X221" s="2">
        <f t="shared" si="132"/>
        <v>0</v>
      </c>
      <c r="Y221" s="2">
        <f t="shared" si="133"/>
        <v>0</v>
      </c>
      <c r="Z221" s="46">
        <v>0</v>
      </c>
      <c r="AA221" s="46">
        <v>0</v>
      </c>
      <c r="AB221" s="46">
        <v>0</v>
      </c>
      <c r="AC221" s="58">
        <f t="shared" si="136"/>
        <v>0</v>
      </c>
      <c r="AD221" s="58">
        <f t="shared" si="126"/>
        <v>0</v>
      </c>
      <c r="AE221" s="12">
        <f t="shared" si="127"/>
        <v>0</v>
      </c>
      <c r="AF221" s="56"/>
      <c r="AG221" s="62"/>
      <c r="AH221" s="117">
        <f t="shared" si="134"/>
        <v>0</v>
      </c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9"/>
      <c r="AZ221" s="115"/>
      <c r="BA221" s="243"/>
      <c r="BB221" s="115"/>
      <c r="BC221" s="115"/>
      <c r="BD221" s="115"/>
      <c r="BE221" s="115"/>
      <c r="BF221" s="115"/>
      <c r="BG221" s="115"/>
      <c r="BH221" s="115"/>
      <c r="BI221" s="115"/>
      <c r="BJ221" s="115"/>
    </row>
    <row r="222" spans="1:62" hidden="1" x14ac:dyDescent="0.35">
      <c r="A222" s="19" t="str">
        <f>VLOOKUP(C222,Master!A:D,4,0)</f>
        <v>SF</v>
      </c>
      <c r="B222" s="14" t="str">
        <f>VLOOKUP(C222,Master!A:C,3,0)</f>
        <v>Webbing</v>
      </c>
      <c r="C222" s="14" t="s">
        <v>710</v>
      </c>
      <c r="D222" s="2">
        <f t="shared" si="128"/>
        <v>0</v>
      </c>
      <c r="E222" s="2">
        <f t="shared" si="129"/>
        <v>1771.8</v>
      </c>
      <c r="F222" s="2">
        <f t="shared" si="130"/>
        <v>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58"/>
      <c r="U222" s="54">
        <f t="shared" si="120"/>
        <v>0</v>
      </c>
      <c r="V222" s="54">
        <f t="shared" si="121"/>
        <v>0</v>
      </c>
      <c r="W222" s="54">
        <f t="shared" si="131"/>
        <v>0</v>
      </c>
      <c r="X222" s="2">
        <f t="shared" si="132"/>
        <v>1771.8</v>
      </c>
      <c r="Y222" s="2">
        <f t="shared" si="133"/>
        <v>0</v>
      </c>
      <c r="Z222" s="46">
        <v>0</v>
      </c>
      <c r="AA222" s="46">
        <v>0</v>
      </c>
      <c r="AB222" s="46">
        <v>0</v>
      </c>
      <c r="AC222" s="58">
        <f t="shared" si="136"/>
        <v>0</v>
      </c>
      <c r="AD222" s="58">
        <f t="shared" si="126"/>
        <v>1771.8</v>
      </c>
      <c r="AE222" s="12">
        <f t="shared" si="127"/>
        <v>0</v>
      </c>
      <c r="AF222" s="56"/>
      <c r="AG222" s="62"/>
      <c r="AH222" s="117">
        <f t="shared" si="134"/>
        <v>0</v>
      </c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  <c r="AT222" s="114"/>
      <c r="AU222" s="114"/>
      <c r="AV222" s="114"/>
      <c r="AW222" s="114"/>
      <c r="AX222" s="114"/>
      <c r="AY222" s="119"/>
      <c r="AZ222" s="115"/>
      <c r="BA222" s="243"/>
      <c r="BB222" s="115"/>
      <c r="BC222" s="115"/>
      <c r="BD222" s="115"/>
      <c r="BE222" s="115"/>
      <c r="BF222" s="115"/>
      <c r="BG222" s="115"/>
      <c r="BH222" s="115"/>
      <c r="BI222" s="115"/>
      <c r="BJ222" s="115"/>
    </row>
    <row r="223" spans="1:62" hidden="1" x14ac:dyDescent="0.35">
      <c r="A223" s="19" t="str">
        <f>VLOOKUP(C223,Master!A:D,4,0)</f>
        <v>SF</v>
      </c>
      <c r="B223" s="14" t="str">
        <f>VLOOKUP(C223,Master!A:C,3,0)</f>
        <v>Liners</v>
      </c>
      <c r="C223" s="14" t="s">
        <v>729</v>
      </c>
      <c r="D223" s="2">
        <f t="shared" si="128"/>
        <v>0</v>
      </c>
      <c r="E223" s="2">
        <f t="shared" si="129"/>
        <v>14652.699999999997</v>
      </c>
      <c r="F223" s="2">
        <f t="shared" si="130"/>
        <v>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54">
        <f t="shared" si="120"/>
        <v>0</v>
      </c>
      <c r="V223" s="54">
        <f t="shared" si="120"/>
        <v>0</v>
      </c>
      <c r="W223" s="54">
        <f t="shared" si="131"/>
        <v>0</v>
      </c>
      <c r="X223" s="2">
        <f t="shared" si="132"/>
        <v>14652.699999999997</v>
      </c>
      <c r="Y223" s="2">
        <f t="shared" si="133"/>
        <v>0</v>
      </c>
      <c r="Z223" s="46">
        <v>0</v>
      </c>
      <c r="AA223" s="46">
        <v>0</v>
      </c>
      <c r="AB223" s="46">
        <v>0</v>
      </c>
      <c r="AC223" s="58">
        <f t="shared" si="136"/>
        <v>0</v>
      </c>
      <c r="AD223" s="58">
        <f t="shared" si="126"/>
        <v>14652.699999999997</v>
      </c>
      <c r="AE223" s="12">
        <f t="shared" si="127"/>
        <v>0</v>
      </c>
      <c r="AF223" s="56"/>
      <c r="AG223" s="62"/>
      <c r="AH223" s="117">
        <f t="shared" si="134"/>
        <v>0</v>
      </c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  <c r="AT223" s="114"/>
      <c r="AU223" s="114"/>
      <c r="AV223" s="114"/>
      <c r="AW223" s="114"/>
      <c r="AX223" s="114"/>
      <c r="AY223" s="119"/>
      <c r="AZ223" s="115"/>
      <c r="BA223" s="243"/>
      <c r="BB223" s="115"/>
      <c r="BC223" s="115"/>
      <c r="BD223" s="115"/>
      <c r="BE223" s="115"/>
      <c r="BF223" s="115"/>
      <c r="BG223" s="115"/>
      <c r="BH223" s="115"/>
      <c r="BI223" s="115"/>
      <c r="BJ223" s="115"/>
    </row>
    <row r="224" spans="1:62" hidden="1" x14ac:dyDescent="0.35">
      <c r="A224" s="19" t="str">
        <f>VLOOKUP(C224,Master!A:D,4,0)</f>
        <v>SF</v>
      </c>
      <c r="B224" s="14" t="str">
        <f>VLOOKUP(C224,Master!A:C,3,0)</f>
        <v>Tape Stock</v>
      </c>
      <c r="C224" s="14" t="s">
        <v>772</v>
      </c>
      <c r="D224" s="2">
        <f t="shared" si="128"/>
        <v>0</v>
      </c>
      <c r="E224" s="2">
        <f t="shared" si="129"/>
        <v>0</v>
      </c>
      <c r="F224" s="2">
        <f t="shared" si="130"/>
        <v>0</v>
      </c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54">
        <f t="shared" si="120"/>
        <v>0</v>
      </c>
      <c r="V224" s="54">
        <f t="shared" si="121"/>
        <v>0</v>
      </c>
      <c r="W224" s="54">
        <f t="shared" si="131"/>
        <v>0</v>
      </c>
      <c r="X224" s="2">
        <f t="shared" si="132"/>
        <v>0</v>
      </c>
      <c r="Y224" s="2">
        <f t="shared" si="133"/>
        <v>0</v>
      </c>
      <c r="Z224" s="46">
        <v>0</v>
      </c>
      <c r="AA224" s="46">
        <v>0</v>
      </c>
      <c r="AB224" s="46">
        <v>0</v>
      </c>
      <c r="AC224" s="58">
        <f t="shared" ref="AC224:AC236" si="137">W224-Z224</f>
        <v>0</v>
      </c>
      <c r="AD224" s="58">
        <f t="shared" si="126"/>
        <v>0</v>
      </c>
      <c r="AE224" s="12">
        <f t="shared" si="127"/>
        <v>0</v>
      </c>
      <c r="AF224" s="56"/>
      <c r="AG224" s="62"/>
      <c r="AH224" s="117">
        <f t="shared" si="134"/>
        <v>0</v>
      </c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  <c r="AY224" s="119"/>
      <c r="AZ224" s="115"/>
      <c r="BA224" s="243"/>
      <c r="BB224" s="115"/>
      <c r="BC224" s="115"/>
      <c r="BD224" s="115"/>
      <c r="BE224" s="115"/>
      <c r="BF224" s="115"/>
      <c r="BG224" s="115"/>
      <c r="BH224" s="115"/>
      <c r="BI224" s="115"/>
      <c r="BJ224" s="115"/>
    </row>
    <row r="225" spans="1:62" hidden="1" x14ac:dyDescent="0.35">
      <c r="A225" s="19" t="str">
        <f>VLOOKUP(C225,Master!A:D,4,0)</f>
        <v>SF</v>
      </c>
      <c r="B225" s="14" t="str">
        <f>VLOOKUP(C225,Master!A:C,3,0)</f>
        <v>Tape Stock</v>
      </c>
      <c r="C225" s="14" t="s">
        <v>773</v>
      </c>
      <c r="D225" s="2">
        <f t="shared" si="128"/>
        <v>0</v>
      </c>
      <c r="E225" s="2">
        <f t="shared" si="129"/>
        <v>2518.3000000000029</v>
      </c>
      <c r="F225" s="2">
        <f t="shared" si="130"/>
        <v>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54">
        <f t="shared" si="120"/>
        <v>0</v>
      </c>
      <c r="V225" s="54">
        <f t="shared" si="121"/>
        <v>0</v>
      </c>
      <c r="W225" s="54">
        <f t="shared" si="131"/>
        <v>0</v>
      </c>
      <c r="X225" s="2">
        <f t="shared" si="132"/>
        <v>2518.3000000000029</v>
      </c>
      <c r="Y225" s="2">
        <f t="shared" si="133"/>
        <v>0</v>
      </c>
      <c r="Z225" s="46">
        <v>0</v>
      </c>
      <c r="AA225" s="46">
        <v>0</v>
      </c>
      <c r="AB225" s="46">
        <v>0</v>
      </c>
      <c r="AC225" s="58">
        <f t="shared" si="137"/>
        <v>0</v>
      </c>
      <c r="AD225" s="58">
        <f t="shared" si="126"/>
        <v>2518.3000000000029</v>
      </c>
      <c r="AE225" s="12">
        <f t="shared" si="127"/>
        <v>0</v>
      </c>
      <c r="AF225" s="56"/>
      <c r="AG225" s="62"/>
      <c r="AH225" s="117">
        <f t="shared" si="134"/>
        <v>0</v>
      </c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9"/>
      <c r="AZ225" s="115"/>
      <c r="BA225" s="243"/>
      <c r="BB225" s="115"/>
      <c r="BC225" s="115"/>
      <c r="BD225" s="115"/>
      <c r="BE225" s="115"/>
      <c r="BF225" s="115"/>
      <c r="BG225" s="115"/>
      <c r="BH225" s="115"/>
      <c r="BI225" s="115"/>
      <c r="BJ225" s="115"/>
    </row>
    <row r="226" spans="1:62" hidden="1" x14ac:dyDescent="0.35">
      <c r="A226" s="19" t="str">
        <f>VLOOKUP(C226,Master!A:D,4,0)</f>
        <v>SF</v>
      </c>
      <c r="B226" s="14" t="str">
        <f>VLOOKUP(C226,Master!A:C,3,0)</f>
        <v>RP Agglo</v>
      </c>
      <c r="C226" s="14" t="s">
        <v>810</v>
      </c>
      <c r="D226" s="2">
        <f t="shared" si="128"/>
        <v>0</v>
      </c>
      <c r="E226" s="2">
        <f t="shared" si="129"/>
        <v>0</v>
      </c>
      <c r="F226" s="2">
        <f t="shared" si="130"/>
        <v>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54">
        <f t="shared" si="120"/>
        <v>0</v>
      </c>
      <c r="V226" s="54">
        <f t="shared" si="121"/>
        <v>0</v>
      </c>
      <c r="W226" s="54">
        <f t="shared" si="131"/>
        <v>0</v>
      </c>
      <c r="X226" s="2">
        <f t="shared" si="132"/>
        <v>0</v>
      </c>
      <c r="Y226" s="2">
        <f t="shared" si="133"/>
        <v>0</v>
      </c>
      <c r="Z226" s="46">
        <v>0</v>
      </c>
      <c r="AA226" s="46">
        <v>0</v>
      </c>
      <c r="AB226" s="46">
        <v>0</v>
      </c>
      <c r="AC226" s="58">
        <f t="shared" si="137"/>
        <v>0</v>
      </c>
      <c r="AD226" s="58">
        <f t="shared" si="126"/>
        <v>0</v>
      </c>
      <c r="AE226" s="12">
        <f t="shared" si="127"/>
        <v>0</v>
      </c>
      <c r="AF226" s="56"/>
      <c r="AG226" s="62"/>
      <c r="AH226" s="117">
        <f t="shared" si="134"/>
        <v>0</v>
      </c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9"/>
      <c r="AZ226" s="115"/>
      <c r="BA226" s="243"/>
      <c r="BB226" s="115"/>
      <c r="BC226" s="115"/>
      <c r="BD226" s="115"/>
      <c r="BE226" s="115"/>
      <c r="BF226" s="115"/>
      <c r="BG226" s="115"/>
      <c r="BH226" s="115"/>
      <c r="BI226" s="115"/>
      <c r="BJ226" s="115"/>
    </row>
    <row r="227" spans="1:62" hidden="1" x14ac:dyDescent="0.35">
      <c r="A227" s="19" t="str">
        <f>VLOOKUP(C227,Master!A:D,4,0)</f>
        <v>SF</v>
      </c>
      <c r="B227" s="14" t="str">
        <f>VLOOKUP(C227,Master!A:C,3,0)</f>
        <v>Wastage/Scrap</v>
      </c>
      <c r="C227" s="14" t="s">
        <v>820</v>
      </c>
      <c r="D227" s="2">
        <f t="shared" si="128"/>
        <v>0</v>
      </c>
      <c r="E227" s="2">
        <f t="shared" si="129"/>
        <v>0</v>
      </c>
      <c r="F227" s="2">
        <f t="shared" si="130"/>
        <v>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54">
        <f t="shared" si="120"/>
        <v>0</v>
      </c>
      <c r="V227" s="54">
        <f t="shared" si="121"/>
        <v>0</v>
      </c>
      <c r="W227" s="54">
        <f t="shared" si="131"/>
        <v>0</v>
      </c>
      <c r="X227" s="2">
        <f t="shared" si="132"/>
        <v>0</v>
      </c>
      <c r="Y227" s="2">
        <f t="shared" si="133"/>
        <v>0</v>
      </c>
      <c r="Z227" s="46">
        <v>0</v>
      </c>
      <c r="AA227" s="46">
        <v>0</v>
      </c>
      <c r="AB227" s="46">
        <v>0</v>
      </c>
      <c r="AC227" s="58">
        <f t="shared" si="137"/>
        <v>0</v>
      </c>
      <c r="AD227" s="58">
        <f t="shared" si="126"/>
        <v>0</v>
      </c>
      <c r="AE227" s="12">
        <f t="shared" si="127"/>
        <v>0</v>
      </c>
      <c r="AF227" s="56"/>
      <c r="AG227" s="62"/>
      <c r="AH227" s="117">
        <f t="shared" si="134"/>
        <v>0</v>
      </c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9"/>
      <c r="AZ227" s="115"/>
      <c r="BA227" s="243"/>
      <c r="BB227" s="115"/>
      <c r="BC227" s="115"/>
      <c r="BD227" s="115"/>
      <c r="BE227" s="115"/>
      <c r="BF227" s="115"/>
      <c r="BG227" s="115"/>
      <c r="BH227" s="115"/>
      <c r="BI227" s="115"/>
      <c r="BJ227" s="115"/>
    </row>
    <row r="228" spans="1:62" hidden="1" x14ac:dyDescent="0.35">
      <c r="A228" s="19" t="str">
        <f>VLOOKUP(C228,Master!A:D,4,0)</f>
        <v>FG</v>
      </c>
      <c r="B228" s="14" t="str">
        <f>VLOOKUP(C228,Master!A:C,3,0)</f>
        <v>FIBC WIP</v>
      </c>
      <c r="C228" s="14" t="s">
        <v>892</v>
      </c>
      <c r="D228" s="2">
        <f t="shared" si="128"/>
        <v>42021.998887999915</v>
      </c>
      <c r="E228" s="2">
        <f t="shared" si="129"/>
        <v>0</v>
      </c>
      <c r="F228" s="2">
        <f t="shared" si="130"/>
        <v>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54">
        <f t="shared" si="120"/>
        <v>0</v>
      </c>
      <c r="V228" s="54">
        <f t="shared" si="121"/>
        <v>0</v>
      </c>
      <c r="W228" s="54">
        <f t="shared" si="131"/>
        <v>42021.998887999915</v>
      </c>
      <c r="X228" s="2">
        <f t="shared" si="132"/>
        <v>0</v>
      </c>
      <c r="Y228" s="2">
        <f t="shared" si="133"/>
        <v>0</v>
      </c>
      <c r="Z228" s="46">
        <v>0</v>
      </c>
      <c r="AA228" s="46">
        <v>0</v>
      </c>
      <c r="AB228" s="46">
        <v>0</v>
      </c>
      <c r="AC228" s="58">
        <f t="shared" si="137"/>
        <v>42021.998887999915</v>
      </c>
      <c r="AD228" s="58">
        <f t="shared" si="126"/>
        <v>0</v>
      </c>
      <c r="AE228" s="12">
        <f t="shared" si="127"/>
        <v>0</v>
      </c>
      <c r="AF228" s="56"/>
      <c r="AG228" s="62"/>
      <c r="AH228" s="117">
        <f t="shared" si="134"/>
        <v>0</v>
      </c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  <c r="AT228" s="114"/>
      <c r="AU228" s="114"/>
      <c r="AV228" s="114"/>
      <c r="AW228" s="114"/>
      <c r="AX228" s="114"/>
      <c r="AY228" s="119"/>
      <c r="AZ228" s="115"/>
      <c r="BA228" s="243"/>
      <c r="BB228" s="115"/>
      <c r="BC228" s="115"/>
      <c r="BD228" s="115"/>
      <c r="BE228" s="115"/>
      <c r="BF228" s="115"/>
      <c r="BG228" s="115"/>
      <c r="BH228" s="115"/>
      <c r="BI228" s="115"/>
      <c r="BJ228" s="115"/>
    </row>
    <row r="229" spans="1:62" hidden="1" x14ac:dyDescent="0.35">
      <c r="A229" s="19" t="str">
        <f>VLOOKUP(C229,Master!A:D,4,0)</f>
        <v>FG</v>
      </c>
      <c r="B229" s="14" t="str">
        <f>VLOOKUP(C229,Master!A:C,3,0)</f>
        <v>Label Div</v>
      </c>
      <c r="C229" s="14" t="s">
        <v>895</v>
      </c>
      <c r="D229" s="2">
        <f t="shared" si="128"/>
        <v>0</v>
      </c>
      <c r="E229" s="2">
        <f t="shared" si="129"/>
        <v>0</v>
      </c>
      <c r="F229" s="2">
        <f t="shared" si="130"/>
        <v>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54">
        <f t="shared" si="120"/>
        <v>0</v>
      </c>
      <c r="V229" s="54">
        <f t="shared" si="121"/>
        <v>0</v>
      </c>
      <c r="W229" s="54">
        <f t="shared" si="131"/>
        <v>0</v>
      </c>
      <c r="X229" s="2">
        <f t="shared" si="132"/>
        <v>0</v>
      </c>
      <c r="Y229" s="2">
        <f t="shared" si="133"/>
        <v>0</v>
      </c>
      <c r="Z229" s="46">
        <v>0</v>
      </c>
      <c r="AA229" s="46">
        <v>0</v>
      </c>
      <c r="AB229" s="46">
        <v>0</v>
      </c>
      <c r="AC229" s="58">
        <f t="shared" si="137"/>
        <v>0</v>
      </c>
      <c r="AD229" s="58">
        <f t="shared" si="126"/>
        <v>0</v>
      </c>
      <c r="AE229" s="12">
        <f t="shared" si="127"/>
        <v>0</v>
      </c>
      <c r="AF229" s="56"/>
      <c r="AG229" s="62"/>
      <c r="AH229" s="117">
        <f t="shared" si="134"/>
        <v>0</v>
      </c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  <c r="AT229" s="114"/>
      <c r="AU229" s="114"/>
      <c r="AV229" s="114"/>
      <c r="AW229" s="114"/>
      <c r="AX229" s="114"/>
      <c r="AY229" s="119"/>
      <c r="AZ229" s="115"/>
      <c r="BA229" s="243"/>
      <c r="BB229" s="115"/>
      <c r="BC229" s="115"/>
      <c r="BD229" s="115"/>
      <c r="BE229" s="115"/>
      <c r="BF229" s="115"/>
      <c r="BG229" s="115"/>
      <c r="BH229" s="115"/>
      <c r="BI229" s="115"/>
      <c r="BJ229" s="115"/>
    </row>
    <row r="230" spans="1:62" hidden="1" x14ac:dyDescent="0.35">
      <c r="A230" s="19" t="str">
        <f>VLOOKUP(C230,Master!A:D,4,0)</f>
        <v>FG</v>
      </c>
      <c r="B230" s="14" t="str">
        <f>VLOOKUP(C230,Master!A:C,3,0)</f>
        <v>FIBC Bags</v>
      </c>
      <c r="C230" s="14" t="s">
        <v>897</v>
      </c>
      <c r="D230" s="2">
        <f t="shared" si="128"/>
        <v>1.7462298274040222E-10</v>
      </c>
      <c r="E230" s="2">
        <f t="shared" si="129"/>
        <v>0</v>
      </c>
      <c r="F230" s="2">
        <f t="shared" si="130"/>
        <v>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54">
        <f t="shared" si="120"/>
        <v>0</v>
      </c>
      <c r="V230" s="54">
        <f t="shared" si="121"/>
        <v>0</v>
      </c>
      <c r="W230" s="54">
        <f t="shared" si="131"/>
        <v>1.7462298274040222E-10</v>
      </c>
      <c r="X230" s="2">
        <f t="shared" si="132"/>
        <v>0</v>
      </c>
      <c r="Y230" s="2">
        <f t="shared" si="133"/>
        <v>0</v>
      </c>
      <c r="Z230" s="46">
        <v>0</v>
      </c>
      <c r="AA230" s="46">
        <v>0</v>
      </c>
      <c r="AB230" s="46">
        <v>0</v>
      </c>
      <c r="AC230" s="58">
        <f t="shared" si="137"/>
        <v>1.7462298274040222E-10</v>
      </c>
      <c r="AD230" s="58">
        <f t="shared" si="126"/>
        <v>0</v>
      </c>
      <c r="AE230" s="12">
        <f t="shared" si="127"/>
        <v>0</v>
      </c>
      <c r="AF230" s="56"/>
      <c r="AG230" s="62"/>
      <c r="AH230" s="117">
        <f t="shared" si="134"/>
        <v>0</v>
      </c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  <c r="AT230" s="114"/>
      <c r="AU230" s="114"/>
      <c r="AV230" s="114"/>
      <c r="AW230" s="114"/>
      <c r="AX230" s="114"/>
      <c r="AY230" s="119"/>
      <c r="AZ230" s="115"/>
      <c r="BA230" s="243"/>
      <c r="BB230" s="115"/>
      <c r="BC230" s="115"/>
      <c r="BD230" s="115"/>
      <c r="BE230" s="115"/>
      <c r="BF230" s="115"/>
      <c r="BG230" s="115"/>
      <c r="BH230" s="115"/>
      <c r="BI230" s="115"/>
      <c r="BJ230" s="115"/>
    </row>
    <row r="231" spans="1:62" hidden="1" x14ac:dyDescent="0.35">
      <c r="A231" s="19" t="str">
        <f>VLOOKUP(C231,Master!A:D,4,0)</f>
        <v>FG</v>
      </c>
      <c r="B231" s="14" t="str">
        <f>VLOOKUP(C231,Master!A:C,3,0)</f>
        <v>Small Bags</v>
      </c>
      <c r="C231" s="14" t="s">
        <v>900</v>
      </c>
      <c r="D231" s="2">
        <f t="shared" si="128"/>
        <v>0</v>
      </c>
      <c r="E231" s="2">
        <f t="shared" si="129"/>
        <v>0</v>
      </c>
      <c r="F231" s="2">
        <f t="shared" si="130"/>
        <v>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54">
        <f t="shared" si="120"/>
        <v>0</v>
      </c>
      <c r="V231" s="54">
        <f t="shared" si="121"/>
        <v>0</v>
      </c>
      <c r="W231" s="54">
        <f t="shared" si="131"/>
        <v>0</v>
      </c>
      <c r="X231" s="2">
        <f t="shared" si="132"/>
        <v>0</v>
      </c>
      <c r="Y231" s="2">
        <f t="shared" si="133"/>
        <v>0</v>
      </c>
      <c r="Z231" s="46">
        <v>0</v>
      </c>
      <c r="AA231" s="46">
        <v>0</v>
      </c>
      <c r="AB231" s="46">
        <v>0</v>
      </c>
      <c r="AC231" s="58">
        <f t="shared" si="137"/>
        <v>0</v>
      </c>
      <c r="AD231" s="58">
        <f t="shared" si="126"/>
        <v>0</v>
      </c>
      <c r="AE231" s="12">
        <f t="shared" si="127"/>
        <v>0</v>
      </c>
      <c r="AF231" s="56"/>
      <c r="AG231" s="62"/>
      <c r="AH231" s="117">
        <f t="shared" si="134"/>
        <v>0</v>
      </c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  <c r="AT231" s="114"/>
      <c r="AU231" s="114"/>
      <c r="AV231" s="114"/>
      <c r="AW231" s="114"/>
      <c r="AX231" s="114"/>
      <c r="AY231" s="119"/>
      <c r="AZ231" s="115"/>
      <c r="BA231" s="243"/>
      <c r="BB231" s="115"/>
      <c r="BC231" s="115"/>
      <c r="BD231" s="115"/>
      <c r="BE231" s="115"/>
      <c r="BF231" s="115"/>
      <c r="BG231" s="115"/>
      <c r="BH231" s="115"/>
      <c r="BI231" s="115"/>
      <c r="BJ231" s="115"/>
    </row>
    <row r="232" spans="1:62" hidden="1" x14ac:dyDescent="0.35">
      <c r="A232" s="19" t="str">
        <f>VLOOKUP(C232,Master!A:D,4,0)</f>
        <v>FG</v>
      </c>
      <c r="B232" s="14" t="str">
        <f>VLOOKUP(C232,Master!A:C,3,0)</f>
        <v>Tarps</v>
      </c>
      <c r="C232" s="14" t="s">
        <v>903</v>
      </c>
      <c r="D232" s="2">
        <f t="shared" si="128"/>
        <v>0</v>
      </c>
      <c r="E232" s="2">
        <f t="shared" si="129"/>
        <v>0</v>
      </c>
      <c r="F232" s="2">
        <f t="shared" si="130"/>
        <v>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54">
        <f t="shared" si="120"/>
        <v>0</v>
      </c>
      <c r="V232" s="54">
        <f t="shared" si="121"/>
        <v>0</v>
      </c>
      <c r="W232" s="54">
        <f t="shared" si="131"/>
        <v>0</v>
      </c>
      <c r="X232" s="2">
        <f t="shared" si="132"/>
        <v>0</v>
      </c>
      <c r="Y232" s="2">
        <f t="shared" si="133"/>
        <v>0</v>
      </c>
      <c r="Z232" s="46">
        <v>0</v>
      </c>
      <c r="AA232" s="46">
        <v>0</v>
      </c>
      <c r="AB232" s="46">
        <v>0</v>
      </c>
      <c r="AC232" s="58">
        <f t="shared" si="137"/>
        <v>0</v>
      </c>
      <c r="AD232" s="58">
        <f t="shared" si="126"/>
        <v>0</v>
      </c>
      <c r="AE232" s="12">
        <f t="shared" si="127"/>
        <v>0</v>
      </c>
      <c r="AF232" s="56"/>
      <c r="AG232" s="62"/>
      <c r="AH232" s="117">
        <f t="shared" si="134"/>
        <v>0</v>
      </c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9"/>
      <c r="AZ232" s="115"/>
      <c r="BA232" s="243"/>
      <c r="BB232" s="115"/>
      <c r="BC232" s="115"/>
      <c r="BD232" s="115"/>
      <c r="BE232" s="115"/>
      <c r="BF232" s="115"/>
      <c r="BG232" s="115"/>
      <c r="BH232" s="115"/>
      <c r="BI232" s="115"/>
      <c r="BJ232" s="115"/>
    </row>
    <row r="233" spans="1:62" hidden="1" x14ac:dyDescent="0.35">
      <c r="A233" s="19" t="str">
        <f>VLOOKUP(C233,Master!A:D,4,0)</f>
        <v>FG</v>
      </c>
      <c r="B233" s="14" t="str">
        <f>VLOOKUP(C233,Master!A:C,3,0)</f>
        <v>Trading Items</v>
      </c>
      <c r="C233" s="14" t="s">
        <v>905</v>
      </c>
      <c r="D233" s="2">
        <f t="shared" si="128"/>
        <v>0</v>
      </c>
      <c r="E233" s="2">
        <f t="shared" si="129"/>
        <v>0</v>
      </c>
      <c r="F233" s="2">
        <f t="shared" si="130"/>
        <v>0</v>
      </c>
      <c r="G233" s="6"/>
      <c r="H233" s="6"/>
      <c r="I233" s="6"/>
      <c r="J233" s="2"/>
      <c r="K233" s="6"/>
      <c r="L233" s="6"/>
      <c r="M233" s="6"/>
      <c r="N233" s="6"/>
      <c r="O233" s="6"/>
      <c r="P233" s="6"/>
      <c r="Q233" s="6"/>
      <c r="R233" s="6"/>
      <c r="S233" s="6"/>
      <c r="T233" s="2"/>
      <c r="U233" s="54">
        <f t="shared" si="120"/>
        <v>0</v>
      </c>
      <c r="V233" s="54">
        <f t="shared" si="121"/>
        <v>0</v>
      </c>
      <c r="W233" s="54">
        <f t="shared" si="131"/>
        <v>0</v>
      </c>
      <c r="X233" s="2">
        <f t="shared" si="132"/>
        <v>0</v>
      </c>
      <c r="Y233" s="2">
        <f t="shared" si="133"/>
        <v>0</v>
      </c>
      <c r="Z233" s="46">
        <v>0</v>
      </c>
      <c r="AA233" s="46">
        <v>0</v>
      </c>
      <c r="AB233" s="46">
        <v>0</v>
      </c>
      <c r="AC233" s="58">
        <f t="shared" si="137"/>
        <v>0</v>
      </c>
      <c r="AD233" s="58">
        <f t="shared" si="126"/>
        <v>0</v>
      </c>
      <c r="AE233" s="6">
        <v>0</v>
      </c>
      <c r="AF233" s="56"/>
      <c r="AG233" s="62"/>
      <c r="AH233" s="117">
        <f t="shared" si="134"/>
        <v>0</v>
      </c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  <c r="AT233" s="114"/>
      <c r="AU233" s="114"/>
      <c r="AV233" s="114"/>
      <c r="AW233" s="114"/>
      <c r="AX233" s="114"/>
      <c r="AY233" s="119"/>
      <c r="AZ233" s="115"/>
      <c r="BA233" s="243"/>
      <c r="BB233" s="115"/>
      <c r="BC233" s="115"/>
      <c r="BD233" s="115"/>
      <c r="BE233" s="115"/>
      <c r="BF233" s="115"/>
      <c r="BG233" s="115"/>
      <c r="BH233" s="115"/>
      <c r="BI233" s="115"/>
      <c r="BJ233" s="115"/>
    </row>
    <row r="234" spans="1:62" hidden="1" x14ac:dyDescent="0.35">
      <c r="A234" s="19" t="str">
        <f>VLOOKUP(C234,Master!A:D,4,0)</f>
        <v>FG</v>
      </c>
      <c r="B234" s="14" t="str">
        <f>VLOOKUP(C234,Master!A:C,3,0)</f>
        <v>Small Bags</v>
      </c>
      <c r="C234" s="14" t="s">
        <v>907</v>
      </c>
      <c r="D234" s="2">
        <f t="shared" si="128"/>
        <v>0</v>
      </c>
      <c r="E234" s="2">
        <f t="shared" si="129"/>
        <v>0</v>
      </c>
      <c r="F234" s="2">
        <f t="shared" si="130"/>
        <v>0</v>
      </c>
      <c r="G234" s="6"/>
      <c r="H234" s="2"/>
      <c r="I234" s="6"/>
      <c r="J234" s="2"/>
      <c r="K234" s="6"/>
      <c r="L234" s="6"/>
      <c r="M234" s="6"/>
      <c r="N234" s="6"/>
      <c r="O234" s="6"/>
      <c r="P234" s="6"/>
      <c r="Q234" s="6"/>
      <c r="R234" s="6"/>
      <c r="S234" s="6"/>
      <c r="T234" s="2"/>
      <c r="U234" s="54">
        <f t="shared" si="120"/>
        <v>0</v>
      </c>
      <c r="V234" s="54">
        <f t="shared" si="121"/>
        <v>0</v>
      </c>
      <c r="W234" s="54">
        <f t="shared" si="131"/>
        <v>0</v>
      </c>
      <c r="X234" s="2">
        <f t="shared" si="132"/>
        <v>0</v>
      </c>
      <c r="Y234" s="2">
        <f t="shared" si="133"/>
        <v>0</v>
      </c>
      <c r="Z234" s="46">
        <v>0</v>
      </c>
      <c r="AA234" s="46">
        <v>0</v>
      </c>
      <c r="AB234" s="46">
        <v>0</v>
      </c>
      <c r="AC234" s="58">
        <f t="shared" si="137"/>
        <v>0</v>
      </c>
      <c r="AD234" s="58">
        <f t="shared" si="126"/>
        <v>0</v>
      </c>
      <c r="AE234" s="6">
        <v>0</v>
      </c>
      <c r="AF234" s="56"/>
      <c r="AG234" s="62"/>
      <c r="AH234" s="117">
        <f t="shared" si="134"/>
        <v>0</v>
      </c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  <c r="AS234" s="114"/>
      <c r="AT234" s="114"/>
      <c r="AU234" s="114"/>
      <c r="AV234" s="114"/>
      <c r="AW234" s="114"/>
      <c r="AX234" s="114"/>
      <c r="AY234" s="119"/>
      <c r="AZ234" s="115"/>
      <c r="BA234" s="243"/>
      <c r="BB234" s="115"/>
      <c r="BC234" s="115"/>
      <c r="BD234" s="115"/>
      <c r="BE234" s="115"/>
      <c r="BF234" s="115"/>
      <c r="BG234" s="115"/>
      <c r="BH234" s="115"/>
      <c r="BI234" s="115"/>
      <c r="BJ234" s="115"/>
    </row>
    <row r="235" spans="1:62" hidden="1" x14ac:dyDescent="0.35">
      <c r="A235" s="19" t="str">
        <f>VLOOKUP(C235,Master!A:D,4,0)</f>
        <v>FG</v>
      </c>
      <c r="B235" s="14" t="str">
        <f>VLOOKUP(C235,Master!A:C,3,0)</f>
        <v>Small Bags WIP</v>
      </c>
      <c r="C235" s="14" t="s">
        <v>908</v>
      </c>
      <c r="D235" s="2">
        <f t="shared" si="128"/>
        <v>0</v>
      </c>
      <c r="E235" s="2">
        <f t="shared" si="129"/>
        <v>0</v>
      </c>
      <c r="F235" s="2">
        <f t="shared" si="130"/>
        <v>0</v>
      </c>
      <c r="G235" s="7"/>
      <c r="H235" s="2"/>
      <c r="I235" s="7"/>
      <c r="J235" s="11"/>
      <c r="K235" s="7"/>
      <c r="L235" s="7"/>
      <c r="M235" s="7"/>
      <c r="N235" s="7"/>
      <c r="O235" s="7"/>
      <c r="P235" s="6"/>
      <c r="Q235" s="7"/>
      <c r="R235" s="7"/>
      <c r="S235" s="7"/>
      <c r="T235" s="2"/>
      <c r="U235" s="54">
        <f t="shared" si="120"/>
        <v>0</v>
      </c>
      <c r="V235" s="54">
        <f t="shared" si="121"/>
        <v>0</v>
      </c>
      <c r="W235" s="54">
        <f t="shared" si="131"/>
        <v>0</v>
      </c>
      <c r="X235" s="2">
        <f t="shared" si="132"/>
        <v>0</v>
      </c>
      <c r="Y235" s="2">
        <f t="shared" si="133"/>
        <v>0</v>
      </c>
      <c r="Z235" s="46">
        <v>0</v>
      </c>
      <c r="AA235" s="46">
        <v>0</v>
      </c>
      <c r="AB235" s="46">
        <v>0</v>
      </c>
      <c r="AC235" s="58">
        <f t="shared" si="137"/>
        <v>0</v>
      </c>
      <c r="AD235" s="58">
        <f t="shared" si="126"/>
        <v>0</v>
      </c>
      <c r="AE235" s="6">
        <v>0</v>
      </c>
      <c r="AF235" s="56"/>
      <c r="AG235" s="62"/>
      <c r="AH235" s="117">
        <f t="shared" si="134"/>
        <v>0</v>
      </c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9"/>
      <c r="AZ235" s="115"/>
      <c r="BA235" s="243"/>
      <c r="BB235" s="115"/>
      <c r="BC235" s="115"/>
      <c r="BD235" s="115"/>
      <c r="BE235" s="115"/>
      <c r="BF235" s="115"/>
      <c r="BG235" s="115"/>
      <c r="BH235" s="115"/>
      <c r="BI235" s="115"/>
      <c r="BJ235" s="115"/>
    </row>
    <row r="236" spans="1:62" ht="15" hidden="1" thickBot="1" x14ac:dyDescent="0.4">
      <c r="A236" s="20" t="str">
        <f>VLOOKUP(C236,Master!A:D,4,0)</f>
        <v>FG</v>
      </c>
      <c r="B236" s="21" t="str">
        <f>VLOOKUP(C236,Master!A:C,3,0)</f>
        <v>Flexitank</v>
      </c>
      <c r="C236" s="21" t="s">
        <v>718</v>
      </c>
      <c r="D236" s="2">
        <f t="shared" si="128"/>
        <v>0</v>
      </c>
      <c r="E236" s="2">
        <f t="shared" si="129"/>
        <v>0</v>
      </c>
      <c r="F236" s="2">
        <f t="shared" si="130"/>
        <v>0</v>
      </c>
      <c r="G236" s="22"/>
      <c r="H236" s="22"/>
      <c r="I236" s="22"/>
      <c r="J236" s="24"/>
      <c r="K236" s="22"/>
      <c r="L236" s="22"/>
      <c r="M236" s="22"/>
      <c r="N236" s="22"/>
      <c r="O236" s="22"/>
      <c r="P236" s="6"/>
      <c r="Q236" s="22"/>
      <c r="R236" s="22"/>
      <c r="S236" s="22"/>
      <c r="T236" s="2"/>
      <c r="U236" s="54">
        <f t="shared" si="120"/>
        <v>0</v>
      </c>
      <c r="V236" s="54">
        <f t="shared" si="121"/>
        <v>0</v>
      </c>
      <c r="W236" s="54">
        <f t="shared" si="131"/>
        <v>0</v>
      </c>
      <c r="X236" s="2">
        <f t="shared" si="132"/>
        <v>0</v>
      </c>
      <c r="Y236" s="2">
        <f t="shared" si="133"/>
        <v>0</v>
      </c>
      <c r="Z236" s="46">
        <v>0</v>
      </c>
      <c r="AA236" s="46">
        <v>0</v>
      </c>
      <c r="AB236" s="46">
        <v>0</v>
      </c>
      <c r="AC236" s="58">
        <f t="shared" si="137"/>
        <v>0</v>
      </c>
      <c r="AD236" s="58">
        <f t="shared" si="126"/>
        <v>0</v>
      </c>
      <c r="AE236" s="6">
        <v>0</v>
      </c>
      <c r="AF236" s="56"/>
      <c r="AG236" s="65"/>
      <c r="AH236" s="117">
        <f t="shared" si="134"/>
        <v>0</v>
      </c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  <c r="AT236" s="114"/>
      <c r="AU236" s="114"/>
      <c r="AV236" s="114"/>
      <c r="AW236" s="114"/>
      <c r="AX236" s="114"/>
      <c r="AY236" s="119"/>
      <c r="AZ236" s="115"/>
      <c r="BA236" s="243"/>
      <c r="BB236" s="115"/>
      <c r="BC236" s="115"/>
      <c r="BD236" s="115"/>
      <c r="BE236" s="115"/>
      <c r="BF236" s="115"/>
      <c r="BG236" s="115"/>
      <c r="BH236" s="115"/>
      <c r="BI236" s="115"/>
      <c r="BJ236" s="115"/>
    </row>
    <row r="237" spans="1:62" hidden="1" x14ac:dyDescent="0.35">
      <c r="A237" s="536" t="s">
        <v>928</v>
      </c>
      <c r="B237" s="537"/>
      <c r="C237" s="538"/>
      <c r="D237" s="17">
        <f>SUM(D200:D236)</f>
        <v>80511.518888000093</v>
      </c>
      <c r="E237" s="17">
        <f t="shared" ref="E237:Z237" si="138">SUM(E200:E236)</f>
        <v>449660.13</v>
      </c>
      <c r="F237" s="17">
        <f t="shared" si="138"/>
        <v>0</v>
      </c>
      <c r="G237" s="17">
        <f t="shared" si="138"/>
        <v>0</v>
      </c>
      <c r="H237" s="17">
        <f t="shared" si="138"/>
        <v>0</v>
      </c>
      <c r="I237" s="17">
        <f t="shared" si="138"/>
        <v>0</v>
      </c>
      <c r="J237" s="17">
        <f t="shared" si="138"/>
        <v>0</v>
      </c>
      <c r="K237" s="17">
        <f t="shared" si="138"/>
        <v>0</v>
      </c>
      <c r="L237" s="17">
        <f t="shared" si="138"/>
        <v>0</v>
      </c>
      <c r="M237" s="17">
        <f t="shared" si="138"/>
        <v>0</v>
      </c>
      <c r="N237" s="17">
        <f t="shared" si="138"/>
        <v>0</v>
      </c>
      <c r="O237" s="17">
        <f t="shared" si="138"/>
        <v>0</v>
      </c>
      <c r="P237" s="17">
        <f t="shared" si="138"/>
        <v>0</v>
      </c>
      <c r="Q237" s="17">
        <f t="shared" si="138"/>
        <v>0</v>
      </c>
      <c r="R237" s="17">
        <f t="shared" si="138"/>
        <v>0</v>
      </c>
      <c r="S237" s="17">
        <f t="shared" si="138"/>
        <v>0</v>
      </c>
      <c r="T237" s="17">
        <f t="shared" si="138"/>
        <v>0</v>
      </c>
      <c r="U237" s="17">
        <f t="shared" si="138"/>
        <v>0</v>
      </c>
      <c r="V237" s="17">
        <f t="shared" si="138"/>
        <v>0</v>
      </c>
      <c r="W237" s="17">
        <f t="shared" si="138"/>
        <v>80511.518888000093</v>
      </c>
      <c r="X237" s="17">
        <f t="shared" si="138"/>
        <v>449660.13</v>
      </c>
      <c r="Y237" s="17">
        <f t="shared" si="138"/>
        <v>0</v>
      </c>
      <c r="Z237" s="17">
        <f t="shared" si="138"/>
        <v>0</v>
      </c>
      <c r="AA237" s="17">
        <f>SUM(AA200:AA236)</f>
        <v>0</v>
      </c>
      <c r="AB237" s="17">
        <f t="shared" ref="AB237:AF237" si="139">SUM(AB200:AB236)</f>
        <v>0</v>
      </c>
      <c r="AC237" s="17">
        <f t="shared" si="139"/>
        <v>80511.518888000093</v>
      </c>
      <c r="AD237" s="17">
        <f t="shared" si="139"/>
        <v>449660.13</v>
      </c>
      <c r="AE237" s="17">
        <f t="shared" si="139"/>
        <v>0</v>
      </c>
      <c r="AF237" s="57">
        <f t="shared" si="139"/>
        <v>0</v>
      </c>
      <c r="AG237" s="61"/>
      <c r="AH237" s="120">
        <f t="shared" ref="AH237" si="140">SUM(AH200:AH236)</f>
        <v>0</v>
      </c>
      <c r="AI237" s="121"/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21"/>
      <c r="AX237" s="121"/>
      <c r="AY237" s="247"/>
      <c r="AZ237" s="248"/>
      <c r="BA237" s="248"/>
      <c r="BB237" s="122"/>
      <c r="BC237" s="122"/>
      <c r="BD237" s="122"/>
      <c r="BE237" s="122"/>
      <c r="BF237" s="122"/>
      <c r="BG237" s="122"/>
      <c r="BH237" s="122"/>
      <c r="BI237" s="122"/>
      <c r="BJ237" s="115"/>
    </row>
    <row r="238" spans="1:62" hidden="1" x14ac:dyDescent="0.35">
      <c r="A238" s="533" t="s">
        <v>927</v>
      </c>
      <c r="B238" s="534"/>
      <c r="C238" s="535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11"/>
      <c r="AA238" s="11"/>
      <c r="AB238" s="11"/>
      <c r="AC238" s="11"/>
      <c r="AD238" s="11"/>
      <c r="AE238" s="11"/>
      <c r="AF238" s="4"/>
      <c r="AG238" s="62"/>
      <c r="AH238" s="117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  <c r="AT238" s="114"/>
      <c r="AU238" s="114"/>
      <c r="AV238" s="114"/>
      <c r="AW238" s="114"/>
      <c r="AX238" s="114"/>
      <c r="AY238" s="119"/>
      <c r="AZ238" s="115"/>
      <c r="BA238" s="115"/>
      <c r="BB238" s="115"/>
      <c r="BC238" s="115"/>
      <c r="BD238" s="115"/>
      <c r="BE238" s="115"/>
      <c r="BF238" s="115"/>
      <c r="BG238" s="115"/>
      <c r="BH238" s="115"/>
      <c r="BI238" s="115"/>
      <c r="BJ238" s="115"/>
    </row>
    <row r="239" spans="1:62" ht="15" hidden="1" thickBot="1" x14ac:dyDescent="0.4">
      <c r="A239" s="547" t="s">
        <v>21</v>
      </c>
      <c r="B239" s="548"/>
      <c r="C239" s="549"/>
      <c r="D239" s="23"/>
      <c r="E239" s="23"/>
      <c r="F239" s="23"/>
      <c r="G239" s="24">
        <f>G237-G238</f>
        <v>0</v>
      </c>
      <c r="H239" s="24">
        <f t="shared" ref="H239:N239" si="141">H237-H238</f>
        <v>0</v>
      </c>
      <c r="I239" s="24">
        <f t="shared" si="141"/>
        <v>0</v>
      </c>
      <c r="J239" s="24">
        <f t="shared" si="141"/>
        <v>0</v>
      </c>
      <c r="K239" s="24">
        <f t="shared" si="141"/>
        <v>0</v>
      </c>
      <c r="L239" s="24">
        <f t="shared" si="141"/>
        <v>0</v>
      </c>
      <c r="M239" s="24">
        <f t="shared" si="141"/>
        <v>0</v>
      </c>
      <c r="N239" s="24">
        <f t="shared" si="141"/>
        <v>0</v>
      </c>
      <c r="O239" s="24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79">
        <f>+AA237-AA238</f>
        <v>0</v>
      </c>
      <c r="AB239" s="23"/>
      <c r="AC239" s="23"/>
      <c r="AD239" s="23"/>
      <c r="AE239" s="23"/>
      <c r="AF239" s="25"/>
      <c r="AG239" s="63"/>
      <c r="AH239" s="123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  <c r="AT239" s="114"/>
      <c r="AU239" s="114"/>
      <c r="AV239" s="114"/>
      <c r="AW239" s="114"/>
      <c r="AX239" s="114"/>
      <c r="AY239" s="245"/>
      <c r="AZ239" s="115"/>
      <c r="BA239" s="115"/>
      <c r="BB239" s="115"/>
      <c r="BC239" s="115"/>
      <c r="BD239" s="115"/>
      <c r="BE239" s="115"/>
      <c r="BF239" s="115"/>
      <c r="BG239" s="115"/>
      <c r="BH239" s="115"/>
      <c r="BI239" s="115"/>
      <c r="BJ239" s="115"/>
    </row>
    <row r="240" spans="1:62" hidden="1" x14ac:dyDescent="0.35">
      <c r="O240" s="51" t="s">
        <v>970</v>
      </c>
      <c r="P240" s="70">
        <f>+O237-P237</f>
        <v>0</v>
      </c>
      <c r="S240" s="51" t="s">
        <v>970</v>
      </c>
      <c r="T240" s="70">
        <f>+S237-T237</f>
        <v>0</v>
      </c>
    </row>
    <row r="241" spans="1:62" hidden="1" x14ac:dyDescent="0.35">
      <c r="A241" s="29"/>
      <c r="O241" s="64"/>
      <c r="S241" s="47"/>
      <c r="W241" s="47">
        <f>+D237+H237-K237</f>
        <v>80511.518888000093</v>
      </c>
      <c r="X241" s="47">
        <f>+E237+J237-N237</f>
        <v>449660.13</v>
      </c>
      <c r="AH241" s="116">
        <f>+AH201+AH223+AH214+AH208+AH200</f>
        <v>0</v>
      </c>
      <c r="AI241" s="105" t="s">
        <v>932</v>
      </c>
      <c r="AJ241" s="116"/>
      <c r="AK241" s="116"/>
      <c r="AL241" s="116"/>
      <c r="AM241" s="116"/>
      <c r="AN241" s="116"/>
      <c r="AO241" s="116"/>
      <c r="AP241" s="116"/>
      <c r="AQ241" s="116"/>
      <c r="AR241" s="116"/>
      <c r="AS241" s="116"/>
      <c r="AT241" s="116"/>
      <c r="AU241" s="116"/>
      <c r="AV241" s="116"/>
      <c r="AW241" s="116"/>
      <c r="AX241" s="116"/>
      <c r="AY241" s="246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</row>
    <row r="242" spans="1:62" hidden="1" x14ac:dyDescent="0.35">
      <c r="Q242" s="47"/>
      <c r="R242" s="47"/>
      <c r="W242" s="64">
        <f>+W237-W241</f>
        <v>0</v>
      </c>
      <c r="X242" s="103">
        <f>+X237-X241</f>
        <v>0</v>
      </c>
      <c r="Y242" s="103"/>
      <c r="AH242" s="118">
        <f>+AH228</f>
        <v>0</v>
      </c>
      <c r="AI242" s="105" t="s">
        <v>931</v>
      </c>
      <c r="AJ242" s="116"/>
      <c r="AK242" s="116"/>
      <c r="AL242" s="116"/>
      <c r="AM242" s="116"/>
      <c r="AN242" s="116"/>
      <c r="AO242" s="116"/>
      <c r="AP242" s="116"/>
      <c r="AQ242" s="116"/>
      <c r="AR242" s="116"/>
      <c r="AS242" s="116"/>
      <c r="AT242" s="116"/>
      <c r="AU242" s="116"/>
      <c r="AV242" s="116"/>
      <c r="AW242" s="116"/>
      <c r="AX242" s="116"/>
      <c r="AY242" s="246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</row>
    <row r="243" spans="1:62" hidden="1" x14ac:dyDescent="0.35">
      <c r="W243" s="47"/>
      <c r="X243" s="47"/>
      <c r="AH243" s="118">
        <f>+AH220+AH227+AH230</f>
        <v>0</v>
      </c>
      <c r="AI243" s="105" t="s">
        <v>930</v>
      </c>
      <c r="AJ243" s="116"/>
      <c r="AK243" s="116"/>
      <c r="AL243" s="116"/>
      <c r="AM243" s="116"/>
      <c r="AN243" s="116"/>
      <c r="AO243" s="116"/>
      <c r="AP243" s="116"/>
      <c r="AQ243" s="116"/>
      <c r="AR243" s="116"/>
      <c r="AS243" s="116"/>
      <c r="AT243" s="116"/>
      <c r="AU243" s="116"/>
      <c r="AV243" s="116"/>
      <c r="AW243" s="116"/>
      <c r="AX243" s="116"/>
      <c r="AY243" s="246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</row>
    <row r="244" spans="1:62" hidden="1" x14ac:dyDescent="0.35">
      <c r="AH244" s="116">
        <f>+AH237-AH241-AH242-AH243</f>
        <v>0</v>
      </c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  <c r="AS244" s="116"/>
      <c r="AT244" s="116"/>
      <c r="AU244" s="116"/>
      <c r="AV244" s="116"/>
      <c r="AW244" s="116"/>
      <c r="AX244" s="116"/>
      <c r="AY244" s="246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4"/>
    </row>
    <row r="245" spans="1:62" hidden="1" x14ac:dyDescent="0.35"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  <c r="AS245" s="116"/>
      <c r="AT245" s="116"/>
      <c r="AU245" s="116"/>
      <c r="AV245" s="116"/>
      <c r="AW245" s="116"/>
      <c r="AX245" s="116"/>
      <c r="AY245" s="246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4"/>
    </row>
    <row r="246" spans="1:62" hidden="1" x14ac:dyDescent="0.35"/>
    <row r="247" spans="1:62" ht="15" hidden="1" thickBot="1" x14ac:dyDescent="0.4"/>
    <row r="248" spans="1:62" ht="15" hidden="1" thickBot="1" x14ac:dyDescent="0.4">
      <c r="A248" s="5"/>
      <c r="B248" s="5"/>
      <c r="C248" s="8"/>
      <c r="D248" s="539" t="s">
        <v>0</v>
      </c>
      <c r="E248" s="540"/>
      <c r="F248" s="540"/>
      <c r="G248" s="541" t="s">
        <v>2350</v>
      </c>
      <c r="H248" s="542"/>
      <c r="I248" s="542"/>
      <c r="J248" s="542"/>
      <c r="K248" s="542"/>
      <c r="L248" s="542"/>
      <c r="M248" s="542"/>
      <c r="N248" s="542"/>
      <c r="O248" s="542"/>
      <c r="P248" s="542"/>
      <c r="Q248" s="542"/>
      <c r="R248" s="542"/>
      <c r="S248" s="542"/>
      <c r="T248" s="542"/>
      <c r="U248" s="542"/>
      <c r="V248" s="543"/>
      <c r="W248" s="554" t="s">
        <v>20</v>
      </c>
      <c r="X248" s="554"/>
      <c r="Y248" s="554"/>
      <c r="Z248" s="553" t="s">
        <v>929</v>
      </c>
      <c r="AA248" s="553"/>
      <c r="AB248" s="553"/>
      <c r="AC248" s="553" t="s">
        <v>21</v>
      </c>
      <c r="AD248" s="553"/>
      <c r="AE248" s="553"/>
      <c r="AF248" s="13"/>
      <c r="AG248" s="531"/>
      <c r="AH248" s="532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</row>
    <row r="249" spans="1:62" ht="29.5" hidden="1" thickBot="1" x14ac:dyDescent="0.4">
      <c r="A249" s="10" t="s">
        <v>24</v>
      </c>
      <c r="B249" s="10" t="s">
        <v>924</v>
      </c>
      <c r="C249" s="10" t="s">
        <v>23</v>
      </c>
      <c r="D249" s="26" t="s">
        <v>1</v>
      </c>
      <c r="E249" s="27" t="s">
        <v>2</v>
      </c>
      <c r="F249" s="27" t="s">
        <v>3</v>
      </c>
      <c r="G249" s="27" t="s">
        <v>4</v>
      </c>
      <c r="H249" s="27" t="s">
        <v>5</v>
      </c>
      <c r="I249" s="27" t="s">
        <v>6</v>
      </c>
      <c r="J249" s="27" t="s">
        <v>7</v>
      </c>
      <c r="K249" s="27" t="s">
        <v>8</v>
      </c>
      <c r="L249" s="27" t="s">
        <v>9</v>
      </c>
      <c r="M249" s="27" t="s">
        <v>10</v>
      </c>
      <c r="N249" s="27" t="s">
        <v>11</v>
      </c>
      <c r="O249" s="27" t="s">
        <v>12</v>
      </c>
      <c r="P249" s="27" t="s">
        <v>13</v>
      </c>
      <c r="Q249" s="27" t="s">
        <v>14</v>
      </c>
      <c r="R249" s="27" t="s">
        <v>15</v>
      </c>
      <c r="S249" s="27" t="s">
        <v>16</v>
      </c>
      <c r="T249" s="27" t="s">
        <v>17</v>
      </c>
      <c r="U249" s="27" t="s">
        <v>18</v>
      </c>
      <c r="V249" s="27" t="s">
        <v>19</v>
      </c>
      <c r="W249" s="28" t="s">
        <v>1</v>
      </c>
      <c r="X249" s="28" t="s">
        <v>2</v>
      </c>
      <c r="Y249" s="28" t="s">
        <v>3</v>
      </c>
      <c r="Z249" s="28" t="s">
        <v>1</v>
      </c>
      <c r="AA249" s="50" t="s">
        <v>2</v>
      </c>
      <c r="AB249" s="27" t="s">
        <v>3</v>
      </c>
      <c r="AC249" s="27" t="s">
        <v>1</v>
      </c>
      <c r="AD249" s="27" t="s">
        <v>2</v>
      </c>
      <c r="AE249" s="27" t="s">
        <v>3</v>
      </c>
      <c r="AF249" s="55" t="s">
        <v>22</v>
      </c>
      <c r="AG249" s="59" t="s">
        <v>934</v>
      </c>
      <c r="AH249" s="110" t="s">
        <v>933</v>
      </c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2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</row>
    <row r="250" spans="1:62" hidden="1" x14ac:dyDescent="0.35">
      <c r="A250" s="15" t="str">
        <f>VLOOKUP(C250,Master!A:D,4,0)</f>
        <v>RM</v>
      </c>
      <c r="B250" s="16" t="str">
        <f>VLOOKUP(C250,Master!A:C,3,0)</f>
        <v>Granuals</v>
      </c>
      <c r="C250" s="16" t="s">
        <v>32</v>
      </c>
      <c r="D250" s="17">
        <f t="shared" ref="D250:F251" si="142">+W200</f>
        <v>2494.8000000000002</v>
      </c>
      <c r="E250" s="17">
        <f t="shared" si="142"/>
        <v>200</v>
      </c>
      <c r="F250" s="17">
        <f t="shared" si="142"/>
        <v>0</v>
      </c>
      <c r="G250" s="17"/>
      <c r="H250" s="17"/>
      <c r="I250" s="71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>
        <f t="shared" ref="U250:U286" si="143">O250-S250</f>
        <v>0</v>
      </c>
      <c r="V250" s="17">
        <f t="shared" ref="V250:V286" si="144">P250-T250</f>
        <v>0</v>
      </c>
      <c r="W250" s="17">
        <f>D250+G250+H250+I250-K250-L250-M250-V250+U250</f>
        <v>2494.8000000000002</v>
      </c>
      <c r="X250" s="17">
        <f t="shared" ref="X250:X251" si="145">E250+J250-N250-T250+S250</f>
        <v>200</v>
      </c>
      <c r="Y250" s="17">
        <f t="shared" ref="Y250:Y251" si="146">F250-I250+M250-R250+Q250</f>
        <v>0</v>
      </c>
      <c r="Z250" s="48">
        <v>0</v>
      </c>
      <c r="AA250" s="49">
        <v>0</v>
      </c>
      <c r="AB250" s="45">
        <v>0</v>
      </c>
      <c r="AC250" s="72">
        <f>W250-Z250</f>
        <v>2494.8000000000002</v>
      </c>
      <c r="AD250" s="72">
        <f>X250-AA250</f>
        <v>200</v>
      </c>
      <c r="AE250" s="18">
        <f>Y250-AB250</f>
        <v>0</v>
      </c>
      <c r="AF250" s="56"/>
      <c r="AG250" s="61"/>
      <c r="AH250" s="113">
        <f>+W250*AG250</f>
        <v>0</v>
      </c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  <c r="AS250" s="114"/>
      <c r="AT250" s="114"/>
      <c r="AU250" s="114"/>
      <c r="AV250" s="114"/>
      <c r="AW250" s="114"/>
      <c r="AX250" s="114"/>
      <c r="AY250" s="119"/>
      <c r="AZ250" s="115"/>
      <c r="BA250" s="115"/>
      <c r="BB250" s="115"/>
      <c r="BC250" s="115"/>
      <c r="BD250" s="115"/>
      <c r="BE250" s="115"/>
      <c r="BF250" s="115"/>
      <c r="BG250" s="115"/>
      <c r="BH250" s="115"/>
      <c r="BI250" s="115"/>
      <c r="BJ250" s="115"/>
    </row>
    <row r="251" spans="1:62" hidden="1" x14ac:dyDescent="0.35">
      <c r="A251" s="19" t="str">
        <f>VLOOKUP(C251,Master!A:D,4,0)</f>
        <v>RM</v>
      </c>
      <c r="B251" s="14" t="str">
        <f>VLOOKUP(C251,Master!A:C,3,0)</f>
        <v>Granuals</v>
      </c>
      <c r="C251" s="14" t="s">
        <v>37</v>
      </c>
      <c r="D251" s="2">
        <f t="shared" si="142"/>
        <v>29994.720000000001</v>
      </c>
      <c r="E251" s="2">
        <f t="shared" si="142"/>
        <v>341299.7</v>
      </c>
      <c r="F251" s="2">
        <f t="shared" si="142"/>
        <v>0</v>
      </c>
      <c r="G251" s="2"/>
      <c r="H251" s="2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>
        <f t="shared" si="143"/>
        <v>0</v>
      </c>
      <c r="V251" s="2">
        <f t="shared" si="144"/>
        <v>0</v>
      </c>
      <c r="W251" s="54">
        <f t="shared" ref="W251" si="147">D251+G251+H251+I251-K251-L251-M251-V251+U251</f>
        <v>29994.720000000001</v>
      </c>
      <c r="X251" s="2">
        <f t="shared" si="145"/>
        <v>341299.7</v>
      </c>
      <c r="Y251" s="2">
        <f t="shared" si="146"/>
        <v>0</v>
      </c>
      <c r="Z251" s="46">
        <v>0</v>
      </c>
      <c r="AA251" s="46">
        <v>0</v>
      </c>
      <c r="AB251" s="46">
        <v>0</v>
      </c>
      <c r="AC251" s="58">
        <f t="shared" ref="AC251" si="148">W251-Z251</f>
        <v>29994.720000000001</v>
      </c>
      <c r="AD251" s="58">
        <f t="shared" ref="AD251" si="149">X251-AA251</f>
        <v>341299.7</v>
      </c>
      <c r="AE251" s="12">
        <f t="shared" ref="AE251" si="150">Y251-AB251</f>
        <v>0</v>
      </c>
      <c r="AF251" s="56"/>
      <c r="AG251" s="60"/>
      <c r="AH251" s="117">
        <f>+W251*AG251</f>
        <v>0</v>
      </c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  <c r="AS251" s="114"/>
      <c r="AT251" s="114"/>
      <c r="AU251" s="114"/>
      <c r="AV251" s="114"/>
      <c r="AW251" s="114"/>
      <c r="AX251" s="114"/>
      <c r="AY251" s="119"/>
      <c r="AZ251" s="115"/>
      <c r="BA251" s="243"/>
      <c r="BB251" s="115"/>
      <c r="BC251" s="115"/>
      <c r="BD251" s="115"/>
      <c r="BE251" s="115"/>
      <c r="BF251" s="115"/>
      <c r="BG251" s="115"/>
      <c r="BH251" s="115"/>
      <c r="BI251" s="115"/>
      <c r="BJ251" s="115"/>
    </row>
    <row r="252" spans="1:62" hidden="1" x14ac:dyDescent="0.35">
      <c r="A252" s="19" t="str">
        <f>VLOOKUP(C252,Master!A:D,4,0)</f>
        <v>RM</v>
      </c>
      <c r="B252" s="14" t="str">
        <f>VLOOKUP(C252,Master!A:C,3,0)</f>
        <v>Granuals</v>
      </c>
      <c r="C252" s="14" t="s">
        <v>40</v>
      </c>
      <c r="D252" s="2">
        <f t="shared" ref="D252:F252" si="151">+W202</f>
        <v>0</v>
      </c>
      <c r="E252" s="2">
        <f t="shared" si="151"/>
        <v>0</v>
      </c>
      <c r="F252" s="2">
        <f t="shared" si="151"/>
        <v>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>
        <f t="shared" si="143"/>
        <v>0</v>
      </c>
      <c r="V252" s="2">
        <f t="shared" si="144"/>
        <v>0</v>
      </c>
      <c r="W252" s="54">
        <f t="shared" ref="W252:W286" si="152">D252+G252+H252+I252-K252-L252-M252-V252+U252</f>
        <v>0</v>
      </c>
      <c r="X252" s="2">
        <f t="shared" ref="X252:X286" si="153">E252+J252-N252-T252+S252</f>
        <v>0</v>
      </c>
      <c r="Y252" s="2">
        <f t="shared" ref="Y252:Y286" si="154">F252-I252+M252-R252+Q252</f>
        <v>0</v>
      </c>
      <c r="Z252" s="46">
        <v>0</v>
      </c>
      <c r="AA252" s="46">
        <v>0</v>
      </c>
      <c r="AB252" s="46">
        <v>0</v>
      </c>
      <c r="AC252" s="58">
        <f t="shared" ref="AC252:AC286" si="155">W252-Z252</f>
        <v>0</v>
      </c>
      <c r="AD252" s="58">
        <f t="shared" ref="AD252:AD286" si="156">X252-AA252</f>
        <v>0</v>
      </c>
      <c r="AE252" s="12">
        <f t="shared" ref="AE252:AE286" si="157">Y252-AB252</f>
        <v>0</v>
      </c>
      <c r="AF252" s="56"/>
      <c r="AG252" s="62"/>
      <c r="AH252" s="117">
        <f t="shared" ref="AH252:AH286" si="158">+W252*AG252</f>
        <v>0</v>
      </c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  <c r="AT252" s="114"/>
      <c r="AU252" s="114"/>
      <c r="AV252" s="114"/>
      <c r="AW252" s="114"/>
      <c r="AX252" s="114"/>
      <c r="AY252" s="119"/>
      <c r="AZ252" s="115"/>
      <c r="BA252" s="115"/>
      <c r="BB252" s="115"/>
      <c r="BC252" s="115"/>
      <c r="BD252" s="115"/>
      <c r="BE252" s="115"/>
      <c r="BF252" s="115"/>
      <c r="BG252" s="115"/>
      <c r="BH252" s="115"/>
      <c r="BI252" s="115"/>
      <c r="BJ252" s="115"/>
    </row>
    <row r="253" spans="1:62" hidden="1" x14ac:dyDescent="0.35">
      <c r="A253" s="19" t="str">
        <f>VLOOKUP(C253,Master!A:D,4,0)</f>
        <v>RM</v>
      </c>
      <c r="B253" s="14" t="str">
        <f>VLOOKUP(C253,Master!A:C,3,0)</f>
        <v>Granuals</v>
      </c>
      <c r="C253" s="14" t="s">
        <v>46</v>
      </c>
      <c r="D253" s="2">
        <f t="shared" ref="D253:F253" si="159">+W203</f>
        <v>0</v>
      </c>
      <c r="E253" s="2">
        <f t="shared" si="159"/>
        <v>15000</v>
      </c>
      <c r="F253" s="2">
        <f t="shared" si="159"/>
        <v>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>
        <f t="shared" si="143"/>
        <v>0</v>
      </c>
      <c r="V253" s="2">
        <f t="shared" si="144"/>
        <v>0</v>
      </c>
      <c r="W253" s="54">
        <f t="shared" si="152"/>
        <v>0</v>
      </c>
      <c r="X253" s="2">
        <f t="shared" si="153"/>
        <v>15000</v>
      </c>
      <c r="Y253" s="2">
        <f t="shared" si="154"/>
        <v>0</v>
      </c>
      <c r="Z253" s="46">
        <v>0</v>
      </c>
      <c r="AA253" s="46">
        <v>0</v>
      </c>
      <c r="AB253" s="46">
        <v>0</v>
      </c>
      <c r="AC253" s="58">
        <f t="shared" si="155"/>
        <v>0</v>
      </c>
      <c r="AD253" s="58">
        <f t="shared" si="156"/>
        <v>15000</v>
      </c>
      <c r="AE253" s="12">
        <f t="shared" si="157"/>
        <v>0</v>
      </c>
      <c r="AF253" s="56"/>
      <c r="AG253" s="62"/>
      <c r="AH253" s="117">
        <f t="shared" si="158"/>
        <v>0</v>
      </c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  <c r="AS253" s="114"/>
      <c r="AT253" s="114"/>
      <c r="AU253" s="114"/>
      <c r="AV253" s="114"/>
      <c r="AW253" s="114"/>
      <c r="AX253" s="114"/>
      <c r="AY253" s="119"/>
      <c r="AZ253" s="115"/>
      <c r="BA253" s="115"/>
      <c r="BB253" s="115"/>
      <c r="BC253" s="115"/>
      <c r="BD253" s="115"/>
      <c r="BE253" s="115"/>
      <c r="BF253" s="115"/>
      <c r="BG253" s="115"/>
      <c r="BH253" s="115"/>
      <c r="BI253" s="115"/>
      <c r="BJ253" s="115"/>
    </row>
    <row r="254" spans="1:62" hidden="1" x14ac:dyDescent="0.35">
      <c r="A254" s="19" t="str">
        <f>VLOOKUP(C254,Master!A:D,4,0)</f>
        <v>RM</v>
      </c>
      <c r="B254" s="14" t="str">
        <f>VLOOKUP(C254,Master!A:C,3,0)</f>
        <v>Granuals</v>
      </c>
      <c r="C254" s="14" t="s">
        <v>49</v>
      </c>
      <c r="D254" s="2">
        <f t="shared" ref="D254:F254" si="160">+W204</f>
        <v>0</v>
      </c>
      <c r="E254" s="2">
        <f t="shared" si="160"/>
        <v>0</v>
      </c>
      <c r="F254" s="2">
        <f t="shared" si="160"/>
        <v>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>
        <f t="shared" si="143"/>
        <v>0</v>
      </c>
      <c r="V254" s="2">
        <f t="shared" si="144"/>
        <v>0</v>
      </c>
      <c r="W254" s="54">
        <f t="shared" si="152"/>
        <v>0</v>
      </c>
      <c r="X254" s="2">
        <f t="shared" si="153"/>
        <v>0</v>
      </c>
      <c r="Y254" s="2">
        <f t="shared" si="154"/>
        <v>0</v>
      </c>
      <c r="Z254" s="46">
        <v>0</v>
      </c>
      <c r="AA254" s="46">
        <v>0</v>
      </c>
      <c r="AB254" s="46">
        <v>0</v>
      </c>
      <c r="AC254" s="58">
        <f t="shared" si="155"/>
        <v>0</v>
      </c>
      <c r="AD254" s="58">
        <f t="shared" si="156"/>
        <v>0</v>
      </c>
      <c r="AE254" s="12">
        <f t="shared" si="157"/>
        <v>0</v>
      </c>
      <c r="AF254" s="56"/>
      <c r="AG254" s="62"/>
      <c r="AH254" s="117">
        <f t="shared" si="158"/>
        <v>0</v>
      </c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  <c r="AS254" s="114"/>
      <c r="AT254" s="114"/>
      <c r="AU254" s="114"/>
      <c r="AV254" s="114"/>
      <c r="AW254" s="114"/>
      <c r="AX254" s="114"/>
      <c r="AY254" s="119"/>
      <c r="AZ254" s="115"/>
      <c r="BA254" s="115"/>
      <c r="BB254" s="115"/>
      <c r="BC254" s="115"/>
      <c r="BD254" s="115"/>
      <c r="BE254" s="115"/>
      <c r="BF254" s="115"/>
      <c r="BG254" s="115"/>
      <c r="BH254" s="115"/>
      <c r="BI254" s="115"/>
      <c r="BJ254" s="115"/>
    </row>
    <row r="255" spans="1:62" hidden="1" x14ac:dyDescent="0.35">
      <c r="A255" s="19" t="str">
        <f>VLOOKUP(C255,Master!A:D,4,0)</f>
        <v>RM</v>
      </c>
      <c r="B255" s="14" t="str">
        <f>VLOOKUP(C255,Master!A:C,3,0)</f>
        <v>Granuals</v>
      </c>
      <c r="C255" s="14" t="s">
        <v>55</v>
      </c>
      <c r="D255" s="2">
        <f t="shared" ref="D255:F255" si="161">+W205</f>
        <v>0</v>
      </c>
      <c r="E255" s="2">
        <f t="shared" si="161"/>
        <v>25550</v>
      </c>
      <c r="F255" s="2">
        <f t="shared" si="161"/>
        <v>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>
        <f t="shared" si="143"/>
        <v>0</v>
      </c>
      <c r="V255" s="2">
        <f t="shared" si="144"/>
        <v>0</v>
      </c>
      <c r="W255" s="54">
        <f t="shared" si="152"/>
        <v>0</v>
      </c>
      <c r="X255" s="2">
        <f t="shared" si="153"/>
        <v>25550</v>
      </c>
      <c r="Y255" s="2">
        <f t="shared" si="154"/>
        <v>0</v>
      </c>
      <c r="Z255" s="46">
        <v>0</v>
      </c>
      <c r="AA255" s="46">
        <v>0</v>
      </c>
      <c r="AB255" s="46">
        <v>0</v>
      </c>
      <c r="AC255" s="58">
        <f t="shared" si="155"/>
        <v>0</v>
      </c>
      <c r="AD255" s="58">
        <f t="shared" si="156"/>
        <v>25550</v>
      </c>
      <c r="AE255" s="12">
        <f t="shared" si="157"/>
        <v>0</v>
      </c>
      <c r="AF255" s="56"/>
      <c r="AG255" s="62"/>
      <c r="AH255" s="117">
        <f t="shared" si="158"/>
        <v>0</v>
      </c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  <c r="AT255" s="114"/>
      <c r="AU255" s="114"/>
      <c r="AV255" s="114"/>
      <c r="AW255" s="114"/>
      <c r="AX255" s="114"/>
      <c r="AY255" s="119"/>
      <c r="AZ255" s="115"/>
      <c r="BA255" s="115"/>
      <c r="BB255" s="115"/>
      <c r="BC255" s="115"/>
      <c r="BD255" s="115"/>
      <c r="BE255" s="115"/>
      <c r="BF255" s="115"/>
      <c r="BG255" s="115"/>
      <c r="BH255" s="115"/>
      <c r="BI255" s="115"/>
      <c r="BJ255" s="115"/>
    </row>
    <row r="256" spans="1:62" hidden="1" x14ac:dyDescent="0.35">
      <c r="A256" s="19" t="str">
        <f>VLOOKUP(C256,Master!A:D,4,0)</f>
        <v>RM</v>
      </c>
      <c r="B256" s="14" t="str">
        <f>VLOOKUP(C256,Master!A:C,3,0)</f>
        <v>FIBC Accessories</v>
      </c>
      <c r="C256" s="14" t="s">
        <v>69</v>
      </c>
      <c r="D256" s="2">
        <f t="shared" ref="D256:F256" si="162">+W206</f>
        <v>0</v>
      </c>
      <c r="E256" s="2">
        <f t="shared" si="162"/>
        <v>0</v>
      </c>
      <c r="F256" s="2">
        <f t="shared" si="162"/>
        <v>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>
        <f t="shared" si="143"/>
        <v>0</v>
      </c>
      <c r="V256" s="2">
        <f t="shared" si="144"/>
        <v>0</v>
      </c>
      <c r="W256" s="54">
        <f t="shared" si="152"/>
        <v>0</v>
      </c>
      <c r="X256" s="2">
        <f t="shared" si="153"/>
        <v>0</v>
      </c>
      <c r="Y256" s="2">
        <f t="shared" si="154"/>
        <v>0</v>
      </c>
      <c r="Z256" s="46">
        <v>0</v>
      </c>
      <c r="AA256" s="46">
        <v>0</v>
      </c>
      <c r="AB256" s="46">
        <v>0</v>
      </c>
      <c r="AC256" s="58">
        <f t="shared" si="155"/>
        <v>0</v>
      </c>
      <c r="AD256" s="58">
        <f t="shared" si="156"/>
        <v>0</v>
      </c>
      <c r="AE256" s="12">
        <f t="shared" si="157"/>
        <v>0</v>
      </c>
      <c r="AF256" s="56"/>
      <c r="AG256" s="62"/>
      <c r="AH256" s="117">
        <f t="shared" si="158"/>
        <v>0</v>
      </c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  <c r="AY256" s="119"/>
      <c r="AZ256" s="115"/>
      <c r="BA256" s="115"/>
      <c r="BB256" s="115"/>
      <c r="BC256" s="115"/>
      <c r="BD256" s="115"/>
      <c r="BE256" s="115"/>
      <c r="BF256" s="115"/>
      <c r="BG256" s="115"/>
      <c r="BH256" s="115"/>
      <c r="BI256" s="115"/>
      <c r="BJ256" s="115"/>
    </row>
    <row r="257" spans="1:62" hidden="1" x14ac:dyDescent="0.35">
      <c r="A257" s="19" t="str">
        <f>VLOOKUP(C257,Master!A:D,4,0)</f>
        <v>RM</v>
      </c>
      <c r="B257" s="14" t="str">
        <f>VLOOKUP(C257,Master!A:C,3,0)</f>
        <v>Films All</v>
      </c>
      <c r="C257" s="14" t="s">
        <v>71</v>
      </c>
      <c r="D257" s="2">
        <f t="shared" ref="D257:F257" si="163">+W207</f>
        <v>0</v>
      </c>
      <c r="E257" s="2">
        <f t="shared" si="163"/>
        <v>0</v>
      </c>
      <c r="F257" s="2">
        <f t="shared" si="163"/>
        <v>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>
        <f t="shared" si="143"/>
        <v>0</v>
      </c>
      <c r="V257" s="2">
        <f t="shared" si="144"/>
        <v>0</v>
      </c>
      <c r="W257" s="54">
        <f t="shared" si="152"/>
        <v>0</v>
      </c>
      <c r="X257" s="2">
        <f t="shared" si="153"/>
        <v>0</v>
      </c>
      <c r="Y257" s="2">
        <f t="shared" si="154"/>
        <v>0</v>
      </c>
      <c r="Z257" s="46">
        <v>0</v>
      </c>
      <c r="AA257" s="46">
        <v>0</v>
      </c>
      <c r="AB257" s="46">
        <v>0</v>
      </c>
      <c r="AC257" s="58">
        <f t="shared" si="155"/>
        <v>0</v>
      </c>
      <c r="AD257" s="58">
        <f t="shared" si="156"/>
        <v>0</v>
      </c>
      <c r="AE257" s="12">
        <f t="shared" si="157"/>
        <v>0</v>
      </c>
      <c r="AF257" s="56"/>
      <c r="AG257" s="62"/>
      <c r="AH257" s="117">
        <f t="shared" si="158"/>
        <v>0</v>
      </c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114"/>
      <c r="AX257" s="114"/>
      <c r="AY257" s="119"/>
      <c r="AZ257" s="115"/>
      <c r="BA257" s="115"/>
      <c r="BB257" s="115"/>
      <c r="BC257" s="115"/>
      <c r="BD257" s="115"/>
      <c r="BE257" s="115"/>
      <c r="BF257" s="115"/>
      <c r="BG257" s="115"/>
      <c r="BH257" s="115"/>
      <c r="BI257" s="115"/>
      <c r="BJ257" s="115"/>
    </row>
    <row r="258" spans="1:62" hidden="1" x14ac:dyDescent="0.35">
      <c r="A258" s="19" t="str">
        <f>VLOOKUP(C258,Master!A:D,4,0)</f>
        <v>RM</v>
      </c>
      <c r="B258" s="14" t="str">
        <f>VLOOKUP(C258,Master!A:C,3,0)</f>
        <v>Granuals</v>
      </c>
      <c r="C258" s="14" t="s">
        <v>85</v>
      </c>
      <c r="D258" s="2">
        <f t="shared" ref="D258:F258" si="164">+W208</f>
        <v>0</v>
      </c>
      <c r="E258" s="2">
        <f t="shared" si="164"/>
        <v>0</v>
      </c>
      <c r="F258" s="2">
        <f t="shared" si="164"/>
        <v>0</v>
      </c>
      <c r="G258" s="2"/>
      <c r="H258" s="2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>
        <f t="shared" si="143"/>
        <v>0</v>
      </c>
      <c r="V258" s="2">
        <f t="shared" si="144"/>
        <v>0</v>
      </c>
      <c r="W258" s="54">
        <f t="shared" si="152"/>
        <v>0</v>
      </c>
      <c r="X258" s="2">
        <f t="shared" si="153"/>
        <v>0</v>
      </c>
      <c r="Y258" s="2">
        <f t="shared" si="154"/>
        <v>0</v>
      </c>
      <c r="Z258" s="46">
        <v>0</v>
      </c>
      <c r="AA258" s="46">
        <v>0</v>
      </c>
      <c r="AB258" s="46">
        <v>0</v>
      </c>
      <c r="AC258" s="58">
        <f t="shared" si="155"/>
        <v>0</v>
      </c>
      <c r="AD258" s="58">
        <f t="shared" si="156"/>
        <v>0</v>
      </c>
      <c r="AE258" s="12">
        <f t="shared" si="157"/>
        <v>0</v>
      </c>
      <c r="AF258" s="56"/>
      <c r="AG258" s="62"/>
      <c r="AH258" s="117">
        <f t="shared" si="158"/>
        <v>0</v>
      </c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  <c r="AS258" s="114"/>
      <c r="AT258" s="114"/>
      <c r="AU258" s="114"/>
      <c r="AV258" s="114"/>
      <c r="AW258" s="114"/>
      <c r="AX258" s="114"/>
      <c r="AY258" s="119"/>
      <c r="AZ258" s="115"/>
      <c r="BA258" s="115"/>
      <c r="BB258" s="115"/>
      <c r="BC258" s="115"/>
      <c r="BD258" s="115"/>
      <c r="BE258" s="115"/>
      <c r="BF258" s="115"/>
      <c r="BG258" s="115"/>
      <c r="BH258" s="115"/>
      <c r="BI258" s="115"/>
      <c r="BJ258" s="115"/>
    </row>
    <row r="259" spans="1:62" hidden="1" x14ac:dyDescent="0.35">
      <c r="A259" s="19" t="str">
        <f>VLOOKUP(C259,Master!A:D,4,0)</f>
        <v>RM</v>
      </c>
      <c r="B259" s="14" t="str">
        <f>VLOOKUP(C259,Master!A:C,3,0)</f>
        <v>Films All</v>
      </c>
      <c r="C259" s="14" t="s">
        <v>180</v>
      </c>
      <c r="D259" s="2">
        <f t="shared" ref="D259:F259" si="165">+W209</f>
        <v>0</v>
      </c>
      <c r="E259" s="2">
        <f t="shared" si="165"/>
        <v>0</v>
      </c>
      <c r="F259" s="2">
        <f t="shared" si="165"/>
        <v>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>
        <f t="shared" si="143"/>
        <v>0</v>
      </c>
      <c r="V259" s="2">
        <f t="shared" si="144"/>
        <v>0</v>
      </c>
      <c r="W259" s="54">
        <f t="shared" si="152"/>
        <v>0</v>
      </c>
      <c r="X259" s="2">
        <f t="shared" si="153"/>
        <v>0</v>
      </c>
      <c r="Y259" s="2">
        <f t="shared" si="154"/>
        <v>0</v>
      </c>
      <c r="Z259" s="46">
        <v>0</v>
      </c>
      <c r="AA259" s="46">
        <v>0</v>
      </c>
      <c r="AB259" s="46">
        <v>0</v>
      </c>
      <c r="AC259" s="58">
        <f t="shared" si="155"/>
        <v>0</v>
      </c>
      <c r="AD259" s="58">
        <f t="shared" si="156"/>
        <v>0</v>
      </c>
      <c r="AE259" s="12">
        <f t="shared" si="157"/>
        <v>0</v>
      </c>
      <c r="AF259" s="56"/>
      <c r="AG259" s="62"/>
      <c r="AH259" s="117">
        <f t="shared" si="158"/>
        <v>0</v>
      </c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  <c r="AS259" s="114"/>
      <c r="AT259" s="114"/>
      <c r="AU259" s="114"/>
      <c r="AV259" s="114"/>
      <c r="AW259" s="114"/>
      <c r="AX259" s="114"/>
      <c r="AY259" s="119"/>
      <c r="AZ259" s="115"/>
      <c r="BA259" s="115"/>
      <c r="BB259" s="115"/>
      <c r="BC259" s="115"/>
      <c r="BD259" s="115"/>
      <c r="BE259" s="115"/>
      <c r="BF259" s="115"/>
      <c r="BG259" s="115"/>
      <c r="BH259" s="115"/>
      <c r="BI259" s="115"/>
      <c r="BJ259" s="115"/>
    </row>
    <row r="260" spans="1:62" hidden="1" x14ac:dyDescent="0.35">
      <c r="A260" s="19" t="str">
        <f>VLOOKUP(C260,Master!A:D,4,0)</f>
        <v>RM</v>
      </c>
      <c r="B260" s="14" t="str">
        <f>VLOOKUP(C260,Master!A:C,3,0)</f>
        <v>Granuals</v>
      </c>
      <c r="C260" s="14" t="s">
        <v>277</v>
      </c>
      <c r="D260" s="2">
        <f t="shared" ref="D260:F260" si="166">+W210</f>
        <v>0</v>
      </c>
      <c r="E260" s="2">
        <f t="shared" si="166"/>
        <v>0</v>
      </c>
      <c r="F260" s="2">
        <f t="shared" si="166"/>
        <v>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>
        <f t="shared" si="143"/>
        <v>0</v>
      </c>
      <c r="V260" s="2">
        <f t="shared" si="144"/>
        <v>0</v>
      </c>
      <c r="W260" s="54">
        <f t="shared" si="152"/>
        <v>0</v>
      </c>
      <c r="X260" s="2">
        <f t="shared" si="153"/>
        <v>0</v>
      </c>
      <c r="Y260" s="2">
        <f t="shared" si="154"/>
        <v>0</v>
      </c>
      <c r="Z260" s="46">
        <v>0</v>
      </c>
      <c r="AA260" s="46">
        <v>0</v>
      </c>
      <c r="AB260" s="46">
        <v>0</v>
      </c>
      <c r="AC260" s="58">
        <f t="shared" si="155"/>
        <v>0</v>
      </c>
      <c r="AD260" s="58">
        <f t="shared" si="156"/>
        <v>0</v>
      </c>
      <c r="AE260" s="12">
        <f t="shared" si="157"/>
        <v>0</v>
      </c>
      <c r="AF260" s="56"/>
      <c r="AG260" s="62"/>
      <c r="AH260" s="117">
        <f t="shared" si="158"/>
        <v>0</v>
      </c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  <c r="AS260" s="114"/>
      <c r="AT260" s="114"/>
      <c r="AU260" s="114"/>
      <c r="AV260" s="114"/>
      <c r="AW260" s="114"/>
      <c r="AX260" s="114"/>
      <c r="AY260" s="119"/>
      <c r="AZ260" s="115"/>
      <c r="BA260" s="115"/>
      <c r="BB260" s="115"/>
      <c r="BC260" s="115"/>
      <c r="BD260" s="115"/>
      <c r="BE260" s="115"/>
      <c r="BF260" s="115"/>
      <c r="BG260" s="115"/>
      <c r="BH260" s="115"/>
      <c r="BI260" s="115"/>
      <c r="BJ260" s="115"/>
    </row>
    <row r="261" spans="1:62" hidden="1" x14ac:dyDescent="0.35">
      <c r="A261" s="19" t="str">
        <f>VLOOKUP(C261,Master!A:D,4,0)</f>
        <v>RM</v>
      </c>
      <c r="B261" s="14" t="str">
        <f>VLOOKUP(C261,Master!A:C,3,0)</f>
        <v>Granuals</v>
      </c>
      <c r="C261" s="14" t="s">
        <v>387</v>
      </c>
      <c r="D261" s="2">
        <f t="shared" ref="D261:F261" si="167">+W211</f>
        <v>0</v>
      </c>
      <c r="E261" s="2">
        <f t="shared" si="167"/>
        <v>0</v>
      </c>
      <c r="F261" s="2">
        <f t="shared" si="167"/>
        <v>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>
        <f t="shared" si="143"/>
        <v>0</v>
      </c>
      <c r="V261" s="2">
        <f t="shared" si="144"/>
        <v>0</v>
      </c>
      <c r="W261" s="54">
        <f t="shared" si="152"/>
        <v>0</v>
      </c>
      <c r="X261" s="2">
        <f t="shared" si="153"/>
        <v>0</v>
      </c>
      <c r="Y261" s="2">
        <f t="shared" si="154"/>
        <v>0</v>
      </c>
      <c r="Z261" s="46">
        <v>0</v>
      </c>
      <c r="AA261" s="46">
        <v>0</v>
      </c>
      <c r="AB261" s="46">
        <v>0</v>
      </c>
      <c r="AC261" s="58">
        <f t="shared" si="155"/>
        <v>0</v>
      </c>
      <c r="AD261" s="58">
        <f t="shared" si="156"/>
        <v>0</v>
      </c>
      <c r="AE261" s="12">
        <f t="shared" si="157"/>
        <v>0</v>
      </c>
      <c r="AF261" s="56"/>
      <c r="AG261" s="62"/>
      <c r="AH261" s="117">
        <f t="shared" si="158"/>
        <v>0</v>
      </c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114"/>
      <c r="AX261" s="114"/>
      <c r="AY261" s="119"/>
      <c r="AZ261" s="115"/>
      <c r="BA261" s="115"/>
      <c r="BB261" s="115"/>
      <c r="BC261" s="115"/>
      <c r="BD261" s="115"/>
      <c r="BE261" s="115"/>
      <c r="BF261" s="115"/>
      <c r="BG261" s="115"/>
      <c r="BH261" s="115"/>
      <c r="BI261" s="115"/>
      <c r="BJ261" s="115"/>
    </row>
    <row r="262" spans="1:62" hidden="1" x14ac:dyDescent="0.35">
      <c r="A262" s="19" t="str">
        <f>VLOOKUP(C262,Master!A:D,4,0)</f>
        <v>RM</v>
      </c>
      <c r="B262" s="14" t="str">
        <f>VLOOKUP(C262,Master!A:C,3,0)</f>
        <v>Films All</v>
      </c>
      <c r="C262" s="14" t="s">
        <v>398</v>
      </c>
      <c r="D262" s="2">
        <f t="shared" ref="D262:F262" si="168">+W212</f>
        <v>0</v>
      </c>
      <c r="E262" s="2">
        <f t="shared" si="168"/>
        <v>0</v>
      </c>
      <c r="F262" s="2">
        <f t="shared" si="168"/>
        <v>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>
        <f t="shared" si="143"/>
        <v>0</v>
      </c>
      <c r="V262" s="2">
        <f t="shared" si="144"/>
        <v>0</v>
      </c>
      <c r="W262" s="54">
        <f t="shared" si="152"/>
        <v>0</v>
      </c>
      <c r="X262" s="2">
        <f t="shared" si="153"/>
        <v>0</v>
      </c>
      <c r="Y262" s="2">
        <f t="shared" si="154"/>
        <v>0</v>
      </c>
      <c r="Z262" s="46">
        <v>0</v>
      </c>
      <c r="AA262" s="46">
        <v>0</v>
      </c>
      <c r="AB262" s="46">
        <v>0</v>
      </c>
      <c r="AC262" s="58">
        <f t="shared" si="155"/>
        <v>0</v>
      </c>
      <c r="AD262" s="58">
        <f t="shared" si="156"/>
        <v>0</v>
      </c>
      <c r="AE262" s="12">
        <f t="shared" si="157"/>
        <v>0</v>
      </c>
      <c r="AF262" s="56"/>
      <c r="AG262" s="62"/>
      <c r="AH262" s="117">
        <f t="shared" si="158"/>
        <v>0</v>
      </c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  <c r="AS262" s="114"/>
      <c r="AT262" s="114"/>
      <c r="AU262" s="114"/>
      <c r="AV262" s="114"/>
      <c r="AW262" s="114"/>
      <c r="AX262" s="114"/>
      <c r="AY262" s="119"/>
      <c r="AZ262" s="115"/>
      <c r="BA262" s="115"/>
      <c r="BB262" s="115"/>
      <c r="BC262" s="115"/>
      <c r="BD262" s="115"/>
      <c r="BE262" s="115"/>
      <c r="BF262" s="115"/>
      <c r="BG262" s="115"/>
      <c r="BH262" s="115"/>
      <c r="BI262" s="115"/>
      <c r="BJ262" s="115"/>
    </row>
    <row r="263" spans="1:62" hidden="1" x14ac:dyDescent="0.35">
      <c r="A263" s="19" t="str">
        <f>VLOOKUP(C263,Master!A:D,4,0)</f>
        <v>RM</v>
      </c>
      <c r="B263" s="14" t="str">
        <f>VLOOKUP(C263,Master!A:C,3,0)</f>
        <v>Granuals</v>
      </c>
      <c r="C263" s="14" t="s">
        <v>417</v>
      </c>
      <c r="D263" s="2">
        <f t="shared" ref="D263:F263" si="169">+W213</f>
        <v>0</v>
      </c>
      <c r="E263" s="2">
        <f t="shared" si="169"/>
        <v>0</v>
      </c>
      <c r="F263" s="2">
        <f t="shared" si="169"/>
        <v>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>
        <f t="shared" si="143"/>
        <v>0</v>
      </c>
      <c r="V263" s="2">
        <f t="shared" si="144"/>
        <v>0</v>
      </c>
      <c r="W263" s="54">
        <f t="shared" si="152"/>
        <v>0</v>
      </c>
      <c r="X263" s="2">
        <f t="shared" si="153"/>
        <v>0</v>
      </c>
      <c r="Y263" s="2">
        <f t="shared" si="154"/>
        <v>0</v>
      </c>
      <c r="Z263" s="46">
        <v>0</v>
      </c>
      <c r="AA263" s="46">
        <v>0</v>
      </c>
      <c r="AB263" s="46">
        <v>0</v>
      </c>
      <c r="AC263" s="58">
        <f t="shared" si="155"/>
        <v>0</v>
      </c>
      <c r="AD263" s="58">
        <f t="shared" si="156"/>
        <v>0</v>
      </c>
      <c r="AE263" s="12">
        <f t="shared" si="157"/>
        <v>0</v>
      </c>
      <c r="AF263" s="56"/>
      <c r="AG263" s="62"/>
      <c r="AH263" s="117">
        <f t="shared" si="158"/>
        <v>0</v>
      </c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  <c r="AS263" s="114"/>
      <c r="AT263" s="114"/>
      <c r="AU263" s="114"/>
      <c r="AV263" s="114"/>
      <c r="AW263" s="114"/>
      <c r="AX263" s="114"/>
      <c r="AY263" s="119"/>
      <c r="AZ263" s="115"/>
      <c r="BA263" s="115"/>
      <c r="BB263" s="115"/>
      <c r="BC263" s="115"/>
      <c r="BD263" s="115"/>
      <c r="BE263" s="115"/>
      <c r="BF263" s="115"/>
      <c r="BG263" s="115"/>
      <c r="BH263" s="115"/>
      <c r="BI263" s="115"/>
      <c r="BJ263" s="115"/>
    </row>
    <row r="264" spans="1:62" hidden="1" x14ac:dyDescent="0.35">
      <c r="A264" s="19" t="str">
        <f>VLOOKUP(C264,Master!A:D,4,0)</f>
        <v>SF</v>
      </c>
      <c r="B264" s="14" t="str">
        <f>VLOOKUP(C264,Master!A:C,3,0)</f>
        <v>Yarn All</v>
      </c>
      <c r="C264" s="14" t="s">
        <v>629</v>
      </c>
      <c r="D264" s="2">
        <f t="shared" ref="D264:F264" si="170">+W214</f>
        <v>6000.0000000000055</v>
      </c>
      <c r="E264" s="2">
        <f t="shared" si="170"/>
        <v>8285.8300000000017</v>
      </c>
      <c r="F264" s="2">
        <f t="shared" si="170"/>
        <v>0</v>
      </c>
      <c r="G264" s="2"/>
      <c r="H264" s="2"/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>
        <f t="shared" si="143"/>
        <v>0</v>
      </c>
      <c r="V264" s="2">
        <f t="shared" si="144"/>
        <v>0</v>
      </c>
      <c r="W264" s="54">
        <f t="shared" si="152"/>
        <v>6000.0000000000055</v>
      </c>
      <c r="X264" s="2">
        <f t="shared" si="153"/>
        <v>8285.8300000000017</v>
      </c>
      <c r="Y264" s="2">
        <f t="shared" si="154"/>
        <v>0</v>
      </c>
      <c r="Z264" s="46">
        <v>0</v>
      </c>
      <c r="AA264" s="46">
        <v>0</v>
      </c>
      <c r="AB264" s="46">
        <v>0</v>
      </c>
      <c r="AC264" s="58">
        <f t="shared" si="155"/>
        <v>6000.0000000000055</v>
      </c>
      <c r="AD264" s="58">
        <f t="shared" si="156"/>
        <v>8285.8300000000017</v>
      </c>
      <c r="AE264" s="12">
        <f t="shared" si="157"/>
        <v>0</v>
      </c>
      <c r="AF264" s="56"/>
      <c r="AG264" s="62"/>
      <c r="AH264" s="117">
        <f t="shared" si="158"/>
        <v>0</v>
      </c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  <c r="AS264" s="114"/>
      <c r="AT264" s="114"/>
      <c r="AU264" s="114"/>
      <c r="AV264" s="114"/>
      <c r="AW264" s="114"/>
      <c r="AX264" s="114"/>
      <c r="AY264" s="119"/>
      <c r="AZ264" s="115"/>
      <c r="BA264" s="115"/>
      <c r="BB264" s="115"/>
      <c r="BC264" s="115"/>
      <c r="BD264" s="115"/>
      <c r="BE264" s="115"/>
      <c r="BF264" s="115"/>
      <c r="BG264" s="115"/>
      <c r="BH264" s="115"/>
      <c r="BI264" s="115"/>
      <c r="BJ264" s="115"/>
    </row>
    <row r="265" spans="1:62" hidden="1" x14ac:dyDescent="0.35">
      <c r="A265" s="19" t="str">
        <f>VLOOKUP(C265,Master!A:D,4,0)</f>
        <v>SF</v>
      </c>
      <c r="B265" s="14" t="str">
        <f>VLOOKUP(C265,Master!A:C,3,0)</f>
        <v>PP/PE Fabric</v>
      </c>
      <c r="C265" s="14" t="s">
        <v>639</v>
      </c>
      <c r="D265" s="2">
        <f t="shared" ref="D265:F265" si="171">+W215</f>
        <v>0</v>
      </c>
      <c r="E265" s="2">
        <f t="shared" si="171"/>
        <v>13277</v>
      </c>
      <c r="F265" s="2">
        <f t="shared" si="171"/>
        <v>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>
        <f t="shared" si="143"/>
        <v>0</v>
      </c>
      <c r="V265" s="2">
        <f t="shared" si="144"/>
        <v>0</v>
      </c>
      <c r="W265" s="54">
        <f t="shared" si="152"/>
        <v>0</v>
      </c>
      <c r="X265" s="2">
        <f t="shared" si="153"/>
        <v>13277</v>
      </c>
      <c r="Y265" s="2">
        <f t="shared" si="154"/>
        <v>0</v>
      </c>
      <c r="Z265" s="46">
        <v>0</v>
      </c>
      <c r="AA265" s="46">
        <v>0</v>
      </c>
      <c r="AB265" s="46">
        <v>0</v>
      </c>
      <c r="AC265" s="58">
        <f t="shared" si="155"/>
        <v>0</v>
      </c>
      <c r="AD265" s="58">
        <f t="shared" si="156"/>
        <v>13277</v>
      </c>
      <c r="AE265" s="12">
        <f t="shared" si="157"/>
        <v>0</v>
      </c>
      <c r="AF265" s="56"/>
      <c r="AG265" s="62"/>
      <c r="AH265" s="117">
        <f t="shared" si="158"/>
        <v>0</v>
      </c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  <c r="AS265" s="114"/>
      <c r="AT265" s="114"/>
      <c r="AU265" s="114"/>
      <c r="AV265" s="114"/>
      <c r="AW265" s="114"/>
      <c r="AX265" s="114"/>
      <c r="AY265" s="119"/>
      <c r="AZ265" s="115"/>
      <c r="BA265" s="115"/>
      <c r="BB265" s="115"/>
      <c r="BC265" s="115"/>
      <c r="BD265" s="115"/>
      <c r="BE265" s="115"/>
      <c r="BF265" s="115"/>
      <c r="BG265" s="115"/>
      <c r="BH265" s="115"/>
      <c r="BI265" s="115"/>
      <c r="BJ265" s="115"/>
    </row>
    <row r="266" spans="1:62" hidden="1" x14ac:dyDescent="0.35">
      <c r="A266" s="19" t="str">
        <f>VLOOKUP(C266,Master!A:D,4,0)</f>
        <v>SF</v>
      </c>
      <c r="B266" s="14" t="str">
        <f>VLOOKUP(C266,Master!A:C,3,0)</f>
        <v>Flexitank Accessories</v>
      </c>
      <c r="C266" s="14" t="s">
        <v>641</v>
      </c>
      <c r="D266" s="2">
        <f t="shared" ref="D266:F266" si="172">+W216</f>
        <v>0</v>
      </c>
      <c r="E266" s="2">
        <f t="shared" si="172"/>
        <v>0</v>
      </c>
      <c r="F266" s="2">
        <f t="shared" si="172"/>
        <v>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>
        <f t="shared" si="143"/>
        <v>0</v>
      </c>
      <c r="V266" s="2">
        <f t="shared" si="144"/>
        <v>0</v>
      </c>
      <c r="W266" s="54">
        <f t="shared" si="152"/>
        <v>0</v>
      </c>
      <c r="X266" s="2">
        <f t="shared" si="153"/>
        <v>0</v>
      </c>
      <c r="Y266" s="2">
        <f t="shared" si="154"/>
        <v>0</v>
      </c>
      <c r="Z266" s="46">
        <v>0</v>
      </c>
      <c r="AA266" s="46">
        <v>0</v>
      </c>
      <c r="AB266" s="46">
        <v>0</v>
      </c>
      <c r="AC266" s="58">
        <f t="shared" si="155"/>
        <v>0</v>
      </c>
      <c r="AD266" s="58">
        <f t="shared" si="156"/>
        <v>0</v>
      </c>
      <c r="AE266" s="12">
        <f t="shared" si="157"/>
        <v>0</v>
      </c>
      <c r="AF266" s="56"/>
      <c r="AG266" s="62"/>
      <c r="AH266" s="117">
        <f t="shared" si="158"/>
        <v>0</v>
      </c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  <c r="AS266" s="114"/>
      <c r="AT266" s="114"/>
      <c r="AU266" s="114"/>
      <c r="AV266" s="114"/>
      <c r="AW266" s="114"/>
      <c r="AX266" s="114"/>
      <c r="AY266" s="119"/>
      <c r="AZ266" s="115"/>
      <c r="BA266" s="115"/>
      <c r="BB266" s="115"/>
      <c r="BC266" s="115"/>
      <c r="BD266" s="115"/>
      <c r="BE266" s="115"/>
      <c r="BF266" s="115"/>
      <c r="BG266" s="115"/>
      <c r="BH266" s="115"/>
      <c r="BI266" s="115"/>
      <c r="BJ266" s="115"/>
    </row>
    <row r="267" spans="1:62" hidden="1" x14ac:dyDescent="0.35">
      <c r="A267" s="19" t="str">
        <f>VLOOKUP(C267,Master!A:D,4,0)</f>
        <v>SF</v>
      </c>
      <c r="B267" s="14" t="str">
        <f>VLOOKUP(C267,Master!A:C,3,0)</f>
        <v>PP/PE Fabric</v>
      </c>
      <c r="C267" s="14" t="s">
        <v>652</v>
      </c>
      <c r="D267" s="2">
        <f t="shared" ref="D267:F267" si="173">+W217</f>
        <v>0</v>
      </c>
      <c r="E267" s="2">
        <f t="shared" si="173"/>
        <v>27104.800000000003</v>
      </c>
      <c r="F267" s="2">
        <f t="shared" si="173"/>
        <v>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>
        <f t="shared" si="143"/>
        <v>0</v>
      </c>
      <c r="V267" s="2">
        <f t="shared" si="144"/>
        <v>0</v>
      </c>
      <c r="W267" s="54">
        <f t="shared" si="152"/>
        <v>0</v>
      </c>
      <c r="X267" s="2">
        <f t="shared" si="153"/>
        <v>27104.800000000003</v>
      </c>
      <c r="Y267" s="2">
        <f t="shared" si="154"/>
        <v>0</v>
      </c>
      <c r="Z267" s="46">
        <v>0</v>
      </c>
      <c r="AA267" s="46">
        <v>0</v>
      </c>
      <c r="AB267" s="46">
        <v>0</v>
      </c>
      <c r="AC267" s="58">
        <f t="shared" si="155"/>
        <v>0</v>
      </c>
      <c r="AD267" s="58">
        <f t="shared" si="156"/>
        <v>27104.800000000003</v>
      </c>
      <c r="AE267" s="12">
        <f t="shared" si="157"/>
        <v>0</v>
      </c>
      <c r="AF267" s="56"/>
      <c r="AG267" s="62"/>
      <c r="AH267" s="117">
        <f t="shared" si="158"/>
        <v>0</v>
      </c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  <c r="AS267" s="114"/>
      <c r="AT267" s="114"/>
      <c r="AU267" s="114"/>
      <c r="AV267" s="114"/>
      <c r="AW267" s="114"/>
      <c r="AX267" s="114"/>
      <c r="AY267" s="119"/>
      <c r="AZ267" s="115"/>
      <c r="BA267" s="115"/>
      <c r="BB267" s="115"/>
      <c r="BC267" s="115"/>
      <c r="BD267" s="115"/>
      <c r="BE267" s="115"/>
      <c r="BF267" s="115"/>
      <c r="BG267" s="115"/>
      <c r="BH267" s="115"/>
      <c r="BI267" s="115"/>
      <c r="BJ267" s="115"/>
    </row>
    <row r="268" spans="1:62" hidden="1" x14ac:dyDescent="0.35">
      <c r="A268" s="19" t="str">
        <f>VLOOKUP(C268,Master!A:D,4,0)</f>
        <v>SF</v>
      </c>
      <c r="B268" s="14" t="str">
        <f>VLOOKUP(C268,Master!A:C,3,0)</f>
        <v>PP/PE Fabric</v>
      </c>
      <c r="C268" s="14" t="s">
        <v>664</v>
      </c>
      <c r="D268" s="2">
        <f t="shared" ref="D268:F268" si="174">+W218</f>
        <v>0</v>
      </c>
      <c r="E268" s="2">
        <f t="shared" si="174"/>
        <v>0</v>
      </c>
      <c r="F268" s="2">
        <f t="shared" si="174"/>
        <v>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>
        <f t="shared" si="143"/>
        <v>0</v>
      </c>
      <c r="V268" s="2">
        <f t="shared" si="144"/>
        <v>0</v>
      </c>
      <c r="W268" s="54">
        <f t="shared" si="152"/>
        <v>0</v>
      </c>
      <c r="X268" s="2">
        <f t="shared" si="153"/>
        <v>0</v>
      </c>
      <c r="Y268" s="2">
        <f t="shared" si="154"/>
        <v>0</v>
      </c>
      <c r="Z268" s="46">
        <v>0</v>
      </c>
      <c r="AA268" s="46">
        <v>0</v>
      </c>
      <c r="AB268" s="46">
        <v>0</v>
      </c>
      <c r="AC268" s="58">
        <f t="shared" si="155"/>
        <v>0</v>
      </c>
      <c r="AD268" s="58">
        <f t="shared" si="156"/>
        <v>0</v>
      </c>
      <c r="AE268" s="12">
        <f t="shared" si="157"/>
        <v>0</v>
      </c>
      <c r="AF268" s="56"/>
      <c r="AG268" s="62"/>
      <c r="AH268" s="117">
        <f t="shared" si="158"/>
        <v>0</v>
      </c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  <c r="AS268" s="114"/>
      <c r="AT268" s="114"/>
      <c r="AU268" s="114"/>
      <c r="AV268" s="114"/>
      <c r="AW268" s="114"/>
      <c r="AX268" s="114"/>
      <c r="AY268" s="119"/>
      <c r="AZ268" s="115"/>
      <c r="BA268" s="115"/>
      <c r="BB268" s="115"/>
      <c r="BC268" s="115"/>
      <c r="BD268" s="115"/>
      <c r="BE268" s="115"/>
      <c r="BF268" s="115"/>
      <c r="BG268" s="115"/>
      <c r="BH268" s="115"/>
      <c r="BI268" s="115"/>
      <c r="BJ268" s="115"/>
    </row>
    <row r="269" spans="1:62" hidden="1" x14ac:dyDescent="0.35">
      <c r="A269" s="19" t="str">
        <f>VLOOKUP(C269,Master!A:D,4,0)</f>
        <v>SF</v>
      </c>
      <c r="B269" s="14" t="str">
        <f>VLOOKUP(C269,Master!A:C,3,0)</f>
        <v>PP/PE Fabric</v>
      </c>
      <c r="C269" s="14" t="s">
        <v>675</v>
      </c>
      <c r="D269" s="2">
        <f t="shared" ref="D269:F269" si="175">+W219</f>
        <v>0</v>
      </c>
      <c r="E269" s="2">
        <f t="shared" si="175"/>
        <v>0</v>
      </c>
      <c r="F269" s="2">
        <f t="shared" si="175"/>
        <v>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>
        <f t="shared" si="143"/>
        <v>0</v>
      </c>
      <c r="V269" s="2">
        <f t="shared" si="144"/>
        <v>0</v>
      </c>
      <c r="W269" s="54">
        <f t="shared" si="152"/>
        <v>0</v>
      </c>
      <c r="X269" s="2">
        <f t="shared" si="153"/>
        <v>0</v>
      </c>
      <c r="Y269" s="2">
        <f t="shared" si="154"/>
        <v>0</v>
      </c>
      <c r="Z269" s="46">
        <v>0</v>
      </c>
      <c r="AA269" s="46">
        <v>0</v>
      </c>
      <c r="AB269" s="46">
        <v>0</v>
      </c>
      <c r="AC269" s="58">
        <f t="shared" si="155"/>
        <v>0</v>
      </c>
      <c r="AD269" s="58">
        <f t="shared" si="156"/>
        <v>0</v>
      </c>
      <c r="AE269" s="12">
        <f t="shared" si="157"/>
        <v>0</v>
      </c>
      <c r="AF269" s="56"/>
      <c r="AG269" s="62"/>
      <c r="AH269" s="117">
        <f t="shared" si="158"/>
        <v>0</v>
      </c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4"/>
      <c r="AS269" s="114"/>
      <c r="AT269" s="114"/>
      <c r="AU269" s="114"/>
      <c r="AV269" s="114"/>
      <c r="AW269" s="114"/>
      <c r="AX269" s="114"/>
      <c r="AY269" s="119"/>
      <c r="AZ269" s="115"/>
      <c r="BA269" s="115"/>
      <c r="BB269" s="115"/>
      <c r="BC269" s="115"/>
      <c r="BD269" s="115"/>
      <c r="BE269" s="115"/>
      <c r="BF269" s="115"/>
      <c r="BG269" s="115"/>
      <c r="BH269" s="115"/>
      <c r="BI269" s="115"/>
      <c r="BJ269" s="115"/>
    </row>
    <row r="270" spans="1:62" hidden="1" x14ac:dyDescent="0.35">
      <c r="A270" s="19" t="str">
        <f>VLOOKUP(C270,Master!A:D,4,0)</f>
        <v>SF</v>
      </c>
      <c r="B270" s="14" t="str">
        <f>VLOOKUP(C270,Master!A:C,3,0)</f>
        <v>Granuals</v>
      </c>
      <c r="C270" s="14" t="s">
        <v>688</v>
      </c>
      <c r="D270" s="2">
        <f t="shared" ref="D270:F270" si="176">+W220</f>
        <v>0</v>
      </c>
      <c r="E270" s="2">
        <f t="shared" si="176"/>
        <v>0</v>
      </c>
      <c r="F270" s="2">
        <f t="shared" si="176"/>
        <v>0</v>
      </c>
      <c r="G270" s="2"/>
      <c r="H270" s="2"/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>
        <f t="shared" si="143"/>
        <v>0</v>
      </c>
      <c r="V270" s="2">
        <f t="shared" si="144"/>
        <v>0</v>
      </c>
      <c r="W270" s="54">
        <f t="shared" si="152"/>
        <v>0</v>
      </c>
      <c r="X270" s="2">
        <f t="shared" si="153"/>
        <v>0</v>
      </c>
      <c r="Y270" s="2">
        <f t="shared" si="154"/>
        <v>0</v>
      </c>
      <c r="Z270" s="46">
        <v>0</v>
      </c>
      <c r="AA270" s="46">
        <v>0</v>
      </c>
      <c r="AB270" s="46">
        <v>0</v>
      </c>
      <c r="AC270" s="58">
        <f t="shared" si="155"/>
        <v>0</v>
      </c>
      <c r="AD270" s="58">
        <f t="shared" si="156"/>
        <v>0</v>
      </c>
      <c r="AE270" s="12">
        <f t="shared" si="157"/>
        <v>0</v>
      </c>
      <c r="AF270" s="56"/>
      <c r="AG270" s="62"/>
      <c r="AH270" s="117">
        <f t="shared" si="158"/>
        <v>0</v>
      </c>
      <c r="AI270" s="114"/>
      <c r="AJ270" s="114"/>
      <c r="AK270" s="114"/>
      <c r="AL270" s="114"/>
      <c r="AM270" s="114"/>
      <c r="AN270" s="114"/>
      <c r="AO270" s="114"/>
      <c r="AP270" s="114"/>
      <c r="AQ270" s="114"/>
      <c r="AR270" s="114"/>
      <c r="AS270" s="114"/>
      <c r="AT270" s="114"/>
      <c r="AU270" s="114"/>
      <c r="AV270" s="114"/>
      <c r="AW270" s="114"/>
      <c r="AX270" s="114"/>
      <c r="AY270" s="119"/>
      <c r="AZ270" s="115"/>
      <c r="BA270" s="115"/>
      <c r="BB270" s="115"/>
      <c r="BC270" s="115"/>
      <c r="BD270" s="115"/>
      <c r="BE270" s="115"/>
      <c r="BF270" s="115"/>
      <c r="BG270" s="115"/>
      <c r="BH270" s="115"/>
      <c r="BI270" s="115"/>
      <c r="BJ270" s="115"/>
    </row>
    <row r="271" spans="1:62" hidden="1" x14ac:dyDescent="0.35">
      <c r="A271" s="19" t="str">
        <f>VLOOKUP(C271,Master!A:D,4,0)</f>
        <v>SF</v>
      </c>
      <c r="B271" s="14" t="str">
        <f>VLOOKUP(C271,Master!A:C,3,0)</f>
        <v>Liners</v>
      </c>
      <c r="C271" s="14" t="s">
        <v>707</v>
      </c>
      <c r="D271" s="2">
        <f t="shared" ref="D271:F271" si="177">+W221</f>
        <v>0</v>
      </c>
      <c r="E271" s="2">
        <f t="shared" si="177"/>
        <v>0</v>
      </c>
      <c r="F271" s="2">
        <f t="shared" si="177"/>
        <v>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>
        <f t="shared" si="143"/>
        <v>0</v>
      </c>
      <c r="V271" s="2">
        <f t="shared" si="144"/>
        <v>0</v>
      </c>
      <c r="W271" s="54">
        <f t="shared" si="152"/>
        <v>0</v>
      </c>
      <c r="X271" s="2">
        <f t="shared" si="153"/>
        <v>0</v>
      </c>
      <c r="Y271" s="2">
        <f t="shared" si="154"/>
        <v>0</v>
      </c>
      <c r="Z271" s="46">
        <v>0</v>
      </c>
      <c r="AA271" s="46">
        <v>0</v>
      </c>
      <c r="AB271" s="46">
        <v>0</v>
      </c>
      <c r="AC271" s="58">
        <f t="shared" si="155"/>
        <v>0</v>
      </c>
      <c r="AD271" s="58">
        <f t="shared" si="156"/>
        <v>0</v>
      </c>
      <c r="AE271" s="12">
        <f t="shared" si="157"/>
        <v>0</v>
      </c>
      <c r="AF271" s="56"/>
      <c r="AG271" s="62"/>
      <c r="AH271" s="117">
        <f t="shared" si="158"/>
        <v>0</v>
      </c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  <c r="AS271" s="114"/>
      <c r="AT271" s="114"/>
      <c r="AU271" s="114"/>
      <c r="AV271" s="114"/>
      <c r="AW271" s="114"/>
      <c r="AX271" s="114"/>
      <c r="AY271" s="119"/>
      <c r="AZ271" s="115"/>
      <c r="BA271" s="115"/>
      <c r="BB271" s="115"/>
      <c r="BC271" s="115"/>
      <c r="BD271" s="115"/>
      <c r="BE271" s="115"/>
      <c r="BF271" s="115"/>
      <c r="BG271" s="115"/>
      <c r="BH271" s="115"/>
      <c r="BI271" s="115"/>
      <c r="BJ271" s="115"/>
    </row>
    <row r="272" spans="1:62" hidden="1" x14ac:dyDescent="0.35">
      <c r="A272" s="19" t="str">
        <f>VLOOKUP(C272,Master!A:D,4,0)</f>
        <v>SF</v>
      </c>
      <c r="B272" s="14" t="str">
        <f>VLOOKUP(C272,Master!A:C,3,0)</f>
        <v>Webbing</v>
      </c>
      <c r="C272" s="14" t="s">
        <v>710</v>
      </c>
      <c r="D272" s="2">
        <f t="shared" ref="D272:F272" si="178">+W222</f>
        <v>0</v>
      </c>
      <c r="E272" s="2">
        <f t="shared" si="178"/>
        <v>1771.8</v>
      </c>
      <c r="F272" s="2">
        <f t="shared" si="178"/>
        <v>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>
        <f t="shared" si="143"/>
        <v>0</v>
      </c>
      <c r="V272" s="2">
        <f t="shared" si="144"/>
        <v>0</v>
      </c>
      <c r="W272" s="54">
        <f t="shared" si="152"/>
        <v>0</v>
      </c>
      <c r="X272" s="2">
        <f t="shared" si="153"/>
        <v>1771.8</v>
      </c>
      <c r="Y272" s="2">
        <f t="shared" si="154"/>
        <v>0</v>
      </c>
      <c r="Z272" s="46">
        <v>0</v>
      </c>
      <c r="AA272" s="46">
        <v>0</v>
      </c>
      <c r="AB272" s="46">
        <v>0</v>
      </c>
      <c r="AC272" s="58">
        <f t="shared" si="155"/>
        <v>0</v>
      </c>
      <c r="AD272" s="58">
        <f t="shared" si="156"/>
        <v>1771.8</v>
      </c>
      <c r="AE272" s="12">
        <f t="shared" si="157"/>
        <v>0</v>
      </c>
      <c r="AF272" s="56"/>
      <c r="AG272" s="62"/>
      <c r="AH272" s="117">
        <f t="shared" si="158"/>
        <v>0</v>
      </c>
      <c r="AI272" s="114"/>
      <c r="AJ272" s="114"/>
      <c r="AK272" s="114"/>
      <c r="AL272" s="114"/>
      <c r="AM272" s="114"/>
      <c r="AN272" s="114"/>
      <c r="AO272" s="114"/>
      <c r="AP272" s="114"/>
      <c r="AQ272" s="114"/>
      <c r="AR272" s="114"/>
      <c r="AS272" s="114"/>
      <c r="AT272" s="114"/>
      <c r="AU272" s="114"/>
      <c r="AV272" s="114"/>
      <c r="AW272" s="114"/>
      <c r="AX272" s="114"/>
      <c r="AY272" s="119"/>
      <c r="AZ272" s="115"/>
      <c r="BA272" s="115"/>
      <c r="BB272" s="115"/>
      <c r="BC272" s="115"/>
      <c r="BD272" s="115"/>
      <c r="BE272" s="115"/>
      <c r="BF272" s="115"/>
      <c r="BG272" s="115"/>
      <c r="BH272" s="115"/>
      <c r="BI272" s="115"/>
      <c r="BJ272" s="115"/>
    </row>
    <row r="273" spans="1:62" hidden="1" x14ac:dyDescent="0.35">
      <c r="A273" s="19" t="str">
        <f>VLOOKUP(C273,Master!A:D,4,0)</f>
        <v>SF</v>
      </c>
      <c r="B273" s="14" t="str">
        <f>VLOOKUP(C273,Master!A:C,3,0)</f>
        <v>Liners</v>
      </c>
      <c r="C273" s="14" t="s">
        <v>729</v>
      </c>
      <c r="D273" s="2">
        <f t="shared" ref="D273:D286" si="179">+W223</f>
        <v>0</v>
      </c>
      <c r="E273" s="2">
        <f t="shared" ref="E273:E286" si="180">+X223</f>
        <v>14652.699999999997</v>
      </c>
      <c r="F273" s="2">
        <f t="shared" ref="F273:F286" si="181">+Y223</f>
        <v>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>
        <f t="shared" si="143"/>
        <v>0</v>
      </c>
      <c r="V273" s="2">
        <f t="shared" si="144"/>
        <v>0</v>
      </c>
      <c r="W273" s="54">
        <f t="shared" si="152"/>
        <v>0</v>
      </c>
      <c r="X273" s="2">
        <f t="shared" si="153"/>
        <v>14652.699999999997</v>
      </c>
      <c r="Y273" s="2">
        <f t="shared" si="154"/>
        <v>0</v>
      </c>
      <c r="Z273" s="46">
        <v>0</v>
      </c>
      <c r="AA273" s="46">
        <v>0</v>
      </c>
      <c r="AB273" s="46">
        <v>0</v>
      </c>
      <c r="AC273" s="58">
        <f t="shared" si="155"/>
        <v>0</v>
      </c>
      <c r="AD273" s="58">
        <f t="shared" si="156"/>
        <v>14652.699999999997</v>
      </c>
      <c r="AE273" s="12">
        <f t="shared" si="157"/>
        <v>0</v>
      </c>
      <c r="AF273" s="56"/>
      <c r="AG273" s="62"/>
      <c r="AH273" s="117">
        <f t="shared" si="158"/>
        <v>0</v>
      </c>
      <c r="AI273" s="114"/>
      <c r="AJ273" s="114"/>
      <c r="AK273" s="114"/>
      <c r="AL273" s="114"/>
      <c r="AM273" s="114"/>
      <c r="AN273" s="114"/>
      <c r="AO273" s="114"/>
      <c r="AP273" s="114"/>
      <c r="AQ273" s="114"/>
      <c r="AR273" s="114"/>
      <c r="AS273" s="114"/>
      <c r="AT273" s="114"/>
      <c r="AU273" s="114"/>
      <c r="AV273" s="114"/>
      <c r="AW273" s="114"/>
      <c r="AX273" s="114"/>
      <c r="AY273" s="119"/>
      <c r="AZ273" s="115"/>
      <c r="BA273" s="115"/>
      <c r="BB273" s="115"/>
      <c r="BC273" s="115"/>
      <c r="BD273" s="115"/>
      <c r="BE273" s="115"/>
      <c r="BF273" s="115"/>
      <c r="BG273" s="115"/>
      <c r="BH273" s="115"/>
      <c r="BI273" s="115"/>
      <c r="BJ273" s="115"/>
    </row>
    <row r="274" spans="1:62" hidden="1" x14ac:dyDescent="0.35">
      <c r="A274" s="19" t="str">
        <f>VLOOKUP(C274,Master!A:D,4,0)</f>
        <v>SF</v>
      </c>
      <c r="B274" s="14" t="str">
        <f>VLOOKUP(C274,Master!A:C,3,0)</f>
        <v>Tape Stock</v>
      </c>
      <c r="C274" s="14" t="s">
        <v>772</v>
      </c>
      <c r="D274" s="2">
        <f t="shared" si="179"/>
        <v>0</v>
      </c>
      <c r="E274" s="2">
        <f t="shared" si="180"/>
        <v>0</v>
      </c>
      <c r="F274" s="2">
        <f t="shared" si="181"/>
        <v>0</v>
      </c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>
        <f t="shared" si="143"/>
        <v>0</v>
      </c>
      <c r="V274" s="2">
        <f t="shared" si="144"/>
        <v>0</v>
      </c>
      <c r="W274" s="54">
        <f t="shared" si="152"/>
        <v>0</v>
      </c>
      <c r="X274" s="2">
        <f t="shared" si="153"/>
        <v>0</v>
      </c>
      <c r="Y274" s="2">
        <f t="shared" si="154"/>
        <v>0</v>
      </c>
      <c r="Z274" s="46">
        <v>0</v>
      </c>
      <c r="AA274" s="46">
        <v>0</v>
      </c>
      <c r="AB274" s="46">
        <v>0</v>
      </c>
      <c r="AC274" s="58">
        <f t="shared" si="155"/>
        <v>0</v>
      </c>
      <c r="AD274" s="58">
        <f t="shared" si="156"/>
        <v>0</v>
      </c>
      <c r="AE274" s="12">
        <f t="shared" si="157"/>
        <v>0</v>
      </c>
      <c r="AF274" s="56"/>
      <c r="AG274" s="62"/>
      <c r="AH274" s="117">
        <f t="shared" si="158"/>
        <v>0</v>
      </c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  <c r="AS274" s="114"/>
      <c r="AT274" s="114"/>
      <c r="AU274" s="114"/>
      <c r="AV274" s="114"/>
      <c r="AW274" s="114"/>
      <c r="AX274" s="114"/>
      <c r="AY274" s="119"/>
      <c r="AZ274" s="115"/>
      <c r="BA274" s="115"/>
      <c r="BB274" s="115"/>
      <c r="BC274" s="115"/>
      <c r="BD274" s="115"/>
      <c r="BE274" s="115"/>
      <c r="BF274" s="115"/>
      <c r="BG274" s="115"/>
      <c r="BH274" s="115"/>
      <c r="BI274" s="115"/>
      <c r="BJ274" s="115"/>
    </row>
    <row r="275" spans="1:62" hidden="1" x14ac:dyDescent="0.35">
      <c r="A275" s="19" t="str">
        <f>VLOOKUP(C275,Master!A:D,4,0)</f>
        <v>SF</v>
      </c>
      <c r="B275" s="14" t="str">
        <f>VLOOKUP(C275,Master!A:C,3,0)</f>
        <v>Tape Stock</v>
      </c>
      <c r="C275" s="14" t="s">
        <v>773</v>
      </c>
      <c r="D275" s="2">
        <f t="shared" si="179"/>
        <v>0</v>
      </c>
      <c r="E275" s="2">
        <f t="shared" si="180"/>
        <v>2518.3000000000029</v>
      </c>
      <c r="F275" s="2">
        <f t="shared" si="181"/>
        <v>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>
        <f t="shared" si="143"/>
        <v>0</v>
      </c>
      <c r="V275" s="53">
        <f t="shared" si="144"/>
        <v>0</v>
      </c>
      <c r="W275" s="54">
        <f t="shared" si="152"/>
        <v>0</v>
      </c>
      <c r="X275" s="2">
        <f t="shared" si="153"/>
        <v>2518.3000000000029</v>
      </c>
      <c r="Y275" s="2">
        <f t="shared" si="154"/>
        <v>0</v>
      </c>
      <c r="Z275" s="46">
        <v>0</v>
      </c>
      <c r="AA275" s="46">
        <v>0</v>
      </c>
      <c r="AB275" s="46">
        <v>0</v>
      </c>
      <c r="AC275" s="58">
        <f t="shared" si="155"/>
        <v>0</v>
      </c>
      <c r="AD275" s="58">
        <f t="shared" si="156"/>
        <v>2518.3000000000029</v>
      </c>
      <c r="AE275" s="12">
        <f t="shared" si="157"/>
        <v>0</v>
      </c>
      <c r="AF275" s="56"/>
      <c r="AG275" s="62"/>
      <c r="AH275" s="117">
        <f t="shared" si="158"/>
        <v>0</v>
      </c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  <c r="AS275" s="114"/>
      <c r="AT275" s="114"/>
      <c r="AU275" s="114"/>
      <c r="AV275" s="114"/>
      <c r="AW275" s="114"/>
      <c r="AX275" s="114"/>
      <c r="AY275" s="119"/>
      <c r="AZ275" s="115"/>
      <c r="BA275" s="115"/>
      <c r="BB275" s="115"/>
      <c r="BC275" s="115"/>
      <c r="BD275" s="115"/>
      <c r="BE275" s="115"/>
      <c r="BF275" s="115"/>
      <c r="BG275" s="115"/>
      <c r="BH275" s="115"/>
      <c r="BI275" s="115"/>
      <c r="BJ275" s="115"/>
    </row>
    <row r="276" spans="1:62" hidden="1" x14ac:dyDescent="0.35">
      <c r="A276" s="19" t="str">
        <f>VLOOKUP(C276,Master!A:D,4,0)</f>
        <v>SF</v>
      </c>
      <c r="B276" s="14" t="str">
        <f>VLOOKUP(C276,Master!A:C,3,0)</f>
        <v>RP Agglo</v>
      </c>
      <c r="C276" s="14" t="s">
        <v>810</v>
      </c>
      <c r="D276" s="2">
        <f t="shared" si="179"/>
        <v>0</v>
      </c>
      <c r="E276" s="2">
        <f t="shared" si="180"/>
        <v>0</v>
      </c>
      <c r="F276" s="2">
        <f t="shared" si="181"/>
        <v>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>
        <f t="shared" si="143"/>
        <v>0</v>
      </c>
      <c r="V276" s="2">
        <f t="shared" si="144"/>
        <v>0</v>
      </c>
      <c r="W276" s="54">
        <f t="shared" si="152"/>
        <v>0</v>
      </c>
      <c r="X276" s="2">
        <f t="shared" si="153"/>
        <v>0</v>
      </c>
      <c r="Y276" s="2">
        <f t="shared" si="154"/>
        <v>0</v>
      </c>
      <c r="Z276" s="46">
        <v>0</v>
      </c>
      <c r="AA276" s="46">
        <v>0</v>
      </c>
      <c r="AB276" s="46">
        <v>0</v>
      </c>
      <c r="AC276" s="58">
        <f t="shared" si="155"/>
        <v>0</v>
      </c>
      <c r="AD276" s="58">
        <f t="shared" si="156"/>
        <v>0</v>
      </c>
      <c r="AE276" s="12">
        <f t="shared" si="157"/>
        <v>0</v>
      </c>
      <c r="AF276" s="56"/>
      <c r="AG276" s="62"/>
      <c r="AH276" s="117">
        <f t="shared" si="158"/>
        <v>0</v>
      </c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  <c r="AS276" s="114"/>
      <c r="AT276" s="114"/>
      <c r="AU276" s="114"/>
      <c r="AV276" s="114"/>
      <c r="AW276" s="114"/>
      <c r="AX276" s="114"/>
      <c r="AY276" s="119"/>
      <c r="AZ276" s="115"/>
      <c r="BA276" s="115"/>
      <c r="BB276" s="115"/>
      <c r="BC276" s="115"/>
      <c r="BD276" s="115"/>
      <c r="BE276" s="115"/>
      <c r="BF276" s="115"/>
      <c r="BG276" s="115"/>
      <c r="BH276" s="115"/>
      <c r="BI276" s="115"/>
      <c r="BJ276" s="115"/>
    </row>
    <row r="277" spans="1:62" hidden="1" x14ac:dyDescent="0.35">
      <c r="A277" s="19" t="str">
        <f>VLOOKUP(C277,Master!A:D,4,0)</f>
        <v>SF</v>
      </c>
      <c r="B277" s="14" t="str">
        <f>VLOOKUP(C277,Master!A:C,3,0)</f>
        <v>Wastage/Scrap</v>
      </c>
      <c r="C277" s="14" t="s">
        <v>820</v>
      </c>
      <c r="D277" s="2">
        <f t="shared" si="179"/>
        <v>0</v>
      </c>
      <c r="E277" s="2">
        <f t="shared" si="180"/>
        <v>0</v>
      </c>
      <c r="F277" s="2">
        <f t="shared" si="181"/>
        <v>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>
        <f t="shared" si="143"/>
        <v>0</v>
      </c>
      <c r="V277" s="2">
        <f t="shared" si="144"/>
        <v>0</v>
      </c>
      <c r="W277" s="54">
        <f t="shared" si="152"/>
        <v>0</v>
      </c>
      <c r="X277" s="2">
        <f t="shared" si="153"/>
        <v>0</v>
      </c>
      <c r="Y277" s="2">
        <f t="shared" si="154"/>
        <v>0</v>
      </c>
      <c r="Z277" s="46">
        <v>0</v>
      </c>
      <c r="AA277" s="46">
        <v>0</v>
      </c>
      <c r="AB277" s="46">
        <v>0</v>
      </c>
      <c r="AC277" s="58">
        <f t="shared" si="155"/>
        <v>0</v>
      </c>
      <c r="AD277" s="58">
        <f t="shared" si="156"/>
        <v>0</v>
      </c>
      <c r="AE277" s="12">
        <f t="shared" si="157"/>
        <v>0</v>
      </c>
      <c r="AF277" s="56"/>
      <c r="AG277" s="62"/>
      <c r="AH277" s="117">
        <f t="shared" si="158"/>
        <v>0</v>
      </c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  <c r="AS277" s="114"/>
      <c r="AT277" s="114"/>
      <c r="AU277" s="114"/>
      <c r="AV277" s="114"/>
      <c r="AW277" s="114"/>
      <c r="AX277" s="114"/>
      <c r="AY277" s="119"/>
      <c r="AZ277" s="115"/>
      <c r="BA277" s="115"/>
      <c r="BB277" s="115"/>
      <c r="BC277" s="115"/>
      <c r="BD277" s="115"/>
      <c r="BE277" s="115"/>
      <c r="BF277" s="115"/>
      <c r="BG277" s="115"/>
      <c r="BH277" s="115"/>
      <c r="BI277" s="115"/>
      <c r="BJ277" s="115"/>
    </row>
    <row r="278" spans="1:62" hidden="1" x14ac:dyDescent="0.35">
      <c r="A278" s="19" t="str">
        <f>VLOOKUP(C278,Master!A:D,4,0)</f>
        <v>FG</v>
      </c>
      <c r="B278" s="14" t="str">
        <f>VLOOKUP(C278,Master!A:C,3,0)</f>
        <v>FIBC WIP</v>
      </c>
      <c r="C278" s="14" t="s">
        <v>892</v>
      </c>
      <c r="D278" s="2">
        <f t="shared" si="179"/>
        <v>42021.998887999915</v>
      </c>
      <c r="E278" s="2">
        <f t="shared" si="180"/>
        <v>0</v>
      </c>
      <c r="F278" s="2">
        <f t="shared" si="181"/>
        <v>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>
        <f t="shared" si="143"/>
        <v>0</v>
      </c>
      <c r="V278" s="2">
        <f t="shared" si="144"/>
        <v>0</v>
      </c>
      <c r="W278" s="54">
        <f t="shared" si="152"/>
        <v>42021.998887999915</v>
      </c>
      <c r="X278" s="2">
        <f t="shared" si="153"/>
        <v>0</v>
      </c>
      <c r="Y278" s="2">
        <f t="shared" si="154"/>
        <v>0</v>
      </c>
      <c r="Z278" s="46">
        <v>0</v>
      </c>
      <c r="AA278" s="46">
        <v>0</v>
      </c>
      <c r="AB278" s="46">
        <v>0</v>
      </c>
      <c r="AC278" s="58">
        <f t="shared" si="155"/>
        <v>42021.998887999915</v>
      </c>
      <c r="AD278" s="58">
        <f t="shared" si="156"/>
        <v>0</v>
      </c>
      <c r="AE278" s="12">
        <f t="shared" si="157"/>
        <v>0</v>
      </c>
      <c r="AF278" s="56"/>
      <c r="AG278" s="62"/>
      <c r="AH278" s="117">
        <f t="shared" si="158"/>
        <v>0</v>
      </c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  <c r="AS278" s="114"/>
      <c r="AT278" s="114"/>
      <c r="AU278" s="114"/>
      <c r="AV278" s="114"/>
      <c r="AW278" s="114"/>
      <c r="AX278" s="114"/>
      <c r="AY278" s="119"/>
      <c r="AZ278" s="115"/>
      <c r="BA278" s="115"/>
      <c r="BB278" s="115"/>
      <c r="BC278" s="115"/>
      <c r="BD278" s="115"/>
      <c r="BE278" s="115"/>
      <c r="BF278" s="115"/>
      <c r="BG278" s="115"/>
      <c r="BH278" s="115"/>
      <c r="BI278" s="115"/>
      <c r="BJ278" s="115"/>
    </row>
    <row r="279" spans="1:62" hidden="1" x14ac:dyDescent="0.35">
      <c r="A279" s="19" t="str">
        <f>VLOOKUP(C279,Master!A:D,4,0)</f>
        <v>FG</v>
      </c>
      <c r="B279" s="14" t="str">
        <f>VLOOKUP(C279,Master!A:C,3,0)</f>
        <v>Label Div</v>
      </c>
      <c r="C279" s="14" t="s">
        <v>895</v>
      </c>
      <c r="D279" s="2">
        <f t="shared" si="179"/>
        <v>0</v>
      </c>
      <c r="E279" s="2">
        <f t="shared" si="180"/>
        <v>0</v>
      </c>
      <c r="F279" s="2">
        <f t="shared" si="181"/>
        <v>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>
        <f t="shared" si="143"/>
        <v>0</v>
      </c>
      <c r="V279" s="2">
        <f t="shared" si="144"/>
        <v>0</v>
      </c>
      <c r="W279" s="54">
        <f t="shared" si="152"/>
        <v>0</v>
      </c>
      <c r="X279" s="2">
        <f t="shared" si="153"/>
        <v>0</v>
      </c>
      <c r="Y279" s="2">
        <f t="shared" si="154"/>
        <v>0</v>
      </c>
      <c r="Z279" s="46">
        <v>0</v>
      </c>
      <c r="AA279" s="46">
        <v>0</v>
      </c>
      <c r="AB279" s="46">
        <v>0</v>
      </c>
      <c r="AC279" s="58">
        <f t="shared" si="155"/>
        <v>0</v>
      </c>
      <c r="AD279" s="58">
        <f t="shared" si="156"/>
        <v>0</v>
      </c>
      <c r="AE279" s="12">
        <f t="shared" si="157"/>
        <v>0</v>
      </c>
      <c r="AF279" s="56"/>
      <c r="AG279" s="62"/>
      <c r="AH279" s="117">
        <f t="shared" si="158"/>
        <v>0</v>
      </c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9"/>
      <c r="AZ279" s="115"/>
      <c r="BA279" s="115"/>
      <c r="BB279" s="115"/>
      <c r="BC279" s="115"/>
      <c r="BD279" s="115"/>
      <c r="BE279" s="115"/>
      <c r="BF279" s="115"/>
      <c r="BG279" s="115"/>
      <c r="BH279" s="115"/>
      <c r="BI279" s="115"/>
      <c r="BJ279" s="115"/>
    </row>
    <row r="280" spans="1:62" hidden="1" x14ac:dyDescent="0.35">
      <c r="A280" s="19" t="str">
        <f>VLOOKUP(C280,Master!A:D,4,0)</f>
        <v>FG</v>
      </c>
      <c r="B280" s="14" t="str">
        <f>VLOOKUP(C280,Master!A:C,3,0)</f>
        <v>FIBC Bags</v>
      </c>
      <c r="C280" s="14" t="s">
        <v>897</v>
      </c>
      <c r="D280" s="2">
        <f t="shared" si="179"/>
        <v>1.7462298274040222E-10</v>
      </c>
      <c r="E280" s="2">
        <f t="shared" si="180"/>
        <v>0</v>
      </c>
      <c r="F280" s="2">
        <f t="shared" si="181"/>
        <v>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>
        <f t="shared" si="143"/>
        <v>0</v>
      </c>
      <c r="V280" s="2">
        <f t="shared" si="144"/>
        <v>0</v>
      </c>
      <c r="W280" s="54">
        <f t="shared" si="152"/>
        <v>1.7462298274040222E-10</v>
      </c>
      <c r="X280" s="2">
        <f t="shared" si="153"/>
        <v>0</v>
      </c>
      <c r="Y280" s="2">
        <f t="shared" si="154"/>
        <v>0</v>
      </c>
      <c r="Z280" s="46">
        <v>0</v>
      </c>
      <c r="AA280" s="46">
        <v>0</v>
      </c>
      <c r="AB280" s="46">
        <v>0</v>
      </c>
      <c r="AC280" s="58">
        <f t="shared" si="155"/>
        <v>1.7462298274040222E-10</v>
      </c>
      <c r="AD280" s="58">
        <f t="shared" si="156"/>
        <v>0</v>
      </c>
      <c r="AE280" s="12">
        <f t="shared" si="157"/>
        <v>0</v>
      </c>
      <c r="AF280" s="56"/>
      <c r="AG280" s="62"/>
      <c r="AH280" s="117">
        <f t="shared" si="158"/>
        <v>0</v>
      </c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  <c r="AS280" s="114"/>
      <c r="AT280" s="114"/>
      <c r="AU280" s="114"/>
      <c r="AV280" s="114"/>
      <c r="AW280" s="114"/>
      <c r="AX280" s="114"/>
      <c r="AY280" s="119"/>
      <c r="AZ280" s="115"/>
      <c r="BA280" s="115"/>
      <c r="BB280" s="115"/>
      <c r="BC280" s="115"/>
      <c r="BD280" s="115"/>
      <c r="BE280" s="115"/>
      <c r="BF280" s="115"/>
      <c r="BG280" s="115"/>
      <c r="BH280" s="115"/>
      <c r="BI280" s="115"/>
      <c r="BJ280" s="115"/>
    </row>
    <row r="281" spans="1:62" hidden="1" x14ac:dyDescent="0.35">
      <c r="A281" s="19" t="str">
        <f>VLOOKUP(C281,Master!A:D,4,0)</f>
        <v>FG</v>
      </c>
      <c r="B281" s="14" t="str">
        <f>VLOOKUP(C281,Master!A:C,3,0)</f>
        <v>Small Bags</v>
      </c>
      <c r="C281" s="14" t="s">
        <v>900</v>
      </c>
      <c r="D281" s="2">
        <f t="shared" si="179"/>
        <v>0</v>
      </c>
      <c r="E281" s="2">
        <f t="shared" si="180"/>
        <v>0</v>
      </c>
      <c r="F281" s="2">
        <f t="shared" si="181"/>
        <v>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>
        <f t="shared" si="143"/>
        <v>0</v>
      </c>
      <c r="V281" s="2">
        <f t="shared" si="144"/>
        <v>0</v>
      </c>
      <c r="W281" s="54">
        <f t="shared" si="152"/>
        <v>0</v>
      </c>
      <c r="X281" s="2">
        <f t="shared" si="153"/>
        <v>0</v>
      </c>
      <c r="Y281" s="2">
        <f t="shared" si="154"/>
        <v>0</v>
      </c>
      <c r="Z281" s="46">
        <v>0</v>
      </c>
      <c r="AA281" s="46">
        <v>0</v>
      </c>
      <c r="AB281" s="46">
        <v>0</v>
      </c>
      <c r="AC281" s="58">
        <f t="shared" si="155"/>
        <v>0</v>
      </c>
      <c r="AD281" s="58">
        <f t="shared" si="156"/>
        <v>0</v>
      </c>
      <c r="AE281" s="12">
        <f t="shared" si="157"/>
        <v>0</v>
      </c>
      <c r="AF281" s="56"/>
      <c r="AG281" s="62"/>
      <c r="AH281" s="117">
        <f t="shared" si="158"/>
        <v>0</v>
      </c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  <c r="AS281" s="114"/>
      <c r="AT281" s="114"/>
      <c r="AU281" s="114"/>
      <c r="AV281" s="114"/>
      <c r="AW281" s="114"/>
      <c r="AX281" s="114"/>
      <c r="AY281" s="119"/>
      <c r="AZ281" s="115"/>
      <c r="BA281" s="115"/>
      <c r="BB281" s="115"/>
      <c r="BC281" s="115"/>
      <c r="BD281" s="115"/>
      <c r="BE281" s="115"/>
      <c r="BF281" s="115"/>
      <c r="BG281" s="115"/>
      <c r="BH281" s="115"/>
      <c r="BI281" s="115"/>
      <c r="BJ281" s="115"/>
    </row>
    <row r="282" spans="1:62" hidden="1" x14ac:dyDescent="0.35">
      <c r="A282" s="19" t="str">
        <f>VLOOKUP(C282,Master!A:D,4,0)</f>
        <v>FG</v>
      </c>
      <c r="B282" s="14" t="str">
        <f>VLOOKUP(C282,Master!A:C,3,0)</f>
        <v>Tarps</v>
      </c>
      <c r="C282" s="14" t="s">
        <v>903</v>
      </c>
      <c r="D282" s="2">
        <f t="shared" si="179"/>
        <v>0</v>
      </c>
      <c r="E282" s="2">
        <f t="shared" si="180"/>
        <v>0</v>
      </c>
      <c r="F282" s="2">
        <f t="shared" si="181"/>
        <v>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>
        <f t="shared" si="143"/>
        <v>0</v>
      </c>
      <c r="V282" s="2">
        <f t="shared" si="144"/>
        <v>0</v>
      </c>
      <c r="W282" s="54">
        <f t="shared" si="152"/>
        <v>0</v>
      </c>
      <c r="X282" s="2">
        <f t="shared" si="153"/>
        <v>0</v>
      </c>
      <c r="Y282" s="2">
        <f t="shared" si="154"/>
        <v>0</v>
      </c>
      <c r="Z282" s="46">
        <v>0</v>
      </c>
      <c r="AA282" s="46">
        <v>0</v>
      </c>
      <c r="AB282" s="46">
        <v>0</v>
      </c>
      <c r="AC282" s="58">
        <f t="shared" si="155"/>
        <v>0</v>
      </c>
      <c r="AD282" s="58">
        <f t="shared" si="156"/>
        <v>0</v>
      </c>
      <c r="AE282" s="12">
        <f t="shared" si="157"/>
        <v>0</v>
      </c>
      <c r="AF282" s="56"/>
      <c r="AG282" s="62"/>
      <c r="AH282" s="117">
        <f t="shared" si="158"/>
        <v>0</v>
      </c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  <c r="AS282" s="114"/>
      <c r="AT282" s="114"/>
      <c r="AU282" s="114"/>
      <c r="AV282" s="114"/>
      <c r="AW282" s="114"/>
      <c r="AX282" s="114"/>
      <c r="AY282" s="119"/>
      <c r="AZ282" s="115"/>
      <c r="BA282" s="115"/>
      <c r="BB282" s="115"/>
      <c r="BC282" s="115"/>
      <c r="BD282" s="115"/>
      <c r="BE282" s="115"/>
      <c r="BF282" s="115"/>
      <c r="BG282" s="115"/>
      <c r="BH282" s="115"/>
      <c r="BI282" s="115"/>
      <c r="BJ282" s="115"/>
    </row>
    <row r="283" spans="1:62" hidden="1" x14ac:dyDescent="0.35">
      <c r="A283" s="19" t="str">
        <f>VLOOKUP(C283,Master!A:D,4,0)</f>
        <v>FG</v>
      </c>
      <c r="B283" s="14" t="str">
        <f>VLOOKUP(C283,Master!A:C,3,0)</f>
        <v>Trading Items</v>
      </c>
      <c r="C283" s="14" t="s">
        <v>905</v>
      </c>
      <c r="D283" s="2">
        <f t="shared" si="179"/>
        <v>0</v>
      </c>
      <c r="E283" s="2">
        <f t="shared" si="180"/>
        <v>0</v>
      </c>
      <c r="F283" s="2">
        <f t="shared" si="181"/>
        <v>0</v>
      </c>
      <c r="G283" s="6"/>
      <c r="H283" s="6"/>
      <c r="I283" s="6"/>
      <c r="J283" s="2"/>
      <c r="K283" s="6"/>
      <c r="L283" s="6"/>
      <c r="M283" s="6"/>
      <c r="N283" s="6"/>
      <c r="O283" s="6"/>
      <c r="P283" s="6"/>
      <c r="Q283" s="2"/>
      <c r="R283" s="6"/>
      <c r="S283" s="6"/>
      <c r="T283" s="6"/>
      <c r="U283" s="2">
        <f t="shared" si="143"/>
        <v>0</v>
      </c>
      <c r="V283" s="2">
        <f t="shared" si="144"/>
        <v>0</v>
      </c>
      <c r="W283" s="54">
        <f t="shared" si="152"/>
        <v>0</v>
      </c>
      <c r="X283" s="2">
        <f t="shared" si="153"/>
        <v>0</v>
      </c>
      <c r="Y283" s="2">
        <f t="shared" si="154"/>
        <v>0</v>
      </c>
      <c r="Z283" s="46">
        <v>0</v>
      </c>
      <c r="AA283" s="46">
        <v>0</v>
      </c>
      <c r="AB283" s="46">
        <v>0</v>
      </c>
      <c r="AC283" s="58">
        <f t="shared" si="155"/>
        <v>0</v>
      </c>
      <c r="AD283" s="58">
        <f t="shared" si="156"/>
        <v>0</v>
      </c>
      <c r="AE283" s="12">
        <f t="shared" si="157"/>
        <v>0</v>
      </c>
      <c r="AF283" s="56"/>
      <c r="AG283" s="62"/>
      <c r="AH283" s="117">
        <f t="shared" si="158"/>
        <v>0</v>
      </c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  <c r="AS283" s="114"/>
      <c r="AT283" s="114"/>
      <c r="AU283" s="114"/>
      <c r="AV283" s="114"/>
      <c r="AW283" s="114"/>
      <c r="AX283" s="114"/>
      <c r="AY283" s="119"/>
      <c r="AZ283" s="115"/>
      <c r="BA283" s="115"/>
      <c r="BB283" s="115"/>
      <c r="BC283" s="115"/>
      <c r="BD283" s="115"/>
      <c r="BE283" s="115"/>
      <c r="BF283" s="115"/>
      <c r="BG283" s="115"/>
      <c r="BH283" s="115"/>
      <c r="BI283" s="115"/>
      <c r="BJ283" s="115"/>
    </row>
    <row r="284" spans="1:62" hidden="1" x14ac:dyDescent="0.35">
      <c r="A284" s="19" t="str">
        <f>VLOOKUP(C284,Master!A:D,4,0)</f>
        <v>FG</v>
      </c>
      <c r="B284" s="14" t="str">
        <f>VLOOKUP(C284,Master!A:C,3,0)</f>
        <v>Small Bags</v>
      </c>
      <c r="C284" s="14" t="s">
        <v>907</v>
      </c>
      <c r="D284" s="2">
        <f t="shared" si="179"/>
        <v>0</v>
      </c>
      <c r="E284" s="2">
        <f t="shared" si="180"/>
        <v>0</v>
      </c>
      <c r="F284" s="2">
        <f t="shared" si="181"/>
        <v>0</v>
      </c>
      <c r="G284" s="6"/>
      <c r="H284" s="2"/>
      <c r="I284" s="6"/>
      <c r="J284" s="2"/>
      <c r="K284" s="6"/>
      <c r="L284" s="6"/>
      <c r="M284" s="6"/>
      <c r="N284" s="6"/>
      <c r="O284" s="6"/>
      <c r="P284" s="6"/>
      <c r="Q284" s="2"/>
      <c r="R284" s="6"/>
      <c r="S284" s="6"/>
      <c r="T284" s="6"/>
      <c r="U284" s="2">
        <f t="shared" si="143"/>
        <v>0</v>
      </c>
      <c r="V284" s="2">
        <f t="shared" si="144"/>
        <v>0</v>
      </c>
      <c r="W284" s="54">
        <f t="shared" si="152"/>
        <v>0</v>
      </c>
      <c r="X284" s="2">
        <f t="shared" si="153"/>
        <v>0</v>
      </c>
      <c r="Y284" s="2">
        <f t="shared" si="154"/>
        <v>0</v>
      </c>
      <c r="Z284" s="46">
        <v>0</v>
      </c>
      <c r="AA284" s="46">
        <v>0</v>
      </c>
      <c r="AB284" s="46">
        <v>0</v>
      </c>
      <c r="AC284" s="58">
        <f t="shared" si="155"/>
        <v>0</v>
      </c>
      <c r="AD284" s="58">
        <f t="shared" si="156"/>
        <v>0</v>
      </c>
      <c r="AE284" s="12">
        <f t="shared" si="157"/>
        <v>0</v>
      </c>
      <c r="AF284" s="56"/>
      <c r="AG284" s="62"/>
      <c r="AH284" s="117">
        <f t="shared" si="158"/>
        <v>0</v>
      </c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  <c r="AS284" s="114"/>
      <c r="AT284" s="114"/>
      <c r="AU284" s="114"/>
      <c r="AV284" s="114"/>
      <c r="AW284" s="114"/>
      <c r="AX284" s="114"/>
      <c r="AY284" s="119"/>
      <c r="AZ284" s="115"/>
      <c r="BA284" s="115"/>
      <c r="BB284" s="115"/>
      <c r="BC284" s="115"/>
      <c r="BD284" s="115"/>
      <c r="BE284" s="115"/>
      <c r="BF284" s="115"/>
      <c r="BG284" s="115"/>
      <c r="BH284" s="115"/>
      <c r="BI284" s="115"/>
      <c r="BJ284" s="115"/>
    </row>
    <row r="285" spans="1:62" hidden="1" x14ac:dyDescent="0.35">
      <c r="A285" s="19" t="str">
        <f>VLOOKUP(C285,Master!A:D,4,0)</f>
        <v>FG</v>
      </c>
      <c r="B285" s="14" t="str">
        <f>VLOOKUP(C285,Master!A:C,3,0)</f>
        <v>Small Bags WIP</v>
      </c>
      <c r="C285" s="14" t="s">
        <v>908</v>
      </c>
      <c r="D285" s="2">
        <f t="shared" si="179"/>
        <v>0</v>
      </c>
      <c r="E285" s="2">
        <f t="shared" si="180"/>
        <v>0</v>
      </c>
      <c r="F285" s="2">
        <f t="shared" si="181"/>
        <v>0</v>
      </c>
      <c r="G285" s="7"/>
      <c r="H285" s="2"/>
      <c r="I285" s="7"/>
      <c r="J285" s="11"/>
      <c r="K285" s="7"/>
      <c r="L285" s="7"/>
      <c r="M285" s="7"/>
      <c r="N285" s="7"/>
      <c r="O285" s="7"/>
      <c r="P285" s="7"/>
      <c r="Q285" s="2"/>
      <c r="R285" s="7"/>
      <c r="S285" s="7"/>
      <c r="T285" s="6"/>
      <c r="U285" s="2">
        <f t="shared" si="143"/>
        <v>0</v>
      </c>
      <c r="V285" s="2">
        <f t="shared" si="144"/>
        <v>0</v>
      </c>
      <c r="W285" s="54">
        <f t="shared" si="152"/>
        <v>0</v>
      </c>
      <c r="X285" s="2">
        <f t="shared" si="153"/>
        <v>0</v>
      </c>
      <c r="Y285" s="2">
        <f t="shared" si="154"/>
        <v>0</v>
      </c>
      <c r="Z285" s="46">
        <v>0</v>
      </c>
      <c r="AA285" s="46">
        <v>0</v>
      </c>
      <c r="AB285" s="46">
        <v>0</v>
      </c>
      <c r="AC285" s="58">
        <f t="shared" si="155"/>
        <v>0</v>
      </c>
      <c r="AD285" s="58">
        <f t="shared" si="156"/>
        <v>0</v>
      </c>
      <c r="AE285" s="12">
        <f t="shared" si="157"/>
        <v>0</v>
      </c>
      <c r="AF285" s="56"/>
      <c r="AG285" s="62"/>
      <c r="AH285" s="117">
        <f t="shared" si="158"/>
        <v>0</v>
      </c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  <c r="AS285" s="114"/>
      <c r="AT285" s="114"/>
      <c r="AU285" s="114"/>
      <c r="AV285" s="114"/>
      <c r="AW285" s="114"/>
      <c r="AX285" s="114"/>
      <c r="AY285" s="119"/>
      <c r="AZ285" s="115"/>
      <c r="BA285" s="115"/>
      <c r="BB285" s="115"/>
      <c r="BC285" s="115"/>
      <c r="BD285" s="115"/>
      <c r="BE285" s="115"/>
      <c r="BF285" s="115"/>
      <c r="BG285" s="115"/>
      <c r="BH285" s="115"/>
      <c r="BI285" s="115"/>
      <c r="BJ285" s="115"/>
    </row>
    <row r="286" spans="1:62" ht="15" hidden="1" thickBot="1" x14ac:dyDescent="0.4">
      <c r="A286" s="20" t="str">
        <f>VLOOKUP(C286,Master!A:D,4,0)</f>
        <v>FG</v>
      </c>
      <c r="B286" s="21" t="str">
        <f>VLOOKUP(C286,Master!A:C,3,0)</f>
        <v>Flexitank</v>
      </c>
      <c r="C286" s="21" t="s">
        <v>718</v>
      </c>
      <c r="D286" s="2">
        <f t="shared" si="179"/>
        <v>0</v>
      </c>
      <c r="E286" s="2">
        <f t="shared" si="180"/>
        <v>0</v>
      </c>
      <c r="F286" s="2">
        <f t="shared" si="181"/>
        <v>0</v>
      </c>
      <c r="G286" s="22"/>
      <c r="H286" s="22"/>
      <c r="I286" s="22"/>
      <c r="J286" s="24"/>
      <c r="K286" s="22"/>
      <c r="L286" s="22"/>
      <c r="M286" s="22"/>
      <c r="N286" s="22"/>
      <c r="O286" s="22"/>
      <c r="P286" s="22"/>
      <c r="Q286" s="2"/>
      <c r="R286" s="22"/>
      <c r="S286" s="22"/>
      <c r="T286" s="6"/>
      <c r="U286" s="2">
        <f t="shared" si="143"/>
        <v>0</v>
      </c>
      <c r="V286" s="2">
        <f t="shared" si="144"/>
        <v>0</v>
      </c>
      <c r="W286" s="54">
        <f t="shared" si="152"/>
        <v>0</v>
      </c>
      <c r="X286" s="2">
        <f t="shared" si="153"/>
        <v>0</v>
      </c>
      <c r="Y286" s="2">
        <f t="shared" si="154"/>
        <v>0</v>
      </c>
      <c r="Z286" s="46">
        <v>0</v>
      </c>
      <c r="AA286" s="46">
        <v>0</v>
      </c>
      <c r="AB286" s="46">
        <v>0</v>
      </c>
      <c r="AC286" s="58">
        <f t="shared" si="155"/>
        <v>0</v>
      </c>
      <c r="AD286" s="58">
        <f t="shared" si="156"/>
        <v>0</v>
      </c>
      <c r="AE286" s="12">
        <f t="shared" si="157"/>
        <v>0</v>
      </c>
      <c r="AF286" s="56"/>
      <c r="AG286" s="65"/>
      <c r="AH286" s="117">
        <f t="shared" si="158"/>
        <v>0</v>
      </c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  <c r="AS286" s="114"/>
      <c r="AT286" s="114"/>
      <c r="AU286" s="114"/>
      <c r="AV286" s="114"/>
      <c r="AW286" s="114"/>
      <c r="AX286" s="114"/>
      <c r="AY286" s="119"/>
      <c r="AZ286" s="115"/>
      <c r="BA286" s="115"/>
      <c r="BB286" s="115"/>
      <c r="BC286" s="115"/>
      <c r="BD286" s="115"/>
      <c r="BE286" s="115"/>
      <c r="BF286" s="115"/>
      <c r="BG286" s="115"/>
      <c r="BH286" s="115"/>
      <c r="BI286" s="115"/>
      <c r="BJ286" s="115"/>
    </row>
    <row r="287" spans="1:62" hidden="1" x14ac:dyDescent="0.35">
      <c r="A287" s="536" t="s">
        <v>928</v>
      </c>
      <c r="B287" s="537"/>
      <c r="C287" s="538"/>
      <c r="D287" s="17">
        <f t="shared" ref="D287:AF287" si="182">SUM(D250:D286)</f>
        <v>80511.518888000093</v>
      </c>
      <c r="E287" s="17">
        <f t="shared" si="182"/>
        <v>449660.13</v>
      </c>
      <c r="F287" s="17">
        <f t="shared" si="182"/>
        <v>0</v>
      </c>
      <c r="G287" s="17">
        <f t="shared" si="182"/>
        <v>0</v>
      </c>
      <c r="H287" s="17">
        <f t="shared" si="182"/>
        <v>0</v>
      </c>
      <c r="I287" s="17">
        <f t="shared" si="182"/>
        <v>0</v>
      </c>
      <c r="J287" s="17">
        <f t="shared" si="182"/>
        <v>0</v>
      </c>
      <c r="K287" s="17">
        <f t="shared" si="182"/>
        <v>0</v>
      </c>
      <c r="L287" s="17">
        <f t="shared" si="182"/>
        <v>0</v>
      </c>
      <c r="M287" s="17">
        <f t="shared" si="182"/>
        <v>0</v>
      </c>
      <c r="N287" s="17">
        <f t="shared" si="182"/>
        <v>0</v>
      </c>
      <c r="O287" s="17">
        <f t="shared" si="182"/>
        <v>0</v>
      </c>
      <c r="P287" s="17">
        <f t="shared" si="182"/>
        <v>0</v>
      </c>
      <c r="Q287" s="17">
        <f t="shared" si="182"/>
        <v>0</v>
      </c>
      <c r="R287" s="17">
        <f t="shared" si="182"/>
        <v>0</v>
      </c>
      <c r="S287" s="17">
        <f t="shared" si="182"/>
        <v>0</v>
      </c>
      <c r="T287" s="17">
        <f t="shared" si="182"/>
        <v>0</v>
      </c>
      <c r="U287" s="17">
        <f t="shared" si="182"/>
        <v>0</v>
      </c>
      <c r="V287" s="17">
        <f t="shared" si="182"/>
        <v>0</v>
      </c>
      <c r="W287" s="17">
        <f t="shared" si="182"/>
        <v>80511.518888000093</v>
      </c>
      <c r="X287" s="17">
        <f t="shared" si="182"/>
        <v>449660.13</v>
      </c>
      <c r="Y287" s="17">
        <f t="shared" si="182"/>
        <v>0</v>
      </c>
      <c r="Z287" s="17">
        <f t="shared" si="182"/>
        <v>0</v>
      </c>
      <c r="AA287" s="17">
        <f t="shared" si="182"/>
        <v>0</v>
      </c>
      <c r="AB287" s="17">
        <f t="shared" si="182"/>
        <v>0</v>
      </c>
      <c r="AC287" s="17">
        <f t="shared" si="182"/>
        <v>80511.518888000093</v>
      </c>
      <c r="AD287" s="17">
        <f t="shared" si="182"/>
        <v>449660.13</v>
      </c>
      <c r="AE287" s="17">
        <f t="shared" si="182"/>
        <v>0</v>
      </c>
      <c r="AF287" s="57">
        <f t="shared" si="182"/>
        <v>0</v>
      </c>
      <c r="AG287" s="61"/>
      <c r="AH287" s="120">
        <f>SUM(AH250:AH286)</f>
        <v>0</v>
      </c>
      <c r="AI287" s="121"/>
      <c r="AJ287" s="121"/>
      <c r="AK287" s="121"/>
      <c r="AL287" s="121"/>
      <c r="AM287" s="121"/>
      <c r="AN287" s="121"/>
      <c r="AO287" s="121"/>
      <c r="AP287" s="121"/>
      <c r="AQ287" s="121"/>
      <c r="AR287" s="121"/>
      <c r="AS287" s="121"/>
      <c r="AT287" s="121"/>
      <c r="AU287" s="121"/>
      <c r="AV287" s="121"/>
      <c r="AW287" s="121"/>
      <c r="AX287" s="121"/>
      <c r="AY287" s="249"/>
      <c r="AZ287" s="115"/>
      <c r="BA287" s="115"/>
      <c r="BB287" s="122"/>
      <c r="BC287" s="122"/>
      <c r="BD287" s="122"/>
      <c r="BE287" s="122"/>
      <c r="BF287" s="122"/>
      <c r="BG287" s="122"/>
      <c r="BH287" s="122"/>
      <c r="BI287" s="122"/>
      <c r="BJ287" s="115"/>
    </row>
    <row r="288" spans="1:62" hidden="1" x14ac:dyDescent="0.35">
      <c r="A288" s="533" t="s">
        <v>927</v>
      </c>
      <c r="B288" s="534"/>
      <c r="C288" s="535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11"/>
      <c r="AA288" s="11"/>
      <c r="AB288" s="11"/>
      <c r="AC288" s="11"/>
      <c r="AD288" s="11"/>
      <c r="AE288" s="11"/>
      <c r="AF288" s="4"/>
      <c r="AG288" s="62"/>
      <c r="AH288" s="117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  <c r="AS288" s="114"/>
      <c r="AT288" s="114"/>
      <c r="AU288" s="114"/>
      <c r="AV288" s="114"/>
      <c r="AW288" s="114"/>
      <c r="AX288" s="114"/>
      <c r="AY288" s="119"/>
      <c r="AZ288" s="115"/>
      <c r="BA288" s="115"/>
      <c r="BB288" s="115"/>
      <c r="BC288" s="115"/>
      <c r="BD288" s="115"/>
      <c r="BE288" s="115"/>
      <c r="BF288" s="115"/>
      <c r="BG288" s="115"/>
      <c r="BH288" s="115"/>
      <c r="BI288" s="115"/>
      <c r="BJ288" s="115"/>
    </row>
    <row r="289" spans="1:62" ht="15" hidden="1" thickBot="1" x14ac:dyDescent="0.4">
      <c r="A289" s="547" t="s">
        <v>21</v>
      </c>
      <c r="B289" s="548"/>
      <c r="C289" s="549"/>
      <c r="D289" s="23"/>
      <c r="E289" s="23"/>
      <c r="F289" s="23"/>
      <c r="G289" s="24">
        <f>G287-G288</f>
        <v>0</v>
      </c>
      <c r="H289" s="24">
        <f t="shared" ref="H289:N289" si="183">H287-H288</f>
        <v>0</v>
      </c>
      <c r="I289" s="24">
        <f t="shared" si="183"/>
        <v>0</v>
      </c>
      <c r="J289" s="24">
        <f t="shared" si="183"/>
        <v>0</v>
      </c>
      <c r="K289" s="24">
        <f t="shared" si="183"/>
        <v>0</v>
      </c>
      <c r="L289" s="24">
        <f t="shared" si="183"/>
        <v>0</v>
      </c>
      <c r="M289" s="24">
        <f t="shared" si="183"/>
        <v>0</v>
      </c>
      <c r="N289" s="24">
        <f t="shared" si="183"/>
        <v>0</v>
      </c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79">
        <f>+AA287-AA288</f>
        <v>0</v>
      </c>
      <c r="AB289" s="23"/>
      <c r="AC289" s="23"/>
      <c r="AD289" s="23"/>
      <c r="AE289" s="23"/>
      <c r="AF289" s="25"/>
      <c r="AG289" s="63"/>
      <c r="AH289" s="123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  <c r="AS289" s="114"/>
      <c r="AT289" s="114"/>
      <c r="AU289" s="114"/>
      <c r="AV289" s="114"/>
      <c r="AW289" s="114"/>
      <c r="AX289" s="114"/>
      <c r="AY289" s="119"/>
      <c r="AZ289" s="119"/>
      <c r="BA289" s="119"/>
      <c r="BB289" s="115"/>
      <c r="BC289" s="115"/>
      <c r="BD289" s="115"/>
      <c r="BE289" s="115"/>
      <c r="BF289" s="115"/>
      <c r="BG289" s="115"/>
      <c r="BH289" s="115"/>
      <c r="BI289" s="115"/>
      <c r="BJ289" s="115"/>
    </row>
    <row r="290" spans="1:62" hidden="1" x14ac:dyDescent="0.35">
      <c r="O290" s="51" t="s">
        <v>970</v>
      </c>
      <c r="P290" s="70">
        <f>+O287-P287</f>
        <v>0</v>
      </c>
      <c r="S290" s="51" t="s">
        <v>970</v>
      </c>
      <c r="T290" s="70">
        <f>+S287-T287</f>
        <v>0</v>
      </c>
      <c r="W290" s="47"/>
      <c r="AY290" s="246"/>
    </row>
    <row r="291" spans="1:62" hidden="1" x14ac:dyDescent="0.35">
      <c r="A291" s="29"/>
      <c r="O291" s="64"/>
      <c r="S291" s="47"/>
      <c r="W291" s="47">
        <f>+D287+H287-K287</f>
        <v>80511.518888000093</v>
      </c>
      <c r="X291" s="47">
        <f>+E287+J287-N287</f>
        <v>449660.13</v>
      </c>
      <c r="AH291" s="116">
        <f>+AH251+AH264+AH258+AH250</f>
        <v>0</v>
      </c>
      <c r="AI291" s="105" t="s">
        <v>932</v>
      </c>
      <c r="AJ291" s="116"/>
      <c r="AK291" s="116"/>
      <c r="AL291" s="116"/>
      <c r="AM291" s="116"/>
      <c r="AN291" s="116"/>
      <c r="AO291" s="116"/>
      <c r="AP291" s="116"/>
      <c r="AQ291" s="116"/>
      <c r="AR291" s="116"/>
      <c r="AS291" s="116"/>
      <c r="AT291" s="116"/>
      <c r="AU291" s="116"/>
      <c r="AV291" s="116"/>
      <c r="AW291" s="116"/>
      <c r="AX291" s="116"/>
      <c r="AY291" s="246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</row>
    <row r="292" spans="1:62" hidden="1" x14ac:dyDescent="0.35">
      <c r="W292" s="104">
        <f>+W287-W291</f>
        <v>0</v>
      </c>
      <c r="X292" s="99">
        <f>+X287-X291</f>
        <v>0</v>
      </c>
      <c r="Y292" s="99"/>
      <c r="AA292" s="47"/>
      <c r="AH292" s="116">
        <f>+AH278</f>
        <v>0</v>
      </c>
      <c r="AI292" s="105" t="s">
        <v>931</v>
      </c>
      <c r="AJ292" s="116"/>
      <c r="AK292" s="116"/>
      <c r="AL292" s="116"/>
      <c r="AM292" s="116"/>
      <c r="AN292" s="116"/>
      <c r="AO292" s="116"/>
      <c r="AP292" s="116"/>
      <c r="AQ292" s="116"/>
      <c r="AR292" s="116"/>
      <c r="AS292" s="116"/>
      <c r="AT292" s="116"/>
      <c r="AU292" s="116"/>
      <c r="AV292" s="116"/>
      <c r="AW292" s="116"/>
      <c r="AX292" s="116"/>
      <c r="AY292" s="246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</row>
    <row r="293" spans="1:62" hidden="1" x14ac:dyDescent="0.35">
      <c r="AH293" s="116">
        <f>+AH270+AH277+AH280+AH284</f>
        <v>0</v>
      </c>
      <c r="AI293" s="105" t="s">
        <v>930</v>
      </c>
      <c r="AJ293" s="116"/>
      <c r="AK293" s="116"/>
      <c r="AL293" s="116"/>
      <c r="AM293" s="116"/>
      <c r="AN293" s="116"/>
      <c r="AO293" s="116"/>
      <c r="AP293" s="116"/>
      <c r="AQ293" s="116"/>
      <c r="AR293" s="116"/>
      <c r="AS293" s="116"/>
      <c r="AT293" s="116"/>
      <c r="AU293" s="116"/>
      <c r="AV293" s="116"/>
      <c r="AW293" s="116"/>
      <c r="AX293" s="116"/>
      <c r="AY293" s="246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</row>
    <row r="294" spans="1:62" hidden="1" x14ac:dyDescent="0.35">
      <c r="AH294" s="116">
        <f>+AH287-AH291-AH292-AH293</f>
        <v>0</v>
      </c>
      <c r="AI294" s="116"/>
      <c r="AJ294" s="116"/>
      <c r="AK294" s="116"/>
      <c r="AL294" s="116"/>
      <c r="AM294" s="116"/>
      <c r="AN294" s="116"/>
      <c r="AO294" s="116"/>
      <c r="AP294" s="116"/>
      <c r="AQ294" s="116"/>
      <c r="AR294" s="116"/>
      <c r="AS294" s="116"/>
      <c r="AT294" s="116"/>
      <c r="AU294" s="116"/>
      <c r="AV294" s="116"/>
      <c r="AW294" s="116"/>
      <c r="AX294" s="116"/>
      <c r="AY294" s="246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4"/>
    </row>
    <row r="295" spans="1:62" hidden="1" x14ac:dyDescent="0.35"/>
    <row r="296" spans="1:62" ht="15" hidden="1" thickBot="1" x14ac:dyDescent="0.4"/>
    <row r="297" spans="1:62" ht="15" hidden="1" thickBot="1" x14ac:dyDescent="0.4">
      <c r="A297" s="5"/>
      <c r="B297" s="5"/>
      <c r="C297" s="8"/>
      <c r="D297" s="539" t="s">
        <v>0</v>
      </c>
      <c r="E297" s="540"/>
      <c r="F297" s="540"/>
      <c r="G297" s="541" t="s">
        <v>2351</v>
      </c>
      <c r="H297" s="542"/>
      <c r="I297" s="542"/>
      <c r="J297" s="542"/>
      <c r="K297" s="542"/>
      <c r="L297" s="542"/>
      <c r="M297" s="542"/>
      <c r="N297" s="542"/>
      <c r="O297" s="542"/>
      <c r="P297" s="542"/>
      <c r="Q297" s="542"/>
      <c r="R297" s="542"/>
      <c r="S297" s="542"/>
      <c r="T297" s="542"/>
      <c r="U297" s="542"/>
      <c r="V297" s="543"/>
      <c r="W297" s="554" t="s">
        <v>20</v>
      </c>
      <c r="X297" s="554"/>
      <c r="Y297" s="554"/>
      <c r="Z297" s="553" t="s">
        <v>929</v>
      </c>
      <c r="AA297" s="553"/>
      <c r="AB297" s="553"/>
      <c r="AC297" s="553" t="s">
        <v>21</v>
      </c>
      <c r="AD297" s="553"/>
      <c r="AE297" s="553"/>
      <c r="AF297" s="13"/>
      <c r="AG297" s="531"/>
      <c r="AH297" s="532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</row>
    <row r="298" spans="1:62" ht="29.5" hidden="1" thickBot="1" x14ac:dyDescent="0.4">
      <c r="A298" s="10" t="s">
        <v>24</v>
      </c>
      <c r="B298" s="10" t="s">
        <v>924</v>
      </c>
      <c r="C298" s="10" t="s">
        <v>23</v>
      </c>
      <c r="D298" s="26" t="s">
        <v>1</v>
      </c>
      <c r="E298" s="27" t="s">
        <v>2</v>
      </c>
      <c r="F298" s="27" t="s">
        <v>3</v>
      </c>
      <c r="G298" s="27" t="s">
        <v>4</v>
      </c>
      <c r="H298" s="27" t="s">
        <v>5</v>
      </c>
      <c r="I298" s="27" t="s">
        <v>6</v>
      </c>
      <c r="J298" s="27" t="s">
        <v>7</v>
      </c>
      <c r="K298" s="27" t="s">
        <v>8</v>
      </c>
      <c r="L298" s="27" t="s">
        <v>9</v>
      </c>
      <c r="M298" s="27" t="s">
        <v>10</v>
      </c>
      <c r="N298" s="27" t="s">
        <v>11</v>
      </c>
      <c r="O298" s="27" t="s">
        <v>12</v>
      </c>
      <c r="P298" s="27" t="s">
        <v>13</v>
      </c>
      <c r="Q298" s="27" t="s">
        <v>14</v>
      </c>
      <c r="R298" s="27" t="s">
        <v>15</v>
      </c>
      <c r="S298" s="27" t="s">
        <v>16</v>
      </c>
      <c r="T298" s="27" t="s">
        <v>17</v>
      </c>
      <c r="U298" s="27" t="s">
        <v>18</v>
      </c>
      <c r="V298" s="27" t="s">
        <v>19</v>
      </c>
      <c r="W298" s="28" t="s">
        <v>1</v>
      </c>
      <c r="X298" s="28" t="s">
        <v>2</v>
      </c>
      <c r="Y298" s="28" t="s">
        <v>3</v>
      </c>
      <c r="Z298" s="28" t="s">
        <v>1</v>
      </c>
      <c r="AA298" s="50" t="s">
        <v>2</v>
      </c>
      <c r="AB298" s="27" t="s">
        <v>3</v>
      </c>
      <c r="AC298" s="27" t="s">
        <v>1</v>
      </c>
      <c r="AD298" s="27" t="s">
        <v>2</v>
      </c>
      <c r="AE298" s="27" t="s">
        <v>3</v>
      </c>
      <c r="AF298" s="55" t="s">
        <v>22</v>
      </c>
      <c r="AG298" s="59" t="s">
        <v>934</v>
      </c>
      <c r="AH298" s="110" t="s">
        <v>933</v>
      </c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2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</row>
    <row r="299" spans="1:62" hidden="1" x14ac:dyDescent="0.35">
      <c r="A299" s="15" t="str">
        <f>VLOOKUP(C299,Master!A:D,4,0)</f>
        <v>RM</v>
      </c>
      <c r="B299" s="16" t="str">
        <f>VLOOKUP(C299,Master!A:C,3,0)</f>
        <v>Granuals</v>
      </c>
      <c r="C299" s="16" t="s">
        <v>32</v>
      </c>
      <c r="D299" s="17">
        <f>+W250</f>
        <v>2494.8000000000002</v>
      </c>
      <c r="E299" s="17">
        <f t="shared" ref="E299:F299" si="184">+X250</f>
        <v>200</v>
      </c>
      <c r="F299" s="17">
        <f t="shared" si="184"/>
        <v>0</v>
      </c>
      <c r="G299" s="17"/>
      <c r="H299" s="17"/>
      <c r="I299" s="71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94">
        <f t="shared" ref="U299:U331" si="185">O299-S299</f>
        <v>0</v>
      </c>
      <c r="V299" s="94">
        <f t="shared" ref="V299:V331" si="186">P299-T299</f>
        <v>0</v>
      </c>
      <c r="W299" s="17">
        <f>D299+G299+H299+I299-K299-L299-M299-V299+U299</f>
        <v>2494.8000000000002</v>
      </c>
      <c r="X299" s="17">
        <f t="shared" ref="X299:X300" si="187">E299+J299-N299-T299+S299</f>
        <v>200</v>
      </c>
      <c r="Y299" s="17">
        <v>0</v>
      </c>
      <c r="Z299" s="48">
        <v>0</v>
      </c>
      <c r="AA299" s="49">
        <v>0</v>
      </c>
      <c r="AB299" s="45">
        <v>0</v>
      </c>
      <c r="AC299" s="72">
        <f>W299-Z299</f>
        <v>2494.8000000000002</v>
      </c>
      <c r="AD299" s="72">
        <f>X299-AA299</f>
        <v>200</v>
      </c>
      <c r="AE299" s="18">
        <f>Y299-AB299</f>
        <v>0</v>
      </c>
      <c r="AF299" s="56"/>
      <c r="AG299" s="61"/>
      <c r="AH299" s="113">
        <f>+W299*AG299</f>
        <v>0</v>
      </c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  <c r="AT299" s="114"/>
      <c r="AU299" s="114"/>
      <c r="AV299" s="114"/>
      <c r="AW299" s="114"/>
      <c r="AX299" s="114"/>
      <c r="AY299" s="119"/>
      <c r="AZ299" s="115"/>
      <c r="BA299" s="115"/>
      <c r="BB299" s="115"/>
      <c r="BC299" s="115"/>
      <c r="BD299" s="115"/>
      <c r="BE299" s="115"/>
      <c r="BF299" s="115"/>
      <c r="BG299" s="115"/>
      <c r="BH299" s="115"/>
      <c r="BI299" s="115"/>
      <c r="BJ299" s="115"/>
    </row>
    <row r="300" spans="1:62" hidden="1" x14ac:dyDescent="0.35">
      <c r="A300" s="19" t="str">
        <f>VLOOKUP(C300,Master!A:D,4,0)</f>
        <v>RM</v>
      </c>
      <c r="B300" s="14" t="str">
        <f>VLOOKUP(C300,Master!A:C,3,0)</f>
        <v>Granuals</v>
      </c>
      <c r="C300" s="14" t="s">
        <v>37</v>
      </c>
      <c r="D300" s="2">
        <f>+W251</f>
        <v>29994.720000000001</v>
      </c>
      <c r="E300" s="2">
        <f t="shared" ref="E300:F300" si="188">+X251</f>
        <v>341299.7</v>
      </c>
      <c r="F300" s="2">
        <f t="shared" si="188"/>
        <v>0</v>
      </c>
      <c r="G300" s="2"/>
      <c r="H300" s="2"/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54">
        <f t="shared" si="185"/>
        <v>0</v>
      </c>
      <c r="V300" s="54">
        <f t="shared" si="186"/>
        <v>0</v>
      </c>
      <c r="W300" s="54">
        <f t="shared" ref="W300" si="189">D300+G300+H300+I300-K300-L300-M300-V300+U300</f>
        <v>29994.720000000001</v>
      </c>
      <c r="X300" s="2">
        <f t="shared" si="187"/>
        <v>341299.7</v>
      </c>
      <c r="Y300" s="2">
        <v>0</v>
      </c>
      <c r="Z300" s="46">
        <v>0</v>
      </c>
      <c r="AA300" s="46">
        <v>0</v>
      </c>
      <c r="AB300" s="46">
        <v>0</v>
      </c>
      <c r="AC300" s="58">
        <f t="shared" ref="AC300:AC335" si="190">W300-Z300</f>
        <v>29994.720000000001</v>
      </c>
      <c r="AD300" s="58">
        <f t="shared" ref="AD300:AD335" si="191">X300-AA300</f>
        <v>341299.7</v>
      </c>
      <c r="AE300" s="12">
        <f t="shared" ref="AE300:AE335" si="192">Y300-AB300</f>
        <v>0</v>
      </c>
      <c r="AF300" s="56"/>
      <c r="AG300" s="60"/>
      <c r="AH300" s="127">
        <f>+W300*AG300</f>
        <v>0</v>
      </c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  <c r="AV300" s="114"/>
      <c r="AW300" s="114"/>
      <c r="AX300" s="114"/>
      <c r="AY300" s="119"/>
      <c r="AZ300" s="115"/>
      <c r="BA300" s="243"/>
      <c r="BB300" s="115"/>
      <c r="BC300" s="115"/>
      <c r="BD300" s="115"/>
      <c r="BE300" s="115"/>
      <c r="BF300" s="115"/>
      <c r="BG300" s="115"/>
      <c r="BH300" s="115"/>
      <c r="BI300" s="115"/>
      <c r="BJ300" s="115"/>
    </row>
    <row r="301" spans="1:62" hidden="1" x14ac:dyDescent="0.35">
      <c r="A301" s="19" t="str">
        <f>VLOOKUP(C301,Master!A:D,4,0)</f>
        <v>RM</v>
      </c>
      <c r="B301" s="14" t="str">
        <f>VLOOKUP(C301,Master!A:C,3,0)</f>
        <v>Granuals</v>
      </c>
      <c r="C301" s="14" t="s">
        <v>40</v>
      </c>
      <c r="D301" s="2">
        <f t="shared" ref="D301:F301" si="193">+W252</f>
        <v>0</v>
      </c>
      <c r="E301" s="2">
        <f t="shared" si="193"/>
        <v>0</v>
      </c>
      <c r="F301" s="2">
        <f t="shared" si="193"/>
        <v>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54">
        <f t="shared" si="185"/>
        <v>0</v>
      </c>
      <c r="V301" s="54">
        <f t="shared" si="186"/>
        <v>0</v>
      </c>
      <c r="W301" s="54">
        <f t="shared" ref="W301:W335" si="194">D301+G301+H301+I301-K301-L301-M301-V301+U301</f>
        <v>0</v>
      </c>
      <c r="X301" s="2">
        <f t="shared" ref="X301:X335" si="195">E301+J301-N301-T301+S301</f>
        <v>0</v>
      </c>
      <c r="Y301" s="2">
        <v>0</v>
      </c>
      <c r="Z301" s="46">
        <v>0</v>
      </c>
      <c r="AA301" s="46">
        <v>0</v>
      </c>
      <c r="AB301" s="46">
        <v>0</v>
      </c>
      <c r="AC301" s="58">
        <f t="shared" si="190"/>
        <v>0</v>
      </c>
      <c r="AD301" s="58">
        <f t="shared" si="191"/>
        <v>0</v>
      </c>
      <c r="AE301" s="12">
        <f t="shared" si="192"/>
        <v>0</v>
      </c>
      <c r="AF301" s="56"/>
      <c r="AG301" s="62"/>
      <c r="AH301" s="117">
        <f t="shared" ref="AH301:AH335" si="196">+W301*AG301</f>
        <v>0</v>
      </c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  <c r="AV301" s="114"/>
      <c r="AW301" s="114"/>
      <c r="AX301" s="114"/>
      <c r="AY301" s="119"/>
      <c r="AZ301" s="115"/>
      <c r="BA301" s="115"/>
      <c r="BB301" s="115"/>
      <c r="BC301" s="115"/>
      <c r="BD301" s="115"/>
      <c r="BE301" s="115"/>
      <c r="BF301" s="115"/>
      <c r="BG301" s="115"/>
      <c r="BH301" s="115"/>
      <c r="BI301" s="115"/>
      <c r="BJ301" s="115"/>
    </row>
    <row r="302" spans="1:62" hidden="1" x14ac:dyDescent="0.35">
      <c r="A302" s="19" t="str">
        <f>VLOOKUP(C302,Master!A:D,4,0)</f>
        <v>RM</v>
      </c>
      <c r="B302" s="14" t="str">
        <f>VLOOKUP(C302,Master!A:C,3,0)</f>
        <v>Granuals</v>
      </c>
      <c r="C302" s="14" t="s">
        <v>46</v>
      </c>
      <c r="D302" s="2">
        <f t="shared" ref="D302:F302" si="197">+W253</f>
        <v>0</v>
      </c>
      <c r="E302" s="2">
        <f t="shared" si="197"/>
        <v>15000</v>
      </c>
      <c r="F302" s="2">
        <f t="shared" si="197"/>
        <v>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54">
        <f t="shared" si="185"/>
        <v>0</v>
      </c>
      <c r="V302" s="54">
        <f t="shared" si="186"/>
        <v>0</v>
      </c>
      <c r="W302" s="54">
        <f t="shared" si="194"/>
        <v>0</v>
      </c>
      <c r="X302" s="2">
        <f t="shared" si="195"/>
        <v>15000</v>
      </c>
      <c r="Y302" s="2">
        <v>0</v>
      </c>
      <c r="Z302" s="46">
        <v>0</v>
      </c>
      <c r="AA302" s="46">
        <v>0</v>
      </c>
      <c r="AB302" s="46">
        <v>0</v>
      </c>
      <c r="AC302" s="58">
        <f t="shared" si="190"/>
        <v>0</v>
      </c>
      <c r="AD302" s="58">
        <f t="shared" si="191"/>
        <v>15000</v>
      </c>
      <c r="AE302" s="12">
        <f t="shared" si="192"/>
        <v>0</v>
      </c>
      <c r="AF302" s="56"/>
      <c r="AG302" s="62"/>
      <c r="AH302" s="117">
        <f t="shared" si="196"/>
        <v>0</v>
      </c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  <c r="AV302" s="114"/>
      <c r="AW302" s="114"/>
      <c r="AX302" s="114"/>
      <c r="AY302" s="119"/>
      <c r="AZ302" s="115"/>
      <c r="BA302" s="115"/>
      <c r="BB302" s="115"/>
      <c r="BC302" s="115"/>
      <c r="BD302" s="115"/>
      <c r="BE302" s="115"/>
      <c r="BF302" s="115"/>
      <c r="BG302" s="115"/>
      <c r="BH302" s="115"/>
      <c r="BI302" s="115"/>
      <c r="BJ302" s="115"/>
    </row>
    <row r="303" spans="1:62" hidden="1" x14ac:dyDescent="0.35">
      <c r="A303" s="19" t="str">
        <f>VLOOKUP(C303,Master!A:D,4,0)</f>
        <v>RM</v>
      </c>
      <c r="B303" s="14" t="str">
        <f>VLOOKUP(C303,Master!A:C,3,0)</f>
        <v>Granuals</v>
      </c>
      <c r="C303" s="14" t="s">
        <v>49</v>
      </c>
      <c r="D303" s="2">
        <f t="shared" ref="D303:F303" si="198">+W254</f>
        <v>0</v>
      </c>
      <c r="E303" s="2">
        <f t="shared" si="198"/>
        <v>0</v>
      </c>
      <c r="F303" s="2">
        <f t="shared" si="198"/>
        <v>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54">
        <f t="shared" si="185"/>
        <v>0</v>
      </c>
      <c r="V303" s="54">
        <f t="shared" si="186"/>
        <v>0</v>
      </c>
      <c r="W303" s="54">
        <f t="shared" si="194"/>
        <v>0</v>
      </c>
      <c r="X303" s="2">
        <f t="shared" si="195"/>
        <v>0</v>
      </c>
      <c r="Y303" s="2">
        <v>0</v>
      </c>
      <c r="Z303" s="46">
        <v>0</v>
      </c>
      <c r="AA303" s="46">
        <v>0</v>
      </c>
      <c r="AB303" s="46">
        <v>0</v>
      </c>
      <c r="AC303" s="58">
        <f t="shared" si="190"/>
        <v>0</v>
      </c>
      <c r="AD303" s="58">
        <f t="shared" si="191"/>
        <v>0</v>
      </c>
      <c r="AE303" s="12">
        <f t="shared" si="192"/>
        <v>0</v>
      </c>
      <c r="AF303" s="56"/>
      <c r="AG303" s="62"/>
      <c r="AH303" s="117">
        <f t="shared" si="196"/>
        <v>0</v>
      </c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  <c r="AT303" s="114"/>
      <c r="AU303" s="114"/>
      <c r="AV303" s="114"/>
      <c r="AW303" s="114"/>
      <c r="AX303" s="114"/>
      <c r="AY303" s="119"/>
      <c r="AZ303" s="115"/>
      <c r="BA303" s="115"/>
      <c r="BB303" s="115"/>
      <c r="BC303" s="115"/>
      <c r="BD303" s="115"/>
      <c r="BE303" s="115"/>
      <c r="BF303" s="115"/>
      <c r="BG303" s="115"/>
      <c r="BH303" s="115"/>
      <c r="BI303" s="115"/>
      <c r="BJ303" s="115"/>
    </row>
    <row r="304" spans="1:62" hidden="1" x14ac:dyDescent="0.35">
      <c r="A304" s="19" t="str">
        <f>VLOOKUP(C304,Master!A:D,4,0)</f>
        <v>RM</v>
      </c>
      <c r="B304" s="14" t="str">
        <f>VLOOKUP(C304,Master!A:C,3,0)</f>
        <v>Granuals</v>
      </c>
      <c r="C304" s="14" t="s">
        <v>55</v>
      </c>
      <c r="D304" s="2">
        <f t="shared" ref="D304:F304" si="199">+W255</f>
        <v>0</v>
      </c>
      <c r="E304" s="2">
        <f t="shared" si="199"/>
        <v>25550</v>
      </c>
      <c r="F304" s="2">
        <f t="shared" si="199"/>
        <v>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54">
        <f t="shared" si="185"/>
        <v>0</v>
      </c>
      <c r="V304" s="54">
        <f t="shared" si="186"/>
        <v>0</v>
      </c>
      <c r="W304" s="54">
        <f t="shared" si="194"/>
        <v>0</v>
      </c>
      <c r="X304" s="2">
        <f t="shared" si="195"/>
        <v>25550</v>
      </c>
      <c r="Y304" s="2">
        <v>0</v>
      </c>
      <c r="Z304" s="46">
        <v>0</v>
      </c>
      <c r="AA304" s="46">
        <v>0</v>
      </c>
      <c r="AB304" s="46">
        <v>0</v>
      </c>
      <c r="AC304" s="58">
        <f t="shared" si="190"/>
        <v>0</v>
      </c>
      <c r="AD304" s="58">
        <f t="shared" si="191"/>
        <v>25550</v>
      </c>
      <c r="AE304" s="12">
        <f t="shared" si="192"/>
        <v>0</v>
      </c>
      <c r="AF304" s="56"/>
      <c r="AG304" s="62"/>
      <c r="AH304" s="117">
        <f t="shared" si="196"/>
        <v>0</v>
      </c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  <c r="AT304" s="114"/>
      <c r="AU304" s="114"/>
      <c r="AV304" s="114"/>
      <c r="AW304" s="114"/>
      <c r="AX304" s="114"/>
      <c r="AY304" s="119"/>
      <c r="AZ304" s="115"/>
      <c r="BA304" s="115"/>
      <c r="BB304" s="115"/>
      <c r="BC304" s="115"/>
      <c r="BD304" s="115"/>
      <c r="BE304" s="115"/>
      <c r="BF304" s="115"/>
      <c r="BG304" s="115"/>
      <c r="BH304" s="115"/>
      <c r="BI304" s="115"/>
      <c r="BJ304" s="115"/>
    </row>
    <row r="305" spans="1:62" hidden="1" x14ac:dyDescent="0.35">
      <c r="A305" s="19" t="str">
        <f>VLOOKUP(C305,Master!A:D,4,0)</f>
        <v>RM</v>
      </c>
      <c r="B305" s="14" t="str">
        <f>VLOOKUP(C305,Master!A:C,3,0)</f>
        <v>FIBC Accessories</v>
      </c>
      <c r="C305" s="14" t="s">
        <v>69</v>
      </c>
      <c r="D305" s="2">
        <f t="shared" ref="D305:F305" si="200">+W256</f>
        <v>0</v>
      </c>
      <c r="E305" s="2">
        <f t="shared" si="200"/>
        <v>0</v>
      </c>
      <c r="F305" s="2">
        <f t="shared" si="200"/>
        <v>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54">
        <f t="shared" si="185"/>
        <v>0</v>
      </c>
      <c r="V305" s="54">
        <f t="shared" si="186"/>
        <v>0</v>
      </c>
      <c r="W305" s="54">
        <f t="shared" si="194"/>
        <v>0</v>
      </c>
      <c r="X305" s="2">
        <f t="shared" si="195"/>
        <v>0</v>
      </c>
      <c r="Y305" s="2">
        <v>0</v>
      </c>
      <c r="Z305" s="46">
        <v>0</v>
      </c>
      <c r="AA305" s="46">
        <v>0</v>
      </c>
      <c r="AB305" s="46">
        <v>0</v>
      </c>
      <c r="AC305" s="58">
        <f t="shared" si="190"/>
        <v>0</v>
      </c>
      <c r="AD305" s="58">
        <f t="shared" si="191"/>
        <v>0</v>
      </c>
      <c r="AE305" s="12">
        <f t="shared" si="192"/>
        <v>0</v>
      </c>
      <c r="AF305" s="56"/>
      <c r="AG305" s="62"/>
      <c r="AH305" s="117">
        <f t="shared" si="196"/>
        <v>0</v>
      </c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  <c r="AT305" s="114"/>
      <c r="AU305" s="114"/>
      <c r="AV305" s="114"/>
      <c r="AW305" s="114"/>
      <c r="AX305" s="114"/>
      <c r="AY305" s="119"/>
      <c r="AZ305" s="115"/>
      <c r="BA305" s="115"/>
      <c r="BB305" s="115"/>
      <c r="BC305" s="115"/>
      <c r="BD305" s="115"/>
      <c r="BE305" s="115"/>
      <c r="BF305" s="115"/>
      <c r="BG305" s="115"/>
      <c r="BH305" s="115"/>
      <c r="BI305" s="115"/>
      <c r="BJ305" s="115"/>
    </row>
    <row r="306" spans="1:62" hidden="1" x14ac:dyDescent="0.35">
      <c r="A306" s="19" t="str">
        <f>VLOOKUP(C306,Master!A:D,4,0)</f>
        <v>RM</v>
      </c>
      <c r="B306" s="14" t="str">
        <f>VLOOKUP(C306,Master!A:C,3,0)</f>
        <v>Films All</v>
      </c>
      <c r="C306" s="14" t="s">
        <v>71</v>
      </c>
      <c r="D306" s="2">
        <f t="shared" ref="D306:F306" si="201">+W257</f>
        <v>0</v>
      </c>
      <c r="E306" s="2">
        <f t="shared" si="201"/>
        <v>0</v>
      </c>
      <c r="F306" s="2">
        <f t="shared" si="201"/>
        <v>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54">
        <f t="shared" si="185"/>
        <v>0</v>
      </c>
      <c r="V306" s="54">
        <f t="shared" si="186"/>
        <v>0</v>
      </c>
      <c r="W306" s="54">
        <f t="shared" si="194"/>
        <v>0</v>
      </c>
      <c r="X306" s="2">
        <f t="shared" si="195"/>
        <v>0</v>
      </c>
      <c r="Y306" s="2">
        <v>0</v>
      </c>
      <c r="Z306" s="46">
        <v>0</v>
      </c>
      <c r="AA306" s="46">
        <v>0</v>
      </c>
      <c r="AB306" s="46">
        <v>0</v>
      </c>
      <c r="AC306" s="58">
        <f t="shared" si="190"/>
        <v>0</v>
      </c>
      <c r="AD306" s="58">
        <f t="shared" si="191"/>
        <v>0</v>
      </c>
      <c r="AE306" s="12">
        <f t="shared" si="192"/>
        <v>0</v>
      </c>
      <c r="AF306" s="56"/>
      <c r="AG306" s="62"/>
      <c r="AH306" s="117">
        <f t="shared" si="196"/>
        <v>0</v>
      </c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  <c r="AT306" s="114"/>
      <c r="AU306" s="114"/>
      <c r="AV306" s="114"/>
      <c r="AW306" s="114"/>
      <c r="AX306" s="114"/>
      <c r="AY306" s="119"/>
      <c r="AZ306" s="115"/>
      <c r="BA306" s="115"/>
      <c r="BB306" s="115"/>
      <c r="BC306" s="115"/>
      <c r="BD306" s="115"/>
      <c r="BE306" s="115"/>
      <c r="BF306" s="115"/>
      <c r="BG306" s="115"/>
      <c r="BH306" s="115"/>
      <c r="BI306" s="115"/>
      <c r="BJ306" s="115"/>
    </row>
    <row r="307" spans="1:62" hidden="1" x14ac:dyDescent="0.35">
      <c r="A307" s="19" t="str">
        <f>VLOOKUP(C307,Master!A:D,4,0)</f>
        <v>RM</v>
      </c>
      <c r="B307" s="14" t="str">
        <f>VLOOKUP(C307,Master!A:C,3,0)</f>
        <v>Granuals</v>
      </c>
      <c r="C307" s="14" t="s">
        <v>85</v>
      </c>
      <c r="D307" s="2">
        <f t="shared" ref="D307:F307" si="202">+W258</f>
        <v>0</v>
      </c>
      <c r="E307" s="2">
        <f t="shared" si="202"/>
        <v>0</v>
      </c>
      <c r="F307" s="2">
        <f t="shared" si="202"/>
        <v>0</v>
      </c>
      <c r="G307" s="2"/>
      <c r="H307" s="2"/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54">
        <f t="shared" si="185"/>
        <v>0</v>
      </c>
      <c r="V307" s="54">
        <f t="shared" si="186"/>
        <v>0</v>
      </c>
      <c r="W307" s="54">
        <f t="shared" si="194"/>
        <v>0</v>
      </c>
      <c r="X307" s="2">
        <f t="shared" si="195"/>
        <v>0</v>
      </c>
      <c r="Y307" s="2">
        <v>0</v>
      </c>
      <c r="Z307" s="46">
        <v>0</v>
      </c>
      <c r="AA307" s="46">
        <v>0</v>
      </c>
      <c r="AB307" s="46">
        <v>0</v>
      </c>
      <c r="AC307" s="58">
        <f t="shared" si="190"/>
        <v>0</v>
      </c>
      <c r="AD307" s="58">
        <f t="shared" si="191"/>
        <v>0</v>
      </c>
      <c r="AE307" s="12">
        <f t="shared" si="192"/>
        <v>0</v>
      </c>
      <c r="AF307" s="56"/>
      <c r="AG307" s="62"/>
      <c r="AH307" s="117">
        <f t="shared" si="196"/>
        <v>0</v>
      </c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  <c r="AT307" s="114"/>
      <c r="AU307" s="114"/>
      <c r="AV307" s="114"/>
      <c r="AW307" s="114"/>
      <c r="AX307" s="114"/>
      <c r="AY307" s="119"/>
      <c r="AZ307" s="115"/>
      <c r="BA307" s="115"/>
      <c r="BB307" s="115"/>
      <c r="BC307" s="115"/>
      <c r="BD307" s="115"/>
      <c r="BE307" s="115"/>
      <c r="BF307" s="115"/>
      <c r="BG307" s="115"/>
      <c r="BH307" s="115"/>
      <c r="BI307" s="115"/>
      <c r="BJ307" s="115"/>
    </row>
    <row r="308" spans="1:62" hidden="1" x14ac:dyDescent="0.35">
      <c r="A308" s="19" t="str">
        <f>VLOOKUP(C308,Master!A:D,4,0)</f>
        <v>RM</v>
      </c>
      <c r="B308" s="14" t="str">
        <f>VLOOKUP(C308,Master!A:C,3,0)</f>
        <v>Films All</v>
      </c>
      <c r="C308" s="14" t="s">
        <v>180</v>
      </c>
      <c r="D308" s="2">
        <f t="shared" ref="D308:F308" si="203">+W259</f>
        <v>0</v>
      </c>
      <c r="E308" s="2">
        <f t="shared" si="203"/>
        <v>0</v>
      </c>
      <c r="F308" s="2">
        <f t="shared" si="203"/>
        <v>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54">
        <f t="shared" si="185"/>
        <v>0</v>
      </c>
      <c r="V308" s="54">
        <f t="shared" si="186"/>
        <v>0</v>
      </c>
      <c r="W308" s="54">
        <f t="shared" si="194"/>
        <v>0</v>
      </c>
      <c r="X308" s="2">
        <f t="shared" si="195"/>
        <v>0</v>
      </c>
      <c r="Y308" s="2">
        <v>0</v>
      </c>
      <c r="Z308" s="46">
        <v>0</v>
      </c>
      <c r="AA308" s="46">
        <v>0</v>
      </c>
      <c r="AB308" s="46">
        <v>0</v>
      </c>
      <c r="AC308" s="58">
        <f t="shared" si="190"/>
        <v>0</v>
      </c>
      <c r="AD308" s="58">
        <f t="shared" si="191"/>
        <v>0</v>
      </c>
      <c r="AE308" s="12">
        <f t="shared" si="192"/>
        <v>0</v>
      </c>
      <c r="AF308" s="56"/>
      <c r="AG308" s="62"/>
      <c r="AH308" s="117">
        <f t="shared" si="196"/>
        <v>0</v>
      </c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  <c r="AT308" s="114"/>
      <c r="AU308" s="114"/>
      <c r="AV308" s="114"/>
      <c r="AW308" s="114"/>
      <c r="AX308" s="114"/>
      <c r="AY308" s="119"/>
      <c r="AZ308" s="115"/>
      <c r="BA308" s="115"/>
      <c r="BB308" s="115"/>
      <c r="BC308" s="115"/>
      <c r="BD308" s="115"/>
      <c r="BE308" s="115"/>
      <c r="BF308" s="115"/>
      <c r="BG308" s="115"/>
      <c r="BH308" s="115"/>
      <c r="BI308" s="115"/>
      <c r="BJ308" s="115"/>
    </row>
    <row r="309" spans="1:62" hidden="1" x14ac:dyDescent="0.35">
      <c r="A309" s="19" t="str">
        <f>VLOOKUP(C309,Master!A:D,4,0)</f>
        <v>RM</v>
      </c>
      <c r="B309" s="14" t="str">
        <f>VLOOKUP(C309,Master!A:C,3,0)</f>
        <v>Granuals</v>
      </c>
      <c r="C309" s="14" t="s">
        <v>277</v>
      </c>
      <c r="D309" s="2">
        <f t="shared" ref="D309:F309" si="204">+W260</f>
        <v>0</v>
      </c>
      <c r="E309" s="2">
        <f t="shared" si="204"/>
        <v>0</v>
      </c>
      <c r="F309" s="2">
        <f t="shared" si="204"/>
        <v>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54">
        <f t="shared" si="185"/>
        <v>0</v>
      </c>
      <c r="V309" s="54">
        <f t="shared" si="186"/>
        <v>0</v>
      </c>
      <c r="W309" s="54">
        <f t="shared" si="194"/>
        <v>0</v>
      </c>
      <c r="X309" s="2">
        <f t="shared" si="195"/>
        <v>0</v>
      </c>
      <c r="Y309" s="2">
        <v>0</v>
      </c>
      <c r="Z309" s="46">
        <v>0</v>
      </c>
      <c r="AA309" s="46">
        <v>0</v>
      </c>
      <c r="AB309" s="46">
        <v>0</v>
      </c>
      <c r="AC309" s="58">
        <f t="shared" si="190"/>
        <v>0</v>
      </c>
      <c r="AD309" s="58">
        <f t="shared" si="191"/>
        <v>0</v>
      </c>
      <c r="AE309" s="12">
        <f t="shared" si="192"/>
        <v>0</v>
      </c>
      <c r="AF309" s="56"/>
      <c r="AG309" s="62"/>
      <c r="AH309" s="117">
        <f t="shared" si="196"/>
        <v>0</v>
      </c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  <c r="AV309" s="114"/>
      <c r="AW309" s="114"/>
      <c r="AX309" s="114"/>
      <c r="AY309" s="119"/>
      <c r="AZ309" s="115"/>
      <c r="BA309" s="115"/>
      <c r="BB309" s="115"/>
      <c r="BC309" s="115"/>
      <c r="BD309" s="115"/>
      <c r="BE309" s="115"/>
      <c r="BF309" s="115"/>
      <c r="BG309" s="115"/>
      <c r="BH309" s="115"/>
      <c r="BI309" s="115"/>
      <c r="BJ309" s="115"/>
    </row>
    <row r="310" spans="1:62" hidden="1" x14ac:dyDescent="0.35">
      <c r="A310" s="19" t="str">
        <f>VLOOKUP(C310,Master!A:D,4,0)</f>
        <v>RM</v>
      </c>
      <c r="B310" s="14" t="str">
        <f>VLOOKUP(C310,Master!A:C,3,0)</f>
        <v>Granuals</v>
      </c>
      <c r="C310" s="14" t="s">
        <v>387</v>
      </c>
      <c r="D310" s="2">
        <f t="shared" ref="D310:F310" si="205">+W261</f>
        <v>0</v>
      </c>
      <c r="E310" s="2">
        <f t="shared" si="205"/>
        <v>0</v>
      </c>
      <c r="F310" s="2">
        <f t="shared" si="205"/>
        <v>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54">
        <f t="shared" si="185"/>
        <v>0</v>
      </c>
      <c r="V310" s="54">
        <f t="shared" si="186"/>
        <v>0</v>
      </c>
      <c r="W310" s="54">
        <f t="shared" si="194"/>
        <v>0</v>
      </c>
      <c r="X310" s="2">
        <f t="shared" si="195"/>
        <v>0</v>
      </c>
      <c r="Y310" s="2">
        <v>0</v>
      </c>
      <c r="Z310" s="46">
        <v>0</v>
      </c>
      <c r="AA310" s="46">
        <v>0</v>
      </c>
      <c r="AB310" s="46">
        <v>0</v>
      </c>
      <c r="AC310" s="58">
        <f t="shared" si="190"/>
        <v>0</v>
      </c>
      <c r="AD310" s="58">
        <f t="shared" si="191"/>
        <v>0</v>
      </c>
      <c r="AE310" s="12">
        <f t="shared" si="192"/>
        <v>0</v>
      </c>
      <c r="AF310" s="56"/>
      <c r="AG310" s="62"/>
      <c r="AH310" s="117">
        <f t="shared" si="196"/>
        <v>0</v>
      </c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  <c r="AV310" s="114"/>
      <c r="AW310" s="114"/>
      <c r="AX310" s="114"/>
      <c r="AY310" s="119"/>
      <c r="AZ310" s="115"/>
      <c r="BA310" s="115"/>
      <c r="BB310" s="115"/>
      <c r="BC310" s="115"/>
      <c r="BD310" s="115"/>
      <c r="BE310" s="115"/>
      <c r="BF310" s="115"/>
      <c r="BG310" s="115"/>
      <c r="BH310" s="115"/>
      <c r="BI310" s="115"/>
      <c r="BJ310" s="115"/>
    </row>
    <row r="311" spans="1:62" hidden="1" x14ac:dyDescent="0.35">
      <c r="A311" s="19" t="str">
        <f>VLOOKUP(C311,Master!A:D,4,0)</f>
        <v>RM</v>
      </c>
      <c r="B311" s="14" t="str">
        <f>VLOOKUP(C311,Master!A:C,3,0)</f>
        <v>Films All</v>
      </c>
      <c r="C311" s="14" t="s">
        <v>398</v>
      </c>
      <c r="D311" s="2">
        <f t="shared" ref="D311:F311" si="206">+W262</f>
        <v>0</v>
      </c>
      <c r="E311" s="2">
        <f t="shared" si="206"/>
        <v>0</v>
      </c>
      <c r="F311" s="2">
        <f t="shared" si="206"/>
        <v>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54">
        <f t="shared" si="185"/>
        <v>0</v>
      </c>
      <c r="V311" s="54">
        <f t="shared" si="186"/>
        <v>0</v>
      </c>
      <c r="W311" s="54">
        <f t="shared" si="194"/>
        <v>0</v>
      </c>
      <c r="X311" s="2">
        <f t="shared" si="195"/>
        <v>0</v>
      </c>
      <c r="Y311" s="2">
        <v>0</v>
      </c>
      <c r="Z311" s="46">
        <v>0</v>
      </c>
      <c r="AA311" s="46">
        <v>0</v>
      </c>
      <c r="AB311" s="46">
        <v>0</v>
      </c>
      <c r="AC311" s="58">
        <f t="shared" si="190"/>
        <v>0</v>
      </c>
      <c r="AD311" s="58">
        <f t="shared" si="191"/>
        <v>0</v>
      </c>
      <c r="AE311" s="12">
        <f t="shared" si="192"/>
        <v>0</v>
      </c>
      <c r="AF311" s="56"/>
      <c r="AG311" s="62"/>
      <c r="AH311" s="117">
        <f t="shared" si="196"/>
        <v>0</v>
      </c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  <c r="AV311" s="114"/>
      <c r="AW311" s="114"/>
      <c r="AX311" s="114"/>
      <c r="AY311" s="119"/>
      <c r="AZ311" s="115"/>
      <c r="BA311" s="115"/>
      <c r="BB311" s="115"/>
      <c r="BC311" s="115"/>
      <c r="BD311" s="115"/>
      <c r="BE311" s="115"/>
      <c r="BF311" s="115"/>
      <c r="BG311" s="115"/>
      <c r="BH311" s="115"/>
      <c r="BI311" s="115"/>
      <c r="BJ311" s="115"/>
    </row>
    <row r="312" spans="1:62" hidden="1" x14ac:dyDescent="0.35">
      <c r="A312" s="19" t="str">
        <f>VLOOKUP(C312,Master!A:D,4,0)</f>
        <v>RM</v>
      </c>
      <c r="B312" s="14" t="str">
        <f>VLOOKUP(C312,Master!A:C,3,0)</f>
        <v>Granuals</v>
      </c>
      <c r="C312" s="14" t="s">
        <v>417</v>
      </c>
      <c r="D312" s="2">
        <f t="shared" ref="D312:F312" si="207">+W263</f>
        <v>0</v>
      </c>
      <c r="E312" s="2">
        <f t="shared" si="207"/>
        <v>0</v>
      </c>
      <c r="F312" s="2">
        <f t="shared" si="207"/>
        <v>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54">
        <f t="shared" si="185"/>
        <v>0</v>
      </c>
      <c r="V312" s="54">
        <f t="shared" si="186"/>
        <v>0</v>
      </c>
      <c r="W312" s="54">
        <f t="shared" si="194"/>
        <v>0</v>
      </c>
      <c r="X312" s="2">
        <f t="shared" si="195"/>
        <v>0</v>
      </c>
      <c r="Y312" s="2">
        <v>0</v>
      </c>
      <c r="Z312" s="46">
        <v>0</v>
      </c>
      <c r="AA312" s="46">
        <v>0</v>
      </c>
      <c r="AB312" s="46">
        <v>0</v>
      </c>
      <c r="AC312" s="58">
        <f t="shared" si="190"/>
        <v>0</v>
      </c>
      <c r="AD312" s="58">
        <f t="shared" si="191"/>
        <v>0</v>
      </c>
      <c r="AE312" s="12">
        <f t="shared" si="192"/>
        <v>0</v>
      </c>
      <c r="AF312" s="56"/>
      <c r="AG312" s="62"/>
      <c r="AH312" s="117">
        <f t="shared" si="196"/>
        <v>0</v>
      </c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  <c r="AV312" s="114"/>
      <c r="AW312" s="114"/>
      <c r="AX312" s="114"/>
      <c r="AY312" s="119"/>
      <c r="AZ312" s="115"/>
      <c r="BA312" s="115"/>
      <c r="BB312" s="115"/>
      <c r="BC312" s="115"/>
      <c r="BD312" s="115"/>
      <c r="BE312" s="115"/>
      <c r="BF312" s="115"/>
      <c r="BG312" s="115"/>
      <c r="BH312" s="115"/>
      <c r="BI312" s="115"/>
      <c r="BJ312" s="115"/>
    </row>
    <row r="313" spans="1:62" hidden="1" x14ac:dyDescent="0.35">
      <c r="A313" s="19" t="str">
        <f>VLOOKUP(C313,Master!A:D,4,0)</f>
        <v>SF</v>
      </c>
      <c r="B313" s="14" t="str">
        <f>VLOOKUP(C313,Master!A:C,3,0)</f>
        <v>Yarn All</v>
      </c>
      <c r="C313" s="14" t="s">
        <v>629</v>
      </c>
      <c r="D313" s="54">
        <f t="shared" ref="D313:F313" si="208">+W264</f>
        <v>6000.0000000000055</v>
      </c>
      <c r="E313" s="2">
        <f t="shared" si="208"/>
        <v>8285.8300000000017</v>
      </c>
      <c r="F313" s="2">
        <f t="shared" si="208"/>
        <v>0</v>
      </c>
      <c r="G313" s="2"/>
      <c r="H313" s="2"/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54">
        <f t="shared" si="185"/>
        <v>0</v>
      </c>
      <c r="V313" s="54">
        <f t="shared" si="186"/>
        <v>0</v>
      </c>
      <c r="W313" s="54">
        <f t="shared" si="194"/>
        <v>6000.0000000000055</v>
      </c>
      <c r="X313" s="2">
        <f t="shared" si="195"/>
        <v>8285.8300000000017</v>
      </c>
      <c r="Y313" s="2">
        <v>0</v>
      </c>
      <c r="Z313" s="46">
        <v>0</v>
      </c>
      <c r="AA313" s="46">
        <v>0</v>
      </c>
      <c r="AB313" s="46">
        <v>0</v>
      </c>
      <c r="AC313" s="58">
        <f t="shared" si="190"/>
        <v>6000.0000000000055</v>
      </c>
      <c r="AD313" s="58">
        <f t="shared" si="191"/>
        <v>8285.8300000000017</v>
      </c>
      <c r="AE313" s="12">
        <f t="shared" si="192"/>
        <v>0</v>
      </c>
      <c r="AF313" s="56"/>
      <c r="AG313" s="62"/>
      <c r="AH313" s="117">
        <f t="shared" si="196"/>
        <v>0</v>
      </c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  <c r="AV313" s="114"/>
      <c r="AW313" s="114"/>
      <c r="AX313" s="114"/>
      <c r="AY313" s="119"/>
      <c r="AZ313" s="115"/>
      <c r="BA313" s="115"/>
      <c r="BB313" s="115"/>
      <c r="BC313" s="115"/>
      <c r="BD313" s="115"/>
      <c r="BE313" s="115"/>
      <c r="BF313" s="115"/>
      <c r="BG313" s="115"/>
      <c r="BH313" s="115"/>
      <c r="BI313" s="115"/>
      <c r="BJ313" s="115"/>
    </row>
    <row r="314" spans="1:62" hidden="1" x14ac:dyDescent="0.35">
      <c r="A314" s="19" t="str">
        <f>VLOOKUP(C314,Master!A:D,4,0)</f>
        <v>SF</v>
      </c>
      <c r="B314" s="14" t="str">
        <f>VLOOKUP(C314,Master!A:C,3,0)</f>
        <v>PP/PE Fabric</v>
      </c>
      <c r="C314" s="14" t="s">
        <v>639</v>
      </c>
      <c r="D314" s="2">
        <f t="shared" ref="D314:F314" si="209">+W265</f>
        <v>0</v>
      </c>
      <c r="E314" s="2">
        <f t="shared" si="209"/>
        <v>13277</v>
      </c>
      <c r="F314" s="2">
        <f t="shared" si="209"/>
        <v>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54">
        <f t="shared" si="185"/>
        <v>0</v>
      </c>
      <c r="V314" s="54">
        <f t="shared" si="186"/>
        <v>0</v>
      </c>
      <c r="W314" s="54">
        <f t="shared" si="194"/>
        <v>0</v>
      </c>
      <c r="X314" s="2">
        <f t="shared" si="195"/>
        <v>13277</v>
      </c>
      <c r="Y314" s="2">
        <v>0</v>
      </c>
      <c r="Z314" s="46">
        <v>0</v>
      </c>
      <c r="AA314" s="46">
        <v>0</v>
      </c>
      <c r="AB314" s="46">
        <v>0</v>
      </c>
      <c r="AC314" s="58">
        <f t="shared" si="190"/>
        <v>0</v>
      </c>
      <c r="AD314" s="58">
        <f t="shared" si="191"/>
        <v>13277</v>
      </c>
      <c r="AE314" s="12">
        <f t="shared" si="192"/>
        <v>0</v>
      </c>
      <c r="AF314" s="56"/>
      <c r="AG314" s="62"/>
      <c r="AH314" s="117">
        <f t="shared" si="196"/>
        <v>0</v>
      </c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  <c r="AV314" s="114"/>
      <c r="AW314" s="114"/>
      <c r="AX314" s="114"/>
      <c r="AY314" s="119"/>
      <c r="AZ314" s="115"/>
      <c r="BA314" s="115"/>
      <c r="BB314" s="115"/>
      <c r="BC314" s="115"/>
      <c r="BD314" s="115"/>
      <c r="BE314" s="115"/>
      <c r="BF314" s="115"/>
      <c r="BG314" s="115"/>
      <c r="BH314" s="115"/>
      <c r="BI314" s="115"/>
      <c r="BJ314" s="115"/>
    </row>
    <row r="315" spans="1:62" hidden="1" x14ac:dyDescent="0.35">
      <c r="A315" s="19" t="str">
        <f>VLOOKUP(C315,Master!A:D,4,0)</f>
        <v>SF</v>
      </c>
      <c r="B315" s="14" t="str">
        <f>VLOOKUP(C315,Master!A:C,3,0)</f>
        <v>Flexitank Accessories</v>
      </c>
      <c r="C315" s="14" t="s">
        <v>641</v>
      </c>
      <c r="D315" s="2">
        <f t="shared" ref="D315:F315" si="210">+W266</f>
        <v>0</v>
      </c>
      <c r="E315" s="2">
        <f t="shared" si="210"/>
        <v>0</v>
      </c>
      <c r="F315" s="2">
        <f t="shared" si="210"/>
        <v>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54">
        <f t="shared" si="185"/>
        <v>0</v>
      </c>
      <c r="V315" s="54">
        <f t="shared" si="186"/>
        <v>0</v>
      </c>
      <c r="W315" s="54">
        <f t="shared" si="194"/>
        <v>0</v>
      </c>
      <c r="X315" s="2">
        <f t="shared" si="195"/>
        <v>0</v>
      </c>
      <c r="Y315" s="2">
        <v>0</v>
      </c>
      <c r="Z315" s="46">
        <v>0</v>
      </c>
      <c r="AA315" s="46">
        <v>0</v>
      </c>
      <c r="AB315" s="46">
        <v>0</v>
      </c>
      <c r="AC315" s="58">
        <f t="shared" si="190"/>
        <v>0</v>
      </c>
      <c r="AD315" s="58">
        <f t="shared" si="191"/>
        <v>0</v>
      </c>
      <c r="AE315" s="12">
        <f t="shared" si="192"/>
        <v>0</v>
      </c>
      <c r="AF315" s="56"/>
      <c r="AG315" s="62"/>
      <c r="AH315" s="117">
        <f t="shared" si="196"/>
        <v>0</v>
      </c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  <c r="AV315" s="114"/>
      <c r="AW315" s="114"/>
      <c r="AX315" s="114"/>
      <c r="AY315" s="119"/>
      <c r="AZ315" s="115"/>
      <c r="BA315" s="115"/>
      <c r="BB315" s="115"/>
      <c r="BC315" s="115"/>
      <c r="BD315" s="115"/>
      <c r="BE315" s="115"/>
      <c r="BF315" s="115"/>
      <c r="BG315" s="115"/>
      <c r="BH315" s="115"/>
      <c r="BI315" s="115"/>
      <c r="BJ315" s="115"/>
    </row>
    <row r="316" spans="1:62" hidden="1" x14ac:dyDescent="0.35">
      <c r="A316" s="19" t="str">
        <f>VLOOKUP(C316,Master!A:D,4,0)</f>
        <v>SF</v>
      </c>
      <c r="B316" s="14" t="str">
        <f>VLOOKUP(C316,Master!A:C,3,0)</f>
        <v>PP/PE Fabric</v>
      </c>
      <c r="C316" s="14" t="s">
        <v>652</v>
      </c>
      <c r="D316" s="2">
        <f t="shared" ref="D316:F316" si="211">+W267</f>
        <v>0</v>
      </c>
      <c r="E316" s="2">
        <f t="shared" si="211"/>
        <v>27104.800000000003</v>
      </c>
      <c r="F316" s="2">
        <f t="shared" si="211"/>
        <v>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54">
        <f t="shared" si="185"/>
        <v>0</v>
      </c>
      <c r="V316" s="54">
        <f t="shared" si="186"/>
        <v>0</v>
      </c>
      <c r="W316" s="54">
        <f t="shared" si="194"/>
        <v>0</v>
      </c>
      <c r="X316" s="2">
        <f t="shared" si="195"/>
        <v>27104.800000000003</v>
      </c>
      <c r="Y316" s="2">
        <v>0</v>
      </c>
      <c r="Z316" s="46">
        <v>0</v>
      </c>
      <c r="AA316" s="46">
        <v>0</v>
      </c>
      <c r="AB316" s="46">
        <v>0</v>
      </c>
      <c r="AC316" s="58">
        <f t="shared" si="190"/>
        <v>0</v>
      </c>
      <c r="AD316" s="58">
        <f t="shared" si="191"/>
        <v>27104.800000000003</v>
      </c>
      <c r="AE316" s="12">
        <f t="shared" si="192"/>
        <v>0</v>
      </c>
      <c r="AF316" s="56"/>
      <c r="AG316" s="62"/>
      <c r="AH316" s="117">
        <f t="shared" si="196"/>
        <v>0</v>
      </c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  <c r="AV316" s="114"/>
      <c r="AW316" s="114"/>
      <c r="AX316" s="114"/>
      <c r="AY316" s="119"/>
      <c r="AZ316" s="115"/>
      <c r="BA316" s="115"/>
      <c r="BB316" s="115"/>
      <c r="BC316" s="115"/>
      <c r="BD316" s="115"/>
      <c r="BE316" s="115"/>
      <c r="BF316" s="115"/>
      <c r="BG316" s="115"/>
      <c r="BH316" s="115"/>
      <c r="BI316" s="115"/>
      <c r="BJ316" s="115"/>
    </row>
    <row r="317" spans="1:62" hidden="1" x14ac:dyDescent="0.35">
      <c r="A317" s="19" t="str">
        <f>VLOOKUP(C317,Master!A:D,4,0)</f>
        <v>SF</v>
      </c>
      <c r="B317" s="14" t="str">
        <f>VLOOKUP(C317,Master!A:C,3,0)</f>
        <v>PP/PE Fabric</v>
      </c>
      <c r="C317" s="14" t="s">
        <v>664</v>
      </c>
      <c r="D317" s="2">
        <f t="shared" ref="D317:F317" si="212">+W268</f>
        <v>0</v>
      </c>
      <c r="E317" s="2">
        <f t="shared" si="212"/>
        <v>0</v>
      </c>
      <c r="F317" s="2">
        <f t="shared" si="212"/>
        <v>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54">
        <f t="shared" si="185"/>
        <v>0</v>
      </c>
      <c r="V317" s="54">
        <f t="shared" si="186"/>
        <v>0</v>
      </c>
      <c r="W317" s="54">
        <f t="shared" si="194"/>
        <v>0</v>
      </c>
      <c r="X317" s="2">
        <f t="shared" si="195"/>
        <v>0</v>
      </c>
      <c r="Y317" s="2">
        <v>0</v>
      </c>
      <c r="Z317" s="46">
        <v>0</v>
      </c>
      <c r="AA317" s="46">
        <v>0</v>
      </c>
      <c r="AB317" s="46">
        <v>0</v>
      </c>
      <c r="AC317" s="58">
        <f t="shared" si="190"/>
        <v>0</v>
      </c>
      <c r="AD317" s="58">
        <f t="shared" si="191"/>
        <v>0</v>
      </c>
      <c r="AE317" s="12">
        <f t="shared" si="192"/>
        <v>0</v>
      </c>
      <c r="AF317" s="56"/>
      <c r="AG317" s="62"/>
      <c r="AH317" s="117">
        <f t="shared" si="196"/>
        <v>0</v>
      </c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  <c r="AV317" s="114"/>
      <c r="AW317" s="114"/>
      <c r="AX317" s="114"/>
      <c r="AY317" s="119"/>
      <c r="AZ317" s="115"/>
      <c r="BA317" s="115"/>
      <c r="BB317" s="115"/>
      <c r="BC317" s="115"/>
      <c r="BD317" s="115"/>
      <c r="BE317" s="115"/>
      <c r="BF317" s="115"/>
      <c r="BG317" s="115"/>
      <c r="BH317" s="115"/>
      <c r="BI317" s="115"/>
      <c r="BJ317" s="115"/>
    </row>
    <row r="318" spans="1:62" hidden="1" x14ac:dyDescent="0.35">
      <c r="A318" s="19" t="str">
        <f>VLOOKUP(C318,Master!A:D,4,0)</f>
        <v>SF</v>
      </c>
      <c r="B318" s="14" t="str">
        <f>VLOOKUP(C318,Master!A:C,3,0)</f>
        <v>PP/PE Fabric</v>
      </c>
      <c r="C318" s="14" t="s">
        <v>675</v>
      </c>
      <c r="D318" s="2">
        <f t="shared" ref="D318:F318" si="213">+W269</f>
        <v>0</v>
      </c>
      <c r="E318" s="2">
        <f t="shared" si="213"/>
        <v>0</v>
      </c>
      <c r="F318" s="2">
        <f t="shared" si="213"/>
        <v>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54">
        <f t="shared" si="185"/>
        <v>0</v>
      </c>
      <c r="V318" s="54">
        <f t="shared" si="186"/>
        <v>0</v>
      </c>
      <c r="W318" s="54">
        <f t="shared" si="194"/>
        <v>0</v>
      </c>
      <c r="X318" s="2">
        <f t="shared" si="195"/>
        <v>0</v>
      </c>
      <c r="Y318" s="2">
        <v>0</v>
      </c>
      <c r="Z318" s="46">
        <v>0</v>
      </c>
      <c r="AA318" s="46">
        <v>0</v>
      </c>
      <c r="AB318" s="46">
        <v>0</v>
      </c>
      <c r="AC318" s="58">
        <f t="shared" si="190"/>
        <v>0</v>
      </c>
      <c r="AD318" s="58">
        <f t="shared" si="191"/>
        <v>0</v>
      </c>
      <c r="AE318" s="12">
        <f t="shared" si="192"/>
        <v>0</v>
      </c>
      <c r="AF318" s="56"/>
      <c r="AG318" s="62"/>
      <c r="AH318" s="117">
        <f t="shared" si="196"/>
        <v>0</v>
      </c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  <c r="AV318" s="114"/>
      <c r="AW318" s="114"/>
      <c r="AX318" s="114"/>
      <c r="AY318" s="119"/>
      <c r="AZ318" s="115"/>
      <c r="BA318" s="115"/>
      <c r="BB318" s="115"/>
      <c r="BC318" s="115"/>
      <c r="BD318" s="115"/>
      <c r="BE318" s="115"/>
      <c r="BF318" s="115"/>
      <c r="BG318" s="115"/>
      <c r="BH318" s="115"/>
      <c r="BI318" s="115"/>
      <c r="BJ318" s="115"/>
    </row>
    <row r="319" spans="1:62" hidden="1" x14ac:dyDescent="0.35">
      <c r="A319" s="19" t="str">
        <f>VLOOKUP(C319,Master!A:D,4,0)</f>
        <v>SF</v>
      </c>
      <c r="B319" s="14" t="str">
        <f>VLOOKUP(C319,Master!A:C,3,0)</f>
        <v>Granuals</v>
      </c>
      <c r="C319" s="14" t="s">
        <v>688</v>
      </c>
      <c r="D319" s="2">
        <f t="shared" ref="D319:F319" si="214">+W270</f>
        <v>0</v>
      </c>
      <c r="E319" s="2">
        <f t="shared" si="214"/>
        <v>0</v>
      </c>
      <c r="F319" s="2">
        <f t="shared" si="214"/>
        <v>0</v>
      </c>
      <c r="G319" s="2"/>
      <c r="H319" s="2"/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54">
        <f t="shared" si="185"/>
        <v>0</v>
      </c>
      <c r="V319" s="54">
        <f t="shared" si="186"/>
        <v>0</v>
      </c>
      <c r="W319" s="54">
        <f t="shared" si="194"/>
        <v>0</v>
      </c>
      <c r="X319" s="2">
        <f t="shared" si="195"/>
        <v>0</v>
      </c>
      <c r="Y319" s="2">
        <v>0</v>
      </c>
      <c r="Z319" s="46">
        <v>0</v>
      </c>
      <c r="AA319" s="46">
        <v>0</v>
      </c>
      <c r="AB319" s="46">
        <v>0</v>
      </c>
      <c r="AC319" s="58">
        <f t="shared" si="190"/>
        <v>0</v>
      </c>
      <c r="AD319" s="58">
        <f t="shared" si="191"/>
        <v>0</v>
      </c>
      <c r="AE319" s="12">
        <f t="shared" si="192"/>
        <v>0</v>
      </c>
      <c r="AF319" s="56"/>
      <c r="AG319" s="62"/>
      <c r="AH319" s="117">
        <f t="shared" si="196"/>
        <v>0</v>
      </c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  <c r="AV319" s="114"/>
      <c r="AW319" s="114"/>
      <c r="AX319" s="114"/>
      <c r="AY319" s="119"/>
      <c r="AZ319" s="115"/>
      <c r="BA319" s="115"/>
      <c r="BB319" s="115"/>
      <c r="BC319" s="115"/>
      <c r="BD319" s="115"/>
      <c r="BE319" s="115"/>
      <c r="BF319" s="115"/>
      <c r="BG319" s="115"/>
      <c r="BH319" s="115"/>
      <c r="BI319" s="115"/>
      <c r="BJ319" s="115"/>
    </row>
    <row r="320" spans="1:62" hidden="1" x14ac:dyDescent="0.35">
      <c r="A320" s="19" t="str">
        <f>VLOOKUP(C320,Master!A:D,4,0)</f>
        <v>SF</v>
      </c>
      <c r="B320" s="14" t="str">
        <f>VLOOKUP(C320,Master!A:C,3,0)</f>
        <v>Liners</v>
      </c>
      <c r="C320" s="14" t="s">
        <v>707</v>
      </c>
      <c r="D320" s="2">
        <f t="shared" ref="D320:F320" si="215">+W271</f>
        <v>0</v>
      </c>
      <c r="E320" s="2">
        <f t="shared" si="215"/>
        <v>0</v>
      </c>
      <c r="F320" s="2">
        <f t="shared" si="215"/>
        <v>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54">
        <f t="shared" si="185"/>
        <v>0</v>
      </c>
      <c r="V320" s="54">
        <f t="shared" si="186"/>
        <v>0</v>
      </c>
      <c r="W320" s="54">
        <f t="shared" si="194"/>
        <v>0</v>
      </c>
      <c r="X320" s="2">
        <f t="shared" si="195"/>
        <v>0</v>
      </c>
      <c r="Y320" s="2">
        <v>0</v>
      </c>
      <c r="Z320" s="46">
        <v>0</v>
      </c>
      <c r="AA320" s="46">
        <v>0</v>
      </c>
      <c r="AB320" s="46">
        <v>0</v>
      </c>
      <c r="AC320" s="58">
        <f t="shared" si="190"/>
        <v>0</v>
      </c>
      <c r="AD320" s="58">
        <f t="shared" si="191"/>
        <v>0</v>
      </c>
      <c r="AE320" s="12">
        <f t="shared" si="192"/>
        <v>0</v>
      </c>
      <c r="AF320" s="56"/>
      <c r="AG320" s="62"/>
      <c r="AH320" s="117">
        <f t="shared" si="196"/>
        <v>0</v>
      </c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  <c r="AV320" s="114"/>
      <c r="AW320" s="114"/>
      <c r="AX320" s="114"/>
      <c r="AY320" s="119"/>
      <c r="AZ320" s="115"/>
      <c r="BA320" s="115"/>
      <c r="BB320" s="115"/>
      <c r="BC320" s="115"/>
      <c r="BD320" s="115"/>
      <c r="BE320" s="115"/>
      <c r="BF320" s="115"/>
      <c r="BG320" s="115"/>
      <c r="BH320" s="115"/>
      <c r="BI320" s="115"/>
      <c r="BJ320" s="115"/>
    </row>
    <row r="321" spans="1:62" hidden="1" x14ac:dyDescent="0.35">
      <c r="A321" s="19" t="str">
        <f>VLOOKUP(C321,Master!A:D,4,0)</f>
        <v>SF</v>
      </c>
      <c r="B321" s="14" t="str">
        <f>VLOOKUP(C321,Master!A:C,3,0)</f>
        <v>Webbing</v>
      </c>
      <c r="C321" s="14" t="s">
        <v>710</v>
      </c>
      <c r="D321" s="2">
        <f t="shared" ref="D321:F321" si="216">+W272</f>
        <v>0</v>
      </c>
      <c r="E321" s="2">
        <f t="shared" si="216"/>
        <v>1771.8</v>
      </c>
      <c r="F321" s="2">
        <f t="shared" si="216"/>
        <v>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54">
        <f t="shared" si="185"/>
        <v>0</v>
      </c>
      <c r="V321" s="54">
        <f t="shared" si="186"/>
        <v>0</v>
      </c>
      <c r="W321" s="54">
        <f t="shared" si="194"/>
        <v>0</v>
      </c>
      <c r="X321" s="2">
        <f t="shared" si="195"/>
        <v>1771.8</v>
      </c>
      <c r="Y321" s="2">
        <v>0</v>
      </c>
      <c r="Z321" s="46">
        <v>0</v>
      </c>
      <c r="AA321" s="46">
        <v>0</v>
      </c>
      <c r="AB321" s="46">
        <v>0</v>
      </c>
      <c r="AC321" s="58">
        <f t="shared" si="190"/>
        <v>0</v>
      </c>
      <c r="AD321" s="58">
        <f t="shared" si="191"/>
        <v>1771.8</v>
      </c>
      <c r="AE321" s="12">
        <f t="shared" si="192"/>
        <v>0</v>
      </c>
      <c r="AF321" s="56"/>
      <c r="AG321" s="62"/>
      <c r="AH321" s="117">
        <f t="shared" si="196"/>
        <v>0</v>
      </c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  <c r="AV321" s="114"/>
      <c r="AW321" s="114"/>
      <c r="AX321" s="114"/>
      <c r="AY321" s="119"/>
      <c r="AZ321" s="115"/>
      <c r="BA321" s="115"/>
      <c r="BB321" s="115"/>
      <c r="BC321" s="115"/>
      <c r="BD321" s="115"/>
      <c r="BE321" s="115"/>
      <c r="BF321" s="115"/>
      <c r="BG321" s="115"/>
      <c r="BH321" s="115"/>
      <c r="BI321" s="115"/>
      <c r="BJ321" s="115"/>
    </row>
    <row r="322" spans="1:62" hidden="1" x14ac:dyDescent="0.35">
      <c r="A322" s="19" t="str">
        <f>VLOOKUP(C322,Master!A:D,4,0)</f>
        <v>SF</v>
      </c>
      <c r="B322" s="14" t="str">
        <f>VLOOKUP(C322,Master!A:C,3,0)</f>
        <v>Liners</v>
      </c>
      <c r="C322" s="14" t="s">
        <v>729</v>
      </c>
      <c r="D322" s="2">
        <f t="shared" ref="D322:F322" si="217">+W273</f>
        <v>0</v>
      </c>
      <c r="E322" s="2">
        <f t="shared" si="217"/>
        <v>14652.699999999997</v>
      </c>
      <c r="F322" s="2">
        <f t="shared" si="217"/>
        <v>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54">
        <f t="shared" si="185"/>
        <v>0</v>
      </c>
      <c r="V322" s="54">
        <f t="shared" si="186"/>
        <v>0</v>
      </c>
      <c r="W322" s="54">
        <f t="shared" si="194"/>
        <v>0</v>
      </c>
      <c r="X322" s="2">
        <f t="shared" si="195"/>
        <v>14652.699999999997</v>
      </c>
      <c r="Y322" s="2">
        <v>0</v>
      </c>
      <c r="Z322" s="46">
        <v>0</v>
      </c>
      <c r="AA322" s="46">
        <v>0</v>
      </c>
      <c r="AB322" s="46">
        <v>0</v>
      </c>
      <c r="AC322" s="58">
        <f t="shared" si="190"/>
        <v>0</v>
      </c>
      <c r="AD322" s="58">
        <f t="shared" si="191"/>
        <v>14652.699999999997</v>
      </c>
      <c r="AE322" s="12">
        <f t="shared" si="192"/>
        <v>0</v>
      </c>
      <c r="AF322" s="56"/>
      <c r="AG322" s="62"/>
      <c r="AH322" s="117">
        <f t="shared" si="196"/>
        <v>0</v>
      </c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  <c r="AV322" s="114"/>
      <c r="AW322" s="114"/>
      <c r="AX322" s="114"/>
      <c r="AY322" s="119"/>
      <c r="AZ322" s="115"/>
      <c r="BA322" s="115"/>
      <c r="BB322" s="115"/>
      <c r="BC322" s="115"/>
      <c r="BD322" s="115"/>
      <c r="BE322" s="115"/>
      <c r="BF322" s="115"/>
      <c r="BG322" s="115"/>
      <c r="BH322" s="115"/>
      <c r="BI322" s="115"/>
      <c r="BJ322" s="115"/>
    </row>
    <row r="323" spans="1:62" hidden="1" x14ac:dyDescent="0.35">
      <c r="A323" s="19" t="str">
        <f>VLOOKUP(C323,Master!A:D,4,0)</f>
        <v>SF</v>
      </c>
      <c r="B323" s="14" t="str">
        <f>VLOOKUP(C323,Master!A:C,3,0)</f>
        <v>Tape Stock</v>
      </c>
      <c r="C323" s="14" t="s">
        <v>772</v>
      </c>
      <c r="D323" s="2">
        <f t="shared" ref="D323:F323" si="218">+W274</f>
        <v>0</v>
      </c>
      <c r="E323" s="2">
        <f t="shared" si="218"/>
        <v>0</v>
      </c>
      <c r="F323" s="2">
        <f t="shared" si="218"/>
        <v>0</v>
      </c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54">
        <f t="shared" si="185"/>
        <v>0</v>
      </c>
      <c r="V323" s="54">
        <f t="shared" si="186"/>
        <v>0</v>
      </c>
      <c r="W323" s="54">
        <f t="shared" si="194"/>
        <v>0</v>
      </c>
      <c r="X323" s="2">
        <f t="shared" si="195"/>
        <v>0</v>
      </c>
      <c r="Y323" s="2">
        <v>0</v>
      </c>
      <c r="Z323" s="46">
        <v>0</v>
      </c>
      <c r="AA323" s="46">
        <v>0</v>
      </c>
      <c r="AB323" s="46">
        <v>0</v>
      </c>
      <c r="AC323" s="58">
        <f t="shared" si="190"/>
        <v>0</v>
      </c>
      <c r="AD323" s="58">
        <f t="shared" si="191"/>
        <v>0</v>
      </c>
      <c r="AE323" s="12">
        <f t="shared" si="192"/>
        <v>0</v>
      </c>
      <c r="AF323" s="56"/>
      <c r="AG323" s="62"/>
      <c r="AH323" s="117">
        <f t="shared" si="196"/>
        <v>0</v>
      </c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  <c r="AV323" s="114"/>
      <c r="AW323" s="114"/>
      <c r="AX323" s="114"/>
      <c r="AY323" s="119"/>
      <c r="AZ323" s="115"/>
      <c r="BA323" s="115"/>
      <c r="BB323" s="115"/>
      <c r="BC323" s="115"/>
      <c r="BD323" s="115"/>
      <c r="BE323" s="115"/>
      <c r="BF323" s="115"/>
      <c r="BG323" s="115"/>
      <c r="BH323" s="115"/>
      <c r="BI323" s="115"/>
      <c r="BJ323" s="115"/>
    </row>
    <row r="324" spans="1:62" hidden="1" x14ac:dyDescent="0.35">
      <c r="A324" s="19" t="str">
        <f>VLOOKUP(C324,Master!A:D,4,0)</f>
        <v>SF</v>
      </c>
      <c r="B324" s="14" t="str">
        <f>VLOOKUP(C324,Master!A:C,3,0)</f>
        <v>Tape Stock</v>
      </c>
      <c r="C324" s="14" t="s">
        <v>773</v>
      </c>
      <c r="D324" s="2">
        <f t="shared" ref="D324:F324" si="219">+W275</f>
        <v>0</v>
      </c>
      <c r="E324" s="2">
        <f t="shared" si="219"/>
        <v>2518.3000000000029</v>
      </c>
      <c r="F324" s="2">
        <f t="shared" si="219"/>
        <v>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54">
        <f t="shared" si="185"/>
        <v>0</v>
      </c>
      <c r="V324" s="54">
        <f t="shared" si="186"/>
        <v>0</v>
      </c>
      <c r="W324" s="54">
        <f t="shared" si="194"/>
        <v>0</v>
      </c>
      <c r="X324" s="2">
        <f t="shared" si="195"/>
        <v>2518.3000000000029</v>
      </c>
      <c r="Y324" s="2">
        <v>0</v>
      </c>
      <c r="Z324" s="46">
        <v>0</v>
      </c>
      <c r="AA324" s="46">
        <v>0</v>
      </c>
      <c r="AB324" s="46">
        <v>0</v>
      </c>
      <c r="AC324" s="58">
        <f t="shared" si="190"/>
        <v>0</v>
      </c>
      <c r="AD324" s="58">
        <f t="shared" si="191"/>
        <v>2518.3000000000029</v>
      </c>
      <c r="AE324" s="12">
        <f t="shared" si="192"/>
        <v>0</v>
      </c>
      <c r="AF324" s="56"/>
      <c r="AG324" s="62"/>
      <c r="AH324" s="117">
        <f t="shared" si="196"/>
        <v>0</v>
      </c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  <c r="AV324" s="114"/>
      <c r="AW324" s="114"/>
      <c r="AX324" s="114"/>
      <c r="AY324" s="119"/>
      <c r="AZ324" s="115"/>
      <c r="BA324" s="115"/>
      <c r="BB324" s="115"/>
      <c r="BC324" s="115"/>
      <c r="BD324" s="115"/>
      <c r="BE324" s="115"/>
      <c r="BF324" s="115"/>
      <c r="BG324" s="115"/>
      <c r="BH324" s="115"/>
      <c r="BI324" s="115"/>
      <c r="BJ324" s="115"/>
    </row>
    <row r="325" spans="1:62" hidden="1" x14ac:dyDescent="0.35">
      <c r="A325" s="19" t="str">
        <f>VLOOKUP(C325,Master!A:D,4,0)</f>
        <v>SF</v>
      </c>
      <c r="B325" s="14" t="str">
        <f>VLOOKUP(C325,Master!A:C,3,0)</f>
        <v>RP Agglo</v>
      </c>
      <c r="C325" s="14" t="s">
        <v>810</v>
      </c>
      <c r="D325" s="2">
        <f t="shared" ref="D325:F325" si="220">+W276</f>
        <v>0</v>
      </c>
      <c r="E325" s="2">
        <f t="shared" si="220"/>
        <v>0</v>
      </c>
      <c r="F325" s="2">
        <f t="shared" si="220"/>
        <v>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54">
        <f t="shared" si="185"/>
        <v>0</v>
      </c>
      <c r="V325" s="54">
        <f t="shared" si="186"/>
        <v>0</v>
      </c>
      <c r="W325" s="54">
        <f t="shared" si="194"/>
        <v>0</v>
      </c>
      <c r="X325" s="2">
        <f t="shared" si="195"/>
        <v>0</v>
      </c>
      <c r="Y325" s="2">
        <v>0</v>
      </c>
      <c r="Z325" s="46">
        <v>0</v>
      </c>
      <c r="AA325" s="46">
        <v>0</v>
      </c>
      <c r="AB325" s="46">
        <v>0</v>
      </c>
      <c r="AC325" s="58">
        <f t="shared" si="190"/>
        <v>0</v>
      </c>
      <c r="AD325" s="58">
        <f t="shared" si="191"/>
        <v>0</v>
      </c>
      <c r="AE325" s="12">
        <f t="shared" si="192"/>
        <v>0</v>
      </c>
      <c r="AF325" s="56"/>
      <c r="AG325" s="62"/>
      <c r="AH325" s="117">
        <f t="shared" si="196"/>
        <v>0</v>
      </c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  <c r="AV325" s="114"/>
      <c r="AW325" s="114"/>
      <c r="AX325" s="114"/>
      <c r="AY325" s="119"/>
      <c r="AZ325" s="115"/>
      <c r="BA325" s="115"/>
      <c r="BB325" s="115"/>
      <c r="BC325" s="115"/>
      <c r="BD325" s="115"/>
      <c r="BE325" s="115"/>
      <c r="BF325" s="115"/>
      <c r="BG325" s="115"/>
      <c r="BH325" s="115"/>
      <c r="BI325" s="115"/>
      <c r="BJ325" s="115"/>
    </row>
    <row r="326" spans="1:62" hidden="1" x14ac:dyDescent="0.35">
      <c r="A326" s="19" t="str">
        <f>VLOOKUP(C326,Master!A:D,4,0)</f>
        <v>SF</v>
      </c>
      <c r="B326" s="14" t="str">
        <f>VLOOKUP(C326,Master!A:C,3,0)</f>
        <v>Wastage/Scrap</v>
      </c>
      <c r="C326" s="14" t="s">
        <v>820</v>
      </c>
      <c r="D326" s="2">
        <f t="shared" ref="D326:F326" si="221">+W277</f>
        <v>0</v>
      </c>
      <c r="E326" s="2">
        <f t="shared" si="221"/>
        <v>0</v>
      </c>
      <c r="F326" s="2">
        <f t="shared" si="221"/>
        <v>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54">
        <f t="shared" si="185"/>
        <v>0</v>
      </c>
      <c r="V326" s="54">
        <f t="shared" si="186"/>
        <v>0</v>
      </c>
      <c r="W326" s="54">
        <f t="shared" si="194"/>
        <v>0</v>
      </c>
      <c r="X326" s="2">
        <f t="shared" si="195"/>
        <v>0</v>
      </c>
      <c r="Y326" s="2">
        <v>0</v>
      </c>
      <c r="Z326" s="46">
        <v>0</v>
      </c>
      <c r="AA326" s="46">
        <v>0</v>
      </c>
      <c r="AB326" s="46">
        <v>0</v>
      </c>
      <c r="AC326" s="58">
        <f t="shared" si="190"/>
        <v>0</v>
      </c>
      <c r="AD326" s="58">
        <f t="shared" si="191"/>
        <v>0</v>
      </c>
      <c r="AE326" s="12">
        <f t="shared" si="192"/>
        <v>0</v>
      </c>
      <c r="AF326" s="56"/>
      <c r="AG326" s="62"/>
      <c r="AH326" s="117">
        <f t="shared" si="196"/>
        <v>0</v>
      </c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  <c r="AV326" s="114"/>
      <c r="AW326" s="114"/>
      <c r="AX326" s="114"/>
      <c r="AY326" s="119"/>
      <c r="AZ326" s="115"/>
      <c r="BA326" s="115"/>
      <c r="BB326" s="115"/>
      <c r="BC326" s="115"/>
      <c r="BD326" s="115"/>
      <c r="BE326" s="115"/>
      <c r="BF326" s="115"/>
      <c r="BG326" s="115"/>
      <c r="BH326" s="115"/>
      <c r="BI326" s="115"/>
      <c r="BJ326" s="115"/>
    </row>
    <row r="327" spans="1:62" hidden="1" x14ac:dyDescent="0.35">
      <c r="A327" s="19" t="str">
        <f>VLOOKUP(C327,Master!A:D,4,0)</f>
        <v>FG</v>
      </c>
      <c r="B327" s="14" t="str">
        <f>VLOOKUP(C327,Master!A:C,3,0)</f>
        <v>FIBC WIP</v>
      </c>
      <c r="C327" s="14" t="s">
        <v>892</v>
      </c>
      <c r="D327" s="2">
        <f t="shared" ref="D327:F327" si="222">+W278</f>
        <v>42021.998887999915</v>
      </c>
      <c r="E327" s="2">
        <f t="shared" si="222"/>
        <v>0</v>
      </c>
      <c r="F327" s="2">
        <f t="shared" si="222"/>
        <v>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54">
        <f>O327-S327</f>
        <v>0</v>
      </c>
      <c r="V327" s="54">
        <f>P327-T327</f>
        <v>0</v>
      </c>
      <c r="W327" s="54">
        <f t="shared" si="194"/>
        <v>42021.998887999915</v>
      </c>
      <c r="X327" s="2">
        <f t="shared" si="195"/>
        <v>0</v>
      </c>
      <c r="Y327" s="2">
        <v>0</v>
      </c>
      <c r="Z327" s="46">
        <v>0</v>
      </c>
      <c r="AA327" s="46">
        <v>0</v>
      </c>
      <c r="AB327" s="46">
        <v>0</v>
      </c>
      <c r="AC327" s="58">
        <f t="shared" si="190"/>
        <v>42021.998887999915</v>
      </c>
      <c r="AD327" s="58">
        <f t="shared" si="191"/>
        <v>0</v>
      </c>
      <c r="AE327" s="12">
        <f t="shared" si="192"/>
        <v>0</v>
      </c>
      <c r="AF327" s="56"/>
      <c r="AG327" s="62"/>
      <c r="AH327" s="117">
        <f t="shared" si="196"/>
        <v>0</v>
      </c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  <c r="AV327" s="114"/>
      <c r="AW327" s="114"/>
      <c r="AX327" s="114"/>
      <c r="AY327" s="119"/>
      <c r="AZ327" s="115"/>
      <c r="BA327" s="115"/>
      <c r="BB327" s="115"/>
      <c r="BC327" s="115"/>
      <c r="BD327" s="115"/>
      <c r="BE327" s="115"/>
      <c r="BF327" s="115"/>
      <c r="BG327" s="115"/>
      <c r="BH327" s="115"/>
      <c r="BI327" s="115"/>
      <c r="BJ327" s="115"/>
    </row>
    <row r="328" spans="1:62" hidden="1" x14ac:dyDescent="0.35">
      <c r="A328" s="19" t="str">
        <f>VLOOKUP(C328,Master!A:D,4,0)</f>
        <v>FG</v>
      </c>
      <c r="B328" s="14" t="str">
        <f>VLOOKUP(C328,Master!A:C,3,0)</f>
        <v>Label Div</v>
      </c>
      <c r="C328" s="14" t="s">
        <v>895</v>
      </c>
      <c r="D328" s="2">
        <f t="shared" ref="D328:F328" si="223">+W279</f>
        <v>0</v>
      </c>
      <c r="E328" s="2">
        <f t="shared" si="223"/>
        <v>0</v>
      </c>
      <c r="F328" s="2">
        <f t="shared" si="223"/>
        <v>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54">
        <f t="shared" si="185"/>
        <v>0</v>
      </c>
      <c r="V328" s="54">
        <f t="shared" si="186"/>
        <v>0</v>
      </c>
      <c r="W328" s="54">
        <f t="shared" si="194"/>
        <v>0</v>
      </c>
      <c r="X328" s="2">
        <f t="shared" si="195"/>
        <v>0</v>
      </c>
      <c r="Y328" s="2">
        <v>0</v>
      </c>
      <c r="Z328" s="46">
        <v>0</v>
      </c>
      <c r="AA328" s="46">
        <v>0</v>
      </c>
      <c r="AB328" s="46">
        <v>0</v>
      </c>
      <c r="AC328" s="58">
        <f t="shared" si="190"/>
        <v>0</v>
      </c>
      <c r="AD328" s="58">
        <f t="shared" si="191"/>
        <v>0</v>
      </c>
      <c r="AE328" s="12">
        <f t="shared" si="192"/>
        <v>0</v>
      </c>
      <c r="AF328" s="56"/>
      <c r="AG328" s="62"/>
      <c r="AH328" s="117">
        <f t="shared" si="196"/>
        <v>0</v>
      </c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  <c r="AV328" s="114"/>
      <c r="AW328" s="114"/>
      <c r="AX328" s="114"/>
      <c r="AY328" s="119"/>
      <c r="AZ328" s="115"/>
      <c r="BA328" s="115"/>
      <c r="BB328" s="115"/>
      <c r="BC328" s="115"/>
      <c r="BD328" s="115"/>
      <c r="BE328" s="115"/>
      <c r="BF328" s="115"/>
      <c r="BG328" s="115"/>
      <c r="BH328" s="115"/>
      <c r="BI328" s="115"/>
      <c r="BJ328" s="115"/>
    </row>
    <row r="329" spans="1:62" hidden="1" x14ac:dyDescent="0.35">
      <c r="A329" s="19" t="str">
        <f>VLOOKUP(C329,Master!A:D,4,0)</f>
        <v>FG</v>
      </c>
      <c r="B329" s="14" t="str">
        <f>VLOOKUP(C329,Master!A:C,3,0)</f>
        <v>FIBC Bags</v>
      </c>
      <c r="C329" s="14" t="s">
        <v>897</v>
      </c>
      <c r="D329" s="2">
        <f t="shared" ref="D329:F329" si="224">+W280</f>
        <v>1.7462298274040222E-10</v>
      </c>
      <c r="E329" s="2">
        <f t="shared" si="224"/>
        <v>0</v>
      </c>
      <c r="F329" s="2">
        <f t="shared" si="224"/>
        <v>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54">
        <f t="shared" si="185"/>
        <v>0</v>
      </c>
      <c r="V329" s="54">
        <f t="shared" si="186"/>
        <v>0</v>
      </c>
      <c r="W329" s="54">
        <f t="shared" si="194"/>
        <v>1.7462298274040222E-10</v>
      </c>
      <c r="X329" s="2">
        <f t="shared" si="195"/>
        <v>0</v>
      </c>
      <c r="Y329" s="2">
        <v>0</v>
      </c>
      <c r="Z329" s="46">
        <v>0</v>
      </c>
      <c r="AA329" s="46">
        <v>0</v>
      </c>
      <c r="AB329" s="46">
        <v>0</v>
      </c>
      <c r="AC329" s="58">
        <f t="shared" si="190"/>
        <v>1.7462298274040222E-10</v>
      </c>
      <c r="AD329" s="58">
        <f t="shared" si="191"/>
        <v>0</v>
      </c>
      <c r="AE329" s="12">
        <f t="shared" si="192"/>
        <v>0</v>
      </c>
      <c r="AF329" s="56"/>
      <c r="AG329" s="62"/>
      <c r="AH329" s="117">
        <f t="shared" si="196"/>
        <v>0</v>
      </c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  <c r="AV329" s="114"/>
      <c r="AW329" s="114"/>
      <c r="AX329" s="114"/>
      <c r="AY329" s="119"/>
      <c r="AZ329" s="115"/>
      <c r="BA329" s="115"/>
      <c r="BB329" s="115"/>
      <c r="BC329" s="115"/>
      <c r="BD329" s="115"/>
      <c r="BE329" s="115"/>
      <c r="BF329" s="115"/>
      <c r="BG329" s="115"/>
      <c r="BH329" s="115"/>
      <c r="BI329" s="115"/>
      <c r="BJ329" s="115"/>
    </row>
    <row r="330" spans="1:62" hidden="1" x14ac:dyDescent="0.35">
      <c r="A330" s="19" t="str">
        <f>VLOOKUP(C330,Master!A:D,4,0)</f>
        <v>FG</v>
      </c>
      <c r="B330" s="14" t="str">
        <f>VLOOKUP(C330,Master!A:C,3,0)</f>
        <v>Small Bags</v>
      </c>
      <c r="C330" s="14" t="s">
        <v>900</v>
      </c>
      <c r="D330" s="2">
        <f t="shared" ref="D330:F330" si="225">+W281</f>
        <v>0</v>
      </c>
      <c r="E330" s="2">
        <f t="shared" si="225"/>
        <v>0</v>
      </c>
      <c r="F330" s="2">
        <f t="shared" si="225"/>
        <v>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54">
        <f t="shared" si="185"/>
        <v>0</v>
      </c>
      <c r="V330" s="54">
        <f t="shared" si="186"/>
        <v>0</v>
      </c>
      <c r="W330" s="54">
        <f t="shared" si="194"/>
        <v>0</v>
      </c>
      <c r="X330" s="2">
        <f t="shared" si="195"/>
        <v>0</v>
      </c>
      <c r="Y330" s="2">
        <v>0</v>
      </c>
      <c r="Z330" s="46">
        <v>0</v>
      </c>
      <c r="AA330" s="46">
        <v>0</v>
      </c>
      <c r="AB330" s="46">
        <v>0</v>
      </c>
      <c r="AC330" s="58">
        <f t="shared" si="190"/>
        <v>0</v>
      </c>
      <c r="AD330" s="58">
        <f t="shared" si="191"/>
        <v>0</v>
      </c>
      <c r="AE330" s="12">
        <f t="shared" si="192"/>
        <v>0</v>
      </c>
      <c r="AF330" s="56"/>
      <c r="AG330" s="62"/>
      <c r="AH330" s="117">
        <f t="shared" si="196"/>
        <v>0</v>
      </c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  <c r="AV330" s="114"/>
      <c r="AW330" s="114"/>
      <c r="AX330" s="114"/>
      <c r="AY330" s="119"/>
      <c r="AZ330" s="115"/>
      <c r="BA330" s="115"/>
      <c r="BB330" s="115"/>
      <c r="BC330" s="115"/>
      <c r="BD330" s="115"/>
      <c r="BE330" s="115"/>
      <c r="BF330" s="115"/>
      <c r="BG330" s="115"/>
      <c r="BH330" s="115"/>
      <c r="BI330" s="115"/>
      <c r="BJ330" s="115"/>
    </row>
    <row r="331" spans="1:62" hidden="1" x14ac:dyDescent="0.35">
      <c r="A331" s="19" t="str">
        <f>VLOOKUP(C331,Master!A:D,4,0)</f>
        <v>FG</v>
      </c>
      <c r="B331" s="14" t="str">
        <f>VLOOKUP(C331,Master!A:C,3,0)</f>
        <v>Tarps</v>
      </c>
      <c r="C331" s="14" t="s">
        <v>903</v>
      </c>
      <c r="D331" s="2">
        <f t="shared" ref="D331:F331" si="226">+W282</f>
        <v>0</v>
      </c>
      <c r="E331" s="2">
        <f t="shared" si="226"/>
        <v>0</v>
      </c>
      <c r="F331" s="2">
        <f t="shared" si="226"/>
        <v>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54">
        <f t="shared" si="185"/>
        <v>0</v>
      </c>
      <c r="V331" s="54">
        <f t="shared" si="186"/>
        <v>0</v>
      </c>
      <c r="W331" s="54">
        <f t="shared" si="194"/>
        <v>0</v>
      </c>
      <c r="X331" s="2">
        <f t="shared" si="195"/>
        <v>0</v>
      </c>
      <c r="Y331" s="2">
        <v>0</v>
      </c>
      <c r="Z331" s="46">
        <v>0</v>
      </c>
      <c r="AA331" s="46">
        <v>0</v>
      </c>
      <c r="AB331" s="46">
        <v>0</v>
      </c>
      <c r="AC331" s="58">
        <f t="shared" si="190"/>
        <v>0</v>
      </c>
      <c r="AD331" s="58">
        <f t="shared" si="191"/>
        <v>0</v>
      </c>
      <c r="AE331" s="12">
        <f t="shared" si="192"/>
        <v>0</v>
      </c>
      <c r="AF331" s="56"/>
      <c r="AG331" s="62"/>
      <c r="AH331" s="117">
        <f t="shared" si="196"/>
        <v>0</v>
      </c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  <c r="AV331" s="114"/>
      <c r="AW331" s="114"/>
      <c r="AX331" s="114"/>
      <c r="AY331" s="119"/>
      <c r="AZ331" s="115"/>
      <c r="BA331" s="115"/>
      <c r="BB331" s="115"/>
      <c r="BC331" s="115"/>
      <c r="BD331" s="115"/>
      <c r="BE331" s="115"/>
      <c r="BF331" s="115"/>
      <c r="BG331" s="115"/>
      <c r="BH331" s="115"/>
      <c r="BI331" s="115"/>
      <c r="BJ331" s="115"/>
    </row>
    <row r="332" spans="1:62" hidden="1" x14ac:dyDescent="0.35">
      <c r="A332" s="19" t="str">
        <f>VLOOKUP(C332,Master!A:D,4,0)</f>
        <v>FG</v>
      </c>
      <c r="B332" s="14" t="str">
        <f>VLOOKUP(C332,Master!A:C,3,0)</f>
        <v>Trading Items</v>
      </c>
      <c r="C332" s="14" t="s">
        <v>905</v>
      </c>
      <c r="D332" s="2">
        <f t="shared" ref="D332:F332" si="227">+W283</f>
        <v>0</v>
      </c>
      <c r="E332" s="2">
        <f t="shared" si="227"/>
        <v>0</v>
      </c>
      <c r="F332" s="2">
        <f t="shared" si="227"/>
        <v>0</v>
      </c>
      <c r="G332" s="6"/>
      <c r="H332" s="6"/>
      <c r="I332" s="6"/>
      <c r="J332" s="2"/>
      <c r="K332" s="6"/>
      <c r="L332" s="6"/>
      <c r="M332" s="6"/>
      <c r="N332" s="6"/>
      <c r="O332" s="6"/>
      <c r="P332" s="6"/>
      <c r="Q332" s="2"/>
      <c r="R332" s="6"/>
      <c r="S332" s="6"/>
      <c r="T332" s="6"/>
      <c r="U332" s="54">
        <f t="shared" ref="U332:U335" si="228">O332-S332</f>
        <v>0</v>
      </c>
      <c r="V332" s="54">
        <f t="shared" ref="V332:V335" si="229">P332-T332</f>
        <v>0</v>
      </c>
      <c r="W332" s="54">
        <f t="shared" si="194"/>
        <v>0</v>
      </c>
      <c r="X332" s="2">
        <f t="shared" si="195"/>
        <v>0</v>
      </c>
      <c r="Y332" s="2">
        <v>0</v>
      </c>
      <c r="Z332" s="46">
        <v>0</v>
      </c>
      <c r="AA332" s="46">
        <v>0</v>
      </c>
      <c r="AB332" s="46">
        <v>0</v>
      </c>
      <c r="AC332" s="58">
        <f t="shared" si="190"/>
        <v>0</v>
      </c>
      <c r="AD332" s="58">
        <f t="shared" si="191"/>
        <v>0</v>
      </c>
      <c r="AE332" s="12">
        <f t="shared" si="192"/>
        <v>0</v>
      </c>
      <c r="AF332" s="56"/>
      <c r="AG332" s="62"/>
      <c r="AH332" s="117">
        <f t="shared" si="196"/>
        <v>0</v>
      </c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  <c r="AV332" s="114"/>
      <c r="AW332" s="114"/>
      <c r="AX332" s="114"/>
      <c r="AY332" s="119"/>
      <c r="AZ332" s="115"/>
      <c r="BA332" s="115"/>
      <c r="BB332" s="115"/>
      <c r="BC332" s="115"/>
      <c r="BD332" s="115"/>
      <c r="BE332" s="115"/>
      <c r="BF332" s="115"/>
      <c r="BG332" s="115"/>
      <c r="BH332" s="115"/>
      <c r="BI332" s="115"/>
      <c r="BJ332" s="115"/>
    </row>
    <row r="333" spans="1:62" hidden="1" x14ac:dyDescent="0.35">
      <c r="A333" s="19" t="str">
        <f>VLOOKUP(C333,Master!A:D,4,0)</f>
        <v>FG</v>
      </c>
      <c r="B333" s="14" t="str">
        <f>VLOOKUP(C333,Master!A:C,3,0)</f>
        <v>Small Bags</v>
      </c>
      <c r="C333" s="14" t="s">
        <v>907</v>
      </c>
      <c r="D333" s="2">
        <f t="shared" ref="D333:F333" si="230">+W284</f>
        <v>0</v>
      </c>
      <c r="E333" s="2">
        <f t="shared" si="230"/>
        <v>0</v>
      </c>
      <c r="F333" s="2">
        <f t="shared" si="230"/>
        <v>0</v>
      </c>
      <c r="G333" s="6"/>
      <c r="H333" s="2"/>
      <c r="I333" s="6"/>
      <c r="J333" s="2"/>
      <c r="K333" s="6"/>
      <c r="L333" s="6"/>
      <c r="M333" s="6"/>
      <c r="N333" s="6"/>
      <c r="O333" s="6"/>
      <c r="P333" s="6"/>
      <c r="Q333" s="2"/>
      <c r="R333" s="6"/>
      <c r="S333" s="6"/>
      <c r="T333" s="6"/>
      <c r="U333" s="54">
        <f t="shared" si="228"/>
        <v>0</v>
      </c>
      <c r="V333" s="54">
        <f t="shared" si="229"/>
        <v>0</v>
      </c>
      <c r="W333" s="54">
        <f t="shared" si="194"/>
        <v>0</v>
      </c>
      <c r="X333" s="2">
        <f t="shared" si="195"/>
        <v>0</v>
      </c>
      <c r="Y333" s="2">
        <v>0</v>
      </c>
      <c r="Z333" s="46">
        <v>0</v>
      </c>
      <c r="AA333" s="46">
        <v>0</v>
      </c>
      <c r="AB333" s="46">
        <v>0</v>
      </c>
      <c r="AC333" s="58">
        <f t="shared" si="190"/>
        <v>0</v>
      </c>
      <c r="AD333" s="58">
        <f t="shared" si="191"/>
        <v>0</v>
      </c>
      <c r="AE333" s="12">
        <f t="shared" si="192"/>
        <v>0</v>
      </c>
      <c r="AF333" s="56"/>
      <c r="AG333" s="62"/>
      <c r="AH333" s="117">
        <f t="shared" si="196"/>
        <v>0</v>
      </c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  <c r="AV333" s="114"/>
      <c r="AW333" s="114"/>
      <c r="AX333" s="114"/>
      <c r="AY333" s="119"/>
      <c r="AZ333" s="115"/>
      <c r="BA333" s="115"/>
      <c r="BB333" s="115"/>
      <c r="BC333" s="115"/>
      <c r="BD333" s="115"/>
      <c r="BE333" s="115"/>
      <c r="BF333" s="115"/>
      <c r="BG333" s="115"/>
      <c r="BH333" s="115"/>
      <c r="BI333" s="115"/>
      <c r="BJ333" s="115"/>
    </row>
    <row r="334" spans="1:62" hidden="1" x14ac:dyDescent="0.35">
      <c r="A334" s="19" t="str">
        <f>VLOOKUP(C334,Master!A:D,4,0)</f>
        <v>FG</v>
      </c>
      <c r="B334" s="14" t="str">
        <f>VLOOKUP(C334,Master!A:C,3,0)</f>
        <v>Small Bags WIP</v>
      </c>
      <c r="C334" s="14" t="s">
        <v>908</v>
      </c>
      <c r="D334" s="2">
        <f t="shared" ref="D334:F334" si="231">+W285</f>
        <v>0</v>
      </c>
      <c r="E334" s="2">
        <f t="shared" si="231"/>
        <v>0</v>
      </c>
      <c r="F334" s="2">
        <f t="shared" si="231"/>
        <v>0</v>
      </c>
      <c r="G334" s="7"/>
      <c r="H334" s="2"/>
      <c r="I334" s="7"/>
      <c r="J334" s="11"/>
      <c r="K334" s="7"/>
      <c r="L334" s="7"/>
      <c r="M334" s="7"/>
      <c r="N334" s="7"/>
      <c r="O334" s="7"/>
      <c r="P334" s="7"/>
      <c r="Q334" s="2"/>
      <c r="R334" s="7"/>
      <c r="S334" s="7"/>
      <c r="T334" s="6"/>
      <c r="U334" s="54">
        <f t="shared" si="228"/>
        <v>0</v>
      </c>
      <c r="V334" s="54">
        <f t="shared" si="229"/>
        <v>0</v>
      </c>
      <c r="W334" s="54">
        <f t="shared" si="194"/>
        <v>0</v>
      </c>
      <c r="X334" s="2">
        <f t="shared" si="195"/>
        <v>0</v>
      </c>
      <c r="Y334" s="2">
        <v>0</v>
      </c>
      <c r="Z334" s="46">
        <v>0</v>
      </c>
      <c r="AA334" s="46">
        <v>0</v>
      </c>
      <c r="AB334" s="46">
        <v>0</v>
      </c>
      <c r="AC334" s="58">
        <f t="shared" si="190"/>
        <v>0</v>
      </c>
      <c r="AD334" s="58">
        <f t="shared" si="191"/>
        <v>0</v>
      </c>
      <c r="AE334" s="12">
        <f t="shared" si="192"/>
        <v>0</v>
      </c>
      <c r="AF334" s="56"/>
      <c r="AG334" s="62"/>
      <c r="AH334" s="117">
        <f t="shared" si="196"/>
        <v>0</v>
      </c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  <c r="AV334" s="114"/>
      <c r="AW334" s="114"/>
      <c r="AX334" s="114"/>
      <c r="AY334" s="119"/>
      <c r="AZ334" s="115"/>
      <c r="BA334" s="115"/>
      <c r="BB334" s="115"/>
      <c r="BC334" s="115"/>
      <c r="BD334" s="115"/>
      <c r="BE334" s="115"/>
      <c r="BF334" s="115"/>
      <c r="BG334" s="115"/>
      <c r="BH334" s="115"/>
      <c r="BI334" s="115"/>
      <c r="BJ334" s="115"/>
    </row>
    <row r="335" spans="1:62" ht="15" hidden="1" thickBot="1" x14ac:dyDescent="0.4">
      <c r="A335" s="20" t="str">
        <f>VLOOKUP(C335,Master!A:D,4,0)</f>
        <v>FG</v>
      </c>
      <c r="B335" s="21" t="str">
        <f>VLOOKUP(C335,Master!A:C,3,0)</f>
        <v>Flexitank</v>
      </c>
      <c r="C335" s="21" t="s">
        <v>718</v>
      </c>
      <c r="D335" s="2">
        <f t="shared" ref="D335:F335" si="232">+W286</f>
        <v>0</v>
      </c>
      <c r="E335" s="2">
        <f t="shared" si="232"/>
        <v>0</v>
      </c>
      <c r="F335" s="2">
        <f t="shared" si="232"/>
        <v>0</v>
      </c>
      <c r="G335" s="22"/>
      <c r="H335" s="22"/>
      <c r="I335" s="22"/>
      <c r="J335" s="24"/>
      <c r="K335" s="22"/>
      <c r="L335" s="22"/>
      <c r="M335" s="22"/>
      <c r="N335" s="22"/>
      <c r="O335" s="22"/>
      <c r="P335" s="22"/>
      <c r="Q335" s="2"/>
      <c r="R335" s="22"/>
      <c r="S335" s="22"/>
      <c r="T335" s="22"/>
      <c r="U335" s="54">
        <f t="shared" si="228"/>
        <v>0</v>
      </c>
      <c r="V335" s="54">
        <f t="shared" si="229"/>
        <v>0</v>
      </c>
      <c r="W335" s="54">
        <f t="shared" si="194"/>
        <v>0</v>
      </c>
      <c r="X335" s="2">
        <f t="shared" si="195"/>
        <v>0</v>
      </c>
      <c r="Y335" s="2">
        <v>0</v>
      </c>
      <c r="Z335" s="46">
        <v>0</v>
      </c>
      <c r="AA335" s="46">
        <v>0</v>
      </c>
      <c r="AB335" s="46">
        <v>0</v>
      </c>
      <c r="AC335" s="58">
        <f t="shared" si="190"/>
        <v>0</v>
      </c>
      <c r="AD335" s="58">
        <f t="shared" si="191"/>
        <v>0</v>
      </c>
      <c r="AE335" s="12">
        <f t="shared" si="192"/>
        <v>0</v>
      </c>
      <c r="AF335" s="56"/>
      <c r="AG335" s="65"/>
      <c r="AH335" s="117">
        <f t="shared" si="196"/>
        <v>0</v>
      </c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  <c r="AV335" s="114"/>
      <c r="AW335" s="114"/>
      <c r="AX335" s="114"/>
      <c r="AY335" s="119"/>
      <c r="AZ335" s="115"/>
      <c r="BA335" s="115"/>
      <c r="BB335" s="115"/>
      <c r="BC335" s="115"/>
      <c r="BD335" s="115"/>
      <c r="BE335" s="115"/>
      <c r="BF335" s="115"/>
      <c r="BG335" s="115"/>
      <c r="BH335" s="115"/>
      <c r="BI335" s="115"/>
      <c r="BJ335" s="115"/>
    </row>
    <row r="336" spans="1:62" hidden="1" x14ac:dyDescent="0.35">
      <c r="A336" s="536" t="s">
        <v>928</v>
      </c>
      <c r="B336" s="537"/>
      <c r="C336" s="538"/>
      <c r="D336" s="17">
        <f>SUM(D299:D335)</f>
        <v>80511.518888000093</v>
      </c>
      <c r="E336" s="17">
        <f t="shared" ref="E336:Z336" si="233">SUM(E299:E335)</f>
        <v>449660.13</v>
      </c>
      <c r="F336" s="17">
        <f t="shared" si="233"/>
        <v>0</v>
      </c>
      <c r="G336" s="17">
        <f t="shared" si="233"/>
        <v>0</v>
      </c>
      <c r="H336" s="17">
        <f t="shared" si="233"/>
        <v>0</v>
      </c>
      <c r="I336" s="17">
        <f t="shared" si="233"/>
        <v>0</v>
      </c>
      <c r="J336" s="17">
        <f t="shared" si="233"/>
        <v>0</v>
      </c>
      <c r="K336" s="17">
        <f t="shared" si="233"/>
        <v>0</v>
      </c>
      <c r="L336" s="17">
        <f t="shared" si="233"/>
        <v>0</v>
      </c>
      <c r="M336" s="17">
        <f t="shared" si="233"/>
        <v>0</v>
      </c>
      <c r="N336" s="17">
        <f t="shared" si="233"/>
        <v>0</v>
      </c>
      <c r="O336" s="17">
        <f t="shared" si="233"/>
        <v>0</v>
      </c>
      <c r="P336" s="17">
        <f t="shared" si="233"/>
        <v>0</v>
      </c>
      <c r="Q336" s="17">
        <f t="shared" si="233"/>
        <v>0</v>
      </c>
      <c r="R336" s="17">
        <f t="shared" si="233"/>
        <v>0</v>
      </c>
      <c r="S336" s="17">
        <f t="shared" si="233"/>
        <v>0</v>
      </c>
      <c r="T336" s="17">
        <f t="shared" si="233"/>
        <v>0</v>
      </c>
      <c r="U336" s="17">
        <f t="shared" si="233"/>
        <v>0</v>
      </c>
      <c r="V336" s="17">
        <f t="shared" si="233"/>
        <v>0</v>
      </c>
      <c r="W336" s="17">
        <f t="shared" si="233"/>
        <v>80511.518888000093</v>
      </c>
      <c r="X336" s="17">
        <f t="shared" si="233"/>
        <v>449660.13</v>
      </c>
      <c r="Y336" s="17">
        <f t="shared" si="233"/>
        <v>0</v>
      </c>
      <c r="Z336" s="17">
        <f t="shared" si="233"/>
        <v>0</v>
      </c>
      <c r="AA336" s="17">
        <f>SUM(AA299:AA335)</f>
        <v>0</v>
      </c>
      <c r="AB336" s="17">
        <f t="shared" ref="AB336:AF336" si="234">SUM(AB299:AB335)</f>
        <v>0</v>
      </c>
      <c r="AC336" s="17">
        <f t="shared" si="234"/>
        <v>80511.518888000093</v>
      </c>
      <c r="AD336" s="17">
        <f t="shared" si="234"/>
        <v>449660.13</v>
      </c>
      <c r="AE336" s="17">
        <f t="shared" si="234"/>
        <v>0</v>
      </c>
      <c r="AF336" s="57">
        <f t="shared" si="234"/>
        <v>0</v>
      </c>
      <c r="AG336" s="61"/>
      <c r="AH336" s="120">
        <f t="shared" ref="AH336" si="235">SUM(AH299:AH335)</f>
        <v>0</v>
      </c>
      <c r="AI336" s="121"/>
      <c r="AJ336" s="121"/>
      <c r="AK336" s="121"/>
      <c r="AL336" s="121"/>
      <c r="AM336" s="121"/>
      <c r="AN336" s="121"/>
      <c r="AO336" s="121"/>
      <c r="AP336" s="121"/>
      <c r="AQ336" s="121"/>
      <c r="AR336" s="121"/>
      <c r="AS336" s="121"/>
      <c r="AT336" s="121"/>
      <c r="AU336" s="121"/>
      <c r="AV336" s="121"/>
      <c r="AW336" s="121"/>
      <c r="AX336" s="121"/>
      <c r="AY336" s="249"/>
      <c r="AZ336" s="115"/>
      <c r="BA336" s="115"/>
      <c r="BB336" s="122"/>
      <c r="BC336" s="122"/>
      <c r="BD336" s="122"/>
      <c r="BE336" s="122"/>
      <c r="BF336" s="122"/>
      <c r="BG336" s="122"/>
      <c r="BH336" s="122"/>
      <c r="BI336" s="122"/>
      <c r="BJ336" s="115"/>
    </row>
    <row r="337" spans="1:62" hidden="1" x14ac:dyDescent="0.35">
      <c r="A337" s="533" t="s">
        <v>927</v>
      </c>
      <c r="B337" s="534"/>
      <c r="C337" s="535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58"/>
      <c r="Y337" s="12"/>
      <c r="Z337" s="11"/>
      <c r="AA337" s="11"/>
      <c r="AB337" s="11"/>
      <c r="AC337" s="11"/>
      <c r="AD337" s="11"/>
      <c r="AE337" s="11"/>
      <c r="AF337" s="4"/>
      <c r="AG337" s="62"/>
      <c r="AH337" s="117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  <c r="AV337" s="114"/>
      <c r="AW337" s="114"/>
      <c r="AX337" s="114"/>
      <c r="AY337" s="119"/>
      <c r="AZ337" s="115"/>
      <c r="BA337" s="115"/>
      <c r="BB337" s="115"/>
      <c r="BC337" s="115"/>
      <c r="BD337" s="115"/>
      <c r="BE337" s="115"/>
      <c r="BF337" s="115"/>
      <c r="BG337" s="115"/>
      <c r="BH337" s="115"/>
      <c r="BI337" s="115"/>
      <c r="BJ337" s="115"/>
    </row>
    <row r="338" spans="1:62" ht="15" hidden="1" thickBot="1" x14ac:dyDescent="0.4">
      <c r="A338" s="547" t="s">
        <v>21</v>
      </c>
      <c r="B338" s="548"/>
      <c r="C338" s="549"/>
      <c r="D338" s="23"/>
      <c r="E338" s="23"/>
      <c r="F338" s="23"/>
      <c r="G338" s="24">
        <f>G336-G337</f>
        <v>0</v>
      </c>
      <c r="H338" s="24">
        <f t="shared" ref="H338:N338" si="236">H336-H337</f>
        <v>0</v>
      </c>
      <c r="I338" s="24">
        <f t="shared" si="236"/>
        <v>0</v>
      </c>
      <c r="J338" s="24">
        <f t="shared" si="236"/>
        <v>0</v>
      </c>
      <c r="K338" s="24">
        <f t="shared" si="236"/>
        <v>0</v>
      </c>
      <c r="L338" s="24">
        <f t="shared" si="236"/>
        <v>0</v>
      </c>
      <c r="M338" s="24">
        <f t="shared" si="236"/>
        <v>0</v>
      </c>
      <c r="N338" s="24">
        <f t="shared" si="236"/>
        <v>0</v>
      </c>
      <c r="O338" s="23"/>
      <c r="P338" s="23"/>
      <c r="Q338" s="23"/>
      <c r="R338" s="23"/>
      <c r="S338" s="23"/>
      <c r="T338" s="23"/>
      <c r="U338" s="23"/>
      <c r="V338" s="23"/>
      <c r="W338" s="23"/>
      <c r="X338" s="79"/>
      <c r="Y338" s="23"/>
      <c r="Z338" s="23"/>
      <c r="AA338" s="79">
        <f>+AA336-AA337</f>
        <v>0</v>
      </c>
      <c r="AB338" s="23"/>
      <c r="AC338" s="23"/>
      <c r="AD338" s="23"/>
      <c r="AE338" s="23"/>
      <c r="AF338" s="25"/>
      <c r="AG338" s="63"/>
      <c r="AH338" s="123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  <c r="AV338" s="114"/>
      <c r="AW338" s="114"/>
      <c r="AX338" s="114"/>
      <c r="AY338" s="119"/>
      <c r="AZ338" s="119"/>
      <c r="BA338" s="119"/>
      <c r="BB338" s="115"/>
      <c r="BC338" s="115"/>
      <c r="BD338" s="115"/>
      <c r="BE338" s="115"/>
      <c r="BF338" s="115"/>
      <c r="BG338" s="115"/>
      <c r="BH338" s="115"/>
      <c r="BI338" s="115"/>
      <c r="BJ338" s="115"/>
    </row>
    <row r="339" spans="1:62" hidden="1" x14ac:dyDescent="0.35">
      <c r="O339" s="51" t="s">
        <v>970</v>
      </c>
      <c r="P339" s="70">
        <f>+O336-P336</f>
        <v>0</v>
      </c>
      <c r="S339" s="51" t="s">
        <v>970</v>
      </c>
      <c r="T339" s="70">
        <f>+S336-T336</f>
        <v>0</v>
      </c>
    </row>
    <row r="340" spans="1:62" hidden="1" x14ac:dyDescent="0.35">
      <c r="A340" s="29"/>
      <c r="O340" s="64"/>
      <c r="S340" s="47"/>
      <c r="W340" s="47">
        <f>+D336+H336-K336</f>
        <v>80511.518888000093</v>
      </c>
      <c r="X340" s="47">
        <f>+E336+J336-N336</f>
        <v>449660.13</v>
      </c>
      <c r="AH340" s="131">
        <f>+AH300+AH313+AH299+AH307</f>
        <v>0</v>
      </c>
      <c r="AI340" s="105" t="s">
        <v>932</v>
      </c>
      <c r="AJ340" s="116"/>
      <c r="AK340" s="116"/>
      <c r="AL340" s="116"/>
      <c r="AM340" s="116"/>
      <c r="AN340" s="116"/>
      <c r="AO340" s="116"/>
      <c r="AP340" s="116"/>
      <c r="AQ340" s="116"/>
      <c r="AR340" s="116"/>
      <c r="AS340" s="116"/>
      <c r="AT340" s="116"/>
      <c r="AU340" s="116"/>
      <c r="AV340" s="116"/>
      <c r="AW340" s="116"/>
      <c r="AX340" s="116"/>
      <c r="AY340" s="246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</row>
    <row r="341" spans="1:62" hidden="1" x14ac:dyDescent="0.35">
      <c r="W341" s="104">
        <f>+W336-W340</f>
        <v>0</v>
      </c>
      <c r="X341" s="99">
        <f>+X336-X340</f>
        <v>0</v>
      </c>
      <c r="Y341" s="47"/>
      <c r="AH341" s="116">
        <f>+AH327</f>
        <v>0</v>
      </c>
      <c r="AI341" s="105" t="s">
        <v>931</v>
      </c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  <c r="AT341" s="116"/>
      <c r="AU341" s="116"/>
      <c r="AV341" s="116"/>
      <c r="AW341" s="116"/>
      <c r="AX341" s="116"/>
      <c r="AY341" s="246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</row>
    <row r="342" spans="1:62" hidden="1" x14ac:dyDescent="0.35">
      <c r="W342" s="47"/>
      <c r="X342" s="47"/>
      <c r="AH342" s="116">
        <f>+AH319+AH326+AH329+AH333</f>
        <v>0</v>
      </c>
      <c r="AI342" s="105" t="s">
        <v>930</v>
      </c>
      <c r="AJ342" s="116"/>
      <c r="AK342" s="116"/>
      <c r="AL342" s="116"/>
      <c r="AM342" s="116"/>
      <c r="AN342" s="116"/>
      <c r="AO342" s="116"/>
      <c r="AP342" s="116"/>
      <c r="AQ342" s="116"/>
      <c r="AR342" s="116"/>
      <c r="AS342" s="116"/>
      <c r="AT342" s="116"/>
      <c r="AU342" s="116"/>
      <c r="AV342" s="116"/>
      <c r="AW342" s="116"/>
      <c r="AX342" s="116"/>
      <c r="AY342" s="246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</row>
    <row r="343" spans="1:62" hidden="1" x14ac:dyDescent="0.35">
      <c r="AH343" s="118">
        <f>+AH336-AH340-AH341-AH342</f>
        <v>0</v>
      </c>
      <c r="AI343" s="116"/>
      <c r="AJ343" s="116"/>
      <c r="AK343" s="116"/>
      <c r="AL343" s="116"/>
      <c r="AM343" s="116"/>
      <c r="AN343" s="116"/>
      <c r="AO343" s="116"/>
      <c r="AP343" s="116"/>
      <c r="AQ343" s="116"/>
      <c r="AR343" s="116"/>
      <c r="AS343" s="116"/>
      <c r="AT343" s="116"/>
      <c r="AU343" s="116"/>
      <c r="AV343" s="116"/>
      <c r="AW343" s="116"/>
      <c r="AX343" s="116"/>
      <c r="AY343" s="246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  <c r="BJ343" s="124"/>
    </row>
    <row r="344" spans="1:62" hidden="1" x14ac:dyDescent="0.35">
      <c r="AH344" s="118"/>
    </row>
    <row r="345" spans="1:62" ht="15" hidden="1" thickBot="1" x14ac:dyDescent="0.4"/>
    <row r="346" spans="1:62" ht="15" hidden="1" thickBot="1" x14ac:dyDescent="0.4">
      <c r="A346" s="5"/>
      <c r="B346" s="5"/>
      <c r="C346" s="8"/>
      <c r="D346" s="539" t="s">
        <v>0</v>
      </c>
      <c r="E346" s="540"/>
      <c r="F346" s="540"/>
      <c r="G346" s="541" t="s">
        <v>2352</v>
      </c>
      <c r="H346" s="542"/>
      <c r="I346" s="542"/>
      <c r="J346" s="542"/>
      <c r="K346" s="542"/>
      <c r="L346" s="542"/>
      <c r="M346" s="542"/>
      <c r="N346" s="542"/>
      <c r="O346" s="542"/>
      <c r="P346" s="542"/>
      <c r="Q346" s="542"/>
      <c r="R346" s="542"/>
      <c r="S346" s="542"/>
      <c r="T346" s="542"/>
      <c r="U346" s="542"/>
      <c r="V346" s="543"/>
      <c r="W346" s="554" t="s">
        <v>20</v>
      </c>
      <c r="X346" s="554"/>
      <c r="Y346" s="554"/>
      <c r="Z346" s="553" t="s">
        <v>929</v>
      </c>
      <c r="AA346" s="553"/>
      <c r="AB346" s="553"/>
      <c r="AC346" s="553" t="s">
        <v>21</v>
      </c>
      <c r="AD346" s="553"/>
      <c r="AE346" s="553"/>
      <c r="AF346" s="13"/>
      <c r="AG346" s="531"/>
      <c r="AH346" s="532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108"/>
      <c r="AZ346" s="108"/>
      <c r="BA346" s="108"/>
      <c r="BB346" s="108"/>
      <c r="BC346" s="108"/>
      <c r="BD346" s="108"/>
      <c r="BE346" s="108"/>
      <c r="BF346" s="108"/>
      <c r="BG346" s="108"/>
      <c r="BH346" s="108"/>
      <c r="BI346" s="108"/>
      <c r="BJ346" s="108"/>
    </row>
    <row r="347" spans="1:62" ht="29.5" hidden="1" thickBot="1" x14ac:dyDescent="0.4">
      <c r="A347" s="10" t="s">
        <v>24</v>
      </c>
      <c r="B347" s="10" t="s">
        <v>924</v>
      </c>
      <c r="C347" s="10" t="s">
        <v>23</v>
      </c>
      <c r="D347" s="26" t="s">
        <v>1</v>
      </c>
      <c r="E347" s="27" t="s">
        <v>2</v>
      </c>
      <c r="F347" s="27" t="s">
        <v>3</v>
      </c>
      <c r="G347" s="27" t="s">
        <v>4</v>
      </c>
      <c r="H347" s="27" t="s">
        <v>5</v>
      </c>
      <c r="I347" s="27" t="s">
        <v>6</v>
      </c>
      <c r="J347" s="27" t="s">
        <v>7</v>
      </c>
      <c r="K347" s="27" t="s">
        <v>8</v>
      </c>
      <c r="L347" s="27" t="s">
        <v>9</v>
      </c>
      <c r="M347" s="27" t="s">
        <v>10</v>
      </c>
      <c r="N347" s="27" t="s">
        <v>11</v>
      </c>
      <c r="O347" s="27" t="s">
        <v>12</v>
      </c>
      <c r="P347" s="27" t="s">
        <v>13</v>
      </c>
      <c r="Q347" s="27" t="s">
        <v>14</v>
      </c>
      <c r="R347" s="27" t="s">
        <v>15</v>
      </c>
      <c r="S347" s="27" t="s">
        <v>16</v>
      </c>
      <c r="T347" s="27" t="s">
        <v>17</v>
      </c>
      <c r="U347" s="27" t="s">
        <v>18</v>
      </c>
      <c r="V347" s="27" t="s">
        <v>19</v>
      </c>
      <c r="W347" s="28" t="s">
        <v>1</v>
      </c>
      <c r="X347" s="28" t="s">
        <v>2</v>
      </c>
      <c r="Y347" s="28" t="s">
        <v>3</v>
      </c>
      <c r="Z347" s="28" t="s">
        <v>1</v>
      </c>
      <c r="AA347" s="50" t="s">
        <v>2</v>
      </c>
      <c r="AB347" s="27" t="s">
        <v>3</v>
      </c>
      <c r="AC347" s="27" t="s">
        <v>1</v>
      </c>
      <c r="AD347" s="27" t="s">
        <v>2</v>
      </c>
      <c r="AE347" s="27" t="s">
        <v>3</v>
      </c>
      <c r="AF347" s="55" t="s">
        <v>22</v>
      </c>
      <c r="AG347" s="59" t="s">
        <v>934</v>
      </c>
      <c r="AH347" s="110" t="s">
        <v>933</v>
      </c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2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</row>
    <row r="348" spans="1:62" hidden="1" x14ac:dyDescent="0.35">
      <c r="A348" s="15" t="str">
        <f>VLOOKUP(C348,Master!A:D,4,0)</f>
        <v>RM</v>
      </c>
      <c r="B348" s="16" t="str">
        <f>VLOOKUP(C348,Master!A:C,3,0)</f>
        <v>Granuals</v>
      </c>
      <c r="C348" s="16" t="s">
        <v>32</v>
      </c>
      <c r="D348" s="17">
        <f>+W299</f>
        <v>2494.8000000000002</v>
      </c>
      <c r="E348" s="17">
        <f t="shared" ref="E348:F349" si="237">+X299</f>
        <v>200</v>
      </c>
      <c r="F348" s="17">
        <f t="shared" si="237"/>
        <v>0</v>
      </c>
      <c r="G348" s="17"/>
      <c r="H348" s="17"/>
      <c r="I348" s="71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>
        <f t="shared" ref="U348:U380" si="238">O348-S348</f>
        <v>0</v>
      </c>
      <c r="V348" s="17">
        <f t="shared" ref="V348:V380" si="239">P348-T348</f>
        <v>0</v>
      </c>
      <c r="W348" s="94">
        <f>D348+G348+H348+I348-K348-L348-M348-V348+U348</f>
        <v>2494.8000000000002</v>
      </c>
      <c r="X348" s="17">
        <f t="shared" ref="X348:X349" si="240">E348+J348-N348-T348+S348</f>
        <v>200</v>
      </c>
      <c r="Y348" s="17">
        <f t="shared" ref="Y348:Y349" si="241">F348-I348+M348-R348+Q348</f>
        <v>0</v>
      </c>
      <c r="Z348" s="48">
        <v>0</v>
      </c>
      <c r="AA348" s="49">
        <v>0</v>
      </c>
      <c r="AB348" s="45">
        <v>0</v>
      </c>
      <c r="AC348" s="72">
        <f>W348-Z348</f>
        <v>2494.8000000000002</v>
      </c>
      <c r="AD348" s="72">
        <f>X348-AA348</f>
        <v>200</v>
      </c>
      <c r="AE348" s="18">
        <f>Y348-AB348</f>
        <v>0</v>
      </c>
      <c r="AF348" s="56"/>
      <c r="AG348" s="61"/>
      <c r="AH348" s="113">
        <f>+W348*AG348</f>
        <v>0</v>
      </c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  <c r="AV348" s="114"/>
      <c r="AW348" s="114"/>
      <c r="AX348" s="114"/>
      <c r="AY348" s="119"/>
      <c r="AZ348" s="115"/>
      <c r="BA348" s="243"/>
      <c r="BB348" s="115"/>
      <c r="BC348" s="115"/>
      <c r="BD348" s="115"/>
      <c r="BE348" s="115"/>
      <c r="BF348" s="115"/>
      <c r="BG348" s="115"/>
      <c r="BH348" s="115"/>
      <c r="BI348" s="115"/>
      <c r="BJ348" s="115"/>
    </row>
    <row r="349" spans="1:62" hidden="1" x14ac:dyDescent="0.35">
      <c r="A349" s="19" t="str">
        <f>VLOOKUP(C349,Master!A:D,4,0)</f>
        <v>RM</v>
      </c>
      <c r="B349" s="14" t="str">
        <f>VLOOKUP(C349,Master!A:C,3,0)</f>
        <v>Granuals</v>
      </c>
      <c r="C349" s="14" t="s">
        <v>37</v>
      </c>
      <c r="D349" s="2">
        <f>+W300</f>
        <v>29994.720000000001</v>
      </c>
      <c r="E349" s="2">
        <f t="shared" si="237"/>
        <v>341299.7</v>
      </c>
      <c r="F349" s="2">
        <f t="shared" si="237"/>
        <v>0</v>
      </c>
      <c r="G349" s="2"/>
      <c r="H349" s="2"/>
      <c r="I349" s="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>
        <f t="shared" si="238"/>
        <v>0</v>
      </c>
      <c r="V349" s="2">
        <f t="shared" si="239"/>
        <v>0</v>
      </c>
      <c r="W349" s="2">
        <f t="shared" ref="W349" si="242">D349+G349+H349+I349-K349-L349-M349-V349+U349</f>
        <v>29994.720000000001</v>
      </c>
      <c r="X349" s="2">
        <f t="shared" si="240"/>
        <v>341299.7</v>
      </c>
      <c r="Y349" s="2">
        <f t="shared" si="241"/>
        <v>0</v>
      </c>
      <c r="Z349" s="46">
        <v>0</v>
      </c>
      <c r="AA349" s="46">
        <v>0</v>
      </c>
      <c r="AB349" s="46">
        <v>0</v>
      </c>
      <c r="AC349" s="58">
        <f t="shared" ref="AC349:AC384" si="243">W349-Z349</f>
        <v>29994.720000000001</v>
      </c>
      <c r="AD349" s="58">
        <f t="shared" ref="AD349:AD384" si="244">X349-AA349</f>
        <v>341299.7</v>
      </c>
      <c r="AE349" s="12">
        <f t="shared" ref="AE349:AE380" si="245">Y349-AB349</f>
        <v>0</v>
      </c>
      <c r="AF349" s="56"/>
      <c r="AG349" s="60"/>
      <c r="AH349" s="117">
        <f>+W349*AG349</f>
        <v>0</v>
      </c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  <c r="AV349" s="114"/>
      <c r="AW349" s="114"/>
      <c r="AX349" s="114"/>
      <c r="AY349" s="119"/>
      <c r="AZ349" s="115"/>
      <c r="BA349" s="243"/>
      <c r="BB349" s="115"/>
      <c r="BC349" s="115"/>
      <c r="BD349" s="115"/>
      <c r="BE349" s="115"/>
      <c r="BF349" s="115"/>
      <c r="BG349" s="115"/>
      <c r="BH349" s="115"/>
      <c r="BI349" s="115"/>
      <c r="BJ349" s="115"/>
    </row>
    <row r="350" spans="1:62" hidden="1" x14ac:dyDescent="0.35">
      <c r="A350" s="19" t="str">
        <f>VLOOKUP(C350,Master!A:D,4,0)</f>
        <v>RM</v>
      </c>
      <c r="B350" s="14" t="str">
        <f>VLOOKUP(C350,Master!A:C,3,0)</f>
        <v>Granuals</v>
      </c>
      <c r="C350" s="14" t="s">
        <v>40</v>
      </c>
      <c r="D350" s="2">
        <f t="shared" ref="D350:D377" si="246">+W301</f>
        <v>0</v>
      </c>
      <c r="E350" s="2">
        <f t="shared" ref="E350:E377" si="247">+X301</f>
        <v>0</v>
      </c>
      <c r="F350" s="2">
        <f t="shared" ref="F350:F377" si="248">+Y301</f>
        <v>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>
        <f t="shared" si="238"/>
        <v>0</v>
      </c>
      <c r="V350" s="2">
        <f t="shared" si="239"/>
        <v>0</v>
      </c>
      <c r="W350" s="2">
        <f t="shared" ref="W350:W384" si="249">D350+G350+H350+I350-K350-L350-M350-V350+U350</f>
        <v>0</v>
      </c>
      <c r="X350" s="2">
        <f t="shared" ref="X350:X384" si="250">E350+J350-N350-T350+S350</f>
        <v>0</v>
      </c>
      <c r="Y350" s="2">
        <f t="shared" ref="Y350:Y384" si="251">F350-I350+M350-R350+Q350</f>
        <v>0</v>
      </c>
      <c r="Z350" s="46">
        <v>0</v>
      </c>
      <c r="AA350" s="46">
        <v>0</v>
      </c>
      <c r="AB350" s="46">
        <v>0</v>
      </c>
      <c r="AC350" s="58">
        <f t="shared" si="243"/>
        <v>0</v>
      </c>
      <c r="AD350" s="58">
        <f t="shared" si="244"/>
        <v>0</v>
      </c>
      <c r="AE350" s="12">
        <f t="shared" si="245"/>
        <v>0</v>
      </c>
      <c r="AF350" s="56"/>
      <c r="AG350" s="62"/>
      <c r="AH350" s="117">
        <f t="shared" ref="AH350:AH384" si="252">+W350*AG350</f>
        <v>0</v>
      </c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  <c r="AV350" s="114"/>
      <c r="AW350" s="114"/>
      <c r="AX350" s="114"/>
      <c r="AY350" s="119"/>
      <c r="AZ350" s="115"/>
      <c r="BA350" s="243"/>
      <c r="BB350" s="115"/>
      <c r="BC350" s="115"/>
      <c r="BD350" s="115"/>
      <c r="BE350" s="115"/>
      <c r="BF350" s="115"/>
      <c r="BG350" s="115"/>
      <c r="BH350" s="115"/>
      <c r="BI350" s="115"/>
      <c r="BJ350" s="115"/>
    </row>
    <row r="351" spans="1:62" hidden="1" x14ac:dyDescent="0.35">
      <c r="A351" s="19" t="str">
        <f>VLOOKUP(C351,Master!A:D,4,0)</f>
        <v>RM</v>
      </c>
      <c r="B351" s="14" t="str">
        <f>VLOOKUP(C351,Master!A:C,3,0)</f>
        <v>Granuals</v>
      </c>
      <c r="C351" s="14" t="s">
        <v>46</v>
      </c>
      <c r="D351" s="2">
        <f t="shared" si="246"/>
        <v>0</v>
      </c>
      <c r="E351" s="2">
        <f t="shared" si="247"/>
        <v>15000</v>
      </c>
      <c r="F351" s="2">
        <f t="shared" si="248"/>
        <v>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>
        <f t="shared" si="238"/>
        <v>0</v>
      </c>
      <c r="V351" s="2">
        <f t="shared" si="239"/>
        <v>0</v>
      </c>
      <c r="W351" s="2">
        <f t="shared" si="249"/>
        <v>0</v>
      </c>
      <c r="X351" s="2">
        <f t="shared" si="250"/>
        <v>15000</v>
      </c>
      <c r="Y351" s="2">
        <f t="shared" si="251"/>
        <v>0</v>
      </c>
      <c r="Z351" s="46">
        <v>0</v>
      </c>
      <c r="AA351" s="46">
        <v>0</v>
      </c>
      <c r="AB351" s="46">
        <v>0</v>
      </c>
      <c r="AC351" s="58">
        <f t="shared" si="243"/>
        <v>0</v>
      </c>
      <c r="AD351" s="58">
        <f t="shared" si="244"/>
        <v>15000</v>
      </c>
      <c r="AE351" s="12">
        <f t="shared" si="245"/>
        <v>0</v>
      </c>
      <c r="AF351" s="56"/>
      <c r="AG351" s="62"/>
      <c r="AH351" s="117">
        <f t="shared" si="252"/>
        <v>0</v>
      </c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  <c r="AV351" s="114"/>
      <c r="AW351" s="114"/>
      <c r="AX351" s="114"/>
      <c r="AY351" s="119"/>
      <c r="AZ351" s="115"/>
      <c r="BA351" s="243"/>
      <c r="BB351" s="115"/>
      <c r="BC351" s="115"/>
      <c r="BD351" s="115"/>
      <c r="BE351" s="115"/>
      <c r="BF351" s="115"/>
      <c r="BG351" s="115"/>
      <c r="BH351" s="115"/>
      <c r="BI351" s="115"/>
      <c r="BJ351" s="115"/>
    </row>
    <row r="352" spans="1:62" hidden="1" x14ac:dyDescent="0.35">
      <c r="A352" s="19" t="str">
        <f>VLOOKUP(C352,Master!A:D,4,0)</f>
        <v>RM</v>
      </c>
      <c r="B352" s="14" t="str">
        <f>VLOOKUP(C352,Master!A:C,3,0)</f>
        <v>Granuals</v>
      </c>
      <c r="C352" s="14" t="s">
        <v>49</v>
      </c>
      <c r="D352" s="2">
        <f t="shared" si="246"/>
        <v>0</v>
      </c>
      <c r="E352" s="2">
        <f t="shared" si="247"/>
        <v>0</v>
      </c>
      <c r="F352" s="2">
        <f t="shared" si="248"/>
        <v>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>
        <f t="shared" si="238"/>
        <v>0</v>
      </c>
      <c r="V352" s="2">
        <f t="shared" si="239"/>
        <v>0</v>
      </c>
      <c r="W352" s="2">
        <f t="shared" si="249"/>
        <v>0</v>
      </c>
      <c r="X352" s="2">
        <f t="shared" si="250"/>
        <v>0</v>
      </c>
      <c r="Y352" s="2">
        <f t="shared" si="251"/>
        <v>0</v>
      </c>
      <c r="Z352" s="46">
        <v>0</v>
      </c>
      <c r="AA352" s="46">
        <v>0</v>
      </c>
      <c r="AB352" s="46">
        <v>0</v>
      </c>
      <c r="AC352" s="58">
        <f t="shared" si="243"/>
        <v>0</v>
      </c>
      <c r="AD352" s="58">
        <f t="shared" si="244"/>
        <v>0</v>
      </c>
      <c r="AE352" s="12">
        <f t="shared" si="245"/>
        <v>0</v>
      </c>
      <c r="AF352" s="56"/>
      <c r="AG352" s="62"/>
      <c r="AH352" s="117">
        <f t="shared" si="252"/>
        <v>0</v>
      </c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  <c r="AV352" s="114"/>
      <c r="AW352" s="114"/>
      <c r="AX352" s="114"/>
      <c r="AY352" s="119"/>
      <c r="AZ352" s="115"/>
      <c r="BA352" s="243"/>
      <c r="BB352" s="115"/>
      <c r="BC352" s="115"/>
      <c r="BD352" s="115"/>
      <c r="BE352" s="115"/>
      <c r="BF352" s="115"/>
      <c r="BG352" s="115"/>
      <c r="BH352" s="115"/>
      <c r="BI352" s="115"/>
      <c r="BJ352" s="115"/>
    </row>
    <row r="353" spans="1:62" hidden="1" x14ac:dyDescent="0.35">
      <c r="A353" s="19" t="str">
        <f>VLOOKUP(C353,Master!A:D,4,0)</f>
        <v>RM</v>
      </c>
      <c r="B353" s="14" t="str">
        <f>VLOOKUP(C353,Master!A:C,3,0)</f>
        <v>Granuals</v>
      </c>
      <c r="C353" s="14" t="s">
        <v>55</v>
      </c>
      <c r="D353" s="2">
        <f t="shared" si="246"/>
        <v>0</v>
      </c>
      <c r="E353" s="2">
        <f t="shared" si="247"/>
        <v>25550</v>
      </c>
      <c r="F353" s="2">
        <f t="shared" si="248"/>
        <v>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>
        <f t="shared" si="238"/>
        <v>0</v>
      </c>
      <c r="V353" s="2">
        <f t="shared" si="239"/>
        <v>0</v>
      </c>
      <c r="W353" s="2">
        <f t="shared" si="249"/>
        <v>0</v>
      </c>
      <c r="X353" s="2">
        <f t="shared" si="250"/>
        <v>25550</v>
      </c>
      <c r="Y353" s="2">
        <f t="shared" si="251"/>
        <v>0</v>
      </c>
      <c r="Z353" s="46">
        <v>0</v>
      </c>
      <c r="AA353" s="46">
        <v>0</v>
      </c>
      <c r="AB353" s="46">
        <v>0</v>
      </c>
      <c r="AC353" s="58">
        <f t="shared" si="243"/>
        <v>0</v>
      </c>
      <c r="AD353" s="58">
        <f t="shared" si="244"/>
        <v>25550</v>
      </c>
      <c r="AE353" s="12">
        <f t="shared" si="245"/>
        <v>0</v>
      </c>
      <c r="AF353" s="56"/>
      <c r="AG353" s="62"/>
      <c r="AH353" s="117">
        <f t="shared" si="252"/>
        <v>0</v>
      </c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  <c r="AV353" s="114"/>
      <c r="AW353" s="114"/>
      <c r="AX353" s="114"/>
      <c r="AY353" s="119"/>
      <c r="AZ353" s="115"/>
      <c r="BA353" s="243"/>
      <c r="BB353" s="115"/>
      <c r="BC353" s="115"/>
      <c r="BD353" s="115"/>
      <c r="BE353" s="115"/>
      <c r="BF353" s="115"/>
      <c r="BG353" s="115"/>
      <c r="BH353" s="115"/>
      <c r="BI353" s="115"/>
      <c r="BJ353" s="115"/>
    </row>
    <row r="354" spans="1:62" hidden="1" x14ac:dyDescent="0.35">
      <c r="A354" s="19" t="str">
        <f>VLOOKUP(C354,Master!A:D,4,0)</f>
        <v>RM</v>
      </c>
      <c r="B354" s="14" t="str">
        <f>VLOOKUP(C354,Master!A:C,3,0)</f>
        <v>FIBC Accessories</v>
      </c>
      <c r="C354" s="14" t="s">
        <v>69</v>
      </c>
      <c r="D354" s="2">
        <f t="shared" si="246"/>
        <v>0</v>
      </c>
      <c r="E354" s="2">
        <f t="shared" si="247"/>
        <v>0</v>
      </c>
      <c r="F354" s="2">
        <f t="shared" si="248"/>
        <v>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>
        <f t="shared" si="238"/>
        <v>0</v>
      </c>
      <c r="V354" s="2">
        <f t="shared" si="239"/>
        <v>0</v>
      </c>
      <c r="W354" s="2">
        <f t="shared" si="249"/>
        <v>0</v>
      </c>
      <c r="X354" s="2">
        <f t="shared" si="250"/>
        <v>0</v>
      </c>
      <c r="Y354" s="2">
        <f t="shared" si="251"/>
        <v>0</v>
      </c>
      <c r="Z354" s="46">
        <v>0</v>
      </c>
      <c r="AA354" s="46">
        <v>0</v>
      </c>
      <c r="AB354" s="46">
        <v>0</v>
      </c>
      <c r="AC354" s="58">
        <f t="shared" si="243"/>
        <v>0</v>
      </c>
      <c r="AD354" s="58">
        <f t="shared" si="244"/>
        <v>0</v>
      </c>
      <c r="AE354" s="12">
        <f t="shared" si="245"/>
        <v>0</v>
      </c>
      <c r="AF354" s="56"/>
      <c r="AG354" s="62"/>
      <c r="AH354" s="117">
        <f t="shared" si="252"/>
        <v>0</v>
      </c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  <c r="AV354" s="114"/>
      <c r="AW354" s="114"/>
      <c r="AX354" s="114"/>
      <c r="AY354" s="119"/>
      <c r="AZ354" s="115"/>
      <c r="BA354" s="243"/>
      <c r="BB354" s="115"/>
      <c r="BC354" s="115"/>
      <c r="BD354" s="115"/>
      <c r="BE354" s="115"/>
      <c r="BF354" s="115"/>
      <c r="BG354" s="115"/>
      <c r="BH354" s="115"/>
      <c r="BI354" s="115"/>
      <c r="BJ354" s="115"/>
    </row>
    <row r="355" spans="1:62" hidden="1" x14ac:dyDescent="0.35">
      <c r="A355" s="19" t="str">
        <f>VLOOKUP(C355,Master!A:D,4,0)</f>
        <v>RM</v>
      </c>
      <c r="B355" s="14" t="str">
        <f>VLOOKUP(C355,Master!A:C,3,0)</f>
        <v>Films All</v>
      </c>
      <c r="C355" s="14" t="s">
        <v>71</v>
      </c>
      <c r="D355" s="2">
        <f t="shared" si="246"/>
        <v>0</v>
      </c>
      <c r="E355" s="2">
        <f t="shared" si="247"/>
        <v>0</v>
      </c>
      <c r="F355" s="2">
        <f t="shared" si="248"/>
        <v>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>
        <f t="shared" si="238"/>
        <v>0</v>
      </c>
      <c r="V355" s="2">
        <f t="shared" si="239"/>
        <v>0</v>
      </c>
      <c r="W355" s="2">
        <f t="shared" si="249"/>
        <v>0</v>
      </c>
      <c r="X355" s="2">
        <f t="shared" si="250"/>
        <v>0</v>
      </c>
      <c r="Y355" s="2">
        <f t="shared" si="251"/>
        <v>0</v>
      </c>
      <c r="Z355" s="46">
        <v>0</v>
      </c>
      <c r="AA355" s="46">
        <v>0</v>
      </c>
      <c r="AB355" s="46">
        <v>0</v>
      </c>
      <c r="AC355" s="58">
        <f t="shared" si="243"/>
        <v>0</v>
      </c>
      <c r="AD355" s="58">
        <f t="shared" si="244"/>
        <v>0</v>
      </c>
      <c r="AE355" s="12">
        <f t="shared" si="245"/>
        <v>0</v>
      </c>
      <c r="AF355" s="56"/>
      <c r="AG355" s="62"/>
      <c r="AH355" s="117">
        <f t="shared" si="252"/>
        <v>0</v>
      </c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  <c r="AV355" s="114"/>
      <c r="AW355" s="114"/>
      <c r="AX355" s="114"/>
      <c r="AY355" s="119"/>
      <c r="AZ355" s="115"/>
      <c r="BA355" s="243"/>
      <c r="BB355" s="115"/>
      <c r="BC355" s="115"/>
      <c r="BD355" s="115"/>
      <c r="BE355" s="115"/>
      <c r="BF355" s="115"/>
      <c r="BG355" s="115"/>
      <c r="BH355" s="115"/>
      <c r="BI355" s="115"/>
      <c r="BJ355" s="115"/>
    </row>
    <row r="356" spans="1:62" hidden="1" x14ac:dyDescent="0.35">
      <c r="A356" s="19" t="str">
        <f>VLOOKUP(C356,Master!A:D,4,0)</f>
        <v>RM</v>
      </c>
      <c r="B356" s="14" t="str">
        <f>VLOOKUP(C356,Master!A:C,3,0)</f>
        <v>Granuals</v>
      </c>
      <c r="C356" s="14" t="s">
        <v>85</v>
      </c>
      <c r="D356" s="2">
        <f t="shared" si="246"/>
        <v>0</v>
      </c>
      <c r="E356" s="2">
        <f t="shared" si="247"/>
        <v>0</v>
      </c>
      <c r="F356" s="2">
        <f t="shared" si="248"/>
        <v>0</v>
      </c>
      <c r="G356" s="2"/>
      <c r="H356" s="2"/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>
        <f t="shared" si="238"/>
        <v>0</v>
      </c>
      <c r="V356" s="2">
        <f t="shared" si="239"/>
        <v>0</v>
      </c>
      <c r="W356" s="2">
        <f t="shared" si="249"/>
        <v>0</v>
      </c>
      <c r="X356" s="2">
        <f t="shared" si="250"/>
        <v>0</v>
      </c>
      <c r="Y356" s="2">
        <f t="shared" si="251"/>
        <v>0</v>
      </c>
      <c r="Z356" s="46">
        <v>0</v>
      </c>
      <c r="AA356" s="46">
        <v>0</v>
      </c>
      <c r="AB356" s="46">
        <v>0</v>
      </c>
      <c r="AC356" s="58">
        <f t="shared" si="243"/>
        <v>0</v>
      </c>
      <c r="AD356" s="58">
        <f t="shared" si="244"/>
        <v>0</v>
      </c>
      <c r="AE356" s="12">
        <f t="shared" si="245"/>
        <v>0</v>
      </c>
      <c r="AF356" s="56"/>
      <c r="AG356" s="62"/>
      <c r="AH356" s="117">
        <f t="shared" si="252"/>
        <v>0</v>
      </c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  <c r="AV356" s="114"/>
      <c r="AW356" s="114"/>
      <c r="AX356" s="114"/>
      <c r="AY356" s="119"/>
      <c r="AZ356" s="115"/>
      <c r="BA356" s="243"/>
      <c r="BB356" s="115"/>
      <c r="BC356" s="115"/>
      <c r="BD356" s="115"/>
      <c r="BE356" s="115"/>
      <c r="BF356" s="115"/>
      <c r="BG356" s="115"/>
      <c r="BH356" s="115"/>
      <c r="BI356" s="115"/>
      <c r="BJ356" s="115"/>
    </row>
    <row r="357" spans="1:62" hidden="1" x14ac:dyDescent="0.35">
      <c r="A357" s="19" t="str">
        <f>VLOOKUP(C357,Master!A:D,4,0)</f>
        <v>RM</v>
      </c>
      <c r="B357" s="14" t="str">
        <f>VLOOKUP(C357,Master!A:C,3,0)</f>
        <v>Films All</v>
      </c>
      <c r="C357" s="14" t="s">
        <v>180</v>
      </c>
      <c r="D357" s="2">
        <f t="shared" si="246"/>
        <v>0</v>
      </c>
      <c r="E357" s="2">
        <f t="shared" si="247"/>
        <v>0</v>
      </c>
      <c r="F357" s="2">
        <f t="shared" si="248"/>
        <v>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>
        <f t="shared" si="238"/>
        <v>0</v>
      </c>
      <c r="V357" s="2">
        <f t="shared" si="239"/>
        <v>0</v>
      </c>
      <c r="W357" s="2">
        <f t="shared" si="249"/>
        <v>0</v>
      </c>
      <c r="X357" s="2">
        <f t="shared" si="250"/>
        <v>0</v>
      </c>
      <c r="Y357" s="2">
        <f t="shared" si="251"/>
        <v>0</v>
      </c>
      <c r="Z357" s="46">
        <v>0</v>
      </c>
      <c r="AA357" s="46">
        <v>0</v>
      </c>
      <c r="AB357" s="46">
        <v>0</v>
      </c>
      <c r="AC357" s="58">
        <f t="shared" si="243"/>
        <v>0</v>
      </c>
      <c r="AD357" s="58">
        <f t="shared" si="244"/>
        <v>0</v>
      </c>
      <c r="AE357" s="12">
        <f t="shared" si="245"/>
        <v>0</v>
      </c>
      <c r="AF357" s="56"/>
      <c r="AG357" s="62"/>
      <c r="AH357" s="117">
        <f t="shared" si="252"/>
        <v>0</v>
      </c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  <c r="AV357" s="114"/>
      <c r="AW357" s="114"/>
      <c r="AX357" s="114"/>
      <c r="AY357" s="119"/>
      <c r="AZ357" s="115"/>
      <c r="BA357" s="243"/>
      <c r="BB357" s="115"/>
      <c r="BC357" s="115"/>
      <c r="BD357" s="115"/>
      <c r="BE357" s="115"/>
      <c r="BF357" s="115"/>
      <c r="BG357" s="115"/>
      <c r="BH357" s="115"/>
      <c r="BI357" s="115"/>
      <c r="BJ357" s="115"/>
    </row>
    <row r="358" spans="1:62" hidden="1" x14ac:dyDescent="0.35">
      <c r="A358" s="19" t="str">
        <f>VLOOKUP(C358,Master!A:D,4,0)</f>
        <v>RM</v>
      </c>
      <c r="B358" s="14" t="str">
        <f>VLOOKUP(C358,Master!A:C,3,0)</f>
        <v>Granuals</v>
      </c>
      <c r="C358" s="14" t="s">
        <v>277</v>
      </c>
      <c r="D358" s="2">
        <f t="shared" si="246"/>
        <v>0</v>
      </c>
      <c r="E358" s="2">
        <f t="shared" si="247"/>
        <v>0</v>
      </c>
      <c r="F358" s="2">
        <f t="shared" si="248"/>
        <v>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>
        <f t="shared" si="238"/>
        <v>0</v>
      </c>
      <c r="V358" s="2">
        <f t="shared" si="239"/>
        <v>0</v>
      </c>
      <c r="W358" s="2">
        <f t="shared" si="249"/>
        <v>0</v>
      </c>
      <c r="X358" s="2">
        <f t="shared" si="250"/>
        <v>0</v>
      </c>
      <c r="Y358" s="2">
        <f t="shared" si="251"/>
        <v>0</v>
      </c>
      <c r="Z358" s="46">
        <v>0</v>
      </c>
      <c r="AA358" s="46">
        <v>0</v>
      </c>
      <c r="AB358" s="46">
        <v>0</v>
      </c>
      <c r="AC358" s="58">
        <f t="shared" si="243"/>
        <v>0</v>
      </c>
      <c r="AD358" s="58">
        <f t="shared" si="244"/>
        <v>0</v>
      </c>
      <c r="AE358" s="12">
        <f t="shared" si="245"/>
        <v>0</v>
      </c>
      <c r="AF358" s="56"/>
      <c r="AG358" s="62"/>
      <c r="AH358" s="117">
        <f t="shared" si="252"/>
        <v>0</v>
      </c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  <c r="AV358" s="114"/>
      <c r="AW358" s="114"/>
      <c r="AX358" s="114"/>
      <c r="AY358" s="119"/>
      <c r="AZ358" s="115"/>
      <c r="BA358" s="243"/>
      <c r="BB358" s="115"/>
      <c r="BC358" s="115"/>
      <c r="BD358" s="115"/>
      <c r="BE358" s="115"/>
      <c r="BF358" s="115"/>
      <c r="BG358" s="115"/>
      <c r="BH358" s="115"/>
      <c r="BI358" s="115"/>
      <c r="BJ358" s="115"/>
    </row>
    <row r="359" spans="1:62" hidden="1" x14ac:dyDescent="0.35">
      <c r="A359" s="19" t="str">
        <f>VLOOKUP(C359,Master!A:D,4,0)</f>
        <v>RM</v>
      </c>
      <c r="B359" s="14" t="str">
        <f>VLOOKUP(C359,Master!A:C,3,0)</f>
        <v>Granuals</v>
      </c>
      <c r="C359" s="14" t="s">
        <v>387</v>
      </c>
      <c r="D359" s="2">
        <f t="shared" si="246"/>
        <v>0</v>
      </c>
      <c r="E359" s="2">
        <f t="shared" si="247"/>
        <v>0</v>
      </c>
      <c r="F359" s="2">
        <f t="shared" si="248"/>
        <v>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>
        <f t="shared" si="238"/>
        <v>0</v>
      </c>
      <c r="V359" s="2">
        <f t="shared" si="239"/>
        <v>0</v>
      </c>
      <c r="W359" s="2">
        <f t="shared" si="249"/>
        <v>0</v>
      </c>
      <c r="X359" s="2">
        <f t="shared" si="250"/>
        <v>0</v>
      </c>
      <c r="Y359" s="2">
        <f t="shared" si="251"/>
        <v>0</v>
      </c>
      <c r="Z359" s="46">
        <v>0</v>
      </c>
      <c r="AA359" s="46">
        <v>0</v>
      </c>
      <c r="AB359" s="46">
        <v>0</v>
      </c>
      <c r="AC359" s="58">
        <f t="shared" si="243"/>
        <v>0</v>
      </c>
      <c r="AD359" s="58">
        <f t="shared" si="244"/>
        <v>0</v>
      </c>
      <c r="AE359" s="12">
        <f t="shared" si="245"/>
        <v>0</v>
      </c>
      <c r="AF359" s="56"/>
      <c r="AG359" s="62"/>
      <c r="AH359" s="117">
        <f t="shared" si="252"/>
        <v>0</v>
      </c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  <c r="AV359" s="114"/>
      <c r="AW359" s="114"/>
      <c r="AX359" s="114"/>
      <c r="AY359" s="119"/>
      <c r="AZ359" s="115"/>
      <c r="BA359" s="243"/>
      <c r="BB359" s="115"/>
      <c r="BC359" s="115"/>
      <c r="BD359" s="115"/>
      <c r="BE359" s="115"/>
      <c r="BF359" s="115"/>
      <c r="BG359" s="115"/>
      <c r="BH359" s="115"/>
      <c r="BI359" s="115"/>
      <c r="BJ359" s="115"/>
    </row>
    <row r="360" spans="1:62" hidden="1" x14ac:dyDescent="0.35">
      <c r="A360" s="19" t="str">
        <f>VLOOKUP(C360,Master!A:D,4,0)</f>
        <v>RM</v>
      </c>
      <c r="B360" s="14" t="str">
        <f>VLOOKUP(C360,Master!A:C,3,0)</f>
        <v>Films All</v>
      </c>
      <c r="C360" s="14" t="s">
        <v>398</v>
      </c>
      <c r="D360" s="2">
        <f t="shared" si="246"/>
        <v>0</v>
      </c>
      <c r="E360" s="2">
        <f t="shared" si="247"/>
        <v>0</v>
      </c>
      <c r="F360" s="2">
        <f t="shared" si="248"/>
        <v>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>
        <f t="shared" si="238"/>
        <v>0</v>
      </c>
      <c r="V360" s="2">
        <f t="shared" si="239"/>
        <v>0</v>
      </c>
      <c r="W360" s="2">
        <f t="shared" si="249"/>
        <v>0</v>
      </c>
      <c r="X360" s="2">
        <f t="shared" si="250"/>
        <v>0</v>
      </c>
      <c r="Y360" s="2">
        <f t="shared" si="251"/>
        <v>0</v>
      </c>
      <c r="Z360" s="46">
        <v>0</v>
      </c>
      <c r="AA360" s="46">
        <v>0</v>
      </c>
      <c r="AB360" s="46">
        <v>0</v>
      </c>
      <c r="AC360" s="58">
        <f t="shared" si="243"/>
        <v>0</v>
      </c>
      <c r="AD360" s="58">
        <f t="shared" si="244"/>
        <v>0</v>
      </c>
      <c r="AE360" s="12">
        <f t="shared" si="245"/>
        <v>0</v>
      </c>
      <c r="AF360" s="56"/>
      <c r="AG360" s="62"/>
      <c r="AH360" s="117">
        <f t="shared" si="252"/>
        <v>0</v>
      </c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  <c r="AV360" s="114"/>
      <c r="AW360" s="114"/>
      <c r="AX360" s="114"/>
      <c r="AY360" s="119"/>
      <c r="AZ360" s="115"/>
      <c r="BA360" s="243"/>
      <c r="BB360" s="115"/>
      <c r="BC360" s="115"/>
      <c r="BD360" s="115"/>
      <c r="BE360" s="115"/>
      <c r="BF360" s="115"/>
      <c r="BG360" s="115"/>
      <c r="BH360" s="115"/>
      <c r="BI360" s="115"/>
      <c r="BJ360" s="115"/>
    </row>
    <row r="361" spans="1:62" hidden="1" x14ac:dyDescent="0.35">
      <c r="A361" s="19" t="str">
        <f>VLOOKUP(C361,Master!A:D,4,0)</f>
        <v>RM</v>
      </c>
      <c r="B361" s="14" t="str">
        <f>VLOOKUP(C361,Master!A:C,3,0)</f>
        <v>Granuals</v>
      </c>
      <c r="C361" s="14" t="s">
        <v>417</v>
      </c>
      <c r="D361" s="2">
        <f t="shared" si="246"/>
        <v>0</v>
      </c>
      <c r="E361" s="2">
        <f t="shared" si="247"/>
        <v>0</v>
      </c>
      <c r="F361" s="2">
        <f t="shared" si="248"/>
        <v>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>
        <f t="shared" si="238"/>
        <v>0</v>
      </c>
      <c r="V361" s="2">
        <f t="shared" si="239"/>
        <v>0</v>
      </c>
      <c r="W361" s="2">
        <f t="shared" si="249"/>
        <v>0</v>
      </c>
      <c r="X361" s="2">
        <f t="shared" si="250"/>
        <v>0</v>
      </c>
      <c r="Y361" s="2">
        <f t="shared" si="251"/>
        <v>0</v>
      </c>
      <c r="Z361" s="46">
        <v>0</v>
      </c>
      <c r="AA361" s="46">
        <v>0</v>
      </c>
      <c r="AB361" s="46">
        <v>0</v>
      </c>
      <c r="AC361" s="58">
        <f t="shared" si="243"/>
        <v>0</v>
      </c>
      <c r="AD361" s="58">
        <f t="shared" si="244"/>
        <v>0</v>
      </c>
      <c r="AE361" s="12">
        <f t="shared" si="245"/>
        <v>0</v>
      </c>
      <c r="AF361" s="56"/>
      <c r="AG361" s="62"/>
      <c r="AH361" s="117">
        <f t="shared" si="252"/>
        <v>0</v>
      </c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  <c r="AV361" s="114"/>
      <c r="AW361" s="114"/>
      <c r="AX361" s="114"/>
      <c r="AY361" s="119"/>
      <c r="AZ361" s="115"/>
      <c r="BA361" s="243"/>
      <c r="BB361" s="115"/>
      <c r="BC361" s="115"/>
      <c r="BD361" s="115"/>
      <c r="BE361" s="115"/>
      <c r="BF361" s="115"/>
      <c r="BG361" s="115"/>
      <c r="BH361" s="115"/>
      <c r="BI361" s="115"/>
      <c r="BJ361" s="115"/>
    </row>
    <row r="362" spans="1:62" hidden="1" x14ac:dyDescent="0.35">
      <c r="A362" s="19" t="str">
        <f>VLOOKUP(C362,Master!A:D,4,0)</f>
        <v>SF</v>
      </c>
      <c r="B362" s="14" t="str">
        <f>VLOOKUP(C362,Master!A:C,3,0)</f>
        <v>Yarn All</v>
      </c>
      <c r="C362" s="14" t="s">
        <v>629</v>
      </c>
      <c r="D362" s="2">
        <f t="shared" si="246"/>
        <v>6000.0000000000055</v>
      </c>
      <c r="E362" s="2">
        <f t="shared" si="247"/>
        <v>8285.8300000000017</v>
      </c>
      <c r="F362" s="2">
        <f t="shared" si="248"/>
        <v>0</v>
      </c>
      <c r="G362" s="2"/>
      <c r="H362" s="2"/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>
        <f t="shared" si="238"/>
        <v>0</v>
      </c>
      <c r="V362" s="2">
        <f t="shared" si="239"/>
        <v>0</v>
      </c>
      <c r="W362" s="2">
        <f t="shared" si="249"/>
        <v>6000.0000000000055</v>
      </c>
      <c r="X362" s="2">
        <f t="shared" si="250"/>
        <v>8285.8300000000017</v>
      </c>
      <c r="Y362" s="2">
        <f t="shared" si="251"/>
        <v>0</v>
      </c>
      <c r="Z362" s="46">
        <v>0</v>
      </c>
      <c r="AA362" s="46">
        <v>0</v>
      </c>
      <c r="AB362" s="46">
        <v>0</v>
      </c>
      <c r="AC362" s="58">
        <f t="shared" si="243"/>
        <v>6000.0000000000055</v>
      </c>
      <c r="AD362" s="58">
        <f t="shared" si="244"/>
        <v>8285.8300000000017</v>
      </c>
      <c r="AE362" s="12">
        <f t="shared" si="245"/>
        <v>0</v>
      </c>
      <c r="AF362" s="56"/>
      <c r="AG362" s="62"/>
      <c r="AH362" s="128">
        <f t="shared" si="252"/>
        <v>0</v>
      </c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  <c r="AV362" s="114"/>
      <c r="AW362" s="114"/>
      <c r="AX362" s="114"/>
      <c r="AY362" s="119"/>
      <c r="AZ362" s="115"/>
      <c r="BA362" s="243"/>
      <c r="BB362" s="115"/>
      <c r="BC362" s="115"/>
      <c r="BD362" s="115"/>
      <c r="BE362" s="115"/>
      <c r="BF362" s="115"/>
      <c r="BG362" s="115"/>
      <c r="BH362" s="115"/>
      <c r="BI362" s="115"/>
      <c r="BJ362" s="115"/>
    </row>
    <row r="363" spans="1:62" hidden="1" x14ac:dyDescent="0.35">
      <c r="A363" s="19" t="str">
        <f>VLOOKUP(C363,Master!A:D,4,0)</f>
        <v>SF</v>
      </c>
      <c r="B363" s="14" t="str">
        <f>VLOOKUP(C363,Master!A:C,3,0)</f>
        <v>PP/PE Fabric</v>
      </c>
      <c r="C363" s="14" t="s">
        <v>639</v>
      </c>
      <c r="D363" s="2">
        <f t="shared" si="246"/>
        <v>0</v>
      </c>
      <c r="E363" s="2">
        <f t="shared" si="247"/>
        <v>13277</v>
      </c>
      <c r="F363" s="2">
        <f t="shared" si="248"/>
        <v>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>
        <f t="shared" si="238"/>
        <v>0</v>
      </c>
      <c r="V363" s="2">
        <f t="shared" si="239"/>
        <v>0</v>
      </c>
      <c r="W363" s="2">
        <f t="shared" si="249"/>
        <v>0</v>
      </c>
      <c r="X363" s="2">
        <f t="shared" si="250"/>
        <v>13277</v>
      </c>
      <c r="Y363" s="2">
        <f t="shared" si="251"/>
        <v>0</v>
      </c>
      <c r="Z363" s="46">
        <v>0</v>
      </c>
      <c r="AA363" s="46">
        <v>0</v>
      </c>
      <c r="AB363" s="46">
        <v>0</v>
      </c>
      <c r="AC363" s="58">
        <f t="shared" si="243"/>
        <v>0</v>
      </c>
      <c r="AD363" s="58">
        <f t="shared" si="244"/>
        <v>13277</v>
      </c>
      <c r="AE363" s="12">
        <f t="shared" si="245"/>
        <v>0</v>
      </c>
      <c r="AF363" s="56"/>
      <c r="AG363" s="62"/>
      <c r="AH363" s="128">
        <f t="shared" si="252"/>
        <v>0</v>
      </c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  <c r="AV363" s="114"/>
      <c r="AW363" s="114"/>
      <c r="AX363" s="114"/>
      <c r="AY363" s="119"/>
      <c r="AZ363" s="115"/>
      <c r="BA363" s="243"/>
      <c r="BB363" s="115"/>
      <c r="BC363" s="115"/>
      <c r="BD363" s="115"/>
      <c r="BE363" s="115"/>
      <c r="BF363" s="115"/>
      <c r="BG363" s="115"/>
      <c r="BH363" s="115"/>
      <c r="BI363" s="115"/>
      <c r="BJ363" s="115"/>
    </row>
    <row r="364" spans="1:62" hidden="1" x14ac:dyDescent="0.35">
      <c r="A364" s="19" t="str">
        <f>VLOOKUP(C364,Master!A:D,4,0)</f>
        <v>SF</v>
      </c>
      <c r="B364" s="14" t="str">
        <f>VLOOKUP(C364,Master!A:C,3,0)</f>
        <v>Flexitank Accessories</v>
      </c>
      <c r="C364" s="14" t="s">
        <v>641</v>
      </c>
      <c r="D364" s="2">
        <f t="shared" si="246"/>
        <v>0</v>
      </c>
      <c r="E364" s="2">
        <f t="shared" si="247"/>
        <v>0</v>
      </c>
      <c r="F364" s="2">
        <f t="shared" si="248"/>
        <v>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>
        <f t="shared" si="238"/>
        <v>0</v>
      </c>
      <c r="V364" s="2">
        <f t="shared" si="239"/>
        <v>0</v>
      </c>
      <c r="W364" s="2">
        <f t="shared" si="249"/>
        <v>0</v>
      </c>
      <c r="X364" s="2">
        <f t="shared" si="250"/>
        <v>0</v>
      </c>
      <c r="Y364" s="2">
        <f t="shared" si="251"/>
        <v>0</v>
      </c>
      <c r="Z364" s="46">
        <v>0</v>
      </c>
      <c r="AA364" s="46">
        <v>0</v>
      </c>
      <c r="AB364" s="46">
        <v>0</v>
      </c>
      <c r="AC364" s="58">
        <f t="shared" si="243"/>
        <v>0</v>
      </c>
      <c r="AD364" s="58">
        <f t="shared" si="244"/>
        <v>0</v>
      </c>
      <c r="AE364" s="12">
        <f t="shared" si="245"/>
        <v>0</v>
      </c>
      <c r="AF364" s="56"/>
      <c r="AG364" s="62"/>
      <c r="AH364" s="128">
        <f t="shared" si="252"/>
        <v>0</v>
      </c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  <c r="AV364" s="114"/>
      <c r="AW364" s="114"/>
      <c r="AX364" s="114"/>
      <c r="AY364" s="119"/>
      <c r="AZ364" s="115"/>
      <c r="BA364" s="243"/>
      <c r="BB364" s="115"/>
      <c r="BC364" s="115"/>
      <c r="BD364" s="115"/>
      <c r="BE364" s="115"/>
      <c r="BF364" s="115"/>
      <c r="BG364" s="115"/>
      <c r="BH364" s="115"/>
      <c r="BI364" s="115"/>
      <c r="BJ364" s="115"/>
    </row>
    <row r="365" spans="1:62" hidden="1" x14ac:dyDescent="0.35">
      <c r="A365" s="19" t="str">
        <f>VLOOKUP(C365,Master!A:D,4,0)</f>
        <v>SF</v>
      </c>
      <c r="B365" s="14" t="str">
        <f>VLOOKUP(C365,Master!A:C,3,0)</f>
        <v>PP/PE Fabric</v>
      </c>
      <c r="C365" s="14" t="s">
        <v>652</v>
      </c>
      <c r="D365" s="2">
        <f t="shared" si="246"/>
        <v>0</v>
      </c>
      <c r="E365" s="2">
        <f t="shared" si="247"/>
        <v>27104.800000000003</v>
      </c>
      <c r="F365" s="2">
        <f t="shared" si="248"/>
        <v>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>
        <f t="shared" si="238"/>
        <v>0</v>
      </c>
      <c r="V365" s="2">
        <f t="shared" si="239"/>
        <v>0</v>
      </c>
      <c r="W365" s="2">
        <f t="shared" si="249"/>
        <v>0</v>
      </c>
      <c r="X365" s="2">
        <f t="shared" si="250"/>
        <v>27104.800000000003</v>
      </c>
      <c r="Y365" s="2">
        <f t="shared" si="251"/>
        <v>0</v>
      </c>
      <c r="Z365" s="46">
        <v>0</v>
      </c>
      <c r="AA365" s="46">
        <v>0</v>
      </c>
      <c r="AB365" s="46">
        <v>0</v>
      </c>
      <c r="AC365" s="58">
        <f t="shared" si="243"/>
        <v>0</v>
      </c>
      <c r="AD365" s="58">
        <f t="shared" si="244"/>
        <v>27104.800000000003</v>
      </c>
      <c r="AE365" s="12">
        <f t="shared" si="245"/>
        <v>0</v>
      </c>
      <c r="AF365" s="56"/>
      <c r="AG365" s="62"/>
      <c r="AH365" s="128">
        <f t="shared" si="252"/>
        <v>0</v>
      </c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  <c r="AV365" s="114"/>
      <c r="AW365" s="114"/>
      <c r="AX365" s="114"/>
      <c r="AY365" s="119"/>
      <c r="AZ365" s="115"/>
      <c r="BA365" s="243"/>
      <c r="BB365" s="115"/>
      <c r="BC365" s="115"/>
      <c r="BD365" s="115"/>
      <c r="BE365" s="115"/>
      <c r="BF365" s="115"/>
      <c r="BG365" s="115"/>
      <c r="BH365" s="115"/>
      <c r="BI365" s="115"/>
      <c r="BJ365" s="115"/>
    </row>
    <row r="366" spans="1:62" hidden="1" x14ac:dyDescent="0.35">
      <c r="A366" s="19" t="str">
        <f>VLOOKUP(C366,Master!A:D,4,0)</f>
        <v>SF</v>
      </c>
      <c r="B366" s="14" t="str">
        <f>VLOOKUP(C366,Master!A:C,3,0)</f>
        <v>PP/PE Fabric</v>
      </c>
      <c r="C366" s="14" t="s">
        <v>664</v>
      </c>
      <c r="D366" s="2">
        <f t="shared" si="246"/>
        <v>0</v>
      </c>
      <c r="E366" s="2">
        <f t="shared" si="247"/>
        <v>0</v>
      </c>
      <c r="F366" s="2">
        <f t="shared" si="248"/>
        <v>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>
        <f t="shared" si="238"/>
        <v>0</v>
      </c>
      <c r="V366" s="2">
        <f t="shared" si="239"/>
        <v>0</v>
      </c>
      <c r="W366" s="2">
        <f t="shared" si="249"/>
        <v>0</v>
      </c>
      <c r="X366" s="2">
        <f t="shared" si="250"/>
        <v>0</v>
      </c>
      <c r="Y366" s="2">
        <f t="shared" si="251"/>
        <v>0</v>
      </c>
      <c r="Z366" s="46">
        <v>0</v>
      </c>
      <c r="AA366" s="46">
        <v>0</v>
      </c>
      <c r="AB366" s="46">
        <v>0</v>
      </c>
      <c r="AC366" s="58">
        <f t="shared" si="243"/>
        <v>0</v>
      </c>
      <c r="AD366" s="58">
        <f t="shared" si="244"/>
        <v>0</v>
      </c>
      <c r="AE366" s="12">
        <f t="shared" si="245"/>
        <v>0</v>
      </c>
      <c r="AF366" s="56"/>
      <c r="AG366" s="62"/>
      <c r="AH366" s="128">
        <f t="shared" si="252"/>
        <v>0</v>
      </c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  <c r="AV366" s="114"/>
      <c r="AW366" s="114"/>
      <c r="AX366" s="114"/>
      <c r="AY366" s="119"/>
      <c r="AZ366" s="115"/>
      <c r="BA366" s="243"/>
      <c r="BB366" s="115"/>
      <c r="BC366" s="115"/>
      <c r="BD366" s="115"/>
      <c r="BE366" s="115"/>
      <c r="BF366" s="115"/>
      <c r="BG366" s="115"/>
      <c r="BH366" s="115"/>
      <c r="BI366" s="115"/>
      <c r="BJ366" s="115"/>
    </row>
    <row r="367" spans="1:62" hidden="1" x14ac:dyDescent="0.35">
      <c r="A367" s="19" t="str">
        <f>VLOOKUP(C367,Master!A:D,4,0)</f>
        <v>SF</v>
      </c>
      <c r="B367" s="14" t="str">
        <f>VLOOKUP(C367,Master!A:C,3,0)</f>
        <v>PP/PE Fabric</v>
      </c>
      <c r="C367" s="14" t="s">
        <v>675</v>
      </c>
      <c r="D367" s="2">
        <f t="shared" si="246"/>
        <v>0</v>
      </c>
      <c r="E367" s="2">
        <f t="shared" si="247"/>
        <v>0</v>
      </c>
      <c r="F367" s="2">
        <f t="shared" si="248"/>
        <v>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>
        <f t="shared" si="238"/>
        <v>0</v>
      </c>
      <c r="V367" s="2">
        <f t="shared" si="239"/>
        <v>0</v>
      </c>
      <c r="W367" s="2">
        <f t="shared" si="249"/>
        <v>0</v>
      </c>
      <c r="X367" s="2">
        <f t="shared" si="250"/>
        <v>0</v>
      </c>
      <c r="Y367" s="2">
        <f t="shared" si="251"/>
        <v>0</v>
      </c>
      <c r="Z367" s="46">
        <v>0</v>
      </c>
      <c r="AA367" s="46">
        <v>0</v>
      </c>
      <c r="AB367" s="46">
        <v>0</v>
      </c>
      <c r="AC367" s="58">
        <f t="shared" si="243"/>
        <v>0</v>
      </c>
      <c r="AD367" s="58">
        <f t="shared" si="244"/>
        <v>0</v>
      </c>
      <c r="AE367" s="12">
        <f t="shared" si="245"/>
        <v>0</v>
      </c>
      <c r="AF367" s="56"/>
      <c r="AG367" s="62"/>
      <c r="AH367" s="128">
        <f t="shared" si="252"/>
        <v>0</v>
      </c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  <c r="AV367" s="114"/>
      <c r="AW367" s="114"/>
      <c r="AX367" s="114"/>
      <c r="AY367" s="119"/>
      <c r="AZ367" s="115"/>
      <c r="BA367" s="243"/>
      <c r="BB367" s="115"/>
      <c r="BC367" s="115"/>
      <c r="BD367" s="115"/>
      <c r="BE367" s="115"/>
      <c r="BF367" s="115"/>
      <c r="BG367" s="115"/>
      <c r="BH367" s="115"/>
      <c r="BI367" s="115"/>
      <c r="BJ367" s="115"/>
    </row>
    <row r="368" spans="1:62" hidden="1" x14ac:dyDescent="0.35">
      <c r="A368" s="19" t="str">
        <f>VLOOKUP(C368,Master!A:D,4,0)</f>
        <v>SF</v>
      </c>
      <c r="B368" s="14" t="str">
        <f>VLOOKUP(C368,Master!A:C,3,0)</f>
        <v>Granuals</v>
      </c>
      <c r="C368" s="14" t="s">
        <v>688</v>
      </c>
      <c r="D368" s="2">
        <f t="shared" si="246"/>
        <v>0</v>
      </c>
      <c r="E368" s="2">
        <f t="shared" si="247"/>
        <v>0</v>
      </c>
      <c r="F368" s="2">
        <f t="shared" si="248"/>
        <v>0</v>
      </c>
      <c r="G368" s="2"/>
      <c r="H368" s="2"/>
      <c r="I368" s="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>
        <f t="shared" si="238"/>
        <v>0</v>
      </c>
      <c r="V368" s="54">
        <f t="shared" si="239"/>
        <v>0</v>
      </c>
      <c r="W368" s="2">
        <f t="shared" si="249"/>
        <v>0</v>
      </c>
      <c r="X368" s="2">
        <f t="shared" si="250"/>
        <v>0</v>
      </c>
      <c r="Y368" s="2">
        <f t="shared" si="251"/>
        <v>0</v>
      </c>
      <c r="Z368" s="46">
        <v>0</v>
      </c>
      <c r="AA368" s="46">
        <v>0</v>
      </c>
      <c r="AB368" s="46">
        <v>0</v>
      </c>
      <c r="AC368" s="58">
        <f t="shared" si="243"/>
        <v>0</v>
      </c>
      <c r="AD368" s="58">
        <f t="shared" si="244"/>
        <v>0</v>
      </c>
      <c r="AE368" s="12">
        <f t="shared" si="245"/>
        <v>0</v>
      </c>
      <c r="AF368" s="56"/>
      <c r="AG368" s="62"/>
      <c r="AH368" s="128">
        <f t="shared" si="252"/>
        <v>0</v>
      </c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  <c r="AV368" s="114"/>
      <c r="AW368" s="114"/>
      <c r="AX368" s="114"/>
      <c r="AY368" s="119"/>
      <c r="AZ368" s="115"/>
      <c r="BA368" s="243"/>
      <c r="BB368" s="115"/>
      <c r="BC368" s="115"/>
      <c r="BD368" s="115"/>
      <c r="BE368" s="115"/>
      <c r="BF368" s="115"/>
      <c r="BG368" s="115"/>
      <c r="BH368" s="115"/>
      <c r="BI368" s="115"/>
      <c r="BJ368" s="115"/>
    </row>
    <row r="369" spans="1:62" hidden="1" x14ac:dyDescent="0.35">
      <c r="A369" s="19" t="str">
        <f>VLOOKUP(C369,Master!A:D,4,0)</f>
        <v>SF</v>
      </c>
      <c r="B369" s="14" t="str">
        <f>VLOOKUP(C369,Master!A:C,3,0)</f>
        <v>Liners</v>
      </c>
      <c r="C369" s="14" t="s">
        <v>707</v>
      </c>
      <c r="D369" s="2">
        <f t="shared" si="246"/>
        <v>0</v>
      </c>
      <c r="E369" s="2">
        <f t="shared" si="247"/>
        <v>0</v>
      </c>
      <c r="F369" s="2">
        <f t="shared" si="248"/>
        <v>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>
        <f t="shared" si="238"/>
        <v>0</v>
      </c>
      <c r="V369" s="2">
        <f t="shared" si="239"/>
        <v>0</v>
      </c>
      <c r="W369" s="2">
        <f t="shared" si="249"/>
        <v>0</v>
      </c>
      <c r="X369" s="2">
        <f t="shared" si="250"/>
        <v>0</v>
      </c>
      <c r="Y369" s="2">
        <f t="shared" si="251"/>
        <v>0</v>
      </c>
      <c r="Z369" s="46">
        <v>0</v>
      </c>
      <c r="AA369" s="46">
        <v>0</v>
      </c>
      <c r="AB369" s="46">
        <v>0</v>
      </c>
      <c r="AC369" s="58">
        <f t="shared" si="243"/>
        <v>0</v>
      </c>
      <c r="AD369" s="58">
        <f t="shared" si="244"/>
        <v>0</v>
      </c>
      <c r="AE369" s="12">
        <f t="shared" si="245"/>
        <v>0</v>
      </c>
      <c r="AF369" s="56"/>
      <c r="AG369" s="62"/>
      <c r="AH369" s="128">
        <f t="shared" si="252"/>
        <v>0</v>
      </c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  <c r="AV369" s="114"/>
      <c r="AW369" s="114"/>
      <c r="AX369" s="114"/>
      <c r="AY369" s="119"/>
      <c r="AZ369" s="115"/>
      <c r="BA369" s="243"/>
      <c r="BB369" s="115"/>
      <c r="BC369" s="115"/>
      <c r="BD369" s="115"/>
      <c r="BE369" s="115"/>
      <c r="BF369" s="115"/>
      <c r="BG369" s="115"/>
      <c r="BH369" s="115"/>
      <c r="BI369" s="115"/>
      <c r="BJ369" s="115"/>
    </row>
    <row r="370" spans="1:62" hidden="1" x14ac:dyDescent="0.35">
      <c r="A370" s="19" t="str">
        <f>VLOOKUP(C370,Master!A:D,4,0)</f>
        <v>SF</v>
      </c>
      <c r="B370" s="14" t="str">
        <f>VLOOKUP(C370,Master!A:C,3,0)</f>
        <v>Webbing</v>
      </c>
      <c r="C370" s="14" t="s">
        <v>710</v>
      </c>
      <c r="D370" s="2">
        <f t="shared" si="246"/>
        <v>0</v>
      </c>
      <c r="E370" s="2">
        <f t="shared" si="247"/>
        <v>1771.8</v>
      </c>
      <c r="F370" s="2">
        <f t="shared" si="248"/>
        <v>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>
        <f t="shared" si="238"/>
        <v>0</v>
      </c>
      <c r="V370" s="2">
        <f t="shared" si="239"/>
        <v>0</v>
      </c>
      <c r="W370" s="2">
        <f t="shared" si="249"/>
        <v>0</v>
      </c>
      <c r="X370" s="2">
        <f t="shared" si="250"/>
        <v>1771.8</v>
      </c>
      <c r="Y370" s="2">
        <f t="shared" si="251"/>
        <v>0</v>
      </c>
      <c r="Z370" s="46">
        <v>0</v>
      </c>
      <c r="AA370" s="46">
        <v>0</v>
      </c>
      <c r="AB370" s="46">
        <v>0</v>
      </c>
      <c r="AC370" s="58">
        <f t="shared" si="243"/>
        <v>0</v>
      </c>
      <c r="AD370" s="58">
        <f t="shared" si="244"/>
        <v>1771.8</v>
      </c>
      <c r="AE370" s="12">
        <f t="shared" si="245"/>
        <v>0</v>
      </c>
      <c r="AF370" s="56"/>
      <c r="AG370" s="62"/>
      <c r="AH370" s="128">
        <f t="shared" si="252"/>
        <v>0</v>
      </c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  <c r="AV370" s="114"/>
      <c r="AW370" s="114"/>
      <c r="AX370" s="114"/>
      <c r="AY370" s="119"/>
      <c r="AZ370" s="115"/>
      <c r="BA370" s="243"/>
      <c r="BB370" s="115"/>
      <c r="BC370" s="115"/>
      <c r="BD370" s="115"/>
      <c r="BE370" s="115"/>
      <c r="BF370" s="115"/>
      <c r="BG370" s="115"/>
      <c r="BH370" s="115"/>
      <c r="BI370" s="115"/>
      <c r="BJ370" s="115"/>
    </row>
    <row r="371" spans="1:62" hidden="1" x14ac:dyDescent="0.35">
      <c r="A371" s="19" t="str">
        <f>VLOOKUP(C371,Master!A:D,4,0)</f>
        <v>SF</v>
      </c>
      <c r="B371" s="14" t="str">
        <f>VLOOKUP(C371,Master!A:C,3,0)</f>
        <v>Liners</v>
      </c>
      <c r="C371" s="14" t="s">
        <v>729</v>
      </c>
      <c r="D371" s="2">
        <f t="shared" si="246"/>
        <v>0</v>
      </c>
      <c r="E371" s="2">
        <f t="shared" si="247"/>
        <v>14652.699999999997</v>
      </c>
      <c r="F371" s="2">
        <f t="shared" si="248"/>
        <v>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>
        <f t="shared" si="238"/>
        <v>0</v>
      </c>
      <c r="V371" s="2">
        <f t="shared" si="239"/>
        <v>0</v>
      </c>
      <c r="W371" s="2">
        <f t="shared" si="249"/>
        <v>0</v>
      </c>
      <c r="X371" s="2">
        <f t="shared" si="250"/>
        <v>14652.699999999997</v>
      </c>
      <c r="Y371" s="2">
        <f t="shared" si="251"/>
        <v>0</v>
      </c>
      <c r="Z371" s="46">
        <v>0</v>
      </c>
      <c r="AA371" s="46">
        <v>0</v>
      </c>
      <c r="AB371" s="46">
        <v>0</v>
      </c>
      <c r="AC371" s="58">
        <f t="shared" si="243"/>
        <v>0</v>
      </c>
      <c r="AD371" s="58">
        <f t="shared" si="244"/>
        <v>14652.699999999997</v>
      </c>
      <c r="AE371" s="12">
        <f t="shared" si="245"/>
        <v>0</v>
      </c>
      <c r="AF371" s="56"/>
      <c r="AG371" s="62"/>
      <c r="AH371" s="128">
        <f t="shared" si="252"/>
        <v>0</v>
      </c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9"/>
      <c r="AZ371" s="115"/>
      <c r="BA371" s="243"/>
      <c r="BB371" s="115"/>
      <c r="BC371" s="115"/>
      <c r="BD371" s="115"/>
      <c r="BE371" s="115"/>
      <c r="BF371" s="115"/>
      <c r="BG371" s="115"/>
      <c r="BH371" s="115"/>
      <c r="BI371" s="115"/>
      <c r="BJ371" s="115"/>
    </row>
    <row r="372" spans="1:62" hidden="1" x14ac:dyDescent="0.35">
      <c r="A372" s="19" t="str">
        <f>VLOOKUP(C372,Master!A:D,4,0)</f>
        <v>SF</v>
      </c>
      <c r="B372" s="14" t="str">
        <f>VLOOKUP(C372,Master!A:C,3,0)</f>
        <v>Tape Stock</v>
      </c>
      <c r="C372" s="14" t="s">
        <v>772</v>
      </c>
      <c r="D372" s="2">
        <f t="shared" si="246"/>
        <v>0</v>
      </c>
      <c r="E372" s="2">
        <f t="shared" si="247"/>
        <v>0</v>
      </c>
      <c r="F372" s="2">
        <f t="shared" si="248"/>
        <v>0</v>
      </c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>
        <f t="shared" si="238"/>
        <v>0</v>
      </c>
      <c r="V372" s="2">
        <f t="shared" si="239"/>
        <v>0</v>
      </c>
      <c r="W372" s="2">
        <f t="shared" si="249"/>
        <v>0</v>
      </c>
      <c r="X372" s="2">
        <f t="shared" si="250"/>
        <v>0</v>
      </c>
      <c r="Y372" s="2">
        <f t="shared" si="251"/>
        <v>0</v>
      </c>
      <c r="Z372" s="46">
        <v>0</v>
      </c>
      <c r="AA372" s="46">
        <v>0</v>
      </c>
      <c r="AB372" s="46">
        <v>0</v>
      </c>
      <c r="AC372" s="58">
        <f t="shared" si="243"/>
        <v>0</v>
      </c>
      <c r="AD372" s="58">
        <f t="shared" si="244"/>
        <v>0</v>
      </c>
      <c r="AE372" s="12">
        <f t="shared" si="245"/>
        <v>0</v>
      </c>
      <c r="AF372" s="56"/>
      <c r="AG372" s="62"/>
      <c r="AH372" s="128">
        <f t="shared" si="252"/>
        <v>0</v>
      </c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  <c r="AV372" s="114"/>
      <c r="AW372" s="114"/>
      <c r="AX372" s="114"/>
      <c r="AY372" s="119"/>
      <c r="AZ372" s="115"/>
      <c r="BA372" s="243"/>
      <c r="BB372" s="115"/>
      <c r="BC372" s="115"/>
      <c r="BD372" s="115"/>
      <c r="BE372" s="115"/>
      <c r="BF372" s="115"/>
      <c r="BG372" s="115"/>
      <c r="BH372" s="115"/>
      <c r="BI372" s="115"/>
      <c r="BJ372" s="115"/>
    </row>
    <row r="373" spans="1:62" hidden="1" x14ac:dyDescent="0.35">
      <c r="A373" s="19" t="str">
        <f>VLOOKUP(C373,Master!A:D,4,0)</f>
        <v>SF</v>
      </c>
      <c r="B373" s="14" t="str">
        <f>VLOOKUP(C373,Master!A:C,3,0)</f>
        <v>Tape Stock</v>
      </c>
      <c r="C373" s="14" t="s">
        <v>773</v>
      </c>
      <c r="D373" s="2">
        <f t="shared" si="246"/>
        <v>0</v>
      </c>
      <c r="E373" s="2">
        <f t="shared" si="247"/>
        <v>2518.3000000000029</v>
      </c>
      <c r="F373" s="2">
        <f t="shared" si="248"/>
        <v>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>
        <f t="shared" si="238"/>
        <v>0</v>
      </c>
      <c r="V373" s="53">
        <f t="shared" si="239"/>
        <v>0</v>
      </c>
      <c r="W373" s="2">
        <f t="shared" si="249"/>
        <v>0</v>
      </c>
      <c r="X373" s="54">
        <f t="shared" si="250"/>
        <v>2518.3000000000029</v>
      </c>
      <c r="Y373" s="2">
        <f t="shared" si="251"/>
        <v>0</v>
      </c>
      <c r="Z373" s="46">
        <v>0</v>
      </c>
      <c r="AA373" s="46">
        <v>0</v>
      </c>
      <c r="AB373" s="46">
        <v>0</v>
      </c>
      <c r="AC373" s="58">
        <f t="shared" si="243"/>
        <v>0</v>
      </c>
      <c r="AD373" s="58">
        <f t="shared" si="244"/>
        <v>2518.3000000000029</v>
      </c>
      <c r="AE373" s="12">
        <f t="shared" si="245"/>
        <v>0</v>
      </c>
      <c r="AF373" s="56"/>
      <c r="AG373" s="62"/>
      <c r="AH373" s="128">
        <f t="shared" si="252"/>
        <v>0</v>
      </c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  <c r="AV373" s="114"/>
      <c r="AW373" s="114"/>
      <c r="AX373" s="114"/>
      <c r="AY373" s="119"/>
      <c r="AZ373" s="115"/>
      <c r="BA373" s="243"/>
      <c r="BB373" s="115"/>
      <c r="BC373" s="115"/>
      <c r="BD373" s="115"/>
      <c r="BE373" s="115"/>
      <c r="BF373" s="115"/>
      <c r="BG373" s="115"/>
      <c r="BH373" s="115"/>
      <c r="BI373" s="115"/>
      <c r="BJ373" s="115"/>
    </row>
    <row r="374" spans="1:62" hidden="1" x14ac:dyDescent="0.35">
      <c r="A374" s="19" t="str">
        <f>VLOOKUP(C374,Master!A:D,4,0)</f>
        <v>SF</v>
      </c>
      <c r="B374" s="14" t="str">
        <f>VLOOKUP(C374,Master!A:C,3,0)</f>
        <v>RP Agglo</v>
      </c>
      <c r="C374" s="14" t="s">
        <v>810</v>
      </c>
      <c r="D374" s="2">
        <f t="shared" si="246"/>
        <v>0</v>
      </c>
      <c r="E374" s="2">
        <f t="shared" si="247"/>
        <v>0</v>
      </c>
      <c r="F374" s="2">
        <f t="shared" si="248"/>
        <v>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>
        <f t="shared" si="238"/>
        <v>0</v>
      </c>
      <c r="V374" s="2">
        <f t="shared" si="239"/>
        <v>0</v>
      </c>
      <c r="W374" s="2">
        <f t="shared" si="249"/>
        <v>0</v>
      </c>
      <c r="X374" s="2">
        <f t="shared" si="250"/>
        <v>0</v>
      </c>
      <c r="Y374" s="2">
        <f t="shared" si="251"/>
        <v>0</v>
      </c>
      <c r="Z374" s="46">
        <v>0</v>
      </c>
      <c r="AA374" s="46">
        <v>0</v>
      </c>
      <c r="AB374" s="46">
        <v>0</v>
      </c>
      <c r="AC374" s="58">
        <f t="shared" si="243"/>
        <v>0</v>
      </c>
      <c r="AD374" s="58">
        <f t="shared" si="244"/>
        <v>0</v>
      </c>
      <c r="AE374" s="12">
        <f t="shared" si="245"/>
        <v>0</v>
      </c>
      <c r="AF374" s="56"/>
      <c r="AG374" s="62"/>
      <c r="AH374" s="128">
        <f t="shared" si="252"/>
        <v>0</v>
      </c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  <c r="AV374" s="114"/>
      <c r="AW374" s="114"/>
      <c r="AX374" s="114"/>
      <c r="AY374" s="119"/>
      <c r="AZ374" s="115"/>
      <c r="BA374" s="243"/>
      <c r="BB374" s="115"/>
      <c r="BC374" s="115"/>
      <c r="BD374" s="115"/>
      <c r="BE374" s="115"/>
      <c r="BF374" s="115"/>
      <c r="BG374" s="115"/>
      <c r="BH374" s="115"/>
      <c r="BI374" s="115"/>
      <c r="BJ374" s="115"/>
    </row>
    <row r="375" spans="1:62" hidden="1" x14ac:dyDescent="0.35">
      <c r="A375" s="19" t="str">
        <f>VLOOKUP(C375,Master!A:D,4,0)</f>
        <v>SF</v>
      </c>
      <c r="B375" s="14" t="str">
        <f>VLOOKUP(C375,Master!A:C,3,0)</f>
        <v>Wastage/Scrap</v>
      </c>
      <c r="C375" s="14" t="s">
        <v>820</v>
      </c>
      <c r="D375" s="2">
        <f t="shared" si="246"/>
        <v>0</v>
      </c>
      <c r="E375" s="2">
        <f t="shared" si="247"/>
        <v>0</v>
      </c>
      <c r="F375" s="2">
        <f t="shared" si="248"/>
        <v>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>
        <f t="shared" si="238"/>
        <v>0</v>
      </c>
      <c r="V375" s="2">
        <f t="shared" si="239"/>
        <v>0</v>
      </c>
      <c r="W375" s="2">
        <f t="shared" si="249"/>
        <v>0</v>
      </c>
      <c r="X375" s="2">
        <f t="shared" si="250"/>
        <v>0</v>
      </c>
      <c r="Y375" s="2">
        <f t="shared" si="251"/>
        <v>0</v>
      </c>
      <c r="Z375" s="46">
        <v>0</v>
      </c>
      <c r="AA375" s="46">
        <v>0</v>
      </c>
      <c r="AB375" s="46">
        <v>0</v>
      </c>
      <c r="AC375" s="58">
        <f t="shared" si="243"/>
        <v>0</v>
      </c>
      <c r="AD375" s="58">
        <f t="shared" si="244"/>
        <v>0</v>
      </c>
      <c r="AE375" s="12">
        <f t="shared" si="245"/>
        <v>0</v>
      </c>
      <c r="AF375" s="56"/>
      <c r="AG375" s="62"/>
      <c r="AH375" s="128">
        <f t="shared" si="252"/>
        <v>0</v>
      </c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  <c r="AV375" s="114"/>
      <c r="AW375" s="114"/>
      <c r="AX375" s="114"/>
      <c r="AY375" s="119"/>
      <c r="AZ375" s="115"/>
      <c r="BA375" s="243"/>
      <c r="BB375" s="115"/>
      <c r="BC375" s="115"/>
      <c r="BD375" s="115"/>
      <c r="BE375" s="115"/>
      <c r="BF375" s="115"/>
      <c r="BG375" s="115"/>
      <c r="BH375" s="115"/>
      <c r="BI375" s="115"/>
      <c r="BJ375" s="115"/>
    </row>
    <row r="376" spans="1:62" hidden="1" x14ac:dyDescent="0.35">
      <c r="A376" s="19" t="str">
        <f>VLOOKUP(C376,Master!A:D,4,0)</f>
        <v>FG</v>
      </c>
      <c r="B376" s="14" t="str">
        <f>VLOOKUP(C376,Master!A:C,3,0)</f>
        <v>FIBC WIP</v>
      </c>
      <c r="C376" s="14" t="s">
        <v>892</v>
      </c>
      <c r="D376" s="2">
        <f t="shared" si="246"/>
        <v>42021.998887999915</v>
      </c>
      <c r="E376" s="2">
        <f t="shared" si="247"/>
        <v>0</v>
      </c>
      <c r="F376" s="2">
        <f t="shared" si="248"/>
        <v>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>
        <f t="shared" si="238"/>
        <v>0</v>
      </c>
      <c r="V376" s="2">
        <f t="shared" si="239"/>
        <v>0</v>
      </c>
      <c r="W376" s="2">
        <f t="shared" si="249"/>
        <v>42021.998887999915</v>
      </c>
      <c r="X376" s="2">
        <f t="shared" si="250"/>
        <v>0</v>
      </c>
      <c r="Y376" s="2">
        <f t="shared" si="251"/>
        <v>0</v>
      </c>
      <c r="Z376" s="46">
        <v>0</v>
      </c>
      <c r="AA376" s="46">
        <v>0</v>
      </c>
      <c r="AB376" s="46">
        <v>0</v>
      </c>
      <c r="AC376" s="58">
        <f t="shared" si="243"/>
        <v>42021.998887999915</v>
      </c>
      <c r="AD376" s="58">
        <f t="shared" si="244"/>
        <v>0</v>
      </c>
      <c r="AE376" s="12">
        <f t="shared" si="245"/>
        <v>0</v>
      </c>
      <c r="AF376" s="56"/>
      <c r="AG376" s="62"/>
      <c r="AH376" s="128">
        <f t="shared" si="252"/>
        <v>0</v>
      </c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  <c r="AV376" s="114"/>
      <c r="AW376" s="114"/>
      <c r="AX376" s="114"/>
      <c r="AY376" s="119"/>
      <c r="AZ376" s="115"/>
      <c r="BA376" s="243"/>
      <c r="BB376" s="115"/>
      <c r="BC376" s="115"/>
      <c r="BD376" s="115"/>
      <c r="BE376" s="115"/>
      <c r="BF376" s="115"/>
      <c r="BG376" s="115"/>
      <c r="BH376" s="115"/>
      <c r="BI376" s="115"/>
      <c r="BJ376" s="115"/>
    </row>
    <row r="377" spans="1:62" hidden="1" x14ac:dyDescent="0.35">
      <c r="A377" s="19" t="str">
        <f>VLOOKUP(C377,Master!A:D,4,0)</f>
        <v>FG</v>
      </c>
      <c r="B377" s="14" t="str">
        <f>VLOOKUP(C377,Master!A:C,3,0)</f>
        <v>Label Div</v>
      </c>
      <c r="C377" s="14" t="s">
        <v>895</v>
      </c>
      <c r="D377" s="2">
        <f t="shared" si="246"/>
        <v>0</v>
      </c>
      <c r="E377" s="2">
        <f t="shared" si="247"/>
        <v>0</v>
      </c>
      <c r="F377" s="2">
        <f t="shared" si="248"/>
        <v>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>
        <f t="shared" si="238"/>
        <v>0</v>
      </c>
      <c r="V377" s="2">
        <f t="shared" si="239"/>
        <v>0</v>
      </c>
      <c r="W377" s="2">
        <f t="shared" si="249"/>
        <v>0</v>
      </c>
      <c r="X377" s="2">
        <f t="shared" si="250"/>
        <v>0</v>
      </c>
      <c r="Y377" s="2">
        <f t="shared" si="251"/>
        <v>0</v>
      </c>
      <c r="Z377" s="46">
        <v>0</v>
      </c>
      <c r="AA377" s="46">
        <v>0</v>
      </c>
      <c r="AB377" s="46">
        <v>0</v>
      </c>
      <c r="AC377" s="58">
        <f t="shared" si="243"/>
        <v>0</v>
      </c>
      <c r="AD377" s="58">
        <f t="shared" si="244"/>
        <v>0</v>
      </c>
      <c r="AE377" s="12">
        <f t="shared" si="245"/>
        <v>0</v>
      </c>
      <c r="AF377" s="56"/>
      <c r="AG377" s="62"/>
      <c r="AH377" s="128">
        <f t="shared" si="252"/>
        <v>0</v>
      </c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  <c r="AV377" s="114"/>
      <c r="AW377" s="114"/>
      <c r="AX377" s="114"/>
      <c r="AY377" s="119"/>
      <c r="AZ377" s="115"/>
      <c r="BA377" s="243"/>
      <c r="BB377" s="115"/>
      <c r="BC377" s="115"/>
      <c r="BD377" s="115"/>
      <c r="BE377" s="115"/>
      <c r="BF377" s="115"/>
      <c r="BG377" s="115"/>
      <c r="BH377" s="115"/>
      <c r="BI377" s="115"/>
      <c r="BJ377" s="115"/>
    </row>
    <row r="378" spans="1:62" hidden="1" x14ac:dyDescent="0.35">
      <c r="A378" s="19" t="str">
        <f>VLOOKUP(C378,Master!A:D,4,0)</f>
        <v>FG</v>
      </c>
      <c r="B378" s="14" t="str">
        <f>VLOOKUP(C378,Master!A:C,3,0)</f>
        <v>FIBC Bags</v>
      </c>
      <c r="C378" s="14" t="s">
        <v>897</v>
      </c>
      <c r="D378" s="2">
        <f t="shared" ref="D378:F384" si="253">+W329</f>
        <v>1.7462298274040222E-10</v>
      </c>
      <c r="E378" s="2">
        <f t="shared" si="253"/>
        <v>0</v>
      </c>
      <c r="F378" s="2">
        <f t="shared" si="253"/>
        <v>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>
        <f t="shared" si="238"/>
        <v>0</v>
      </c>
      <c r="V378" s="2">
        <f t="shared" si="239"/>
        <v>0</v>
      </c>
      <c r="W378" s="2">
        <f t="shared" si="249"/>
        <v>1.7462298274040222E-10</v>
      </c>
      <c r="X378" s="2">
        <f t="shared" si="250"/>
        <v>0</v>
      </c>
      <c r="Y378" s="2">
        <f t="shared" si="251"/>
        <v>0</v>
      </c>
      <c r="Z378" s="46">
        <v>0</v>
      </c>
      <c r="AA378" s="46">
        <v>0</v>
      </c>
      <c r="AB378" s="46">
        <v>0</v>
      </c>
      <c r="AC378" s="58">
        <f t="shared" si="243"/>
        <v>1.7462298274040222E-10</v>
      </c>
      <c r="AD378" s="58">
        <f t="shared" si="244"/>
        <v>0</v>
      </c>
      <c r="AE378" s="12">
        <f t="shared" si="245"/>
        <v>0</v>
      </c>
      <c r="AF378" s="56"/>
      <c r="AG378" s="62"/>
      <c r="AH378" s="128">
        <f t="shared" si="252"/>
        <v>0</v>
      </c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  <c r="AV378" s="114"/>
      <c r="AW378" s="114"/>
      <c r="AX378" s="114"/>
      <c r="AY378" s="119"/>
      <c r="AZ378" s="115"/>
      <c r="BA378" s="243"/>
      <c r="BB378" s="115"/>
      <c r="BC378" s="115"/>
      <c r="BD378" s="115"/>
      <c r="BE378" s="115"/>
      <c r="BF378" s="115"/>
      <c r="BG378" s="115"/>
      <c r="BH378" s="115"/>
      <c r="BI378" s="115"/>
      <c r="BJ378" s="115"/>
    </row>
    <row r="379" spans="1:62" hidden="1" x14ac:dyDescent="0.35">
      <c r="A379" s="19" t="str">
        <f>VLOOKUP(C379,Master!A:D,4,0)</f>
        <v>FG</v>
      </c>
      <c r="B379" s="14" t="str">
        <f>VLOOKUP(C379,Master!A:C,3,0)</f>
        <v>Small Bags</v>
      </c>
      <c r="C379" s="14" t="s">
        <v>900</v>
      </c>
      <c r="D379" s="2">
        <f t="shared" si="253"/>
        <v>0</v>
      </c>
      <c r="E379" s="2">
        <f t="shared" si="253"/>
        <v>0</v>
      </c>
      <c r="F379" s="2">
        <f t="shared" si="253"/>
        <v>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>
        <f t="shared" si="238"/>
        <v>0</v>
      </c>
      <c r="V379" s="2">
        <f t="shared" si="239"/>
        <v>0</v>
      </c>
      <c r="W379" s="2">
        <f t="shared" si="249"/>
        <v>0</v>
      </c>
      <c r="X379" s="2">
        <f t="shared" si="250"/>
        <v>0</v>
      </c>
      <c r="Y379" s="2">
        <f t="shared" si="251"/>
        <v>0</v>
      </c>
      <c r="Z379" s="46">
        <v>0</v>
      </c>
      <c r="AA379" s="46">
        <v>0</v>
      </c>
      <c r="AB379" s="46">
        <v>0</v>
      </c>
      <c r="AC379" s="58">
        <f t="shared" si="243"/>
        <v>0</v>
      </c>
      <c r="AD379" s="58">
        <f t="shared" si="244"/>
        <v>0</v>
      </c>
      <c r="AE379" s="12">
        <f t="shared" si="245"/>
        <v>0</v>
      </c>
      <c r="AF379" s="56"/>
      <c r="AG379" s="62"/>
      <c r="AH379" s="128">
        <f t="shared" si="252"/>
        <v>0</v>
      </c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  <c r="AV379" s="114"/>
      <c r="AW379" s="114"/>
      <c r="AX379" s="114"/>
      <c r="AY379" s="119"/>
      <c r="AZ379" s="115"/>
      <c r="BA379" s="243"/>
      <c r="BB379" s="115"/>
      <c r="BC379" s="115"/>
      <c r="BD379" s="115"/>
      <c r="BE379" s="115"/>
      <c r="BF379" s="115"/>
      <c r="BG379" s="115"/>
      <c r="BH379" s="115"/>
      <c r="BI379" s="115"/>
      <c r="BJ379" s="115"/>
    </row>
    <row r="380" spans="1:62" hidden="1" x14ac:dyDescent="0.35">
      <c r="A380" s="19" t="str">
        <f>VLOOKUP(C380,Master!A:D,4,0)</f>
        <v>FG</v>
      </c>
      <c r="B380" s="14" t="str">
        <f>VLOOKUP(C380,Master!A:C,3,0)</f>
        <v>Tarps</v>
      </c>
      <c r="C380" s="14" t="s">
        <v>903</v>
      </c>
      <c r="D380" s="2">
        <f t="shared" si="253"/>
        <v>0</v>
      </c>
      <c r="E380" s="2">
        <f t="shared" si="253"/>
        <v>0</v>
      </c>
      <c r="F380" s="2">
        <f t="shared" si="253"/>
        <v>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>
        <f t="shared" si="238"/>
        <v>0</v>
      </c>
      <c r="V380" s="2">
        <f t="shared" si="239"/>
        <v>0</v>
      </c>
      <c r="W380" s="2">
        <f t="shared" si="249"/>
        <v>0</v>
      </c>
      <c r="X380" s="2">
        <f t="shared" si="250"/>
        <v>0</v>
      </c>
      <c r="Y380" s="2">
        <f t="shared" si="251"/>
        <v>0</v>
      </c>
      <c r="Z380" s="46">
        <v>0</v>
      </c>
      <c r="AA380" s="46">
        <v>0</v>
      </c>
      <c r="AB380" s="46">
        <v>0</v>
      </c>
      <c r="AC380" s="58">
        <f t="shared" si="243"/>
        <v>0</v>
      </c>
      <c r="AD380" s="58">
        <f t="shared" si="244"/>
        <v>0</v>
      </c>
      <c r="AE380" s="12">
        <f t="shared" si="245"/>
        <v>0</v>
      </c>
      <c r="AF380" s="56"/>
      <c r="AG380" s="62"/>
      <c r="AH380" s="117">
        <f t="shared" si="252"/>
        <v>0</v>
      </c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  <c r="AV380" s="114"/>
      <c r="AW380" s="114"/>
      <c r="AX380" s="114"/>
      <c r="AY380" s="119"/>
      <c r="AZ380" s="115"/>
      <c r="BA380" s="243"/>
      <c r="BB380" s="115"/>
      <c r="BC380" s="115"/>
      <c r="BD380" s="115"/>
      <c r="BE380" s="115"/>
      <c r="BF380" s="115"/>
      <c r="BG380" s="115"/>
      <c r="BH380" s="115"/>
      <c r="BI380" s="115"/>
      <c r="BJ380" s="115"/>
    </row>
    <row r="381" spans="1:62" hidden="1" x14ac:dyDescent="0.35">
      <c r="A381" s="19" t="str">
        <f>VLOOKUP(C381,Master!A:D,4,0)</f>
        <v>FG</v>
      </c>
      <c r="B381" s="14" t="str">
        <f>VLOOKUP(C381,Master!A:C,3,0)</f>
        <v>Trading Items</v>
      </c>
      <c r="C381" s="14" t="s">
        <v>905</v>
      </c>
      <c r="D381" s="2">
        <f t="shared" si="253"/>
        <v>0</v>
      </c>
      <c r="E381" s="2">
        <f t="shared" si="253"/>
        <v>0</v>
      </c>
      <c r="F381" s="2">
        <f t="shared" si="253"/>
        <v>0</v>
      </c>
      <c r="G381" s="6"/>
      <c r="H381" s="6"/>
      <c r="I381" s="6"/>
      <c r="J381" s="2"/>
      <c r="K381" s="6"/>
      <c r="L381" s="6"/>
      <c r="M381" s="6"/>
      <c r="N381" s="6"/>
      <c r="O381" s="6"/>
      <c r="P381" s="6"/>
      <c r="Q381" s="2"/>
      <c r="R381" s="6"/>
      <c r="S381" s="6"/>
      <c r="T381" s="6"/>
      <c r="U381" s="6"/>
      <c r="V381" s="6"/>
      <c r="W381" s="2">
        <f t="shared" si="249"/>
        <v>0</v>
      </c>
      <c r="X381" s="2">
        <f t="shared" si="250"/>
        <v>0</v>
      </c>
      <c r="Y381" s="2">
        <f t="shared" si="251"/>
        <v>0</v>
      </c>
      <c r="Z381" s="46">
        <v>0</v>
      </c>
      <c r="AA381" s="46">
        <v>0</v>
      </c>
      <c r="AB381" s="46">
        <v>0</v>
      </c>
      <c r="AC381" s="58">
        <f t="shared" si="243"/>
        <v>0</v>
      </c>
      <c r="AD381" s="58">
        <f t="shared" si="244"/>
        <v>0</v>
      </c>
      <c r="AE381" s="6">
        <v>0</v>
      </c>
      <c r="AF381" s="56"/>
      <c r="AG381" s="62"/>
      <c r="AH381" s="117">
        <f t="shared" si="252"/>
        <v>0</v>
      </c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  <c r="AV381" s="114"/>
      <c r="AW381" s="114"/>
      <c r="AX381" s="114"/>
      <c r="AY381" s="119"/>
      <c r="AZ381" s="115"/>
      <c r="BA381" s="243"/>
      <c r="BB381" s="115"/>
      <c r="BC381" s="115"/>
      <c r="BD381" s="115"/>
      <c r="BE381" s="115"/>
      <c r="BF381" s="115"/>
      <c r="BG381" s="115"/>
      <c r="BH381" s="115"/>
      <c r="BI381" s="115"/>
      <c r="BJ381" s="115"/>
    </row>
    <row r="382" spans="1:62" hidden="1" x14ac:dyDescent="0.35">
      <c r="A382" s="19" t="str">
        <f>VLOOKUP(C382,Master!A:D,4,0)</f>
        <v>FG</v>
      </c>
      <c r="B382" s="14" t="str">
        <f>VLOOKUP(C382,Master!A:C,3,0)</f>
        <v>Small Bags</v>
      </c>
      <c r="C382" s="14" t="s">
        <v>907</v>
      </c>
      <c r="D382" s="2">
        <f t="shared" si="253"/>
        <v>0</v>
      </c>
      <c r="E382" s="2">
        <f t="shared" si="253"/>
        <v>0</v>
      </c>
      <c r="F382" s="2">
        <f t="shared" si="253"/>
        <v>0</v>
      </c>
      <c r="G382" s="6"/>
      <c r="H382" s="2"/>
      <c r="I382" s="6"/>
      <c r="J382" s="2"/>
      <c r="K382" s="6"/>
      <c r="L382" s="6"/>
      <c r="M382" s="6"/>
      <c r="N382" s="6"/>
      <c r="O382" s="6"/>
      <c r="P382" s="6"/>
      <c r="Q382" s="2"/>
      <c r="R382" s="6"/>
      <c r="S382" s="6"/>
      <c r="T382" s="6"/>
      <c r="U382" s="6"/>
      <c r="V382" s="6"/>
      <c r="W382" s="2">
        <f t="shared" si="249"/>
        <v>0</v>
      </c>
      <c r="X382" s="2">
        <f t="shared" si="250"/>
        <v>0</v>
      </c>
      <c r="Y382" s="2">
        <f t="shared" si="251"/>
        <v>0</v>
      </c>
      <c r="Z382" s="46">
        <v>0</v>
      </c>
      <c r="AA382" s="46">
        <v>0</v>
      </c>
      <c r="AB382" s="46">
        <v>0</v>
      </c>
      <c r="AC382" s="58">
        <f t="shared" si="243"/>
        <v>0</v>
      </c>
      <c r="AD382" s="58">
        <f t="shared" si="244"/>
        <v>0</v>
      </c>
      <c r="AE382" s="6"/>
      <c r="AF382" s="56"/>
      <c r="AG382" s="62"/>
      <c r="AH382" s="117">
        <f t="shared" si="252"/>
        <v>0</v>
      </c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  <c r="AS382" s="114"/>
      <c r="AT382" s="114"/>
      <c r="AU382" s="114"/>
      <c r="AV382" s="114"/>
      <c r="AW382" s="114"/>
      <c r="AX382" s="114"/>
      <c r="AY382" s="119"/>
      <c r="AZ382" s="115"/>
      <c r="BA382" s="243"/>
      <c r="BB382" s="115"/>
      <c r="BC382" s="115"/>
      <c r="BD382" s="115"/>
      <c r="BE382" s="115"/>
      <c r="BF382" s="115"/>
      <c r="BG382" s="115"/>
      <c r="BH382" s="115"/>
      <c r="BI382" s="115"/>
      <c r="BJ382" s="115"/>
    </row>
    <row r="383" spans="1:62" hidden="1" x14ac:dyDescent="0.35">
      <c r="A383" s="19" t="str">
        <f>VLOOKUP(C383,Master!A:D,4,0)</f>
        <v>FG</v>
      </c>
      <c r="B383" s="14" t="str">
        <f>VLOOKUP(C383,Master!A:C,3,0)</f>
        <v>Small Bags WIP</v>
      </c>
      <c r="C383" s="14" t="s">
        <v>908</v>
      </c>
      <c r="D383" s="2">
        <f t="shared" si="253"/>
        <v>0</v>
      </c>
      <c r="E383" s="2">
        <f t="shared" si="253"/>
        <v>0</v>
      </c>
      <c r="F383" s="2">
        <f t="shared" si="253"/>
        <v>0</v>
      </c>
      <c r="G383" s="7"/>
      <c r="H383" s="2"/>
      <c r="I383" s="7"/>
      <c r="J383" s="11"/>
      <c r="K383" s="7"/>
      <c r="L383" s="7"/>
      <c r="M383" s="7"/>
      <c r="N383" s="7"/>
      <c r="O383" s="7"/>
      <c r="P383" s="7"/>
      <c r="Q383" s="2"/>
      <c r="R383" s="7"/>
      <c r="S383" s="7"/>
      <c r="T383" s="6"/>
      <c r="U383" s="7"/>
      <c r="V383" s="7"/>
      <c r="W383" s="2">
        <f t="shared" si="249"/>
        <v>0</v>
      </c>
      <c r="X383" s="2">
        <f t="shared" si="250"/>
        <v>0</v>
      </c>
      <c r="Y383" s="2">
        <f t="shared" si="251"/>
        <v>0</v>
      </c>
      <c r="Z383" s="46">
        <v>0</v>
      </c>
      <c r="AA383" s="46">
        <v>0</v>
      </c>
      <c r="AB383" s="46">
        <v>0</v>
      </c>
      <c r="AC383" s="58">
        <f t="shared" si="243"/>
        <v>0</v>
      </c>
      <c r="AD383" s="58">
        <f t="shared" si="244"/>
        <v>0</v>
      </c>
      <c r="AE383" s="7"/>
      <c r="AF383" s="56"/>
      <c r="AG383" s="62"/>
      <c r="AH383" s="117">
        <f t="shared" si="252"/>
        <v>0</v>
      </c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114"/>
      <c r="AV383" s="114"/>
      <c r="AW383" s="114"/>
      <c r="AX383" s="114"/>
      <c r="AY383" s="119"/>
      <c r="AZ383" s="115"/>
      <c r="BA383" s="243"/>
      <c r="BB383" s="115"/>
      <c r="BC383" s="115"/>
      <c r="BD383" s="115"/>
      <c r="BE383" s="115"/>
      <c r="BF383" s="115"/>
      <c r="BG383" s="115"/>
      <c r="BH383" s="115"/>
      <c r="BI383" s="115"/>
      <c r="BJ383" s="115"/>
    </row>
    <row r="384" spans="1:62" ht="15" hidden="1" thickBot="1" x14ac:dyDescent="0.4">
      <c r="A384" s="20" t="str">
        <f>VLOOKUP(C384,Master!A:D,4,0)</f>
        <v>FG</v>
      </c>
      <c r="B384" s="21" t="str">
        <f>VLOOKUP(C384,Master!A:C,3,0)</f>
        <v>Flexitank</v>
      </c>
      <c r="C384" s="21" t="s">
        <v>718</v>
      </c>
      <c r="D384" s="2">
        <f t="shared" si="253"/>
        <v>0</v>
      </c>
      <c r="E384" s="2">
        <f t="shared" si="253"/>
        <v>0</v>
      </c>
      <c r="F384" s="2">
        <f t="shared" si="253"/>
        <v>0</v>
      </c>
      <c r="G384" s="22"/>
      <c r="H384" s="22"/>
      <c r="I384" s="22"/>
      <c r="J384" s="24"/>
      <c r="K384" s="22"/>
      <c r="L384" s="22"/>
      <c r="M384" s="22"/>
      <c r="N384" s="22"/>
      <c r="O384" s="22"/>
      <c r="P384" s="22"/>
      <c r="Q384" s="2"/>
      <c r="R384" s="22"/>
      <c r="S384" s="22"/>
      <c r="T384" s="22"/>
      <c r="U384" s="22"/>
      <c r="V384" s="22"/>
      <c r="W384" s="2">
        <f t="shared" si="249"/>
        <v>0</v>
      </c>
      <c r="X384" s="2">
        <f t="shared" si="250"/>
        <v>0</v>
      </c>
      <c r="Y384" s="2">
        <f t="shared" si="251"/>
        <v>0</v>
      </c>
      <c r="Z384" s="46">
        <v>0</v>
      </c>
      <c r="AA384" s="46">
        <v>0</v>
      </c>
      <c r="AB384" s="46">
        <v>0</v>
      </c>
      <c r="AC384" s="58">
        <f t="shared" si="243"/>
        <v>0</v>
      </c>
      <c r="AD384" s="58">
        <f t="shared" si="244"/>
        <v>0</v>
      </c>
      <c r="AE384" s="22"/>
      <c r="AF384" s="56"/>
      <c r="AG384" s="65"/>
      <c r="AH384" s="117">
        <f t="shared" si="252"/>
        <v>0</v>
      </c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  <c r="AS384" s="114"/>
      <c r="AT384" s="114"/>
      <c r="AU384" s="114"/>
      <c r="AV384" s="114"/>
      <c r="AW384" s="114"/>
      <c r="AX384" s="114"/>
      <c r="AY384" s="119"/>
      <c r="AZ384" s="115"/>
      <c r="BA384" s="243"/>
      <c r="BB384" s="115"/>
      <c r="BC384" s="115"/>
      <c r="BD384" s="115"/>
      <c r="BE384" s="115"/>
      <c r="BF384" s="115"/>
      <c r="BG384" s="115"/>
      <c r="BH384" s="115"/>
      <c r="BI384" s="115"/>
      <c r="BJ384" s="115"/>
    </row>
    <row r="385" spans="1:62" hidden="1" x14ac:dyDescent="0.35">
      <c r="A385" s="536" t="s">
        <v>928</v>
      </c>
      <c r="B385" s="537"/>
      <c r="C385" s="538"/>
      <c r="D385" s="17">
        <f t="shared" ref="D385:AF385" si="254">SUM(D348:D384)</f>
        <v>80511.518888000093</v>
      </c>
      <c r="E385" s="17">
        <f t="shared" si="254"/>
        <v>449660.13</v>
      </c>
      <c r="F385" s="17">
        <f t="shared" si="254"/>
        <v>0</v>
      </c>
      <c r="G385" s="17">
        <f t="shared" si="254"/>
        <v>0</v>
      </c>
      <c r="H385" s="17">
        <f t="shared" si="254"/>
        <v>0</v>
      </c>
      <c r="I385" s="17">
        <f t="shared" si="254"/>
        <v>0</v>
      </c>
      <c r="J385" s="17">
        <f t="shared" si="254"/>
        <v>0</v>
      </c>
      <c r="K385" s="17">
        <f t="shared" si="254"/>
        <v>0</v>
      </c>
      <c r="L385" s="17">
        <f t="shared" si="254"/>
        <v>0</v>
      </c>
      <c r="M385" s="17">
        <f t="shared" si="254"/>
        <v>0</v>
      </c>
      <c r="N385" s="17">
        <f t="shared" si="254"/>
        <v>0</v>
      </c>
      <c r="O385" s="17">
        <f t="shared" si="254"/>
        <v>0</v>
      </c>
      <c r="P385" s="17">
        <f t="shared" si="254"/>
        <v>0</v>
      </c>
      <c r="Q385" s="17">
        <f t="shared" si="254"/>
        <v>0</v>
      </c>
      <c r="R385" s="17">
        <f t="shared" si="254"/>
        <v>0</v>
      </c>
      <c r="S385" s="17">
        <f t="shared" si="254"/>
        <v>0</v>
      </c>
      <c r="T385" s="17">
        <f t="shared" si="254"/>
        <v>0</v>
      </c>
      <c r="U385" s="17">
        <f t="shared" si="254"/>
        <v>0</v>
      </c>
      <c r="V385" s="17">
        <f t="shared" si="254"/>
        <v>0</v>
      </c>
      <c r="W385" s="17">
        <f t="shared" si="254"/>
        <v>80511.518888000093</v>
      </c>
      <c r="X385" s="17">
        <f t="shared" si="254"/>
        <v>449660.13</v>
      </c>
      <c r="Y385" s="17">
        <f t="shared" si="254"/>
        <v>0</v>
      </c>
      <c r="Z385" s="17">
        <f t="shared" si="254"/>
        <v>0</v>
      </c>
      <c r="AA385" s="17">
        <f t="shared" si="254"/>
        <v>0</v>
      </c>
      <c r="AB385" s="17">
        <f t="shared" si="254"/>
        <v>0</v>
      </c>
      <c r="AC385" s="17">
        <f t="shared" si="254"/>
        <v>80511.518888000093</v>
      </c>
      <c r="AD385" s="17">
        <f t="shared" si="254"/>
        <v>449660.13</v>
      </c>
      <c r="AE385" s="17">
        <f t="shared" si="254"/>
        <v>0</v>
      </c>
      <c r="AF385" s="57">
        <f t="shared" si="254"/>
        <v>0</v>
      </c>
      <c r="AG385" s="61"/>
      <c r="AH385" s="120">
        <f>SUM(AH348:AH384)</f>
        <v>0</v>
      </c>
      <c r="AI385" s="121"/>
      <c r="AJ385" s="121"/>
      <c r="AK385" s="121"/>
      <c r="AL385" s="121"/>
      <c r="AM385" s="121"/>
      <c r="AN385" s="121"/>
      <c r="AO385" s="121"/>
      <c r="AP385" s="121"/>
      <c r="AQ385" s="121"/>
      <c r="AR385" s="121"/>
      <c r="AS385" s="121"/>
      <c r="AT385" s="121"/>
      <c r="AU385" s="121"/>
      <c r="AV385" s="121"/>
      <c r="AW385" s="121"/>
      <c r="AX385" s="121"/>
      <c r="AY385" s="119"/>
      <c r="AZ385" s="115"/>
      <c r="BA385" s="115"/>
      <c r="BB385" s="122"/>
      <c r="BC385" s="122"/>
      <c r="BD385" s="122"/>
      <c r="BE385" s="122"/>
      <c r="BF385" s="122"/>
      <c r="BG385" s="122"/>
      <c r="BH385" s="122"/>
      <c r="BI385" s="122"/>
      <c r="BJ385" s="115"/>
    </row>
    <row r="386" spans="1:62" hidden="1" x14ac:dyDescent="0.35">
      <c r="A386" s="533" t="s">
        <v>927</v>
      </c>
      <c r="B386" s="534"/>
      <c r="C386" s="535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2"/>
      <c r="W386" s="11"/>
      <c r="X386" s="11"/>
      <c r="Y386" s="12"/>
      <c r="Z386" s="11"/>
      <c r="AA386" s="11"/>
      <c r="AB386" s="11"/>
      <c r="AC386" s="11"/>
      <c r="AD386" s="11"/>
      <c r="AE386" s="11"/>
      <c r="AF386" s="4"/>
      <c r="AG386" s="62"/>
      <c r="AH386" s="117"/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  <c r="AS386" s="114"/>
      <c r="AT386" s="114"/>
      <c r="AU386" s="114"/>
      <c r="AV386" s="114"/>
      <c r="AW386" s="114"/>
      <c r="AX386" s="114"/>
      <c r="AY386" s="119"/>
      <c r="AZ386" s="115"/>
      <c r="BA386" s="115"/>
      <c r="BB386" s="115"/>
      <c r="BC386" s="115"/>
      <c r="BD386" s="115"/>
      <c r="BE386" s="115"/>
      <c r="BF386" s="115"/>
      <c r="BG386" s="115"/>
      <c r="BH386" s="115"/>
      <c r="BI386" s="115"/>
      <c r="BJ386" s="115"/>
    </row>
    <row r="387" spans="1:62" ht="15" hidden="1" thickBot="1" x14ac:dyDescent="0.4">
      <c r="A387" s="547" t="s">
        <v>21</v>
      </c>
      <c r="B387" s="548"/>
      <c r="C387" s="549"/>
      <c r="D387" s="23"/>
      <c r="E387" s="23"/>
      <c r="F387" s="23"/>
      <c r="G387" s="24">
        <f>G385-G386</f>
        <v>0</v>
      </c>
      <c r="H387" s="24">
        <f t="shared" ref="H387:N387" si="255">H385-H386</f>
        <v>0</v>
      </c>
      <c r="I387" s="24">
        <f t="shared" si="255"/>
        <v>0</v>
      </c>
      <c r="J387" s="24">
        <f t="shared" si="255"/>
        <v>0</v>
      </c>
      <c r="K387" s="24">
        <f t="shared" si="255"/>
        <v>0</v>
      </c>
      <c r="L387" s="24">
        <f t="shared" si="255"/>
        <v>0</v>
      </c>
      <c r="M387" s="24">
        <f t="shared" si="255"/>
        <v>0</v>
      </c>
      <c r="N387" s="24">
        <f t="shared" si="255"/>
        <v>0</v>
      </c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79">
        <f>+AA385-AA386</f>
        <v>0</v>
      </c>
      <c r="AB387" s="23"/>
      <c r="AC387" s="23"/>
      <c r="AD387" s="23"/>
      <c r="AE387" s="23"/>
      <c r="AF387" s="25"/>
      <c r="AG387" s="63"/>
      <c r="AH387" s="123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  <c r="AS387" s="114"/>
      <c r="AT387" s="114"/>
      <c r="AU387" s="114"/>
      <c r="AV387" s="114"/>
      <c r="AW387" s="114"/>
      <c r="AX387" s="114"/>
      <c r="AY387" s="119"/>
      <c r="AZ387" s="115"/>
      <c r="BA387" s="115"/>
      <c r="BB387" s="115"/>
      <c r="BC387" s="115"/>
      <c r="BD387" s="115"/>
      <c r="BE387" s="115"/>
      <c r="BF387" s="115"/>
      <c r="BG387" s="115"/>
      <c r="BH387" s="115"/>
      <c r="BI387" s="115"/>
      <c r="BJ387" s="115"/>
    </row>
    <row r="388" spans="1:62" hidden="1" x14ac:dyDescent="0.35">
      <c r="O388" s="51" t="s">
        <v>970</v>
      </c>
      <c r="P388" s="70">
        <f>+O385-P385</f>
        <v>0</v>
      </c>
      <c r="S388" s="51" t="s">
        <v>970</v>
      </c>
      <c r="T388" s="70">
        <f>+S385-T385</f>
        <v>0</v>
      </c>
      <c r="W388" s="47"/>
      <c r="X388" s="47"/>
      <c r="AY388" s="246"/>
    </row>
    <row r="389" spans="1:62" hidden="1" x14ac:dyDescent="0.35">
      <c r="A389" s="29"/>
      <c r="O389" s="64"/>
      <c r="S389" s="47"/>
      <c r="V389" s="47"/>
      <c r="W389" s="47">
        <f>+D385+H385-K385</f>
        <v>80511.518888000093</v>
      </c>
      <c r="X389" s="47">
        <f>+E385+J385-N385</f>
        <v>449660.13</v>
      </c>
      <c r="AH389" s="116">
        <f>+AH348+AH349+AH362+AH356</f>
        <v>0</v>
      </c>
      <c r="AI389" s="105" t="s">
        <v>932</v>
      </c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/>
      <c r="AU389" s="116"/>
      <c r="AV389" s="116"/>
      <c r="AW389" s="116"/>
      <c r="AX389" s="116"/>
      <c r="AY389" s="246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</row>
    <row r="390" spans="1:62" hidden="1" x14ac:dyDescent="0.35">
      <c r="W390" s="47">
        <f>+W385-W389</f>
        <v>0</v>
      </c>
      <c r="X390" s="47">
        <f>+X385-X389</f>
        <v>0</v>
      </c>
      <c r="AH390" s="116">
        <f>+AH376</f>
        <v>0</v>
      </c>
      <c r="AI390" s="105" t="s">
        <v>931</v>
      </c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  <c r="AT390" s="116"/>
      <c r="AU390" s="116"/>
      <c r="AV390" s="116"/>
      <c r="AW390" s="116"/>
      <c r="AX390" s="116"/>
      <c r="AY390" s="246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</row>
    <row r="391" spans="1:62" hidden="1" x14ac:dyDescent="0.35">
      <c r="AH391" s="116">
        <f>+AH368+AH375+AH378+AH382</f>
        <v>0</v>
      </c>
      <c r="AI391" s="105" t="s">
        <v>930</v>
      </c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  <c r="AT391" s="116"/>
      <c r="AU391" s="116"/>
      <c r="AV391" s="116"/>
      <c r="AW391" s="116"/>
      <c r="AX391" s="116"/>
      <c r="AY391" s="246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</row>
    <row r="392" spans="1:62" hidden="1" x14ac:dyDescent="0.35">
      <c r="AH392" s="116">
        <f>+AH385-AH389-AH390-AH391</f>
        <v>0</v>
      </c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  <c r="AT392" s="116"/>
      <c r="AU392" s="116"/>
      <c r="AV392" s="116"/>
      <c r="AW392" s="116"/>
      <c r="AX392" s="116"/>
      <c r="AY392" s="246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  <c r="BJ392" s="124"/>
    </row>
    <row r="393" spans="1:62" hidden="1" x14ac:dyDescent="0.35"/>
    <row r="394" spans="1:62" ht="15" hidden="1" thickBot="1" x14ac:dyDescent="0.4"/>
    <row r="395" spans="1:62" ht="15" hidden="1" thickBot="1" x14ac:dyDescent="0.4">
      <c r="A395" s="5"/>
      <c r="B395" s="5"/>
      <c r="C395" s="8"/>
      <c r="D395" s="539" t="s">
        <v>0</v>
      </c>
      <c r="E395" s="540"/>
      <c r="F395" s="540"/>
      <c r="G395" s="541" t="s">
        <v>2353</v>
      </c>
      <c r="H395" s="542"/>
      <c r="I395" s="542"/>
      <c r="J395" s="542"/>
      <c r="K395" s="542"/>
      <c r="L395" s="542"/>
      <c r="M395" s="542"/>
      <c r="N395" s="542"/>
      <c r="O395" s="542"/>
      <c r="P395" s="542"/>
      <c r="Q395" s="542"/>
      <c r="R395" s="542"/>
      <c r="S395" s="542"/>
      <c r="T395" s="542"/>
      <c r="U395" s="542"/>
      <c r="V395" s="543"/>
      <c r="W395" s="554" t="s">
        <v>20</v>
      </c>
      <c r="X395" s="554"/>
      <c r="Y395" s="554"/>
      <c r="Z395" s="553" t="s">
        <v>929</v>
      </c>
      <c r="AA395" s="553"/>
      <c r="AB395" s="553"/>
      <c r="AC395" s="553" t="s">
        <v>21</v>
      </c>
      <c r="AD395" s="553"/>
      <c r="AE395" s="553"/>
      <c r="AF395" s="13"/>
      <c r="AG395" s="531"/>
      <c r="AH395" s="532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8"/>
      <c r="AZ395" s="108"/>
      <c r="BA395" s="108"/>
      <c r="BB395" s="108"/>
      <c r="BC395" s="108"/>
      <c r="BD395" s="108"/>
      <c r="BE395" s="108"/>
      <c r="BF395" s="108"/>
      <c r="BG395" s="108"/>
      <c r="BH395" s="108"/>
      <c r="BI395" s="108"/>
      <c r="BJ395" s="108"/>
    </row>
    <row r="396" spans="1:62" ht="29.5" hidden="1" thickBot="1" x14ac:dyDescent="0.4">
      <c r="A396" s="10" t="s">
        <v>24</v>
      </c>
      <c r="B396" s="10" t="s">
        <v>924</v>
      </c>
      <c r="C396" s="10" t="s">
        <v>23</v>
      </c>
      <c r="D396" s="26" t="s">
        <v>1</v>
      </c>
      <c r="E396" s="27" t="s">
        <v>2</v>
      </c>
      <c r="F396" s="27" t="s">
        <v>3</v>
      </c>
      <c r="G396" s="27" t="s">
        <v>4</v>
      </c>
      <c r="H396" s="27" t="s">
        <v>5</v>
      </c>
      <c r="I396" s="27" t="s">
        <v>6</v>
      </c>
      <c r="J396" s="27" t="s">
        <v>7</v>
      </c>
      <c r="K396" s="27" t="s">
        <v>8</v>
      </c>
      <c r="L396" s="27" t="s">
        <v>9</v>
      </c>
      <c r="M396" s="27" t="s">
        <v>10</v>
      </c>
      <c r="N396" s="27" t="s">
        <v>11</v>
      </c>
      <c r="O396" s="27" t="s">
        <v>12</v>
      </c>
      <c r="P396" s="27" t="s">
        <v>13</v>
      </c>
      <c r="Q396" s="27" t="s">
        <v>14</v>
      </c>
      <c r="R396" s="27" t="s">
        <v>15</v>
      </c>
      <c r="S396" s="27" t="s">
        <v>16</v>
      </c>
      <c r="T396" s="27" t="s">
        <v>17</v>
      </c>
      <c r="U396" s="27" t="s">
        <v>18</v>
      </c>
      <c r="V396" s="27" t="s">
        <v>19</v>
      </c>
      <c r="W396" s="28" t="s">
        <v>1</v>
      </c>
      <c r="X396" s="28" t="s">
        <v>2</v>
      </c>
      <c r="Y396" s="28" t="s">
        <v>3</v>
      </c>
      <c r="Z396" s="28" t="s">
        <v>1</v>
      </c>
      <c r="AA396" s="50" t="s">
        <v>2</v>
      </c>
      <c r="AB396" s="27" t="s">
        <v>3</v>
      </c>
      <c r="AC396" s="27" t="s">
        <v>1</v>
      </c>
      <c r="AD396" s="27" t="s">
        <v>2</v>
      </c>
      <c r="AE396" s="27" t="s">
        <v>3</v>
      </c>
      <c r="AF396" s="55" t="s">
        <v>22</v>
      </c>
      <c r="AG396" s="59" t="s">
        <v>934</v>
      </c>
      <c r="AH396" s="110" t="s">
        <v>933</v>
      </c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2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</row>
    <row r="397" spans="1:62" hidden="1" x14ac:dyDescent="0.35">
      <c r="A397" s="15" t="str">
        <f>VLOOKUP(C397,Master!A:D,4,0)</f>
        <v>RM</v>
      </c>
      <c r="B397" s="16" t="str">
        <f>VLOOKUP(C397,Master!A:C,3,0)</f>
        <v>Granuals</v>
      </c>
      <c r="C397" s="16" t="s">
        <v>32</v>
      </c>
      <c r="D397" s="17">
        <f>+W348</f>
        <v>2494.8000000000002</v>
      </c>
      <c r="E397" s="17">
        <f t="shared" ref="E397:F397" si="256">+X348</f>
        <v>200</v>
      </c>
      <c r="F397" s="17">
        <f t="shared" si="256"/>
        <v>0</v>
      </c>
      <c r="G397" s="17"/>
      <c r="H397" s="17"/>
      <c r="I397" s="71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>
        <f t="shared" ref="U397:U429" si="257">O397-S397</f>
        <v>0</v>
      </c>
      <c r="V397" s="17">
        <f t="shared" ref="V397:V429" si="258">P397-T397</f>
        <v>0</v>
      </c>
      <c r="W397" s="17">
        <f>D397+G397+H397+I397-K397-L397-M397-V397+U397</f>
        <v>2494.8000000000002</v>
      </c>
      <c r="X397" s="17">
        <f t="shared" ref="X397:X398" si="259">E397+J397-N397-T397+S397</f>
        <v>200</v>
      </c>
      <c r="Y397" s="17">
        <f t="shared" ref="Y397:Y398" si="260">F397-I397+M397-R397+Q397</f>
        <v>0</v>
      </c>
      <c r="Z397" s="48">
        <v>0</v>
      </c>
      <c r="AA397" s="49">
        <v>0</v>
      </c>
      <c r="AB397" s="45">
        <v>0</v>
      </c>
      <c r="AC397" s="72">
        <f>W397-Z397</f>
        <v>2494.8000000000002</v>
      </c>
      <c r="AD397" s="72">
        <f>X397-AA397</f>
        <v>200</v>
      </c>
      <c r="AE397" s="18">
        <f>Y397-AB397</f>
        <v>0</v>
      </c>
      <c r="AF397" s="56"/>
      <c r="AG397" s="96"/>
      <c r="AH397" s="113">
        <f>+W397*AG397</f>
        <v>0</v>
      </c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  <c r="AS397" s="114"/>
      <c r="AT397" s="114"/>
      <c r="AU397" s="114"/>
      <c r="AV397" s="114"/>
      <c r="AW397" s="114"/>
      <c r="AX397" s="114"/>
      <c r="AY397" s="119"/>
      <c r="AZ397" s="115"/>
      <c r="BA397" s="243"/>
      <c r="BB397" s="115"/>
      <c r="BC397" s="115"/>
      <c r="BD397" s="115"/>
      <c r="BE397" s="115"/>
      <c r="BF397" s="115"/>
      <c r="BG397" s="115"/>
      <c r="BH397" s="115"/>
      <c r="BI397" s="115"/>
      <c r="BJ397" s="115"/>
    </row>
    <row r="398" spans="1:62" hidden="1" x14ac:dyDescent="0.35">
      <c r="A398" s="19" t="str">
        <f>VLOOKUP(C398,Master!A:D,4,0)</f>
        <v>RM</v>
      </c>
      <c r="B398" s="14" t="str">
        <f>VLOOKUP(C398,Master!A:C,3,0)</f>
        <v>Granuals</v>
      </c>
      <c r="C398" s="14" t="s">
        <v>37</v>
      </c>
      <c r="D398" s="2">
        <f>+W349</f>
        <v>29994.720000000001</v>
      </c>
      <c r="E398" s="2">
        <f t="shared" ref="E398:F398" si="261">+X349</f>
        <v>341299.7</v>
      </c>
      <c r="F398" s="2">
        <f t="shared" si="261"/>
        <v>0</v>
      </c>
      <c r="G398" s="2"/>
      <c r="H398" s="2"/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>
        <f t="shared" si="257"/>
        <v>0</v>
      </c>
      <c r="V398" s="2">
        <f t="shared" si="258"/>
        <v>0</v>
      </c>
      <c r="W398" s="54">
        <f t="shared" ref="W398" si="262">D398+G398+H398+I398-K398-L398-M398-V398+U398</f>
        <v>29994.720000000001</v>
      </c>
      <c r="X398" s="2">
        <f t="shared" si="259"/>
        <v>341299.7</v>
      </c>
      <c r="Y398" s="2">
        <f t="shared" si="260"/>
        <v>0</v>
      </c>
      <c r="Z398" s="46">
        <v>0</v>
      </c>
      <c r="AA398" s="46">
        <v>0</v>
      </c>
      <c r="AB398" s="46">
        <v>0</v>
      </c>
      <c r="AC398" s="58">
        <f t="shared" ref="AC398:AC400" si="263">W398-Z398</f>
        <v>29994.720000000001</v>
      </c>
      <c r="AD398" s="58">
        <f t="shared" ref="AD398:AD433" si="264">X398-AA398</f>
        <v>341299.7</v>
      </c>
      <c r="AE398" s="12">
        <f t="shared" ref="AE398:AE429" si="265">Y398-AB398</f>
        <v>0</v>
      </c>
      <c r="AF398" s="56"/>
      <c r="AG398" s="97"/>
      <c r="AH398" s="117">
        <f>+W398*AG398</f>
        <v>0</v>
      </c>
      <c r="AI398" s="114"/>
      <c r="AJ398" s="114"/>
      <c r="AK398" s="114"/>
      <c r="AL398" s="114"/>
      <c r="AM398" s="114"/>
      <c r="AN398" s="114"/>
      <c r="AO398" s="114"/>
      <c r="AP398" s="114"/>
      <c r="AQ398" s="114"/>
      <c r="AR398" s="114"/>
      <c r="AS398" s="114"/>
      <c r="AT398" s="114"/>
      <c r="AU398" s="114"/>
      <c r="AV398" s="114"/>
      <c r="AW398" s="114"/>
      <c r="AX398" s="114"/>
      <c r="AY398" s="119"/>
      <c r="AZ398" s="115"/>
      <c r="BA398" s="243"/>
      <c r="BB398" s="115"/>
      <c r="BC398" s="115"/>
      <c r="BD398" s="115"/>
      <c r="BE398" s="115"/>
      <c r="BF398" s="115"/>
      <c r="BG398" s="115"/>
      <c r="BH398" s="115"/>
      <c r="BI398" s="115"/>
      <c r="BJ398" s="115"/>
    </row>
    <row r="399" spans="1:62" hidden="1" x14ac:dyDescent="0.35">
      <c r="A399" s="19" t="str">
        <f>VLOOKUP(C399,Master!A:D,4,0)</f>
        <v>RM</v>
      </c>
      <c r="B399" s="14" t="str">
        <f>VLOOKUP(C399,Master!A:C,3,0)</f>
        <v>Granuals</v>
      </c>
      <c r="C399" s="14" t="s">
        <v>40</v>
      </c>
      <c r="D399" s="2">
        <f t="shared" ref="D399:F399" si="266">+W350</f>
        <v>0</v>
      </c>
      <c r="E399" s="2">
        <f t="shared" si="266"/>
        <v>0</v>
      </c>
      <c r="F399" s="2">
        <f t="shared" si="266"/>
        <v>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>
        <f t="shared" si="257"/>
        <v>0</v>
      </c>
      <c r="V399" s="2">
        <f t="shared" si="258"/>
        <v>0</v>
      </c>
      <c r="W399" s="54">
        <f t="shared" ref="W399:W433" si="267">D399+G399+H399+I399-K399-L399-M399-V399+U399</f>
        <v>0</v>
      </c>
      <c r="X399" s="2">
        <f t="shared" ref="X399:X433" si="268">E399+J399-N399-T399+S399</f>
        <v>0</v>
      </c>
      <c r="Y399" s="2">
        <f t="shared" ref="Y399:Y433" si="269">F399-I399+M399-R399+Q399</f>
        <v>0</v>
      </c>
      <c r="Z399" s="46">
        <v>0</v>
      </c>
      <c r="AA399" s="46">
        <v>0</v>
      </c>
      <c r="AB399" s="46">
        <v>0</v>
      </c>
      <c r="AC399" s="58">
        <f t="shared" si="263"/>
        <v>0</v>
      </c>
      <c r="AD399" s="58">
        <f t="shared" si="264"/>
        <v>0</v>
      </c>
      <c r="AE399" s="12">
        <f t="shared" si="265"/>
        <v>0</v>
      </c>
      <c r="AF399" s="56"/>
      <c r="AG399" s="62"/>
      <c r="AH399" s="117">
        <f t="shared" ref="AH399:AH433" si="270">+W399*AG399</f>
        <v>0</v>
      </c>
      <c r="AI399" s="114"/>
      <c r="AJ399" s="114"/>
      <c r="AK399" s="114"/>
      <c r="AL399" s="114"/>
      <c r="AM399" s="114"/>
      <c r="AN399" s="114"/>
      <c r="AO399" s="114"/>
      <c r="AP399" s="114"/>
      <c r="AQ399" s="114"/>
      <c r="AR399" s="114"/>
      <c r="AS399" s="114"/>
      <c r="AT399" s="114"/>
      <c r="AU399" s="114"/>
      <c r="AV399" s="114"/>
      <c r="AW399" s="114"/>
      <c r="AX399" s="114"/>
      <c r="AY399" s="119"/>
      <c r="AZ399" s="115"/>
      <c r="BA399" s="115"/>
      <c r="BB399" s="115"/>
      <c r="BC399" s="115"/>
      <c r="BD399" s="115"/>
      <c r="BE399" s="115"/>
      <c r="BF399" s="115"/>
      <c r="BG399" s="115"/>
      <c r="BH399" s="115"/>
      <c r="BI399" s="115"/>
      <c r="BJ399" s="115"/>
    </row>
    <row r="400" spans="1:62" hidden="1" x14ac:dyDescent="0.35">
      <c r="A400" s="19" t="str">
        <f>VLOOKUP(C400,Master!A:D,4,0)</f>
        <v>RM</v>
      </c>
      <c r="B400" s="14" t="str">
        <f>VLOOKUP(C400,Master!A:C,3,0)</f>
        <v>Granuals</v>
      </c>
      <c r="C400" s="14" t="s">
        <v>46</v>
      </c>
      <c r="D400" s="2">
        <f t="shared" ref="D400:F400" si="271">+W351</f>
        <v>0</v>
      </c>
      <c r="E400" s="2">
        <f t="shared" si="271"/>
        <v>15000</v>
      </c>
      <c r="F400" s="2">
        <f t="shared" si="271"/>
        <v>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>
        <f t="shared" si="257"/>
        <v>0</v>
      </c>
      <c r="V400" s="2">
        <f t="shared" si="258"/>
        <v>0</v>
      </c>
      <c r="W400" s="54">
        <f t="shared" si="267"/>
        <v>0</v>
      </c>
      <c r="X400" s="2">
        <f t="shared" si="268"/>
        <v>15000</v>
      </c>
      <c r="Y400" s="2">
        <f t="shared" si="269"/>
        <v>0</v>
      </c>
      <c r="Z400" s="46">
        <v>0</v>
      </c>
      <c r="AA400" s="46">
        <v>0</v>
      </c>
      <c r="AB400" s="46">
        <v>0</v>
      </c>
      <c r="AC400" s="58">
        <f t="shared" si="263"/>
        <v>0</v>
      </c>
      <c r="AD400" s="58">
        <f t="shared" si="264"/>
        <v>15000</v>
      </c>
      <c r="AE400" s="12">
        <f t="shared" si="265"/>
        <v>0</v>
      </c>
      <c r="AF400" s="56"/>
      <c r="AG400" s="62"/>
      <c r="AH400" s="117">
        <f t="shared" si="270"/>
        <v>0</v>
      </c>
      <c r="AI400" s="114"/>
      <c r="AJ400" s="114"/>
      <c r="AK400" s="114"/>
      <c r="AL400" s="114"/>
      <c r="AM400" s="114"/>
      <c r="AN400" s="114"/>
      <c r="AO400" s="114"/>
      <c r="AP400" s="114"/>
      <c r="AQ400" s="114"/>
      <c r="AR400" s="114"/>
      <c r="AS400" s="114"/>
      <c r="AT400" s="114"/>
      <c r="AU400" s="114"/>
      <c r="AV400" s="114"/>
      <c r="AW400" s="114"/>
      <c r="AX400" s="114"/>
      <c r="AY400" s="119"/>
      <c r="AZ400" s="115"/>
      <c r="BA400" s="115"/>
      <c r="BB400" s="115"/>
      <c r="BC400" s="115"/>
      <c r="BD400" s="115"/>
      <c r="BE400" s="115"/>
      <c r="BF400" s="115"/>
      <c r="BG400" s="115"/>
      <c r="BH400" s="115"/>
      <c r="BI400" s="115"/>
      <c r="BJ400" s="115"/>
    </row>
    <row r="401" spans="1:62" hidden="1" x14ac:dyDescent="0.35">
      <c r="A401" s="19" t="str">
        <f>VLOOKUP(C401,Master!A:D,4,0)</f>
        <v>RM</v>
      </c>
      <c r="B401" s="14" t="str">
        <f>VLOOKUP(C401,Master!A:C,3,0)</f>
        <v>Granuals</v>
      </c>
      <c r="C401" s="14" t="s">
        <v>49</v>
      </c>
      <c r="D401" s="2">
        <f t="shared" ref="D401:F401" si="272">+W352</f>
        <v>0</v>
      </c>
      <c r="E401" s="2">
        <f t="shared" si="272"/>
        <v>0</v>
      </c>
      <c r="F401" s="2">
        <f t="shared" si="272"/>
        <v>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>
        <f t="shared" si="257"/>
        <v>0</v>
      </c>
      <c r="V401" s="2">
        <f t="shared" si="258"/>
        <v>0</v>
      </c>
      <c r="W401" s="54">
        <f t="shared" si="267"/>
        <v>0</v>
      </c>
      <c r="X401" s="2">
        <f t="shared" si="268"/>
        <v>0</v>
      </c>
      <c r="Y401" s="2">
        <f t="shared" si="269"/>
        <v>0</v>
      </c>
      <c r="Z401" s="46">
        <v>0</v>
      </c>
      <c r="AA401" s="46">
        <v>0</v>
      </c>
      <c r="AB401" s="46">
        <v>0</v>
      </c>
      <c r="AC401" s="58">
        <f>W401-Z401</f>
        <v>0</v>
      </c>
      <c r="AD401" s="58">
        <f t="shared" si="264"/>
        <v>0</v>
      </c>
      <c r="AE401" s="12">
        <f t="shared" si="265"/>
        <v>0</v>
      </c>
      <c r="AF401" s="56"/>
      <c r="AG401" s="62"/>
      <c r="AH401" s="117">
        <f t="shared" si="270"/>
        <v>0</v>
      </c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4"/>
      <c r="AS401" s="114"/>
      <c r="AT401" s="114"/>
      <c r="AU401" s="114"/>
      <c r="AV401" s="114"/>
      <c r="AW401" s="114"/>
      <c r="AX401" s="114"/>
      <c r="AY401" s="119"/>
      <c r="AZ401" s="115"/>
      <c r="BA401" s="115"/>
      <c r="BB401" s="115"/>
      <c r="BC401" s="115"/>
      <c r="BD401" s="115"/>
      <c r="BE401" s="115"/>
      <c r="BF401" s="115"/>
      <c r="BG401" s="115"/>
      <c r="BH401" s="115"/>
      <c r="BI401" s="115"/>
      <c r="BJ401" s="115"/>
    </row>
    <row r="402" spans="1:62" hidden="1" x14ac:dyDescent="0.35">
      <c r="A402" s="19" t="str">
        <f>VLOOKUP(C402,Master!A:D,4,0)</f>
        <v>RM</v>
      </c>
      <c r="B402" s="14" t="str">
        <f>VLOOKUP(C402,Master!A:C,3,0)</f>
        <v>Granuals</v>
      </c>
      <c r="C402" s="14" t="s">
        <v>55</v>
      </c>
      <c r="D402" s="2">
        <f t="shared" ref="D402:F402" si="273">+W353</f>
        <v>0</v>
      </c>
      <c r="E402" s="2">
        <f t="shared" si="273"/>
        <v>25550</v>
      </c>
      <c r="F402" s="2">
        <f t="shared" si="273"/>
        <v>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>
        <f t="shared" si="257"/>
        <v>0</v>
      </c>
      <c r="V402" s="2">
        <f t="shared" si="258"/>
        <v>0</v>
      </c>
      <c r="W402" s="54">
        <f t="shared" si="267"/>
        <v>0</v>
      </c>
      <c r="X402" s="2">
        <f t="shared" si="268"/>
        <v>25550</v>
      </c>
      <c r="Y402" s="2">
        <f t="shared" si="269"/>
        <v>0</v>
      </c>
      <c r="Z402" s="46">
        <v>0</v>
      </c>
      <c r="AA402" s="46">
        <v>0</v>
      </c>
      <c r="AB402" s="46">
        <v>0</v>
      </c>
      <c r="AC402" s="58">
        <f t="shared" ref="AC402:AC412" si="274">W402-Z402</f>
        <v>0</v>
      </c>
      <c r="AD402" s="58">
        <f t="shared" si="264"/>
        <v>25550</v>
      </c>
      <c r="AE402" s="12">
        <f t="shared" si="265"/>
        <v>0</v>
      </c>
      <c r="AF402" s="56"/>
      <c r="AG402" s="62"/>
      <c r="AH402" s="117">
        <f t="shared" si="270"/>
        <v>0</v>
      </c>
      <c r="AI402" s="114"/>
      <c r="AJ402" s="114"/>
      <c r="AK402" s="114"/>
      <c r="AL402" s="114"/>
      <c r="AM402" s="114"/>
      <c r="AN402" s="114"/>
      <c r="AO402" s="114"/>
      <c r="AP402" s="114"/>
      <c r="AQ402" s="114"/>
      <c r="AR402" s="114"/>
      <c r="AS402" s="114"/>
      <c r="AT402" s="114"/>
      <c r="AU402" s="114"/>
      <c r="AV402" s="114"/>
      <c r="AW402" s="114"/>
      <c r="AX402" s="114"/>
      <c r="AY402" s="119"/>
      <c r="AZ402" s="115"/>
      <c r="BA402" s="115"/>
      <c r="BB402" s="115"/>
      <c r="BC402" s="115"/>
      <c r="BD402" s="115"/>
      <c r="BE402" s="115"/>
      <c r="BF402" s="115"/>
      <c r="BG402" s="115"/>
      <c r="BH402" s="115"/>
      <c r="BI402" s="115"/>
      <c r="BJ402" s="115"/>
    </row>
    <row r="403" spans="1:62" hidden="1" x14ac:dyDescent="0.35">
      <c r="A403" s="19" t="str">
        <f>VLOOKUP(C403,Master!A:D,4,0)</f>
        <v>RM</v>
      </c>
      <c r="B403" s="14" t="str">
        <f>VLOOKUP(C403,Master!A:C,3,0)</f>
        <v>FIBC Accessories</v>
      </c>
      <c r="C403" s="14" t="s">
        <v>69</v>
      </c>
      <c r="D403" s="2">
        <f t="shared" ref="D403:F403" si="275">+W354</f>
        <v>0</v>
      </c>
      <c r="E403" s="2">
        <f t="shared" si="275"/>
        <v>0</v>
      </c>
      <c r="F403" s="2">
        <f t="shared" si="275"/>
        <v>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>
        <f t="shared" si="257"/>
        <v>0</v>
      </c>
      <c r="V403" s="2">
        <f t="shared" si="258"/>
        <v>0</v>
      </c>
      <c r="W403" s="54">
        <f t="shared" si="267"/>
        <v>0</v>
      </c>
      <c r="X403" s="2">
        <f t="shared" si="268"/>
        <v>0</v>
      </c>
      <c r="Y403" s="2">
        <f t="shared" si="269"/>
        <v>0</v>
      </c>
      <c r="Z403" s="46">
        <v>0</v>
      </c>
      <c r="AA403" s="46">
        <v>0</v>
      </c>
      <c r="AB403" s="46">
        <v>0</v>
      </c>
      <c r="AC403" s="58">
        <f t="shared" si="274"/>
        <v>0</v>
      </c>
      <c r="AD403" s="58">
        <f t="shared" si="264"/>
        <v>0</v>
      </c>
      <c r="AE403" s="12">
        <f t="shared" si="265"/>
        <v>0</v>
      </c>
      <c r="AF403" s="56"/>
      <c r="AG403" s="62"/>
      <c r="AH403" s="117">
        <f t="shared" si="270"/>
        <v>0</v>
      </c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14"/>
      <c r="AS403" s="114"/>
      <c r="AT403" s="114"/>
      <c r="AU403" s="114"/>
      <c r="AV403" s="114"/>
      <c r="AW403" s="114"/>
      <c r="AX403" s="114"/>
      <c r="AY403" s="119"/>
      <c r="AZ403" s="115"/>
      <c r="BA403" s="115"/>
      <c r="BB403" s="115"/>
      <c r="BC403" s="115"/>
      <c r="BD403" s="115"/>
      <c r="BE403" s="115"/>
      <c r="BF403" s="115"/>
      <c r="BG403" s="115"/>
      <c r="BH403" s="115"/>
      <c r="BI403" s="115"/>
      <c r="BJ403" s="115"/>
    </row>
    <row r="404" spans="1:62" hidden="1" x14ac:dyDescent="0.35">
      <c r="A404" s="19" t="str">
        <f>VLOOKUP(C404,Master!A:D,4,0)</f>
        <v>RM</v>
      </c>
      <c r="B404" s="14" t="str">
        <f>VLOOKUP(C404,Master!A:C,3,0)</f>
        <v>Films All</v>
      </c>
      <c r="C404" s="14" t="s">
        <v>71</v>
      </c>
      <c r="D404" s="2">
        <f t="shared" ref="D404:F404" si="276">+W355</f>
        <v>0</v>
      </c>
      <c r="E404" s="2">
        <f t="shared" si="276"/>
        <v>0</v>
      </c>
      <c r="F404" s="2">
        <f t="shared" si="276"/>
        <v>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>
        <f t="shared" si="257"/>
        <v>0</v>
      </c>
      <c r="V404" s="2">
        <f t="shared" si="258"/>
        <v>0</v>
      </c>
      <c r="W404" s="54">
        <f t="shared" si="267"/>
        <v>0</v>
      </c>
      <c r="X404" s="2">
        <f t="shared" si="268"/>
        <v>0</v>
      </c>
      <c r="Y404" s="2">
        <f t="shared" si="269"/>
        <v>0</v>
      </c>
      <c r="Z404" s="46">
        <v>0</v>
      </c>
      <c r="AA404" s="46">
        <v>0</v>
      </c>
      <c r="AB404" s="46">
        <v>0</v>
      </c>
      <c r="AC404" s="58">
        <f t="shared" si="274"/>
        <v>0</v>
      </c>
      <c r="AD404" s="58">
        <f t="shared" si="264"/>
        <v>0</v>
      </c>
      <c r="AE404" s="12">
        <f t="shared" si="265"/>
        <v>0</v>
      </c>
      <c r="AF404" s="56"/>
      <c r="AG404" s="62"/>
      <c r="AH404" s="117">
        <f t="shared" si="270"/>
        <v>0</v>
      </c>
      <c r="AI404" s="114"/>
      <c r="AJ404" s="114"/>
      <c r="AK404" s="114"/>
      <c r="AL404" s="114"/>
      <c r="AM404" s="114"/>
      <c r="AN404" s="114"/>
      <c r="AO404" s="114"/>
      <c r="AP404" s="114"/>
      <c r="AQ404" s="114"/>
      <c r="AR404" s="114"/>
      <c r="AS404" s="114"/>
      <c r="AT404" s="114"/>
      <c r="AU404" s="114"/>
      <c r="AV404" s="114"/>
      <c r="AW404" s="114"/>
      <c r="AX404" s="114"/>
      <c r="AY404" s="119"/>
      <c r="AZ404" s="115"/>
      <c r="BA404" s="115"/>
      <c r="BB404" s="115"/>
      <c r="BC404" s="115"/>
      <c r="BD404" s="115"/>
      <c r="BE404" s="115"/>
      <c r="BF404" s="115"/>
      <c r="BG404" s="115"/>
      <c r="BH404" s="115"/>
      <c r="BI404" s="115"/>
      <c r="BJ404" s="115"/>
    </row>
    <row r="405" spans="1:62" hidden="1" x14ac:dyDescent="0.35">
      <c r="A405" s="19" t="str">
        <f>VLOOKUP(C405,Master!A:D,4,0)</f>
        <v>RM</v>
      </c>
      <c r="B405" s="14" t="str">
        <f>VLOOKUP(C405,Master!A:C,3,0)</f>
        <v>Granuals</v>
      </c>
      <c r="C405" s="14" t="s">
        <v>85</v>
      </c>
      <c r="D405" s="2">
        <f t="shared" ref="D405:F405" si="277">+W356</f>
        <v>0</v>
      </c>
      <c r="E405" s="2">
        <f t="shared" si="277"/>
        <v>0</v>
      </c>
      <c r="F405" s="2">
        <f t="shared" si="277"/>
        <v>0</v>
      </c>
      <c r="G405" s="2"/>
      <c r="H405" s="2"/>
      <c r="I405" s="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>
        <f t="shared" si="257"/>
        <v>0</v>
      </c>
      <c r="V405" s="2">
        <f t="shared" si="258"/>
        <v>0</v>
      </c>
      <c r="W405" s="54">
        <f t="shared" si="267"/>
        <v>0</v>
      </c>
      <c r="X405" s="2">
        <f t="shared" si="268"/>
        <v>0</v>
      </c>
      <c r="Y405" s="2">
        <f t="shared" si="269"/>
        <v>0</v>
      </c>
      <c r="Z405" s="46">
        <v>0</v>
      </c>
      <c r="AA405" s="46">
        <v>0</v>
      </c>
      <c r="AB405" s="46">
        <v>0</v>
      </c>
      <c r="AC405" s="58">
        <f t="shared" si="274"/>
        <v>0</v>
      </c>
      <c r="AD405" s="58">
        <f t="shared" si="264"/>
        <v>0</v>
      </c>
      <c r="AE405" s="12">
        <f t="shared" si="265"/>
        <v>0</v>
      </c>
      <c r="AF405" s="56"/>
      <c r="AG405" s="62"/>
      <c r="AH405" s="117">
        <f t="shared" si="270"/>
        <v>0</v>
      </c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14"/>
      <c r="AS405" s="114"/>
      <c r="AT405" s="114"/>
      <c r="AU405" s="114"/>
      <c r="AV405" s="114"/>
      <c r="AW405" s="114"/>
      <c r="AX405" s="114"/>
      <c r="AY405" s="119"/>
      <c r="AZ405" s="115"/>
      <c r="BA405" s="115"/>
      <c r="BB405" s="115"/>
      <c r="BC405" s="115"/>
      <c r="BD405" s="115"/>
      <c r="BE405" s="115"/>
      <c r="BF405" s="115"/>
      <c r="BG405" s="115"/>
      <c r="BH405" s="115"/>
      <c r="BI405" s="115"/>
      <c r="BJ405" s="115"/>
    </row>
    <row r="406" spans="1:62" hidden="1" x14ac:dyDescent="0.35">
      <c r="A406" s="19" t="str">
        <f>VLOOKUP(C406,Master!A:D,4,0)</f>
        <v>RM</v>
      </c>
      <c r="B406" s="14" t="str">
        <f>VLOOKUP(C406,Master!A:C,3,0)</f>
        <v>Films All</v>
      </c>
      <c r="C406" s="14" t="s">
        <v>180</v>
      </c>
      <c r="D406" s="2">
        <f t="shared" ref="D406:F406" si="278">+W357</f>
        <v>0</v>
      </c>
      <c r="E406" s="2">
        <f t="shared" si="278"/>
        <v>0</v>
      </c>
      <c r="F406" s="2">
        <f t="shared" si="278"/>
        <v>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>
        <f t="shared" si="257"/>
        <v>0</v>
      </c>
      <c r="V406" s="2">
        <f t="shared" si="258"/>
        <v>0</v>
      </c>
      <c r="W406" s="54">
        <f t="shared" si="267"/>
        <v>0</v>
      </c>
      <c r="X406" s="2">
        <f t="shared" si="268"/>
        <v>0</v>
      </c>
      <c r="Y406" s="2">
        <f t="shared" si="269"/>
        <v>0</v>
      </c>
      <c r="Z406" s="46">
        <v>0</v>
      </c>
      <c r="AA406" s="46">
        <v>0</v>
      </c>
      <c r="AB406" s="46">
        <v>0</v>
      </c>
      <c r="AC406" s="58">
        <f t="shared" si="274"/>
        <v>0</v>
      </c>
      <c r="AD406" s="58">
        <f t="shared" si="264"/>
        <v>0</v>
      </c>
      <c r="AE406" s="12">
        <f t="shared" si="265"/>
        <v>0</v>
      </c>
      <c r="AF406" s="56"/>
      <c r="AG406" s="62"/>
      <c r="AH406" s="117">
        <f t="shared" si="270"/>
        <v>0</v>
      </c>
      <c r="AI406" s="114"/>
      <c r="AJ406" s="114"/>
      <c r="AK406" s="114"/>
      <c r="AL406" s="114"/>
      <c r="AM406" s="114"/>
      <c r="AN406" s="114"/>
      <c r="AO406" s="114"/>
      <c r="AP406" s="114"/>
      <c r="AQ406" s="114"/>
      <c r="AR406" s="114"/>
      <c r="AS406" s="114"/>
      <c r="AT406" s="114"/>
      <c r="AU406" s="114"/>
      <c r="AV406" s="114"/>
      <c r="AW406" s="114"/>
      <c r="AX406" s="114"/>
      <c r="AY406" s="119"/>
      <c r="AZ406" s="115"/>
      <c r="BA406" s="115"/>
      <c r="BB406" s="115"/>
      <c r="BC406" s="115"/>
      <c r="BD406" s="115"/>
      <c r="BE406" s="115"/>
      <c r="BF406" s="115"/>
      <c r="BG406" s="115"/>
      <c r="BH406" s="115"/>
      <c r="BI406" s="115"/>
      <c r="BJ406" s="115"/>
    </row>
    <row r="407" spans="1:62" hidden="1" x14ac:dyDescent="0.35">
      <c r="A407" s="19" t="str">
        <f>VLOOKUP(C407,Master!A:D,4,0)</f>
        <v>RM</v>
      </c>
      <c r="B407" s="14" t="str">
        <f>VLOOKUP(C407,Master!A:C,3,0)</f>
        <v>Granuals</v>
      </c>
      <c r="C407" s="14" t="s">
        <v>277</v>
      </c>
      <c r="D407" s="2">
        <f t="shared" ref="D407:F407" si="279">+W358</f>
        <v>0</v>
      </c>
      <c r="E407" s="2">
        <f t="shared" si="279"/>
        <v>0</v>
      </c>
      <c r="F407" s="2">
        <f t="shared" si="279"/>
        <v>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>
        <f t="shared" si="257"/>
        <v>0</v>
      </c>
      <c r="V407" s="2">
        <f t="shared" si="258"/>
        <v>0</v>
      </c>
      <c r="W407" s="54">
        <f t="shared" si="267"/>
        <v>0</v>
      </c>
      <c r="X407" s="2">
        <f t="shared" si="268"/>
        <v>0</v>
      </c>
      <c r="Y407" s="2">
        <f t="shared" si="269"/>
        <v>0</v>
      </c>
      <c r="Z407" s="46">
        <v>0</v>
      </c>
      <c r="AA407" s="46">
        <v>0</v>
      </c>
      <c r="AB407" s="46">
        <v>0</v>
      </c>
      <c r="AC407" s="58">
        <f t="shared" si="274"/>
        <v>0</v>
      </c>
      <c r="AD407" s="58">
        <f t="shared" si="264"/>
        <v>0</v>
      </c>
      <c r="AE407" s="12">
        <f t="shared" si="265"/>
        <v>0</v>
      </c>
      <c r="AF407" s="56"/>
      <c r="AG407" s="62"/>
      <c r="AH407" s="117">
        <f t="shared" si="270"/>
        <v>0</v>
      </c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14"/>
      <c r="AS407" s="114"/>
      <c r="AT407" s="114"/>
      <c r="AU407" s="114"/>
      <c r="AV407" s="114"/>
      <c r="AW407" s="114"/>
      <c r="AX407" s="114"/>
      <c r="AY407" s="119"/>
      <c r="AZ407" s="115"/>
      <c r="BA407" s="115"/>
      <c r="BB407" s="115"/>
      <c r="BC407" s="115"/>
      <c r="BD407" s="115"/>
      <c r="BE407" s="115"/>
      <c r="BF407" s="115"/>
      <c r="BG407" s="115"/>
      <c r="BH407" s="115"/>
      <c r="BI407" s="115"/>
      <c r="BJ407" s="115"/>
    </row>
    <row r="408" spans="1:62" hidden="1" x14ac:dyDescent="0.35">
      <c r="A408" s="19" t="str">
        <f>VLOOKUP(C408,Master!A:D,4,0)</f>
        <v>RM</v>
      </c>
      <c r="B408" s="14" t="str">
        <f>VLOOKUP(C408,Master!A:C,3,0)</f>
        <v>Granuals</v>
      </c>
      <c r="C408" s="14" t="s">
        <v>387</v>
      </c>
      <c r="D408" s="2">
        <f t="shared" ref="D408:F408" si="280">+W359</f>
        <v>0</v>
      </c>
      <c r="E408" s="2">
        <f t="shared" si="280"/>
        <v>0</v>
      </c>
      <c r="F408" s="2">
        <f t="shared" si="280"/>
        <v>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>
        <f t="shared" si="257"/>
        <v>0</v>
      </c>
      <c r="V408" s="2">
        <f t="shared" si="258"/>
        <v>0</v>
      </c>
      <c r="W408" s="54">
        <f t="shared" si="267"/>
        <v>0</v>
      </c>
      <c r="X408" s="2">
        <f t="shared" si="268"/>
        <v>0</v>
      </c>
      <c r="Y408" s="2">
        <f t="shared" si="269"/>
        <v>0</v>
      </c>
      <c r="Z408" s="46">
        <v>0</v>
      </c>
      <c r="AA408" s="46">
        <v>0</v>
      </c>
      <c r="AB408" s="46">
        <v>0</v>
      </c>
      <c r="AC408" s="58">
        <f t="shared" si="274"/>
        <v>0</v>
      </c>
      <c r="AD408" s="58">
        <f t="shared" si="264"/>
        <v>0</v>
      </c>
      <c r="AE408" s="12">
        <f t="shared" si="265"/>
        <v>0</v>
      </c>
      <c r="AF408" s="56"/>
      <c r="AG408" s="62"/>
      <c r="AH408" s="117">
        <f t="shared" si="270"/>
        <v>0</v>
      </c>
      <c r="AI408" s="114"/>
      <c r="AJ408" s="114"/>
      <c r="AK408" s="114"/>
      <c r="AL408" s="114"/>
      <c r="AM408" s="114"/>
      <c r="AN408" s="114"/>
      <c r="AO408" s="114"/>
      <c r="AP408" s="114"/>
      <c r="AQ408" s="114"/>
      <c r="AR408" s="114"/>
      <c r="AS408" s="114"/>
      <c r="AT408" s="114"/>
      <c r="AU408" s="114"/>
      <c r="AV408" s="114"/>
      <c r="AW408" s="114"/>
      <c r="AX408" s="114"/>
      <c r="AY408" s="119"/>
      <c r="AZ408" s="115"/>
      <c r="BA408" s="115"/>
      <c r="BB408" s="115"/>
      <c r="BC408" s="115"/>
      <c r="BD408" s="115"/>
      <c r="BE408" s="115"/>
      <c r="BF408" s="115"/>
      <c r="BG408" s="115"/>
      <c r="BH408" s="115"/>
      <c r="BI408" s="115"/>
      <c r="BJ408" s="115"/>
    </row>
    <row r="409" spans="1:62" hidden="1" x14ac:dyDescent="0.35">
      <c r="A409" s="19" t="str">
        <f>VLOOKUP(C409,Master!A:D,4,0)</f>
        <v>RM</v>
      </c>
      <c r="B409" s="14" t="str">
        <f>VLOOKUP(C409,Master!A:C,3,0)</f>
        <v>Films All</v>
      </c>
      <c r="C409" s="14" t="s">
        <v>398</v>
      </c>
      <c r="D409" s="2">
        <f t="shared" ref="D409:F409" si="281">+W360</f>
        <v>0</v>
      </c>
      <c r="E409" s="2">
        <f t="shared" si="281"/>
        <v>0</v>
      </c>
      <c r="F409" s="2">
        <f t="shared" si="281"/>
        <v>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>
        <f t="shared" si="257"/>
        <v>0</v>
      </c>
      <c r="V409" s="2">
        <f t="shared" si="258"/>
        <v>0</v>
      </c>
      <c r="W409" s="54">
        <f t="shared" si="267"/>
        <v>0</v>
      </c>
      <c r="X409" s="2">
        <f t="shared" si="268"/>
        <v>0</v>
      </c>
      <c r="Y409" s="2">
        <f t="shared" si="269"/>
        <v>0</v>
      </c>
      <c r="Z409" s="46">
        <v>0</v>
      </c>
      <c r="AA409" s="46">
        <v>0</v>
      </c>
      <c r="AB409" s="46">
        <v>0</v>
      </c>
      <c r="AC409" s="58">
        <f t="shared" si="274"/>
        <v>0</v>
      </c>
      <c r="AD409" s="58">
        <f t="shared" si="264"/>
        <v>0</v>
      </c>
      <c r="AE409" s="12">
        <f t="shared" si="265"/>
        <v>0</v>
      </c>
      <c r="AF409" s="56"/>
      <c r="AG409" s="62"/>
      <c r="AH409" s="117">
        <f t="shared" si="270"/>
        <v>0</v>
      </c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14"/>
      <c r="AS409" s="114"/>
      <c r="AT409" s="114"/>
      <c r="AU409" s="114"/>
      <c r="AV409" s="114"/>
      <c r="AW409" s="114"/>
      <c r="AX409" s="114"/>
      <c r="AY409" s="119"/>
      <c r="AZ409" s="115"/>
      <c r="BA409" s="115"/>
      <c r="BB409" s="115"/>
      <c r="BC409" s="115"/>
      <c r="BD409" s="115"/>
      <c r="BE409" s="115"/>
      <c r="BF409" s="115"/>
      <c r="BG409" s="115"/>
      <c r="BH409" s="115"/>
      <c r="BI409" s="115"/>
      <c r="BJ409" s="115"/>
    </row>
    <row r="410" spans="1:62" hidden="1" x14ac:dyDescent="0.35">
      <c r="A410" s="19" t="str">
        <f>VLOOKUP(C410,Master!A:D,4,0)</f>
        <v>RM</v>
      </c>
      <c r="B410" s="14" t="str">
        <f>VLOOKUP(C410,Master!A:C,3,0)</f>
        <v>Granuals</v>
      </c>
      <c r="C410" s="14" t="s">
        <v>417</v>
      </c>
      <c r="D410" s="2">
        <f t="shared" ref="D410:F410" si="282">+W361</f>
        <v>0</v>
      </c>
      <c r="E410" s="2">
        <f t="shared" si="282"/>
        <v>0</v>
      </c>
      <c r="F410" s="2">
        <f t="shared" si="282"/>
        <v>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>
        <f t="shared" si="257"/>
        <v>0</v>
      </c>
      <c r="V410" s="2">
        <f t="shared" si="258"/>
        <v>0</v>
      </c>
      <c r="W410" s="54">
        <f t="shared" si="267"/>
        <v>0</v>
      </c>
      <c r="X410" s="2">
        <f t="shared" si="268"/>
        <v>0</v>
      </c>
      <c r="Y410" s="2">
        <f t="shared" si="269"/>
        <v>0</v>
      </c>
      <c r="Z410" s="46">
        <v>0</v>
      </c>
      <c r="AA410" s="46">
        <v>0</v>
      </c>
      <c r="AB410" s="46">
        <v>0</v>
      </c>
      <c r="AC410" s="58">
        <f t="shared" si="274"/>
        <v>0</v>
      </c>
      <c r="AD410" s="58">
        <f t="shared" si="264"/>
        <v>0</v>
      </c>
      <c r="AE410" s="12">
        <f t="shared" si="265"/>
        <v>0</v>
      </c>
      <c r="AF410" s="56"/>
      <c r="AG410" s="62"/>
      <c r="AH410" s="117">
        <f t="shared" si="270"/>
        <v>0</v>
      </c>
      <c r="AI410" s="114"/>
      <c r="AJ410" s="114"/>
      <c r="AK410" s="114"/>
      <c r="AL410" s="114"/>
      <c r="AM410" s="114"/>
      <c r="AN410" s="114"/>
      <c r="AO410" s="114"/>
      <c r="AP410" s="114"/>
      <c r="AQ410" s="114"/>
      <c r="AR410" s="114"/>
      <c r="AS410" s="114"/>
      <c r="AT410" s="114"/>
      <c r="AU410" s="114"/>
      <c r="AV410" s="114"/>
      <c r="AW410" s="114"/>
      <c r="AX410" s="114"/>
      <c r="AY410" s="119"/>
      <c r="AZ410" s="115"/>
      <c r="BA410" s="115"/>
      <c r="BB410" s="115"/>
      <c r="BC410" s="115"/>
      <c r="BD410" s="115"/>
      <c r="BE410" s="115"/>
      <c r="BF410" s="115"/>
      <c r="BG410" s="115"/>
      <c r="BH410" s="115"/>
      <c r="BI410" s="115"/>
      <c r="BJ410" s="115"/>
    </row>
    <row r="411" spans="1:62" hidden="1" x14ac:dyDescent="0.35">
      <c r="A411" s="19" t="str">
        <f>VLOOKUP(C411,Master!A:D,4,0)</f>
        <v>SF</v>
      </c>
      <c r="B411" s="14" t="str">
        <f>VLOOKUP(C411,Master!A:C,3,0)</f>
        <v>Yarn All</v>
      </c>
      <c r="C411" s="14" t="s">
        <v>629</v>
      </c>
      <c r="D411" s="2">
        <f t="shared" ref="D411:F411" si="283">+W362</f>
        <v>6000.0000000000055</v>
      </c>
      <c r="E411" s="2">
        <f t="shared" si="283"/>
        <v>8285.8300000000017</v>
      </c>
      <c r="F411" s="2">
        <f t="shared" si="283"/>
        <v>0</v>
      </c>
      <c r="G411" s="2"/>
      <c r="H411" s="2"/>
      <c r="I411" s="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>
        <f t="shared" si="257"/>
        <v>0</v>
      </c>
      <c r="V411" s="2">
        <f t="shared" si="258"/>
        <v>0</v>
      </c>
      <c r="W411" s="54">
        <f t="shared" si="267"/>
        <v>6000.0000000000055</v>
      </c>
      <c r="X411" s="2">
        <f t="shared" si="268"/>
        <v>8285.8300000000017</v>
      </c>
      <c r="Y411" s="2">
        <f t="shared" si="269"/>
        <v>0</v>
      </c>
      <c r="Z411" s="46">
        <v>0</v>
      </c>
      <c r="AA411" s="46">
        <v>0</v>
      </c>
      <c r="AB411" s="46">
        <v>0</v>
      </c>
      <c r="AC411" s="58">
        <f t="shared" si="274"/>
        <v>6000.0000000000055</v>
      </c>
      <c r="AD411" s="58">
        <f t="shared" si="264"/>
        <v>8285.8300000000017</v>
      </c>
      <c r="AE411" s="12">
        <f t="shared" si="265"/>
        <v>0</v>
      </c>
      <c r="AF411" s="56"/>
      <c r="AG411" s="62"/>
      <c r="AH411" s="117">
        <f t="shared" si="270"/>
        <v>0</v>
      </c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4"/>
      <c r="AS411" s="114"/>
      <c r="AT411" s="114"/>
      <c r="AU411" s="114"/>
      <c r="AV411" s="114"/>
      <c r="AW411" s="114"/>
      <c r="AX411" s="114"/>
      <c r="AY411" s="119"/>
      <c r="AZ411" s="115"/>
      <c r="BA411" s="115"/>
      <c r="BB411" s="243"/>
      <c r="BC411" s="115"/>
      <c r="BD411" s="115"/>
      <c r="BE411" s="115"/>
      <c r="BF411" s="115"/>
      <c r="BG411" s="115"/>
      <c r="BH411" s="115"/>
      <c r="BI411" s="115"/>
      <c r="BJ411" s="115"/>
    </row>
    <row r="412" spans="1:62" hidden="1" x14ac:dyDescent="0.35">
      <c r="A412" s="19" t="str">
        <f>VLOOKUP(C412,Master!A:D,4,0)</f>
        <v>SF</v>
      </c>
      <c r="B412" s="14" t="str">
        <f>VLOOKUP(C412,Master!A:C,3,0)</f>
        <v>PP/PE Fabric</v>
      </c>
      <c r="C412" s="14" t="s">
        <v>639</v>
      </c>
      <c r="D412" s="2">
        <f t="shared" ref="D412:F412" si="284">+W363</f>
        <v>0</v>
      </c>
      <c r="E412" s="2">
        <f t="shared" si="284"/>
        <v>13277</v>
      </c>
      <c r="F412" s="2">
        <f t="shared" si="284"/>
        <v>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>
        <f t="shared" si="257"/>
        <v>0</v>
      </c>
      <c r="V412" s="2">
        <f t="shared" si="258"/>
        <v>0</v>
      </c>
      <c r="W412" s="54">
        <f t="shared" si="267"/>
        <v>0</v>
      </c>
      <c r="X412" s="2">
        <f t="shared" si="268"/>
        <v>13277</v>
      </c>
      <c r="Y412" s="2">
        <f t="shared" si="269"/>
        <v>0</v>
      </c>
      <c r="Z412" s="46">
        <v>0</v>
      </c>
      <c r="AA412" s="46">
        <v>0</v>
      </c>
      <c r="AB412" s="46">
        <v>0</v>
      </c>
      <c r="AC412" s="58">
        <f t="shared" si="274"/>
        <v>0</v>
      </c>
      <c r="AD412" s="58">
        <f t="shared" si="264"/>
        <v>13277</v>
      </c>
      <c r="AE412" s="12">
        <f t="shared" si="265"/>
        <v>0</v>
      </c>
      <c r="AF412" s="56"/>
      <c r="AG412" s="62"/>
      <c r="AH412" s="117">
        <f t="shared" si="270"/>
        <v>0</v>
      </c>
      <c r="AI412" s="114"/>
      <c r="AJ412" s="114"/>
      <c r="AK412" s="114"/>
      <c r="AL412" s="114"/>
      <c r="AM412" s="114"/>
      <c r="AN412" s="114"/>
      <c r="AO412" s="114"/>
      <c r="AP412" s="114"/>
      <c r="AQ412" s="114"/>
      <c r="AR412" s="114"/>
      <c r="AS412" s="114"/>
      <c r="AT412" s="114"/>
      <c r="AU412" s="114"/>
      <c r="AV412" s="114"/>
      <c r="AW412" s="114"/>
      <c r="AX412" s="114"/>
      <c r="AY412" s="119"/>
      <c r="AZ412" s="115"/>
      <c r="BA412" s="115"/>
      <c r="BB412" s="115"/>
      <c r="BC412" s="115"/>
      <c r="BD412" s="115"/>
      <c r="BE412" s="115"/>
      <c r="BF412" s="115"/>
      <c r="BG412" s="115"/>
      <c r="BH412" s="115"/>
      <c r="BI412" s="115"/>
      <c r="BJ412" s="115"/>
    </row>
    <row r="413" spans="1:62" hidden="1" x14ac:dyDescent="0.35">
      <c r="A413" s="19" t="str">
        <f>VLOOKUP(C413,Master!A:D,4,0)</f>
        <v>SF</v>
      </c>
      <c r="B413" s="14" t="str">
        <f>VLOOKUP(C413,Master!A:C,3,0)</f>
        <v>Flexitank Accessories</v>
      </c>
      <c r="C413" s="14" t="s">
        <v>641</v>
      </c>
      <c r="D413" s="2">
        <f t="shared" ref="D413:F413" si="285">+W364</f>
        <v>0</v>
      </c>
      <c r="E413" s="2">
        <f t="shared" si="285"/>
        <v>0</v>
      </c>
      <c r="F413" s="2">
        <f t="shared" si="285"/>
        <v>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>
        <f t="shared" si="257"/>
        <v>0</v>
      </c>
      <c r="V413" s="2">
        <f t="shared" si="258"/>
        <v>0</v>
      </c>
      <c r="W413" s="54">
        <f t="shared" si="267"/>
        <v>0</v>
      </c>
      <c r="X413" s="2">
        <f t="shared" si="268"/>
        <v>0</v>
      </c>
      <c r="Y413" s="2">
        <f t="shared" si="269"/>
        <v>0</v>
      </c>
      <c r="Z413" s="46">
        <v>0</v>
      </c>
      <c r="AA413" s="46">
        <v>0</v>
      </c>
      <c r="AB413" s="46">
        <v>0</v>
      </c>
      <c r="AC413" s="58">
        <f t="shared" ref="AC413:AC419" si="286">W413-Z413</f>
        <v>0</v>
      </c>
      <c r="AD413" s="58">
        <f t="shared" si="264"/>
        <v>0</v>
      </c>
      <c r="AE413" s="12">
        <f t="shared" si="265"/>
        <v>0</v>
      </c>
      <c r="AF413" s="56"/>
      <c r="AG413" s="62"/>
      <c r="AH413" s="117">
        <f t="shared" si="270"/>
        <v>0</v>
      </c>
      <c r="AI413" s="114"/>
      <c r="AJ413" s="114"/>
      <c r="AK413" s="114"/>
      <c r="AL413" s="114"/>
      <c r="AM413" s="114"/>
      <c r="AN413" s="114"/>
      <c r="AO413" s="114"/>
      <c r="AP413" s="114"/>
      <c r="AQ413" s="114"/>
      <c r="AR413" s="114"/>
      <c r="AS413" s="114"/>
      <c r="AT413" s="114"/>
      <c r="AU413" s="114"/>
      <c r="AV413" s="114"/>
      <c r="AW413" s="114"/>
      <c r="AX413" s="114"/>
      <c r="AY413" s="119"/>
      <c r="AZ413" s="115"/>
      <c r="BA413" s="115"/>
      <c r="BB413" s="115"/>
      <c r="BC413" s="115"/>
      <c r="BD413" s="115"/>
      <c r="BE413" s="115"/>
      <c r="BF413" s="115"/>
      <c r="BG413" s="115"/>
      <c r="BH413" s="115"/>
      <c r="BI413" s="115"/>
      <c r="BJ413" s="115"/>
    </row>
    <row r="414" spans="1:62" hidden="1" x14ac:dyDescent="0.35">
      <c r="A414" s="19" t="str">
        <f>VLOOKUP(C414,Master!A:D,4,0)</f>
        <v>SF</v>
      </c>
      <c r="B414" s="14" t="str">
        <f>VLOOKUP(C414,Master!A:C,3,0)</f>
        <v>PP/PE Fabric</v>
      </c>
      <c r="C414" s="14" t="s">
        <v>652</v>
      </c>
      <c r="D414" s="2">
        <f t="shared" ref="D414:F414" si="287">+W365</f>
        <v>0</v>
      </c>
      <c r="E414" s="2">
        <f t="shared" si="287"/>
        <v>27104.800000000003</v>
      </c>
      <c r="F414" s="2">
        <f t="shared" si="287"/>
        <v>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>
        <f t="shared" si="257"/>
        <v>0</v>
      </c>
      <c r="V414" s="2">
        <f t="shared" si="258"/>
        <v>0</v>
      </c>
      <c r="W414" s="54">
        <f t="shared" si="267"/>
        <v>0</v>
      </c>
      <c r="X414" s="2">
        <f t="shared" si="268"/>
        <v>27104.800000000003</v>
      </c>
      <c r="Y414" s="2">
        <f t="shared" si="269"/>
        <v>0</v>
      </c>
      <c r="Z414" s="46">
        <v>0</v>
      </c>
      <c r="AA414" s="46">
        <v>0</v>
      </c>
      <c r="AB414" s="46">
        <v>0</v>
      </c>
      <c r="AC414" s="58">
        <f t="shared" si="286"/>
        <v>0</v>
      </c>
      <c r="AD414" s="58">
        <f t="shared" si="264"/>
        <v>27104.800000000003</v>
      </c>
      <c r="AE414" s="12">
        <f t="shared" si="265"/>
        <v>0</v>
      </c>
      <c r="AF414" s="56"/>
      <c r="AG414" s="62"/>
      <c r="AH414" s="117">
        <f t="shared" si="270"/>
        <v>0</v>
      </c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  <c r="AS414" s="114"/>
      <c r="AT414" s="114"/>
      <c r="AU414" s="114"/>
      <c r="AV414" s="114"/>
      <c r="AW414" s="114"/>
      <c r="AX414" s="114"/>
      <c r="AY414" s="119"/>
      <c r="AZ414" s="115"/>
      <c r="BA414" s="115"/>
      <c r="BB414" s="115"/>
      <c r="BC414" s="115"/>
      <c r="BD414" s="115"/>
      <c r="BE414" s="115"/>
      <c r="BF414" s="115"/>
      <c r="BG414" s="115"/>
      <c r="BH414" s="115"/>
      <c r="BI414" s="115"/>
      <c r="BJ414" s="115"/>
    </row>
    <row r="415" spans="1:62" hidden="1" x14ac:dyDescent="0.35">
      <c r="A415" s="19" t="str">
        <f>VLOOKUP(C415,Master!A:D,4,0)</f>
        <v>SF</v>
      </c>
      <c r="B415" s="14" t="str">
        <f>VLOOKUP(C415,Master!A:C,3,0)</f>
        <v>PP/PE Fabric</v>
      </c>
      <c r="C415" s="14" t="s">
        <v>664</v>
      </c>
      <c r="D415" s="2">
        <f t="shared" ref="D415:F415" si="288">+W366</f>
        <v>0</v>
      </c>
      <c r="E415" s="2">
        <f t="shared" si="288"/>
        <v>0</v>
      </c>
      <c r="F415" s="2">
        <f t="shared" si="288"/>
        <v>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>
        <f t="shared" si="257"/>
        <v>0</v>
      </c>
      <c r="V415" s="2">
        <f t="shared" si="258"/>
        <v>0</v>
      </c>
      <c r="W415" s="54">
        <f t="shared" si="267"/>
        <v>0</v>
      </c>
      <c r="X415" s="2">
        <f t="shared" si="268"/>
        <v>0</v>
      </c>
      <c r="Y415" s="2">
        <f t="shared" si="269"/>
        <v>0</v>
      </c>
      <c r="Z415" s="46">
        <v>0</v>
      </c>
      <c r="AA415" s="46">
        <v>0</v>
      </c>
      <c r="AB415" s="46">
        <v>0</v>
      </c>
      <c r="AC415" s="58">
        <f t="shared" si="286"/>
        <v>0</v>
      </c>
      <c r="AD415" s="58">
        <f t="shared" si="264"/>
        <v>0</v>
      </c>
      <c r="AE415" s="12">
        <f t="shared" si="265"/>
        <v>0</v>
      </c>
      <c r="AF415" s="56"/>
      <c r="AG415" s="62"/>
      <c r="AH415" s="117">
        <f t="shared" si="270"/>
        <v>0</v>
      </c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  <c r="AS415" s="114"/>
      <c r="AT415" s="114"/>
      <c r="AU415" s="114"/>
      <c r="AV415" s="114"/>
      <c r="AW415" s="114"/>
      <c r="AX415" s="114"/>
      <c r="AY415" s="119"/>
      <c r="AZ415" s="115"/>
      <c r="BA415" s="115"/>
      <c r="BB415" s="115"/>
      <c r="BC415" s="115"/>
      <c r="BD415" s="115"/>
      <c r="BE415" s="115"/>
      <c r="BF415" s="115"/>
      <c r="BG415" s="115"/>
      <c r="BH415" s="115"/>
      <c r="BI415" s="115"/>
      <c r="BJ415" s="115"/>
    </row>
    <row r="416" spans="1:62" hidden="1" x14ac:dyDescent="0.35">
      <c r="A416" s="19" t="str">
        <f>VLOOKUP(C416,Master!A:D,4,0)</f>
        <v>SF</v>
      </c>
      <c r="B416" s="14" t="str">
        <f>VLOOKUP(C416,Master!A:C,3,0)</f>
        <v>PP/PE Fabric</v>
      </c>
      <c r="C416" s="14" t="s">
        <v>675</v>
      </c>
      <c r="D416" s="2">
        <f t="shared" ref="D416:F416" si="289">+W367</f>
        <v>0</v>
      </c>
      <c r="E416" s="2">
        <f t="shared" si="289"/>
        <v>0</v>
      </c>
      <c r="F416" s="2">
        <f t="shared" si="289"/>
        <v>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>
        <f t="shared" si="257"/>
        <v>0</v>
      </c>
      <c r="V416" s="2">
        <f t="shared" si="258"/>
        <v>0</v>
      </c>
      <c r="W416" s="54">
        <f t="shared" si="267"/>
        <v>0</v>
      </c>
      <c r="X416" s="2">
        <f t="shared" si="268"/>
        <v>0</v>
      </c>
      <c r="Y416" s="2">
        <f t="shared" si="269"/>
        <v>0</v>
      </c>
      <c r="Z416" s="46">
        <v>0</v>
      </c>
      <c r="AA416" s="46">
        <v>0</v>
      </c>
      <c r="AB416" s="46">
        <v>0</v>
      </c>
      <c r="AC416" s="58">
        <f t="shared" si="286"/>
        <v>0</v>
      </c>
      <c r="AD416" s="58">
        <f t="shared" si="264"/>
        <v>0</v>
      </c>
      <c r="AE416" s="12">
        <f t="shared" si="265"/>
        <v>0</v>
      </c>
      <c r="AF416" s="56"/>
      <c r="AG416" s="62"/>
      <c r="AH416" s="117">
        <f t="shared" si="270"/>
        <v>0</v>
      </c>
      <c r="AI416" s="114"/>
      <c r="AJ416" s="114"/>
      <c r="AK416" s="114"/>
      <c r="AL416" s="114"/>
      <c r="AM416" s="114"/>
      <c r="AN416" s="114"/>
      <c r="AO416" s="114"/>
      <c r="AP416" s="114"/>
      <c r="AQ416" s="114"/>
      <c r="AR416" s="114"/>
      <c r="AS416" s="114"/>
      <c r="AT416" s="114"/>
      <c r="AU416" s="114"/>
      <c r="AV416" s="114"/>
      <c r="AW416" s="114"/>
      <c r="AX416" s="114"/>
      <c r="AY416" s="119"/>
      <c r="AZ416" s="115"/>
      <c r="BA416" s="115"/>
      <c r="BB416" s="115"/>
      <c r="BC416" s="115"/>
      <c r="BD416" s="115"/>
      <c r="BE416" s="115"/>
      <c r="BF416" s="115"/>
      <c r="BG416" s="115"/>
      <c r="BH416" s="115"/>
      <c r="BI416" s="115"/>
      <c r="BJ416" s="115"/>
    </row>
    <row r="417" spans="1:62" hidden="1" x14ac:dyDescent="0.35">
      <c r="A417" s="19" t="str">
        <f>VLOOKUP(C417,Master!A:D,4,0)</f>
        <v>SF</v>
      </c>
      <c r="B417" s="14" t="str">
        <f>VLOOKUP(C417,Master!A:C,3,0)</f>
        <v>Granuals</v>
      </c>
      <c r="C417" s="14" t="s">
        <v>688</v>
      </c>
      <c r="D417" s="2">
        <f t="shared" ref="D417:F417" si="290">+W368</f>
        <v>0</v>
      </c>
      <c r="E417" s="2">
        <f t="shared" si="290"/>
        <v>0</v>
      </c>
      <c r="F417" s="2">
        <f t="shared" si="290"/>
        <v>0</v>
      </c>
      <c r="G417" s="2"/>
      <c r="H417" s="2"/>
      <c r="I417" s="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>
        <f t="shared" si="257"/>
        <v>0</v>
      </c>
      <c r="V417" s="2">
        <f t="shared" si="258"/>
        <v>0</v>
      </c>
      <c r="W417" s="54">
        <f t="shared" si="267"/>
        <v>0</v>
      </c>
      <c r="X417" s="2">
        <f t="shared" si="268"/>
        <v>0</v>
      </c>
      <c r="Y417" s="2">
        <f t="shared" si="269"/>
        <v>0</v>
      </c>
      <c r="Z417" s="46">
        <v>0</v>
      </c>
      <c r="AA417" s="46">
        <v>0</v>
      </c>
      <c r="AB417" s="46">
        <v>0</v>
      </c>
      <c r="AC417" s="58">
        <f t="shared" si="286"/>
        <v>0</v>
      </c>
      <c r="AD417" s="58">
        <f t="shared" si="264"/>
        <v>0</v>
      </c>
      <c r="AE417" s="12">
        <f t="shared" si="265"/>
        <v>0</v>
      </c>
      <c r="AF417" s="56"/>
      <c r="AG417" s="62"/>
      <c r="AH417" s="117">
        <f t="shared" si="270"/>
        <v>0</v>
      </c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4"/>
      <c r="AS417" s="114"/>
      <c r="AT417" s="114"/>
      <c r="AU417" s="114"/>
      <c r="AV417" s="114"/>
      <c r="AW417" s="114"/>
      <c r="AX417" s="114"/>
      <c r="AY417" s="119"/>
      <c r="AZ417" s="115"/>
      <c r="BA417" s="115"/>
      <c r="BB417" s="115"/>
      <c r="BC417" s="115"/>
      <c r="BD417" s="115"/>
      <c r="BE417" s="115"/>
      <c r="BF417" s="115"/>
      <c r="BG417" s="115"/>
      <c r="BH417" s="115"/>
      <c r="BI417" s="115"/>
      <c r="BJ417" s="115"/>
    </row>
    <row r="418" spans="1:62" hidden="1" x14ac:dyDescent="0.35">
      <c r="A418" s="19" t="str">
        <f>VLOOKUP(C418,Master!A:D,4,0)</f>
        <v>SF</v>
      </c>
      <c r="B418" s="14" t="str">
        <f>VLOOKUP(C418,Master!A:C,3,0)</f>
        <v>Liners</v>
      </c>
      <c r="C418" s="14" t="s">
        <v>707</v>
      </c>
      <c r="D418" s="2">
        <f t="shared" ref="D418:F418" si="291">+W369</f>
        <v>0</v>
      </c>
      <c r="E418" s="2">
        <f t="shared" si="291"/>
        <v>0</v>
      </c>
      <c r="F418" s="2">
        <f t="shared" si="291"/>
        <v>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>
        <f t="shared" si="257"/>
        <v>0</v>
      </c>
      <c r="V418" s="2">
        <f t="shared" si="258"/>
        <v>0</v>
      </c>
      <c r="W418" s="54">
        <f t="shared" si="267"/>
        <v>0</v>
      </c>
      <c r="X418" s="2">
        <f t="shared" si="268"/>
        <v>0</v>
      </c>
      <c r="Y418" s="2">
        <f t="shared" si="269"/>
        <v>0</v>
      </c>
      <c r="Z418" s="46">
        <v>0</v>
      </c>
      <c r="AA418" s="46">
        <v>0</v>
      </c>
      <c r="AB418" s="46">
        <v>0</v>
      </c>
      <c r="AC418" s="58">
        <f t="shared" si="286"/>
        <v>0</v>
      </c>
      <c r="AD418" s="58">
        <f t="shared" si="264"/>
        <v>0</v>
      </c>
      <c r="AE418" s="12">
        <f t="shared" si="265"/>
        <v>0</v>
      </c>
      <c r="AF418" s="56"/>
      <c r="AG418" s="62"/>
      <c r="AH418" s="117">
        <f t="shared" si="270"/>
        <v>0</v>
      </c>
      <c r="AI418" s="114"/>
      <c r="AJ418" s="114"/>
      <c r="AK418" s="114"/>
      <c r="AL418" s="114"/>
      <c r="AM418" s="114"/>
      <c r="AN418" s="114"/>
      <c r="AO418" s="114"/>
      <c r="AP418" s="114"/>
      <c r="AQ418" s="114"/>
      <c r="AR418" s="114"/>
      <c r="AS418" s="114"/>
      <c r="AT418" s="114"/>
      <c r="AU418" s="114"/>
      <c r="AV418" s="114"/>
      <c r="AW418" s="114"/>
      <c r="AX418" s="114"/>
      <c r="AY418" s="119"/>
      <c r="AZ418" s="115"/>
      <c r="BA418" s="115"/>
      <c r="BB418" s="115"/>
      <c r="BC418" s="115"/>
      <c r="BD418" s="115"/>
      <c r="BE418" s="115"/>
      <c r="BF418" s="115"/>
      <c r="BG418" s="115"/>
      <c r="BH418" s="115"/>
      <c r="BI418" s="115"/>
      <c r="BJ418" s="115"/>
    </row>
    <row r="419" spans="1:62" hidden="1" x14ac:dyDescent="0.35">
      <c r="A419" s="19" t="str">
        <f>VLOOKUP(C419,Master!A:D,4,0)</f>
        <v>SF</v>
      </c>
      <c r="B419" s="14" t="str">
        <f>VLOOKUP(C419,Master!A:C,3,0)</f>
        <v>Webbing</v>
      </c>
      <c r="C419" s="14" t="s">
        <v>710</v>
      </c>
      <c r="D419" s="2">
        <f t="shared" ref="D419:F419" si="292">+W370</f>
        <v>0</v>
      </c>
      <c r="E419" s="2">
        <f t="shared" si="292"/>
        <v>1771.8</v>
      </c>
      <c r="F419" s="2">
        <f t="shared" si="292"/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>
        <f t="shared" si="257"/>
        <v>0</v>
      </c>
      <c r="V419" s="2">
        <f t="shared" si="258"/>
        <v>0</v>
      </c>
      <c r="W419" s="54">
        <f t="shared" si="267"/>
        <v>0</v>
      </c>
      <c r="X419" s="2">
        <f t="shared" si="268"/>
        <v>1771.8</v>
      </c>
      <c r="Y419" s="2">
        <f t="shared" si="269"/>
        <v>0</v>
      </c>
      <c r="Z419" s="46">
        <v>0</v>
      </c>
      <c r="AA419" s="46">
        <v>0</v>
      </c>
      <c r="AB419" s="46">
        <v>0</v>
      </c>
      <c r="AC419" s="58">
        <f t="shared" si="286"/>
        <v>0</v>
      </c>
      <c r="AD419" s="58">
        <f t="shared" si="264"/>
        <v>1771.8</v>
      </c>
      <c r="AE419" s="12">
        <f t="shared" si="265"/>
        <v>0</v>
      </c>
      <c r="AF419" s="56"/>
      <c r="AG419" s="62"/>
      <c r="AH419" s="117">
        <f t="shared" si="270"/>
        <v>0</v>
      </c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4"/>
      <c r="AS419" s="114"/>
      <c r="AT419" s="114"/>
      <c r="AU419" s="114"/>
      <c r="AV419" s="114"/>
      <c r="AW419" s="114"/>
      <c r="AX419" s="114"/>
      <c r="AY419" s="119"/>
      <c r="AZ419" s="115"/>
      <c r="BA419" s="115"/>
      <c r="BB419" s="115"/>
      <c r="BC419" s="115"/>
      <c r="BD419" s="115"/>
      <c r="BE419" s="115"/>
      <c r="BF419" s="115"/>
      <c r="BG419" s="115"/>
      <c r="BH419" s="115"/>
      <c r="BI419" s="115"/>
      <c r="BJ419" s="115"/>
    </row>
    <row r="420" spans="1:62" hidden="1" x14ac:dyDescent="0.35">
      <c r="A420" s="19" t="str">
        <f>VLOOKUP(C420,Master!A:D,4,0)</f>
        <v>SF</v>
      </c>
      <c r="B420" s="14" t="str">
        <f>VLOOKUP(C420,Master!A:C,3,0)</f>
        <v>Liners</v>
      </c>
      <c r="C420" s="14" t="s">
        <v>729</v>
      </c>
      <c r="D420" s="2">
        <f t="shared" ref="D420:F420" si="293">+W371</f>
        <v>0</v>
      </c>
      <c r="E420" s="2">
        <f t="shared" si="293"/>
        <v>14652.699999999997</v>
      </c>
      <c r="F420" s="2">
        <f t="shared" si="293"/>
        <v>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>
        <f t="shared" si="257"/>
        <v>0</v>
      </c>
      <c r="V420" s="2">
        <f t="shared" si="258"/>
        <v>0</v>
      </c>
      <c r="W420" s="54">
        <f t="shared" si="267"/>
        <v>0</v>
      </c>
      <c r="X420" s="2">
        <f t="shared" si="268"/>
        <v>14652.699999999997</v>
      </c>
      <c r="Y420" s="2">
        <f t="shared" si="269"/>
        <v>0</v>
      </c>
      <c r="Z420" s="46">
        <v>0</v>
      </c>
      <c r="AA420" s="46">
        <v>0</v>
      </c>
      <c r="AB420" s="46">
        <v>0</v>
      </c>
      <c r="AC420" s="58">
        <v>0</v>
      </c>
      <c r="AD420" s="58">
        <f t="shared" si="264"/>
        <v>14652.699999999997</v>
      </c>
      <c r="AE420" s="12">
        <f t="shared" si="265"/>
        <v>0</v>
      </c>
      <c r="AF420" s="56"/>
      <c r="AG420" s="62"/>
      <c r="AH420" s="117">
        <f t="shared" si="270"/>
        <v>0</v>
      </c>
      <c r="AI420" s="114"/>
      <c r="AJ420" s="114"/>
      <c r="AK420" s="114"/>
      <c r="AL420" s="114"/>
      <c r="AM420" s="114"/>
      <c r="AN420" s="114"/>
      <c r="AO420" s="114"/>
      <c r="AP420" s="114"/>
      <c r="AQ420" s="114"/>
      <c r="AR420" s="114"/>
      <c r="AS420" s="114"/>
      <c r="AT420" s="114"/>
      <c r="AU420" s="114"/>
      <c r="AV420" s="114"/>
      <c r="AW420" s="114"/>
      <c r="AX420" s="114"/>
      <c r="AY420" s="119"/>
      <c r="AZ420" s="115"/>
      <c r="BA420" s="115"/>
      <c r="BB420" s="115"/>
      <c r="BC420" s="115"/>
      <c r="BD420" s="115"/>
      <c r="BE420" s="115"/>
      <c r="BF420" s="115"/>
      <c r="BG420" s="115"/>
      <c r="BH420" s="115"/>
      <c r="BI420" s="115"/>
      <c r="BJ420" s="115"/>
    </row>
    <row r="421" spans="1:62" hidden="1" x14ac:dyDescent="0.35">
      <c r="A421" s="19" t="str">
        <f>VLOOKUP(C421,Master!A:D,4,0)</f>
        <v>SF</v>
      </c>
      <c r="B421" s="14" t="str">
        <f>VLOOKUP(C421,Master!A:C,3,0)</f>
        <v>Tape Stock</v>
      </c>
      <c r="C421" s="14" t="s">
        <v>772</v>
      </c>
      <c r="D421" s="2">
        <f t="shared" ref="D421:F421" si="294">+W372</f>
        <v>0</v>
      </c>
      <c r="E421" s="2">
        <f t="shared" si="294"/>
        <v>0</v>
      </c>
      <c r="F421" s="2">
        <f t="shared" si="294"/>
        <v>0</v>
      </c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>
        <f t="shared" si="257"/>
        <v>0</v>
      </c>
      <c r="V421" s="2">
        <f t="shared" si="258"/>
        <v>0</v>
      </c>
      <c r="W421" s="54">
        <f t="shared" si="267"/>
        <v>0</v>
      </c>
      <c r="X421" s="2">
        <f t="shared" si="268"/>
        <v>0</v>
      </c>
      <c r="Y421" s="2">
        <f t="shared" si="269"/>
        <v>0</v>
      </c>
      <c r="Z421" s="46">
        <v>0</v>
      </c>
      <c r="AA421" s="46">
        <v>0</v>
      </c>
      <c r="AB421" s="46">
        <v>0</v>
      </c>
      <c r="AC421" s="58">
        <f t="shared" ref="AC421:AC433" si="295">W421-Z421</f>
        <v>0</v>
      </c>
      <c r="AD421" s="58">
        <f t="shared" si="264"/>
        <v>0</v>
      </c>
      <c r="AE421" s="12">
        <f t="shared" si="265"/>
        <v>0</v>
      </c>
      <c r="AF421" s="56"/>
      <c r="AG421" s="62"/>
      <c r="AH421" s="117">
        <f t="shared" si="270"/>
        <v>0</v>
      </c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4"/>
      <c r="AS421" s="114"/>
      <c r="AT421" s="114"/>
      <c r="AU421" s="114"/>
      <c r="AV421" s="114"/>
      <c r="AW421" s="114"/>
      <c r="AX421" s="114"/>
      <c r="AY421" s="119"/>
      <c r="AZ421" s="115"/>
      <c r="BA421" s="115"/>
      <c r="BB421" s="115"/>
      <c r="BC421" s="115"/>
      <c r="BD421" s="115"/>
      <c r="BE421" s="115"/>
      <c r="BF421" s="115"/>
      <c r="BG421" s="115"/>
      <c r="BH421" s="115"/>
      <c r="BI421" s="115"/>
      <c r="BJ421" s="115"/>
    </row>
    <row r="422" spans="1:62" hidden="1" x14ac:dyDescent="0.35">
      <c r="A422" s="19" t="str">
        <f>VLOOKUP(C422,Master!A:D,4,0)</f>
        <v>SF</v>
      </c>
      <c r="B422" s="14" t="str">
        <f>VLOOKUP(C422,Master!A:C,3,0)</f>
        <v>Tape Stock</v>
      </c>
      <c r="C422" s="14" t="s">
        <v>773</v>
      </c>
      <c r="D422" s="2">
        <f t="shared" ref="D422:F422" si="296">+W373</f>
        <v>0</v>
      </c>
      <c r="E422" s="2">
        <f t="shared" si="296"/>
        <v>2518.3000000000029</v>
      </c>
      <c r="F422" s="2">
        <f t="shared" si="296"/>
        <v>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>
        <f t="shared" si="257"/>
        <v>0</v>
      </c>
      <c r="V422" s="53">
        <f t="shared" si="258"/>
        <v>0</v>
      </c>
      <c r="W422" s="54">
        <f t="shared" si="267"/>
        <v>0</v>
      </c>
      <c r="X422" s="2">
        <f t="shared" si="268"/>
        <v>2518.3000000000029</v>
      </c>
      <c r="Y422" s="2">
        <f t="shared" si="269"/>
        <v>0</v>
      </c>
      <c r="Z422" s="46">
        <v>0</v>
      </c>
      <c r="AA422" s="46">
        <v>0</v>
      </c>
      <c r="AB422" s="46">
        <v>0</v>
      </c>
      <c r="AC422" s="58">
        <f t="shared" si="295"/>
        <v>0</v>
      </c>
      <c r="AD422" s="58">
        <f t="shared" si="264"/>
        <v>2518.3000000000029</v>
      </c>
      <c r="AE422" s="12">
        <f t="shared" si="265"/>
        <v>0</v>
      </c>
      <c r="AF422" s="56"/>
      <c r="AG422" s="62"/>
      <c r="AH422" s="117">
        <f t="shared" si="270"/>
        <v>0</v>
      </c>
      <c r="AI422" s="114"/>
      <c r="AJ422" s="114"/>
      <c r="AK422" s="114"/>
      <c r="AL422" s="114"/>
      <c r="AM422" s="114"/>
      <c r="AN422" s="114"/>
      <c r="AO422" s="114"/>
      <c r="AP422" s="114"/>
      <c r="AQ422" s="114"/>
      <c r="AR422" s="114"/>
      <c r="AS422" s="114"/>
      <c r="AT422" s="114"/>
      <c r="AU422" s="114"/>
      <c r="AV422" s="114"/>
      <c r="AW422" s="114"/>
      <c r="AX422" s="114"/>
      <c r="AY422" s="119"/>
      <c r="AZ422" s="115"/>
      <c r="BA422" s="243"/>
      <c r="BB422" s="115"/>
      <c r="BC422" s="115"/>
      <c r="BD422" s="115"/>
      <c r="BE422" s="115"/>
      <c r="BF422" s="115"/>
      <c r="BG422" s="115"/>
      <c r="BH422" s="115"/>
      <c r="BI422" s="115"/>
      <c r="BJ422" s="115"/>
    </row>
    <row r="423" spans="1:62" hidden="1" x14ac:dyDescent="0.35">
      <c r="A423" s="19" t="str">
        <f>VLOOKUP(C423,Master!A:D,4,0)</f>
        <v>SF</v>
      </c>
      <c r="B423" s="14" t="str">
        <f>VLOOKUP(C423,Master!A:C,3,0)</f>
        <v>RP Agglo</v>
      </c>
      <c r="C423" s="14" t="s">
        <v>810</v>
      </c>
      <c r="D423" s="2">
        <f t="shared" ref="D423:F423" si="297">+W374</f>
        <v>0</v>
      </c>
      <c r="E423" s="2">
        <f t="shared" si="297"/>
        <v>0</v>
      </c>
      <c r="F423" s="2">
        <f t="shared" si="297"/>
        <v>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>
        <f t="shared" si="257"/>
        <v>0</v>
      </c>
      <c r="V423" s="2">
        <f t="shared" si="258"/>
        <v>0</v>
      </c>
      <c r="W423" s="54">
        <f t="shared" si="267"/>
        <v>0</v>
      </c>
      <c r="X423" s="2">
        <f t="shared" si="268"/>
        <v>0</v>
      </c>
      <c r="Y423" s="2">
        <f t="shared" si="269"/>
        <v>0</v>
      </c>
      <c r="Z423" s="46">
        <v>0</v>
      </c>
      <c r="AA423" s="46">
        <v>0</v>
      </c>
      <c r="AB423" s="46">
        <v>0</v>
      </c>
      <c r="AC423" s="58">
        <f t="shared" si="295"/>
        <v>0</v>
      </c>
      <c r="AD423" s="58">
        <f t="shared" si="264"/>
        <v>0</v>
      </c>
      <c r="AE423" s="12">
        <f t="shared" si="265"/>
        <v>0</v>
      </c>
      <c r="AF423" s="56"/>
      <c r="AG423" s="62"/>
      <c r="AH423" s="117">
        <f t="shared" si="270"/>
        <v>0</v>
      </c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4"/>
      <c r="AS423" s="114"/>
      <c r="AT423" s="114"/>
      <c r="AU423" s="114"/>
      <c r="AV423" s="114"/>
      <c r="AW423" s="114"/>
      <c r="AX423" s="114"/>
      <c r="AY423" s="119"/>
      <c r="AZ423" s="115"/>
      <c r="BA423" s="115"/>
      <c r="BB423" s="115"/>
      <c r="BC423" s="115"/>
      <c r="BD423" s="115"/>
      <c r="BE423" s="115"/>
      <c r="BF423" s="115"/>
      <c r="BG423" s="115"/>
      <c r="BH423" s="115"/>
      <c r="BI423" s="115"/>
      <c r="BJ423" s="115"/>
    </row>
    <row r="424" spans="1:62" hidden="1" x14ac:dyDescent="0.35">
      <c r="A424" s="19" t="str">
        <f>VLOOKUP(C424,Master!A:D,4,0)</f>
        <v>SF</v>
      </c>
      <c r="B424" s="14" t="str">
        <f>VLOOKUP(C424,Master!A:C,3,0)</f>
        <v>Wastage/Scrap</v>
      </c>
      <c r="C424" s="14" t="s">
        <v>820</v>
      </c>
      <c r="D424" s="2">
        <f t="shared" ref="D424:F424" si="298">+W375</f>
        <v>0</v>
      </c>
      <c r="E424" s="2">
        <f t="shared" si="298"/>
        <v>0</v>
      </c>
      <c r="F424" s="2">
        <f t="shared" si="298"/>
        <v>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>
        <f t="shared" si="257"/>
        <v>0</v>
      </c>
      <c r="V424" s="2">
        <f t="shared" si="258"/>
        <v>0</v>
      </c>
      <c r="W424" s="54">
        <f t="shared" si="267"/>
        <v>0</v>
      </c>
      <c r="X424" s="2">
        <f t="shared" si="268"/>
        <v>0</v>
      </c>
      <c r="Y424" s="2">
        <f t="shared" si="269"/>
        <v>0</v>
      </c>
      <c r="Z424" s="46">
        <v>0</v>
      </c>
      <c r="AA424" s="46">
        <v>0</v>
      </c>
      <c r="AB424" s="46">
        <v>0</v>
      </c>
      <c r="AC424" s="58">
        <f t="shared" si="295"/>
        <v>0</v>
      </c>
      <c r="AD424" s="58">
        <f t="shared" si="264"/>
        <v>0</v>
      </c>
      <c r="AE424" s="12">
        <f t="shared" si="265"/>
        <v>0</v>
      </c>
      <c r="AF424" s="56"/>
      <c r="AG424" s="62"/>
      <c r="AH424" s="117">
        <f t="shared" si="270"/>
        <v>0</v>
      </c>
      <c r="AI424" s="114"/>
      <c r="AJ424" s="114"/>
      <c r="AK424" s="114"/>
      <c r="AL424" s="114"/>
      <c r="AM424" s="114"/>
      <c r="AN424" s="114"/>
      <c r="AO424" s="114"/>
      <c r="AP424" s="114"/>
      <c r="AQ424" s="114"/>
      <c r="AR424" s="114"/>
      <c r="AS424" s="114"/>
      <c r="AT424" s="114"/>
      <c r="AU424" s="114"/>
      <c r="AV424" s="114"/>
      <c r="AW424" s="114"/>
      <c r="AX424" s="114"/>
      <c r="AY424" s="119"/>
      <c r="AZ424" s="115"/>
      <c r="BA424" s="115"/>
      <c r="BB424" s="115"/>
      <c r="BC424" s="115"/>
      <c r="BD424" s="115"/>
      <c r="BE424" s="115"/>
      <c r="BF424" s="115"/>
      <c r="BG424" s="115"/>
      <c r="BH424" s="115"/>
      <c r="BI424" s="115"/>
      <c r="BJ424" s="115"/>
    </row>
    <row r="425" spans="1:62" hidden="1" x14ac:dyDescent="0.35">
      <c r="A425" s="19" t="str">
        <f>VLOOKUP(C425,Master!A:D,4,0)</f>
        <v>FG</v>
      </c>
      <c r="B425" s="14" t="str">
        <f>VLOOKUP(C425,Master!A:C,3,0)</f>
        <v>FIBC WIP</v>
      </c>
      <c r="C425" s="14" t="s">
        <v>892</v>
      </c>
      <c r="D425" s="2">
        <f t="shared" ref="D425:F425" si="299">+W376</f>
        <v>42021.998887999915</v>
      </c>
      <c r="E425" s="2">
        <f t="shared" si="299"/>
        <v>0</v>
      </c>
      <c r="F425" s="2">
        <f t="shared" si="299"/>
        <v>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>
        <f t="shared" si="257"/>
        <v>0</v>
      </c>
      <c r="V425" s="2">
        <f t="shared" si="258"/>
        <v>0</v>
      </c>
      <c r="W425" s="54">
        <f t="shared" si="267"/>
        <v>42021.998887999915</v>
      </c>
      <c r="X425" s="2">
        <f t="shared" si="268"/>
        <v>0</v>
      </c>
      <c r="Y425" s="2">
        <f t="shared" si="269"/>
        <v>0</v>
      </c>
      <c r="Z425" s="46">
        <v>0</v>
      </c>
      <c r="AA425" s="46">
        <v>0</v>
      </c>
      <c r="AB425" s="46">
        <v>0</v>
      </c>
      <c r="AC425" s="58">
        <f t="shared" si="295"/>
        <v>42021.998887999915</v>
      </c>
      <c r="AD425" s="58">
        <f t="shared" si="264"/>
        <v>0</v>
      </c>
      <c r="AE425" s="12">
        <f t="shared" si="265"/>
        <v>0</v>
      </c>
      <c r="AF425" s="56"/>
      <c r="AG425" s="62"/>
      <c r="AH425" s="117">
        <f t="shared" si="270"/>
        <v>0</v>
      </c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4"/>
      <c r="AS425" s="114"/>
      <c r="AT425" s="114"/>
      <c r="AU425" s="114"/>
      <c r="AV425" s="114"/>
      <c r="AW425" s="114"/>
      <c r="AX425" s="114"/>
      <c r="AY425" s="119"/>
      <c r="AZ425" s="115"/>
      <c r="BA425" s="115"/>
      <c r="BB425" s="115"/>
      <c r="BC425" s="115"/>
      <c r="BD425" s="115"/>
      <c r="BE425" s="115"/>
      <c r="BF425" s="115"/>
      <c r="BG425" s="115"/>
      <c r="BH425" s="115"/>
      <c r="BI425" s="115"/>
      <c r="BJ425" s="115"/>
    </row>
    <row r="426" spans="1:62" hidden="1" x14ac:dyDescent="0.35">
      <c r="A426" s="19" t="str">
        <f>VLOOKUP(C426,Master!A:D,4,0)</f>
        <v>FG</v>
      </c>
      <c r="B426" s="14" t="str">
        <f>VLOOKUP(C426,Master!A:C,3,0)</f>
        <v>Label Div</v>
      </c>
      <c r="C426" s="14" t="s">
        <v>895</v>
      </c>
      <c r="D426" s="2">
        <f t="shared" ref="D426:F426" si="300">+W377</f>
        <v>0</v>
      </c>
      <c r="E426" s="2">
        <f t="shared" si="300"/>
        <v>0</v>
      </c>
      <c r="F426" s="2">
        <f t="shared" si="300"/>
        <v>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>
        <f t="shared" si="257"/>
        <v>0</v>
      </c>
      <c r="V426" s="2">
        <f t="shared" si="258"/>
        <v>0</v>
      </c>
      <c r="W426" s="54">
        <f t="shared" si="267"/>
        <v>0</v>
      </c>
      <c r="X426" s="2">
        <f t="shared" si="268"/>
        <v>0</v>
      </c>
      <c r="Y426" s="2">
        <f t="shared" si="269"/>
        <v>0</v>
      </c>
      <c r="Z426" s="46">
        <v>0</v>
      </c>
      <c r="AA426" s="46">
        <v>0</v>
      </c>
      <c r="AB426" s="46">
        <v>0</v>
      </c>
      <c r="AC426" s="58">
        <f t="shared" si="295"/>
        <v>0</v>
      </c>
      <c r="AD426" s="58">
        <f t="shared" si="264"/>
        <v>0</v>
      </c>
      <c r="AE426" s="12">
        <f t="shared" si="265"/>
        <v>0</v>
      </c>
      <c r="AF426" s="56"/>
      <c r="AG426" s="62"/>
      <c r="AH426" s="117">
        <f t="shared" si="270"/>
        <v>0</v>
      </c>
      <c r="AI426" s="114"/>
      <c r="AJ426" s="114"/>
      <c r="AK426" s="114"/>
      <c r="AL426" s="114"/>
      <c r="AM426" s="114"/>
      <c r="AN426" s="114"/>
      <c r="AO426" s="114"/>
      <c r="AP426" s="114"/>
      <c r="AQ426" s="114"/>
      <c r="AR426" s="114"/>
      <c r="AS426" s="114"/>
      <c r="AT426" s="114"/>
      <c r="AU426" s="114"/>
      <c r="AV426" s="114"/>
      <c r="AW426" s="114"/>
      <c r="AX426" s="114"/>
      <c r="AY426" s="119"/>
      <c r="AZ426" s="115"/>
      <c r="BA426" s="115"/>
      <c r="BB426" s="115"/>
      <c r="BC426" s="115"/>
      <c r="BD426" s="115"/>
      <c r="BE426" s="115"/>
      <c r="BF426" s="115"/>
      <c r="BG426" s="115"/>
      <c r="BH426" s="115"/>
      <c r="BI426" s="115"/>
      <c r="BJ426" s="115"/>
    </row>
    <row r="427" spans="1:62" hidden="1" x14ac:dyDescent="0.35">
      <c r="A427" s="19" t="str">
        <f>VLOOKUP(C427,Master!A:D,4,0)</f>
        <v>FG</v>
      </c>
      <c r="B427" s="14" t="str">
        <f>VLOOKUP(C427,Master!A:C,3,0)</f>
        <v>FIBC Bags</v>
      </c>
      <c r="C427" s="14" t="s">
        <v>897</v>
      </c>
      <c r="D427" s="2">
        <f t="shared" ref="D427:F427" si="301">+W378</f>
        <v>1.7462298274040222E-10</v>
      </c>
      <c r="E427" s="2">
        <f t="shared" si="301"/>
        <v>0</v>
      </c>
      <c r="F427" s="2">
        <f t="shared" si="301"/>
        <v>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>
        <f t="shared" si="257"/>
        <v>0</v>
      </c>
      <c r="V427" s="2">
        <f t="shared" si="258"/>
        <v>0</v>
      </c>
      <c r="W427" s="54">
        <f t="shared" si="267"/>
        <v>1.7462298274040222E-10</v>
      </c>
      <c r="X427" s="2">
        <f t="shared" si="268"/>
        <v>0</v>
      </c>
      <c r="Y427" s="2">
        <f t="shared" si="269"/>
        <v>0</v>
      </c>
      <c r="Z427" s="46">
        <v>0</v>
      </c>
      <c r="AA427" s="46">
        <v>0</v>
      </c>
      <c r="AB427" s="46">
        <v>0</v>
      </c>
      <c r="AC427" s="12">
        <f t="shared" si="295"/>
        <v>1.7462298274040222E-10</v>
      </c>
      <c r="AD427" s="58">
        <f t="shared" si="264"/>
        <v>0</v>
      </c>
      <c r="AE427" s="12">
        <f t="shared" si="265"/>
        <v>0</v>
      </c>
      <c r="AF427" s="56"/>
      <c r="AG427" s="62"/>
      <c r="AH427" s="117">
        <f t="shared" si="270"/>
        <v>0</v>
      </c>
      <c r="AI427" s="114"/>
      <c r="AJ427" s="114"/>
      <c r="AK427" s="114"/>
      <c r="AL427" s="114"/>
      <c r="AM427" s="114"/>
      <c r="AN427" s="114"/>
      <c r="AO427" s="114"/>
      <c r="AP427" s="114"/>
      <c r="AQ427" s="114"/>
      <c r="AR427" s="114"/>
      <c r="AS427" s="114"/>
      <c r="AT427" s="114"/>
      <c r="AU427" s="114"/>
      <c r="AV427" s="114"/>
      <c r="AW427" s="114"/>
      <c r="AX427" s="114"/>
      <c r="AY427" s="119"/>
      <c r="AZ427" s="115"/>
      <c r="BA427" s="115"/>
      <c r="BB427" s="115"/>
      <c r="BC427" s="115"/>
      <c r="BD427" s="115"/>
      <c r="BE427" s="115"/>
      <c r="BF427" s="115"/>
      <c r="BG427" s="115"/>
      <c r="BH427" s="115"/>
      <c r="BI427" s="115"/>
      <c r="BJ427" s="115"/>
    </row>
    <row r="428" spans="1:62" hidden="1" x14ac:dyDescent="0.35">
      <c r="A428" s="19" t="str">
        <f>VLOOKUP(C428,Master!A:D,4,0)</f>
        <v>FG</v>
      </c>
      <c r="B428" s="14" t="str">
        <f>VLOOKUP(C428,Master!A:C,3,0)</f>
        <v>Small Bags</v>
      </c>
      <c r="C428" s="14" t="s">
        <v>900</v>
      </c>
      <c r="D428" s="2">
        <f t="shared" ref="D428:F428" si="302">+W379</f>
        <v>0</v>
      </c>
      <c r="E428" s="2">
        <f t="shared" si="302"/>
        <v>0</v>
      </c>
      <c r="F428" s="2">
        <f t="shared" si="302"/>
        <v>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>
        <f t="shared" si="257"/>
        <v>0</v>
      </c>
      <c r="V428" s="2">
        <f t="shared" si="258"/>
        <v>0</v>
      </c>
      <c r="W428" s="54">
        <f t="shared" si="267"/>
        <v>0</v>
      </c>
      <c r="X428" s="2">
        <f t="shared" si="268"/>
        <v>0</v>
      </c>
      <c r="Y428" s="2">
        <f t="shared" si="269"/>
        <v>0</v>
      </c>
      <c r="Z428" s="46">
        <v>0</v>
      </c>
      <c r="AA428" s="46">
        <v>0</v>
      </c>
      <c r="AB428" s="46">
        <v>0</v>
      </c>
      <c r="AC428" s="58">
        <f t="shared" si="295"/>
        <v>0</v>
      </c>
      <c r="AD428" s="58">
        <f t="shared" si="264"/>
        <v>0</v>
      </c>
      <c r="AE428" s="12">
        <f t="shared" si="265"/>
        <v>0</v>
      </c>
      <c r="AF428" s="56"/>
      <c r="AG428" s="62"/>
      <c r="AH428" s="117">
        <f t="shared" si="270"/>
        <v>0</v>
      </c>
      <c r="AI428" s="114"/>
      <c r="AJ428" s="114"/>
      <c r="AK428" s="114"/>
      <c r="AL428" s="114"/>
      <c r="AM428" s="114"/>
      <c r="AN428" s="114"/>
      <c r="AO428" s="114"/>
      <c r="AP428" s="114"/>
      <c r="AQ428" s="114"/>
      <c r="AR428" s="114"/>
      <c r="AS428" s="114"/>
      <c r="AT428" s="114"/>
      <c r="AU428" s="114"/>
      <c r="AV428" s="114"/>
      <c r="AW428" s="114"/>
      <c r="AX428" s="114"/>
      <c r="AY428" s="119"/>
      <c r="AZ428" s="115"/>
      <c r="BA428" s="115"/>
      <c r="BB428" s="115"/>
      <c r="BC428" s="115"/>
      <c r="BD428" s="115"/>
      <c r="BE428" s="115"/>
      <c r="BF428" s="115"/>
      <c r="BG428" s="115"/>
      <c r="BH428" s="115"/>
      <c r="BI428" s="115"/>
      <c r="BJ428" s="115"/>
    </row>
    <row r="429" spans="1:62" hidden="1" x14ac:dyDescent="0.35">
      <c r="A429" s="19" t="str">
        <f>VLOOKUP(C429,Master!A:D,4,0)</f>
        <v>FG</v>
      </c>
      <c r="B429" s="14" t="str">
        <f>VLOOKUP(C429,Master!A:C,3,0)</f>
        <v>Tarps</v>
      </c>
      <c r="C429" s="14" t="s">
        <v>903</v>
      </c>
      <c r="D429" s="2">
        <f t="shared" ref="D429:F429" si="303">+W380</f>
        <v>0</v>
      </c>
      <c r="E429" s="2">
        <f t="shared" si="303"/>
        <v>0</v>
      </c>
      <c r="F429" s="2">
        <f t="shared" si="303"/>
        <v>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>
        <f t="shared" si="257"/>
        <v>0</v>
      </c>
      <c r="V429" s="2">
        <f t="shared" si="258"/>
        <v>0</v>
      </c>
      <c r="W429" s="54">
        <f t="shared" si="267"/>
        <v>0</v>
      </c>
      <c r="X429" s="2">
        <f t="shared" si="268"/>
        <v>0</v>
      </c>
      <c r="Y429" s="2">
        <f t="shared" si="269"/>
        <v>0</v>
      </c>
      <c r="Z429" s="46">
        <v>0</v>
      </c>
      <c r="AA429" s="46">
        <v>0</v>
      </c>
      <c r="AB429" s="46">
        <v>0</v>
      </c>
      <c r="AC429" s="58">
        <f t="shared" si="295"/>
        <v>0</v>
      </c>
      <c r="AD429" s="58">
        <f t="shared" si="264"/>
        <v>0</v>
      </c>
      <c r="AE429" s="12">
        <f t="shared" si="265"/>
        <v>0</v>
      </c>
      <c r="AF429" s="56"/>
      <c r="AG429" s="62"/>
      <c r="AH429" s="117">
        <f t="shared" si="270"/>
        <v>0</v>
      </c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4"/>
      <c r="AS429" s="114"/>
      <c r="AT429" s="114"/>
      <c r="AU429" s="114"/>
      <c r="AV429" s="114"/>
      <c r="AW429" s="114"/>
      <c r="AX429" s="114"/>
      <c r="AY429" s="119"/>
      <c r="AZ429" s="115"/>
      <c r="BA429" s="115"/>
      <c r="BB429" s="115"/>
      <c r="BC429" s="115"/>
      <c r="BD429" s="115"/>
      <c r="BE429" s="115"/>
      <c r="BF429" s="115"/>
      <c r="BG429" s="115"/>
      <c r="BH429" s="115"/>
      <c r="BI429" s="115"/>
      <c r="BJ429" s="115"/>
    </row>
    <row r="430" spans="1:62" hidden="1" x14ac:dyDescent="0.35">
      <c r="A430" s="19" t="str">
        <f>VLOOKUP(C430,Master!A:D,4,0)</f>
        <v>FG</v>
      </c>
      <c r="B430" s="14" t="str">
        <f>VLOOKUP(C430,Master!A:C,3,0)</f>
        <v>Trading Items</v>
      </c>
      <c r="C430" s="14" t="s">
        <v>905</v>
      </c>
      <c r="D430" s="2">
        <f t="shared" ref="D430:F430" si="304">+W381</f>
        <v>0</v>
      </c>
      <c r="E430" s="2">
        <f t="shared" si="304"/>
        <v>0</v>
      </c>
      <c r="F430" s="2">
        <f t="shared" si="304"/>
        <v>0</v>
      </c>
      <c r="G430" s="6"/>
      <c r="H430" s="2"/>
      <c r="I430" s="6"/>
      <c r="J430" s="2"/>
      <c r="K430" s="6"/>
      <c r="L430" s="6"/>
      <c r="M430" s="6"/>
      <c r="N430" s="6"/>
      <c r="O430" s="6"/>
      <c r="P430" s="6"/>
      <c r="Q430" s="2"/>
      <c r="R430" s="6"/>
      <c r="S430" s="6"/>
      <c r="T430" s="2"/>
      <c r="U430" s="6"/>
      <c r="V430" s="6"/>
      <c r="W430" s="54">
        <f t="shared" si="267"/>
        <v>0</v>
      </c>
      <c r="X430" s="2">
        <f t="shared" si="268"/>
        <v>0</v>
      </c>
      <c r="Y430" s="2">
        <f t="shared" si="269"/>
        <v>0</v>
      </c>
      <c r="Z430" s="46">
        <v>0</v>
      </c>
      <c r="AA430" s="46">
        <v>0</v>
      </c>
      <c r="AB430" s="46">
        <v>0</v>
      </c>
      <c r="AC430" s="58">
        <f t="shared" si="295"/>
        <v>0</v>
      </c>
      <c r="AD430" s="58">
        <f t="shared" si="264"/>
        <v>0</v>
      </c>
      <c r="AE430" s="6">
        <v>0</v>
      </c>
      <c r="AF430" s="56"/>
      <c r="AG430" s="62"/>
      <c r="AH430" s="117">
        <f t="shared" si="270"/>
        <v>0</v>
      </c>
      <c r="AI430" s="114"/>
      <c r="AJ430" s="114"/>
      <c r="AK430" s="114"/>
      <c r="AL430" s="114"/>
      <c r="AM430" s="114"/>
      <c r="AN430" s="114"/>
      <c r="AO430" s="114"/>
      <c r="AP430" s="114"/>
      <c r="AQ430" s="114"/>
      <c r="AR430" s="114"/>
      <c r="AS430" s="114"/>
      <c r="AT430" s="114"/>
      <c r="AU430" s="114"/>
      <c r="AV430" s="114"/>
      <c r="AW430" s="114"/>
      <c r="AX430" s="114"/>
      <c r="AY430" s="119"/>
      <c r="AZ430" s="115"/>
      <c r="BA430" s="115"/>
      <c r="BB430" s="115"/>
      <c r="BC430" s="115"/>
      <c r="BD430" s="115"/>
      <c r="BE430" s="115"/>
      <c r="BF430" s="115"/>
      <c r="BG430" s="115"/>
      <c r="BH430" s="115"/>
      <c r="BI430" s="115"/>
      <c r="BJ430" s="115"/>
    </row>
    <row r="431" spans="1:62" hidden="1" x14ac:dyDescent="0.35">
      <c r="A431" s="19" t="str">
        <f>VLOOKUP(C431,Master!A:D,4,0)</f>
        <v>FG</v>
      </c>
      <c r="B431" s="14" t="str">
        <f>VLOOKUP(C431,Master!A:C,3,0)</f>
        <v>Small Bags</v>
      </c>
      <c r="C431" s="14" t="s">
        <v>907</v>
      </c>
      <c r="D431" s="2">
        <f t="shared" ref="D431:F431" si="305">+W382</f>
        <v>0</v>
      </c>
      <c r="E431" s="2">
        <f t="shared" si="305"/>
        <v>0</v>
      </c>
      <c r="F431" s="2">
        <f t="shared" si="305"/>
        <v>0</v>
      </c>
      <c r="G431" s="6"/>
      <c r="H431" s="2"/>
      <c r="I431" s="6"/>
      <c r="J431" s="2"/>
      <c r="K431" s="6"/>
      <c r="L431" s="6"/>
      <c r="M431" s="6"/>
      <c r="N431" s="6"/>
      <c r="O431" s="6"/>
      <c r="P431" s="6"/>
      <c r="Q431" s="2"/>
      <c r="R431" s="6"/>
      <c r="S431" s="6"/>
      <c r="T431" s="2"/>
      <c r="U431" s="6"/>
      <c r="V431" s="6"/>
      <c r="W431" s="54">
        <f t="shared" si="267"/>
        <v>0</v>
      </c>
      <c r="X431" s="2">
        <f t="shared" si="268"/>
        <v>0</v>
      </c>
      <c r="Y431" s="2">
        <f t="shared" si="269"/>
        <v>0</v>
      </c>
      <c r="Z431" s="46">
        <v>0</v>
      </c>
      <c r="AA431" s="46">
        <v>0</v>
      </c>
      <c r="AB431" s="46">
        <v>0</v>
      </c>
      <c r="AC431" s="58">
        <f t="shared" si="295"/>
        <v>0</v>
      </c>
      <c r="AD431" s="58">
        <f t="shared" si="264"/>
        <v>0</v>
      </c>
      <c r="AE431" s="6"/>
      <c r="AF431" s="56"/>
      <c r="AG431" s="62"/>
      <c r="AH431" s="117">
        <f t="shared" si="270"/>
        <v>0</v>
      </c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14"/>
      <c r="AS431" s="114"/>
      <c r="AT431" s="114"/>
      <c r="AU431" s="114"/>
      <c r="AV431" s="114"/>
      <c r="AW431" s="114"/>
      <c r="AX431" s="114"/>
      <c r="AY431" s="119"/>
      <c r="AZ431" s="115"/>
      <c r="BA431" s="115"/>
      <c r="BB431" s="115"/>
      <c r="BC431" s="115"/>
      <c r="BD431" s="115"/>
      <c r="BE431" s="115"/>
      <c r="BF431" s="115"/>
      <c r="BG431" s="115"/>
      <c r="BH431" s="115"/>
      <c r="BI431" s="115"/>
      <c r="BJ431" s="115"/>
    </row>
    <row r="432" spans="1:62" hidden="1" x14ac:dyDescent="0.35">
      <c r="A432" s="19" t="str">
        <f>VLOOKUP(C432,Master!A:D,4,0)</f>
        <v>FG</v>
      </c>
      <c r="B432" s="14" t="str">
        <f>VLOOKUP(C432,Master!A:C,3,0)</f>
        <v>Small Bags WIP</v>
      </c>
      <c r="C432" s="14" t="s">
        <v>908</v>
      </c>
      <c r="D432" s="2">
        <f t="shared" ref="D432:F432" si="306">+W383</f>
        <v>0</v>
      </c>
      <c r="E432" s="2">
        <f t="shared" si="306"/>
        <v>0</v>
      </c>
      <c r="F432" s="2">
        <f t="shared" si="306"/>
        <v>0</v>
      </c>
      <c r="G432" s="7"/>
      <c r="H432" s="2"/>
      <c r="I432" s="7"/>
      <c r="J432" s="11"/>
      <c r="K432" s="7"/>
      <c r="L432" s="7"/>
      <c r="M432" s="7"/>
      <c r="N432" s="7"/>
      <c r="O432" s="7"/>
      <c r="P432" s="7"/>
      <c r="Q432" s="2"/>
      <c r="R432" s="7"/>
      <c r="S432" s="7"/>
      <c r="T432" s="2"/>
      <c r="U432" s="7"/>
      <c r="V432" s="7"/>
      <c r="W432" s="54">
        <f t="shared" si="267"/>
        <v>0</v>
      </c>
      <c r="X432" s="2">
        <f t="shared" si="268"/>
        <v>0</v>
      </c>
      <c r="Y432" s="2">
        <f t="shared" si="269"/>
        <v>0</v>
      </c>
      <c r="Z432" s="46">
        <v>0</v>
      </c>
      <c r="AA432" s="46">
        <v>0</v>
      </c>
      <c r="AB432" s="46">
        <v>0</v>
      </c>
      <c r="AC432" s="58">
        <f t="shared" si="295"/>
        <v>0</v>
      </c>
      <c r="AD432" s="58">
        <f t="shared" si="264"/>
        <v>0</v>
      </c>
      <c r="AE432" s="7"/>
      <c r="AF432" s="56"/>
      <c r="AG432" s="62"/>
      <c r="AH432" s="117">
        <f t="shared" si="270"/>
        <v>0</v>
      </c>
      <c r="AI432" s="114"/>
      <c r="AJ432" s="114"/>
      <c r="AK432" s="114"/>
      <c r="AL432" s="114"/>
      <c r="AM432" s="114"/>
      <c r="AN432" s="114"/>
      <c r="AO432" s="114"/>
      <c r="AP432" s="114"/>
      <c r="AQ432" s="114"/>
      <c r="AR432" s="114"/>
      <c r="AS432" s="114"/>
      <c r="AT432" s="114"/>
      <c r="AU432" s="114"/>
      <c r="AV432" s="114"/>
      <c r="AW432" s="114"/>
      <c r="AX432" s="114"/>
      <c r="AY432" s="119"/>
      <c r="AZ432" s="115"/>
      <c r="BA432" s="115"/>
      <c r="BB432" s="115"/>
      <c r="BC432" s="115"/>
      <c r="BD432" s="115"/>
      <c r="BE432" s="115"/>
      <c r="BF432" s="115"/>
      <c r="BG432" s="115"/>
      <c r="BH432" s="115"/>
      <c r="BI432" s="115"/>
      <c r="BJ432" s="115"/>
    </row>
    <row r="433" spans="1:62" ht="15" hidden="1" thickBot="1" x14ac:dyDescent="0.4">
      <c r="A433" s="20" t="str">
        <f>VLOOKUP(C433,Master!A:D,4,0)</f>
        <v>FG</v>
      </c>
      <c r="B433" s="21" t="str">
        <f>VLOOKUP(C433,Master!A:C,3,0)</f>
        <v>Flexitank</v>
      </c>
      <c r="C433" s="21" t="s">
        <v>718</v>
      </c>
      <c r="D433" s="2">
        <f t="shared" ref="D433:F433" si="307">+W384</f>
        <v>0</v>
      </c>
      <c r="E433" s="2">
        <f t="shared" si="307"/>
        <v>0</v>
      </c>
      <c r="F433" s="2">
        <f t="shared" si="307"/>
        <v>0</v>
      </c>
      <c r="G433" s="22"/>
      <c r="H433" s="22"/>
      <c r="I433" s="22"/>
      <c r="J433" s="24"/>
      <c r="K433" s="22"/>
      <c r="L433" s="22"/>
      <c r="M433" s="22"/>
      <c r="N433" s="22"/>
      <c r="O433" s="22"/>
      <c r="P433" s="22"/>
      <c r="Q433" s="2"/>
      <c r="R433" s="22"/>
      <c r="S433" s="22"/>
      <c r="T433" s="2"/>
      <c r="U433" s="22"/>
      <c r="V433" s="22"/>
      <c r="W433" s="54">
        <f t="shared" si="267"/>
        <v>0</v>
      </c>
      <c r="X433" s="2">
        <f t="shared" si="268"/>
        <v>0</v>
      </c>
      <c r="Y433" s="2">
        <f t="shared" si="269"/>
        <v>0</v>
      </c>
      <c r="Z433" s="46">
        <v>0</v>
      </c>
      <c r="AA433" s="46">
        <v>0</v>
      </c>
      <c r="AB433" s="46">
        <v>0</v>
      </c>
      <c r="AC433" s="58">
        <f t="shared" si="295"/>
        <v>0</v>
      </c>
      <c r="AD433" s="58">
        <f t="shared" si="264"/>
        <v>0</v>
      </c>
      <c r="AE433" s="22"/>
      <c r="AF433" s="56"/>
      <c r="AG433" s="65"/>
      <c r="AH433" s="117">
        <f t="shared" si="270"/>
        <v>0</v>
      </c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14"/>
      <c r="AS433" s="114"/>
      <c r="AT433" s="114"/>
      <c r="AU433" s="114"/>
      <c r="AV433" s="114"/>
      <c r="AW433" s="114"/>
      <c r="AX433" s="114"/>
      <c r="AY433" s="119"/>
      <c r="AZ433" s="115"/>
      <c r="BA433" s="115"/>
      <c r="BB433" s="115"/>
      <c r="BC433" s="115"/>
      <c r="BD433" s="115"/>
      <c r="BE433" s="115"/>
      <c r="BF433" s="115"/>
      <c r="BG433" s="115"/>
      <c r="BH433" s="115"/>
      <c r="BI433" s="115"/>
      <c r="BJ433" s="115"/>
    </row>
    <row r="434" spans="1:62" hidden="1" x14ac:dyDescent="0.35">
      <c r="A434" s="536" t="s">
        <v>928</v>
      </c>
      <c r="B434" s="537"/>
      <c r="C434" s="538"/>
      <c r="D434" s="17">
        <f>SUM(D397:D433)</f>
        <v>80511.518888000093</v>
      </c>
      <c r="E434" s="17">
        <f t="shared" ref="E434:Z434" si="308">SUM(E397:E433)</f>
        <v>449660.13</v>
      </c>
      <c r="F434" s="17">
        <f t="shared" si="308"/>
        <v>0</v>
      </c>
      <c r="G434" s="17">
        <f t="shared" si="308"/>
        <v>0</v>
      </c>
      <c r="H434" s="17">
        <f t="shared" si="308"/>
        <v>0</v>
      </c>
      <c r="I434" s="17">
        <f t="shared" si="308"/>
        <v>0</v>
      </c>
      <c r="J434" s="17">
        <f t="shared" si="308"/>
        <v>0</v>
      </c>
      <c r="K434" s="17">
        <f t="shared" si="308"/>
        <v>0</v>
      </c>
      <c r="L434" s="17">
        <f t="shared" si="308"/>
        <v>0</v>
      </c>
      <c r="M434" s="17">
        <f t="shared" si="308"/>
        <v>0</v>
      </c>
      <c r="N434" s="17">
        <f t="shared" si="308"/>
        <v>0</v>
      </c>
      <c r="O434" s="17">
        <f t="shared" si="308"/>
        <v>0</v>
      </c>
      <c r="P434" s="17">
        <f t="shared" si="308"/>
        <v>0</v>
      </c>
      <c r="Q434" s="17">
        <f t="shared" si="308"/>
        <v>0</v>
      </c>
      <c r="R434" s="17">
        <f t="shared" si="308"/>
        <v>0</v>
      </c>
      <c r="S434" s="17">
        <f t="shared" si="308"/>
        <v>0</v>
      </c>
      <c r="T434" s="17">
        <f t="shared" si="308"/>
        <v>0</v>
      </c>
      <c r="U434" s="17">
        <f t="shared" si="308"/>
        <v>0</v>
      </c>
      <c r="V434" s="17">
        <f t="shared" si="308"/>
        <v>0</v>
      </c>
      <c r="W434" s="17">
        <f t="shared" si="308"/>
        <v>80511.518888000093</v>
      </c>
      <c r="X434" s="17">
        <f t="shared" si="308"/>
        <v>449660.13</v>
      </c>
      <c r="Y434" s="17">
        <f t="shared" si="308"/>
        <v>0</v>
      </c>
      <c r="Z434" s="17">
        <f t="shared" si="308"/>
        <v>0</v>
      </c>
      <c r="AA434" s="17">
        <f>SUM(AA397:AA433)</f>
        <v>0</v>
      </c>
      <c r="AB434" s="17">
        <f t="shared" ref="AB434:AF434" si="309">SUM(AB397:AB433)</f>
        <v>0</v>
      </c>
      <c r="AC434" s="17">
        <f t="shared" si="309"/>
        <v>80511.518888000093</v>
      </c>
      <c r="AD434" s="17">
        <f t="shared" si="309"/>
        <v>449660.13</v>
      </c>
      <c r="AE434" s="17">
        <f t="shared" si="309"/>
        <v>0</v>
      </c>
      <c r="AF434" s="57">
        <f t="shared" si="309"/>
        <v>0</v>
      </c>
      <c r="AG434" s="61"/>
      <c r="AH434" s="120">
        <f t="shared" ref="AH434" si="310">SUM(AH397:AH433)</f>
        <v>0</v>
      </c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19"/>
      <c r="AZ434" s="115"/>
      <c r="BA434" s="115"/>
      <c r="BB434" s="122"/>
      <c r="BC434" s="122"/>
      <c r="BD434" s="122"/>
      <c r="BE434" s="122"/>
      <c r="BF434" s="122"/>
      <c r="BG434" s="122"/>
      <c r="BH434" s="122"/>
      <c r="BI434" s="122"/>
      <c r="BJ434" s="115"/>
    </row>
    <row r="435" spans="1:62" hidden="1" x14ac:dyDescent="0.35">
      <c r="A435" s="533" t="s">
        <v>927</v>
      </c>
      <c r="B435" s="534"/>
      <c r="C435" s="535"/>
      <c r="D435" s="11"/>
      <c r="E435" s="11"/>
      <c r="F435" s="11"/>
      <c r="G435" s="11"/>
      <c r="H435" s="11"/>
      <c r="I435" s="11"/>
      <c r="J435" s="11"/>
      <c r="K435" s="11"/>
      <c r="L435" s="12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2"/>
      <c r="X435" s="11"/>
      <c r="Y435" s="12"/>
      <c r="Z435" s="11"/>
      <c r="AA435" s="11"/>
      <c r="AB435" s="11"/>
      <c r="AC435" s="11"/>
      <c r="AD435" s="11"/>
      <c r="AE435" s="11"/>
      <c r="AF435" s="4"/>
      <c r="AG435" s="62"/>
      <c r="AH435" s="117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14"/>
      <c r="AS435" s="114"/>
      <c r="AT435" s="114"/>
      <c r="AU435" s="114"/>
      <c r="AV435" s="114"/>
      <c r="AW435" s="114"/>
      <c r="AX435" s="114"/>
      <c r="AY435" s="119"/>
      <c r="AZ435" s="115"/>
      <c r="BA435" s="115"/>
      <c r="BB435" s="115"/>
      <c r="BC435" s="115"/>
      <c r="BD435" s="115"/>
      <c r="BE435" s="115"/>
      <c r="BF435" s="115"/>
      <c r="BG435" s="115"/>
      <c r="BH435" s="115"/>
      <c r="BI435" s="115"/>
      <c r="BJ435" s="115"/>
    </row>
    <row r="436" spans="1:62" ht="15" hidden="1" thickBot="1" x14ac:dyDescent="0.4">
      <c r="A436" s="547" t="s">
        <v>21</v>
      </c>
      <c r="B436" s="548"/>
      <c r="C436" s="549"/>
      <c r="D436" s="23"/>
      <c r="E436" s="23"/>
      <c r="F436" s="23"/>
      <c r="G436" s="24">
        <f>G434-G435</f>
        <v>0</v>
      </c>
      <c r="H436" s="24">
        <f t="shared" ref="H436:N436" si="311">H434-H435</f>
        <v>0</v>
      </c>
      <c r="I436" s="24">
        <f t="shared" si="311"/>
        <v>0</v>
      </c>
      <c r="J436" s="24">
        <f t="shared" si="311"/>
        <v>0</v>
      </c>
      <c r="K436" s="24">
        <f t="shared" si="311"/>
        <v>0</v>
      </c>
      <c r="L436" s="24">
        <f t="shared" si="311"/>
        <v>0</v>
      </c>
      <c r="M436" s="24">
        <f t="shared" si="311"/>
        <v>0</v>
      </c>
      <c r="N436" s="24">
        <f t="shared" si="311"/>
        <v>0</v>
      </c>
      <c r="O436" s="23"/>
      <c r="P436" s="23"/>
      <c r="Q436" s="23"/>
      <c r="R436" s="23"/>
      <c r="S436" s="23"/>
      <c r="T436" s="23"/>
      <c r="U436" s="23"/>
      <c r="V436" s="23"/>
      <c r="W436" s="24"/>
      <c r="X436" s="23"/>
      <c r="Y436" s="23"/>
      <c r="Z436" s="23"/>
      <c r="AA436" s="79">
        <f>+AA434-AA435</f>
        <v>0</v>
      </c>
      <c r="AB436" s="23"/>
      <c r="AC436" s="23"/>
      <c r="AD436" s="23"/>
      <c r="AE436" s="23"/>
      <c r="AF436" s="25"/>
      <c r="AG436" s="63"/>
      <c r="AH436" s="123"/>
      <c r="AI436" s="114"/>
      <c r="AJ436" s="114"/>
      <c r="AK436" s="114"/>
      <c r="AL436" s="114"/>
      <c r="AM436" s="114"/>
      <c r="AN436" s="114"/>
      <c r="AO436" s="114"/>
      <c r="AP436" s="114"/>
      <c r="AQ436" s="114"/>
      <c r="AR436" s="114"/>
      <c r="AS436" s="114"/>
      <c r="AT436" s="114"/>
      <c r="AU436" s="114"/>
      <c r="AV436" s="114"/>
      <c r="AW436" s="114"/>
      <c r="AX436" s="114"/>
      <c r="AY436" s="119"/>
      <c r="AZ436" s="115"/>
      <c r="BA436" s="115"/>
      <c r="BB436" s="115"/>
      <c r="BC436" s="115"/>
      <c r="BD436" s="115"/>
      <c r="BE436" s="115"/>
      <c r="BF436" s="115"/>
      <c r="BG436" s="115"/>
      <c r="BH436" s="115"/>
      <c r="BI436" s="115"/>
      <c r="BJ436" s="115"/>
    </row>
    <row r="437" spans="1:62" hidden="1" x14ac:dyDescent="0.35">
      <c r="O437" s="51" t="s">
        <v>970</v>
      </c>
      <c r="P437" s="70">
        <f>+O434-P434</f>
        <v>0</v>
      </c>
      <c r="S437" s="51" t="s">
        <v>970</v>
      </c>
      <c r="T437" s="70">
        <f>+S434-T434</f>
        <v>0</v>
      </c>
    </row>
    <row r="438" spans="1:62" hidden="1" x14ac:dyDescent="0.35">
      <c r="A438" s="29"/>
      <c r="O438" s="64"/>
      <c r="S438" s="47"/>
      <c r="W438" s="47">
        <f>+D434+H434-K434</f>
        <v>80511.518888000093</v>
      </c>
      <c r="X438" s="47">
        <f>+E434+J434-N434</f>
        <v>449660.13</v>
      </c>
      <c r="AH438" s="116">
        <f>+AH411+AH398+AH397+AH420+AH405</f>
        <v>0</v>
      </c>
      <c r="AI438" s="105" t="s">
        <v>932</v>
      </c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  <c r="AT438" s="116"/>
      <c r="AU438" s="116"/>
      <c r="AV438" s="116"/>
      <c r="AW438" s="116"/>
      <c r="AX438" s="116"/>
      <c r="AY438" s="246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</row>
    <row r="439" spans="1:62" hidden="1" x14ac:dyDescent="0.35">
      <c r="W439" s="64">
        <f>+W434-W438</f>
        <v>0</v>
      </c>
      <c r="X439" s="47">
        <f>+X434-X438</f>
        <v>0</v>
      </c>
      <c r="AH439" s="116">
        <f>+AH425</f>
        <v>0</v>
      </c>
      <c r="AI439" s="105" t="s">
        <v>931</v>
      </c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  <c r="AT439" s="116"/>
      <c r="AU439" s="116"/>
      <c r="AV439" s="116"/>
      <c r="AW439" s="116"/>
      <c r="AX439" s="116"/>
      <c r="AY439" s="246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</row>
    <row r="440" spans="1:62" hidden="1" x14ac:dyDescent="0.35">
      <c r="W440" s="47"/>
      <c r="X440" s="47"/>
      <c r="AH440" s="116">
        <f>+AH417+AH424+AH427+AH431</f>
        <v>0</v>
      </c>
      <c r="AI440" s="105" t="s">
        <v>930</v>
      </c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246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</row>
    <row r="441" spans="1:62" hidden="1" x14ac:dyDescent="0.35">
      <c r="AH441" s="282">
        <f>+AH434-AH438-AH439-AH440</f>
        <v>0</v>
      </c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  <c r="AT441" s="116"/>
      <c r="AU441" s="116"/>
      <c r="AV441" s="116"/>
      <c r="AW441" s="116"/>
      <c r="AX441" s="116"/>
      <c r="AY441" s="246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24"/>
    </row>
    <row r="442" spans="1:62" hidden="1" x14ac:dyDescent="0.35"/>
    <row r="443" spans="1:62" ht="15" hidden="1" thickBot="1" x14ac:dyDescent="0.4"/>
    <row r="444" spans="1:62" ht="15" hidden="1" thickBot="1" x14ac:dyDescent="0.4">
      <c r="A444" s="5"/>
      <c r="B444" s="5"/>
      <c r="C444" s="8"/>
      <c r="D444" s="539" t="s">
        <v>0</v>
      </c>
      <c r="E444" s="540"/>
      <c r="F444" s="540"/>
      <c r="G444" s="541" t="s">
        <v>2354</v>
      </c>
      <c r="H444" s="542"/>
      <c r="I444" s="542"/>
      <c r="J444" s="542"/>
      <c r="K444" s="542"/>
      <c r="L444" s="542"/>
      <c r="M444" s="542"/>
      <c r="N444" s="542"/>
      <c r="O444" s="542"/>
      <c r="P444" s="542"/>
      <c r="Q444" s="542"/>
      <c r="R444" s="542"/>
      <c r="S444" s="542"/>
      <c r="T444" s="542"/>
      <c r="U444" s="542"/>
      <c r="V444" s="543"/>
      <c r="W444" s="554" t="s">
        <v>20</v>
      </c>
      <c r="X444" s="554"/>
      <c r="Y444" s="554"/>
      <c r="Z444" s="553" t="s">
        <v>929</v>
      </c>
      <c r="AA444" s="553"/>
      <c r="AB444" s="553"/>
      <c r="AC444" s="553" t="s">
        <v>21</v>
      </c>
      <c r="AD444" s="553"/>
      <c r="AE444" s="553"/>
      <c r="AF444" s="13"/>
      <c r="AG444" s="531"/>
      <c r="AH444" s="532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8"/>
      <c r="AZ444" s="108"/>
      <c r="BA444" s="108"/>
      <c r="BB444" s="108"/>
      <c r="BC444" s="108"/>
      <c r="BD444" s="108"/>
      <c r="BE444" s="108"/>
      <c r="BF444" s="108"/>
      <c r="BG444" s="108"/>
      <c r="BH444" s="108"/>
      <c r="BI444" s="108"/>
      <c r="BJ444" s="108"/>
    </row>
    <row r="445" spans="1:62" ht="29.5" hidden="1" thickBot="1" x14ac:dyDescent="0.4">
      <c r="A445" s="10" t="s">
        <v>24</v>
      </c>
      <c r="B445" s="10" t="s">
        <v>924</v>
      </c>
      <c r="C445" s="10" t="s">
        <v>23</v>
      </c>
      <c r="D445" s="26" t="s">
        <v>1</v>
      </c>
      <c r="E445" s="27" t="s">
        <v>2</v>
      </c>
      <c r="F445" s="27" t="s">
        <v>3</v>
      </c>
      <c r="G445" s="27" t="s">
        <v>4</v>
      </c>
      <c r="H445" s="27" t="s">
        <v>5</v>
      </c>
      <c r="I445" s="27" t="s">
        <v>6</v>
      </c>
      <c r="J445" s="27" t="s">
        <v>7</v>
      </c>
      <c r="K445" s="27" t="s">
        <v>8</v>
      </c>
      <c r="L445" s="27" t="s">
        <v>9</v>
      </c>
      <c r="M445" s="27" t="s">
        <v>10</v>
      </c>
      <c r="N445" s="27" t="s">
        <v>11</v>
      </c>
      <c r="O445" s="27" t="s">
        <v>12</v>
      </c>
      <c r="P445" s="27" t="s">
        <v>13</v>
      </c>
      <c r="Q445" s="27" t="s">
        <v>14</v>
      </c>
      <c r="R445" s="27" t="s">
        <v>15</v>
      </c>
      <c r="S445" s="27" t="s">
        <v>16</v>
      </c>
      <c r="T445" s="27" t="s">
        <v>17</v>
      </c>
      <c r="U445" s="27" t="s">
        <v>18</v>
      </c>
      <c r="V445" s="27" t="s">
        <v>19</v>
      </c>
      <c r="W445" s="28" t="s">
        <v>1</v>
      </c>
      <c r="X445" s="28" t="s">
        <v>2</v>
      </c>
      <c r="Y445" s="28" t="s">
        <v>3</v>
      </c>
      <c r="Z445" s="28" t="s">
        <v>1</v>
      </c>
      <c r="AA445" s="50" t="s">
        <v>2</v>
      </c>
      <c r="AB445" s="27" t="s">
        <v>3</v>
      </c>
      <c r="AC445" s="27" t="s">
        <v>1</v>
      </c>
      <c r="AD445" s="27" t="s">
        <v>2</v>
      </c>
      <c r="AE445" s="27" t="s">
        <v>3</v>
      </c>
      <c r="AF445" s="55" t="s">
        <v>22</v>
      </c>
      <c r="AG445" s="59" t="s">
        <v>934</v>
      </c>
      <c r="AH445" s="110" t="s">
        <v>933</v>
      </c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2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</row>
    <row r="446" spans="1:62" hidden="1" x14ac:dyDescent="0.35">
      <c r="A446" s="15" t="str">
        <f>VLOOKUP(C446,Master!A:D,4,0)</f>
        <v>RM</v>
      </c>
      <c r="B446" s="16" t="str">
        <f>VLOOKUP(C446,Master!A:C,3,0)</f>
        <v>Granuals</v>
      </c>
      <c r="C446" s="16" t="s">
        <v>32</v>
      </c>
      <c r="D446" s="17">
        <f>+W397</f>
        <v>2494.8000000000002</v>
      </c>
      <c r="E446" s="17">
        <f t="shared" ref="E446:F447" si="312">+X397</f>
        <v>200</v>
      </c>
      <c r="F446" s="17">
        <f t="shared" si="312"/>
        <v>0</v>
      </c>
      <c r="G446" s="17"/>
      <c r="H446" s="17"/>
      <c r="I446" s="71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>
        <f t="shared" ref="U446:U482" si="313">O446-S446</f>
        <v>0</v>
      </c>
      <c r="V446" s="17">
        <f t="shared" ref="V446:V482" si="314">P446-T446</f>
        <v>0</v>
      </c>
      <c r="W446" s="17">
        <f>D446+G446+H446+I446-K446-L446-M446-V446+U446</f>
        <v>2494.8000000000002</v>
      </c>
      <c r="X446" s="17">
        <f t="shared" ref="X446:X447" si="315">E446+J446-N446-T446+S446</f>
        <v>200</v>
      </c>
      <c r="Y446" s="17">
        <f t="shared" ref="Y446:Y447" si="316">F446-I446+M446-R446+Q446</f>
        <v>0</v>
      </c>
      <c r="Z446" s="48">
        <v>0</v>
      </c>
      <c r="AA446" s="49">
        <v>0</v>
      </c>
      <c r="AB446" s="45">
        <v>0</v>
      </c>
      <c r="AC446" s="72">
        <f t="shared" ref="AC446:AE461" si="317">W446-Z446</f>
        <v>2494.8000000000002</v>
      </c>
      <c r="AD446" s="72">
        <f t="shared" si="317"/>
        <v>200</v>
      </c>
      <c r="AE446" s="18">
        <f t="shared" si="317"/>
        <v>0</v>
      </c>
      <c r="AF446" s="56"/>
      <c r="AG446" s="62"/>
      <c r="AH446" s="113">
        <f>+W446*AG446</f>
        <v>0</v>
      </c>
      <c r="AI446" s="114"/>
      <c r="AJ446" s="114"/>
      <c r="AK446" s="114"/>
      <c r="AL446" s="114"/>
      <c r="AM446" s="114"/>
      <c r="AN446" s="114"/>
      <c r="AO446" s="114"/>
      <c r="AP446" s="114"/>
      <c r="AQ446" s="114"/>
      <c r="AR446" s="114"/>
      <c r="AS446" s="114"/>
      <c r="AT446" s="114"/>
      <c r="AU446" s="114"/>
      <c r="AV446" s="114"/>
      <c r="AW446" s="114"/>
      <c r="AX446" s="114"/>
      <c r="AY446" s="119"/>
      <c r="AZ446" s="115"/>
      <c r="BA446" s="243"/>
      <c r="BB446" s="115"/>
      <c r="BC446" s="115"/>
      <c r="BD446" s="115"/>
      <c r="BE446" s="115"/>
      <c r="BF446" s="115"/>
      <c r="BG446" s="115"/>
      <c r="BH446" s="115"/>
      <c r="BI446" s="115"/>
      <c r="BJ446" s="115"/>
    </row>
    <row r="447" spans="1:62" hidden="1" x14ac:dyDescent="0.35">
      <c r="A447" s="19" t="str">
        <f>VLOOKUP(C447,Master!A:D,4,0)</f>
        <v>RM</v>
      </c>
      <c r="B447" s="14" t="str">
        <f>VLOOKUP(C447,Master!A:C,3,0)</f>
        <v>Granuals</v>
      </c>
      <c r="C447" s="14" t="s">
        <v>37</v>
      </c>
      <c r="D447" s="2">
        <f>+W398</f>
        <v>29994.720000000001</v>
      </c>
      <c r="E447" s="2">
        <f t="shared" si="312"/>
        <v>341299.7</v>
      </c>
      <c r="F447" s="2">
        <f t="shared" si="312"/>
        <v>0</v>
      </c>
      <c r="G447" s="2"/>
      <c r="H447" s="2"/>
      <c r="I447" s="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>
        <f t="shared" si="313"/>
        <v>0</v>
      </c>
      <c r="V447" s="2">
        <f t="shared" si="314"/>
        <v>0</v>
      </c>
      <c r="W447" s="2">
        <f>D447+G447+H447+I447-K447-L447-M447-V447+U447</f>
        <v>29994.720000000001</v>
      </c>
      <c r="X447" s="2">
        <f t="shared" si="315"/>
        <v>341299.7</v>
      </c>
      <c r="Y447" s="2">
        <f t="shared" si="316"/>
        <v>0</v>
      </c>
      <c r="Z447" s="46">
        <v>0</v>
      </c>
      <c r="AA447" s="46">
        <v>0</v>
      </c>
      <c r="AB447" s="46">
        <v>0</v>
      </c>
      <c r="AC447" s="58">
        <f t="shared" si="317"/>
        <v>29994.720000000001</v>
      </c>
      <c r="AD447" s="58">
        <f t="shared" si="317"/>
        <v>341299.7</v>
      </c>
      <c r="AE447" s="58">
        <f t="shared" si="317"/>
        <v>0</v>
      </c>
      <c r="AF447" s="56"/>
      <c r="AG447" s="60"/>
      <c r="AH447" s="117">
        <f>+W447*AG447</f>
        <v>0</v>
      </c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4"/>
      <c r="AS447" s="114"/>
      <c r="AT447" s="114"/>
      <c r="AU447" s="114"/>
      <c r="AV447" s="114"/>
      <c r="AW447" s="114"/>
      <c r="AX447" s="114"/>
      <c r="AY447" s="119"/>
      <c r="AZ447" s="115"/>
      <c r="BA447" s="243"/>
      <c r="BB447" s="115"/>
      <c r="BC447" s="115"/>
      <c r="BD447" s="115"/>
      <c r="BE447" s="115"/>
      <c r="BF447" s="115"/>
      <c r="BG447" s="115"/>
      <c r="BH447" s="115"/>
      <c r="BI447" s="115"/>
      <c r="BJ447" s="115"/>
    </row>
    <row r="448" spans="1:62" hidden="1" x14ac:dyDescent="0.35">
      <c r="A448" s="19" t="str">
        <f>VLOOKUP(C448,Master!A:D,4,0)</f>
        <v>RM</v>
      </c>
      <c r="B448" s="14" t="str">
        <f>VLOOKUP(C448,Master!A:C,3,0)</f>
        <v>Granuals</v>
      </c>
      <c r="C448" s="14" t="s">
        <v>40</v>
      </c>
      <c r="D448" s="2">
        <f t="shared" ref="D448:D482" si="318">+W399</f>
        <v>0</v>
      </c>
      <c r="E448" s="2">
        <f t="shared" ref="E448:E482" si="319">+X399</f>
        <v>0</v>
      </c>
      <c r="F448" s="2">
        <f t="shared" ref="F448:F482" si="320">+Y399</f>
        <v>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>
        <f t="shared" si="313"/>
        <v>0</v>
      </c>
      <c r="V448" s="2">
        <f t="shared" si="314"/>
        <v>0</v>
      </c>
      <c r="W448" s="2">
        <f t="shared" ref="W448:W482" si="321">D448+G448+H448+I448-K448-L448-M448-V448+U448</f>
        <v>0</v>
      </c>
      <c r="X448" s="2">
        <f t="shared" ref="X448:X482" si="322">E448+J448-N448-T448+S448</f>
        <v>0</v>
      </c>
      <c r="Y448" s="2">
        <f t="shared" ref="Y448:Y482" si="323">F448-I448+M448-R448+Q448</f>
        <v>0</v>
      </c>
      <c r="Z448" s="46">
        <v>0</v>
      </c>
      <c r="AA448" s="46">
        <v>0</v>
      </c>
      <c r="AB448" s="46">
        <v>0</v>
      </c>
      <c r="AC448" s="58">
        <f t="shared" ref="AC448:AD482" si="324">W448-Z448</f>
        <v>0</v>
      </c>
      <c r="AD448" s="58">
        <f t="shared" si="317"/>
        <v>0</v>
      </c>
      <c r="AE448" s="58">
        <f t="shared" ref="AE448:AE482" si="325">Y448-AB448</f>
        <v>0</v>
      </c>
      <c r="AF448" s="56"/>
      <c r="AG448" s="62"/>
      <c r="AH448" s="117">
        <f t="shared" ref="AH448:AH482" si="326">+W448*AG448</f>
        <v>0</v>
      </c>
      <c r="AI448" s="114"/>
      <c r="AJ448" s="114"/>
      <c r="AK448" s="114"/>
      <c r="AL448" s="114"/>
      <c r="AM448" s="114"/>
      <c r="AN448" s="114"/>
      <c r="AO448" s="114"/>
      <c r="AP448" s="114"/>
      <c r="AQ448" s="114"/>
      <c r="AR448" s="114"/>
      <c r="AS448" s="114"/>
      <c r="AT448" s="114"/>
      <c r="AU448" s="114"/>
      <c r="AV448" s="114"/>
      <c r="AW448" s="114"/>
      <c r="AX448" s="114"/>
      <c r="AY448" s="119"/>
      <c r="AZ448" s="115"/>
      <c r="BA448" s="115"/>
      <c r="BB448" s="115"/>
      <c r="BC448" s="115"/>
      <c r="BD448" s="115"/>
      <c r="BE448" s="115"/>
      <c r="BF448" s="115"/>
      <c r="BG448" s="115"/>
      <c r="BH448" s="115"/>
      <c r="BI448" s="115"/>
      <c r="BJ448" s="115"/>
    </row>
    <row r="449" spans="1:62" hidden="1" x14ac:dyDescent="0.35">
      <c r="A449" s="19" t="str">
        <f>VLOOKUP(C449,Master!A:D,4,0)</f>
        <v>RM</v>
      </c>
      <c r="B449" s="14" t="str">
        <f>VLOOKUP(C449,Master!A:C,3,0)</f>
        <v>Granuals</v>
      </c>
      <c r="C449" s="14" t="s">
        <v>46</v>
      </c>
      <c r="D449" s="2">
        <f t="shared" si="318"/>
        <v>0</v>
      </c>
      <c r="E449" s="2">
        <f t="shared" si="319"/>
        <v>15000</v>
      </c>
      <c r="F449" s="2">
        <f t="shared" si="320"/>
        <v>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>
        <f t="shared" si="313"/>
        <v>0</v>
      </c>
      <c r="V449" s="2">
        <f t="shared" si="314"/>
        <v>0</v>
      </c>
      <c r="W449" s="2">
        <f t="shared" si="321"/>
        <v>0</v>
      </c>
      <c r="X449" s="2">
        <f t="shared" si="322"/>
        <v>15000</v>
      </c>
      <c r="Y449" s="2">
        <f t="shared" si="323"/>
        <v>0</v>
      </c>
      <c r="Z449" s="46">
        <v>0</v>
      </c>
      <c r="AA449" s="46">
        <v>0</v>
      </c>
      <c r="AB449" s="46">
        <v>0</v>
      </c>
      <c r="AC449" s="58">
        <f t="shared" si="324"/>
        <v>0</v>
      </c>
      <c r="AD449" s="58">
        <f t="shared" si="317"/>
        <v>15000</v>
      </c>
      <c r="AE449" s="58">
        <f t="shared" si="325"/>
        <v>0</v>
      </c>
      <c r="AF449" s="56"/>
      <c r="AG449" s="62"/>
      <c r="AH449" s="117">
        <f t="shared" si="326"/>
        <v>0</v>
      </c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4"/>
      <c r="AS449" s="114"/>
      <c r="AT449" s="114"/>
      <c r="AU449" s="114"/>
      <c r="AV449" s="114"/>
      <c r="AW449" s="114"/>
      <c r="AX449" s="114"/>
      <c r="AY449" s="119"/>
      <c r="AZ449" s="115"/>
      <c r="BA449" s="115"/>
      <c r="BB449" s="115"/>
      <c r="BC449" s="115"/>
      <c r="BD449" s="115"/>
      <c r="BE449" s="115"/>
      <c r="BF449" s="115"/>
      <c r="BG449" s="115"/>
      <c r="BH449" s="115"/>
      <c r="BI449" s="115"/>
      <c r="BJ449" s="115"/>
    </row>
    <row r="450" spans="1:62" hidden="1" x14ac:dyDescent="0.35">
      <c r="A450" s="19" t="str">
        <f>VLOOKUP(C450,Master!A:D,4,0)</f>
        <v>RM</v>
      </c>
      <c r="B450" s="14" t="str">
        <f>VLOOKUP(C450,Master!A:C,3,0)</f>
        <v>Granuals</v>
      </c>
      <c r="C450" s="14" t="s">
        <v>49</v>
      </c>
      <c r="D450" s="2">
        <f t="shared" si="318"/>
        <v>0</v>
      </c>
      <c r="E450" s="2">
        <f t="shared" si="319"/>
        <v>0</v>
      </c>
      <c r="F450" s="2">
        <f t="shared" si="320"/>
        <v>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>
        <f t="shared" si="313"/>
        <v>0</v>
      </c>
      <c r="V450" s="2">
        <f t="shared" si="314"/>
        <v>0</v>
      </c>
      <c r="W450" s="2">
        <f t="shared" si="321"/>
        <v>0</v>
      </c>
      <c r="X450" s="2">
        <f t="shared" si="322"/>
        <v>0</v>
      </c>
      <c r="Y450" s="2">
        <f t="shared" si="323"/>
        <v>0</v>
      </c>
      <c r="Z450" s="46">
        <v>0</v>
      </c>
      <c r="AA450" s="46">
        <v>0</v>
      </c>
      <c r="AB450" s="46">
        <v>0</v>
      </c>
      <c r="AC450" s="58">
        <f t="shared" si="324"/>
        <v>0</v>
      </c>
      <c r="AD450" s="58">
        <f t="shared" si="317"/>
        <v>0</v>
      </c>
      <c r="AE450" s="58">
        <f t="shared" si="325"/>
        <v>0</v>
      </c>
      <c r="AF450" s="56"/>
      <c r="AG450" s="62"/>
      <c r="AH450" s="117">
        <f t="shared" si="326"/>
        <v>0</v>
      </c>
      <c r="AI450" s="114"/>
      <c r="AJ450" s="114"/>
      <c r="AK450" s="114"/>
      <c r="AL450" s="114"/>
      <c r="AM450" s="114"/>
      <c r="AN450" s="114"/>
      <c r="AO450" s="114"/>
      <c r="AP450" s="114"/>
      <c r="AQ450" s="114"/>
      <c r="AR450" s="114"/>
      <c r="AS450" s="114"/>
      <c r="AT450" s="114"/>
      <c r="AU450" s="114"/>
      <c r="AV450" s="114"/>
      <c r="AW450" s="114"/>
      <c r="AX450" s="114"/>
      <c r="AY450" s="119"/>
      <c r="AZ450" s="115"/>
      <c r="BA450" s="115"/>
      <c r="BB450" s="115"/>
      <c r="BC450" s="115"/>
      <c r="BD450" s="115"/>
      <c r="BE450" s="115"/>
      <c r="BF450" s="115"/>
      <c r="BG450" s="115"/>
      <c r="BH450" s="115"/>
      <c r="BI450" s="115"/>
      <c r="BJ450" s="115"/>
    </row>
    <row r="451" spans="1:62" hidden="1" x14ac:dyDescent="0.35">
      <c r="A451" s="19" t="str">
        <f>VLOOKUP(C451,Master!A:D,4,0)</f>
        <v>RM</v>
      </c>
      <c r="B451" s="14" t="str">
        <f>VLOOKUP(C451,Master!A:C,3,0)</f>
        <v>Granuals</v>
      </c>
      <c r="C451" s="14" t="s">
        <v>55</v>
      </c>
      <c r="D451" s="2">
        <f t="shared" si="318"/>
        <v>0</v>
      </c>
      <c r="E451" s="2">
        <f t="shared" si="319"/>
        <v>25550</v>
      </c>
      <c r="F451" s="2">
        <f t="shared" si="320"/>
        <v>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>
        <f t="shared" si="313"/>
        <v>0</v>
      </c>
      <c r="V451" s="2">
        <f t="shared" si="314"/>
        <v>0</v>
      </c>
      <c r="W451" s="2">
        <f t="shared" si="321"/>
        <v>0</v>
      </c>
      <c r="X451" s="2">
        <f t="shared" si="322"/>
        <v>25550</v>
      </c>
      <c r="Y451" s="2">
        <f t="shared" si="323"/>
        <v>0</v>
      </c>
      <c r="Z451" s="46">
        <v>0</v>
      </c>
      <c r="AA451" s="46">
        <v>0</v>
      </c>
      <c r="AB451" s="46">
        <v>0</v>
      </c>
      <c r="AC451" s="58">
        <f t="shared" si="324"/>
        <v>0</v>
      </c>
      <c r="AD451" s="58">
        <f t="shared" si="317"/>
        <v>25550</v>
      </c>
      <c r="AE451" s="58">
        <f t="shared" si="325"/>
        <v>0</v>
      </c>
      <c r="AF451" s="56"/>
      <c r="AG451" s="62"/>
      <c r="AH451" s="117">
        <f t="shared" si="326"/>
        <v>0</v>
      </c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4"/>
      <c r="AS451" s="114"/>
      <c r="AT451" s="114"/>
      <c r="AU451" s="114"/>
      <c r="AV451" s="114"/>
      <c r="AW451" s="114"/>
      <c r="AX451" s="114"/>
      <c r="AY451" s="119"/>
      <c r="AZ451" s="115"/>
      <c r="BA451" s="115"/>
      <c r="BB451" s="115"/>
      <c r="BC451" s="115"/>
      <c r="BD451" s="115"/>
      <c r="BE451" s="115"/>
      <c r="BF451" s="115"/>
      <c r="BG451" s="115"/>
      <c r="BH451" s="115"/>
      <c r="BI451" s="115"/>
      <c r="BJ451" s="115"/>
    </row>
    <row r="452" spans="1:62" hidden="1" x14ac:dyDescent="0.35">
      <c r="A452" s="19" t="str">
        <f>VLOOKUP(C452,Master!A:D,4,0)</f>
        <v>RM</v>
      </c>
      <c r="B452" s="14" t="str">
        <f>VLOOKUP(C452,Master!A:C,3,0)</f>
        <v>FIBC Accessories</v>
      </c>
      <c r="C452" s="14" t="s">
        <v>69</v>
      </c>
      <c r="D452" s="2">
        <f t="shared" si="318"/>
        <v>0</v>
      </c>
      <c r="E452" s="2">
        <f t="shared" si="319"/>
        <v>0</v>
      </c>
      <c r="F452" s="2">
        <f t="shared" si="320"/>
        <v>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>
        <f t="shared" si="313"/>
        <v>0</v>
      </c>
      <c r="V452" s="2">
        <f t="shared" si="314"/>
        <v>0</v>
      </c>
      <c r="W452" s="2">
        <f t="shared" si="321"/>
        <v>0</v>
      </c>
      <c r="X452" s="2">
        <f t="shared" si="322"/>
        <v>0</v>
      </c>
      <c r="Y452" s="2">
        <f t="shared" si="323"/>
        <v>0</v>
      </c>
      <c r="Z452" s="46">
        <v>0</v>
      </c>
      <c r="AA452" s="46">
        <v>0</v>
      </c>
      <c r="AB452" s="46">
        <v>0</v>
      </c>
      <c r="AC452" s="58">
        <f t="shared" si="324"/>
        <v>0</v>
      </c>
      <c r="AD452" s="58">
        <f t="shared" si="317"/>
        <v>0</v>
      </c>
      <c r="AE452" s="58">
        <f t="shared" si="325"/>
        <v>0</v>
      </c>
      <c r="AF452" s="56"/>
      <c r="AG452" s="62"/>
      <c r="AH452" s="117">
        <f t="shared" si="326"/>
        <v>0</v>
      </c>
      <c r="AI452" s="114"/>
      <c r="AJ452" s="114"/>
      <c r="AK452" s="114"/>
      <c r="AL452" s="114"/>
      <c r="AM452" s="114"/>
      <c r="AN452" s="114"/>
      <c r="AO452" s="114"/>
      <c r="AP452" s="114"/>
      <c r="AQ452" s="114"/>
      <c r="AR452" s="114"/>
      <c r="AS452" s="114"/>
      <c r="AT452" s="114"/>
      <c r="AU452" s="114"/>
      <c r="AV452" s="114"/>
      <c r="AW452" s="114"/>
      <c r="AX452" s="114"/>
      <c r="AY452" s="119"/>
      <c r="AZ452" s="115"/>
      <c r="BA452" s="115"/>
      <c r="BB452" s="115"/>
      <c r="BC452" s="115"/>
      <c r="BD452" s="115"/>
      <c r="BE452" s="115"/>
      <c r="BF452" s="115"/>
      <c r="BG452" s="115"/>
      <c r="BH452" s="115"/>
      <c r="BI452" s="115"/>
      <c r="BJ452" s="115"/>
    </row>
    <row r="453" spans="1:62" hidden="1" x14ac:dyDescent="0.35">
      <c r="A453" s="19" t="str">
        <f>VLOOKUP(C453,Master!A:D,4,0)</f>
        <v>RM</v>
      </c>
      <c r="B453" s="14" t="str">
        <f>VLOOKUP(C453,Master!A:C,3,0)</f>
        <v>Films All</v>
      </c>
      <c r="C453" s="14" t="s">
        <v>71</v>
      </c>
      <c r="D453" s="2">
        <f t="shared" si="318"/>
        <v>0</v>
      </c>
      <c r="E453" s="2">
        <f t="shared" si="319"/>
        <v>0</v>
      </c>
      <c r="F453" s="2">
        <f t="shared" si="320"/>
        <v>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>
        <f t="shared" si="313"/>
        <v>0</v>
      </c>
      <c r="V453" s="2">
        <f t="shared" si="314"/>
        <v>0</v>
      </c>
      <c r="W453" s="2">
        <f t="shared" si="321"/>
        <v>0</v>
      </c>
      <c r="X453" s="2">
        <f t="shared" si="322"/>
        <v>0</v>
      </c>
      <c r="Y453" s="2">
        <f t="shared" si="323"/>
        <v>0</v>
      </c>
      <c r="Z453" s="46">
        <v>0</v>
      </c>
      <c r="AA453" s="46">
        <v>0</v>
      </c>
      <c r="AB453" s="46">
        <v>0</v>
      </c>
      <c r="AC453" s="58">
        <f t="shared" si="324"/>
        <v>0</v>
      </c>
      <c r="AD453" s="58">
        <f t="shared" si="317"/>
        <v>0</v>
      </c>
      <c r="AE453" s="58">
        <f t="shared" si="325"/>
        <v>0</v>
      </c>
      <c r="AF453" s="56"/>
      <c r="AG453" s="62"/>
      <c r="AH453" s="117">
        <f t="shared" si="326"/>
        <v>0</v>
      </c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4"/>
      <c r="AS453" s="114"/>
      <c r="AT453" s="114"/>
      <c r="AU453" s="114"/>
      <c r="AV453" s="114"/>
      <c r="AW453" s="114"/>
      <c r="AX453" s="114"/>
      <c r="AY453" s="119"/>
      <c r="AZ453" s="115"/>
      <c r="BA453" s="115"/>
      <c r="BB453" s="115"/>
      <c r="BC453" s="115"/>
      <c r="BD453" s="115"/>
      <c r="BE453" s="115"/>
      <c r="BF453" s="115"/>
      <c r="BG453" s="115"/>
      <c r="BH453" s="115"/>
      <c r="BI453" s="115"/>
      <c r="BJ453" s="115"/>
    </row>
    <row r="454" spans="1:62" hidden="1" x14ac:dyDescent="0.35">
      <c r="A454" s="19" t="str">
        <f>VLOOKUP(C454,Master!A:D,4,0)</f>
        <v>RM</v>
      </c>
      <c r="B454" s="14" t="str">
        <f>VLOOKUP(C454,Master!A:C,3,0)</f>
        <v>Granuals</v>
      </c>
      <c r="C454" s="14" t="s">
        <v>85</v>
      </c>
      <c r="D454" s="2">
        <f t="shared" si="318"/>
        <v>0</v>
      </c>
      <c r="E454" s="2">
        <f t="shared" si="319"/>
        <v>0</v>
      </c>
      <c r="F454" s="2">
        <f t="shared" si="320"/>
        <v>0</v>
      </c>
      <c r="G454" s="2"/>
      <c r="H454" s="2"/>
      <c r="I454" s="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>
        <f t="shared" si="313"/>
        <v>0</v>
      </c>
      <c r="V454" s="2">
        <f t="shared" si="314"/>
        <v>0</v>
      </c>
      <c r="W454" s="2">
        <f t="shared" si="321"/>
        <v>0</v>
      </c>
      <c r="X454" s="2">
        <f t="shared" si="322"/>
        <v>0</v>
      </c>
      <c r="Y454" s="2">
        <f t="shared" si="323"/>
        <v>0</v>
      </c>
      <c r="Z454" s="46">
        <v>0</v>
      </c>
      <c r="AA454" s="46">
        <v>0</v>
      </c>
      <c r="AB454" s="46">
        <v>0</v>
      </c>
      <c r="AC454" s="58">
        <f t="shared" si="324"/>
        <v>0</v>
      </c>
      <c r="AD454" s="58">
        <f t="shared" si="317"/>
        <v>0</v>
      </c>
      <c r="AE454" s="58">
        <f t="shared" si="325"/>
        <v>0</v>
      </c>
      <c r="AF454" s="56"/>
      <c r="AG454" s="62"/>
      <c r="AH454" s="117">
        <f t="shared" si="326"/>
        <v>0</v>
      </c>
      <c r="AI454" s="114"/>
      <c r="AJ454" s="114"/>
      <c r="AK454" s="114"/>
      <c r="AL454" s="114"/>
      <c r="AM454" s="114"/>
      <c r="AN454" s="114"/>
      <c r="AO454" s="114"/>
      <c r="AP454" s="114"/>
      <c r="AQ454" s="114"/>
      <c r="AR454" s="114"/>
      <c r="AS454" s="114"/>
      <c r="AT454" s="114"/>
      <c r="AU454" s="114"/>
      <c r="AV454" s="114"/>
      <c r="AW454" s="114"/>
      <c r="AX454" s="114"/>
      <c r="AY454" s="119"/>
      <c r="AZ454" s="115"/>
      <c r="BA454" s="115"/>
      <c r="BB454" s="115"/>
      <c r="BC454" s="115"/>
      <c r="BD454" s="115"/>
      <c r="BE454" s="115"/>
      <c r="BF454" s="115"/>
      <c r="BG454" s="115"/>
      <c r="BH454" s="115"/>
      <c r="BI454" s="115"/>
      <c r="BJ454" s="115"/>
    </row>
    <row r="455" spans="1:62" hidden="1" x14ac:dyDescent="0.35">
      <c r="A455" s="19" t="str">
        <f>VLOOKUP(C455,Master!A:D,4,0)</f>
        <v>RM</v>
      </c>
      <c r="B455" s="14" t="str">
        <f>VLOOKUP(C455,Master!A:C,3,0)</f>
        <v>Films All</v>
      </c>
      <c r="C455" s="14" t="s">
        <v>180</v>
      </c>
      <c r="D455" s="2">
        <f t="shared" si="318"/>
        <v>0</v>
      </c>
      <c r="E455" s="2">
        <f t="shared" si="319"/>
        <v>0</v>
      </c>
      <c r="F455" s="2">
        <f t="shared" si="320"/>
        <v>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>
        <f t="shared" si="313"/>
        <v>0</v>
      </c>
      <c r="V455" s="2">
        <f t="shared" si="314"/>
        <v>0</v>
      </c>
      <c r="W455" s="2">
        <f t="shared" si="321"/>
        <v>0</v>
      </c>
      <c r="X455" s="2">
        <f t="shared" si="322"/>
        <v>0</v>
      </c>
      <c r="Y455" s="2">
        <f t="shared" si="323"/>
        <v>0</v>
      </c>
      <c r="Z455" s="46">
        <v>0</v>
      </c>
      <c r="AA455" s="46">
        <v>0</v>
      </c>
      <c r="AB455" s="46">
        <v>0</v>
      </c>
      <c r="AC455" s="58">
        <f t="shared" si="324"/>
        <v>0</v>
      </c>
      <c r="AD455" s="58">
        <f t="shared" si="317"/>
        <v>0</v>
      </c>
      <c r="AE455" s="58">
        <f t="shared" si="325"/>
        <v>0</v>
      </c>
      <c r="AF455" s="56"/>
      <c r="AG455" s="62"/>
      <c r="AH455" s="117">
        <f t="shared" si="326"/>
        <v>0</v>
      </c>
      <c r="AI455" s="114"/>
      <c r="AJ455" s="114"/>
      <c r="AK455" s="114"/>
      <c r="AL455" s="114"/>
      <c r="AM455" s="114"/>
      <c r="AN455" s="114"/>
      <c r="AO455" s="114"/>
      <c r="AP455" s="114"/>
      <c r="AQ455" s="114"/>
      <c r="AR455" s="114"/>
      <c r="AS455" s="114"/>
      <c r="AT455" s="114"/>
      <c r="AU455" s="114"/>
      <c r="AV455" s="114"/>
      <c r="AW455" s="114"/>
      <c r="AX455" s="114"/>
      <c r="AY455" s="119"/>
      <c r="AZ455" s="115"/>
      <c r="BA455" s="115"/>
      <c r="BB455" s="115"/>
      <c r="BC455" s="115"/>
      <c r="BD455" s="115"/>
      <c r="BE455" s="115"/>
      <c r="BF455" s="115"/>
      <c r="BG455" s="115"/>
      <c r="BH455" s="115"/>
      <c r="BI455" s="115"/>
      <c r="BJ455" s="115"/>
    </row>
    <row r="456" spans="1:62" hidden="1" x14ac:dyDescent="0.35">
      <c r="A456" s="19" t="str">
        <f>VLOOKUP(C456,Master!A:D,4,0)</f>
        <v>RM</v>
      </c>
      <c r="B456" s="14" t="str">
        <f>VLOOKUP(C456,Master!A:C,3,0)</f>
        <v>Granuals</v>
      </c>
      <c r="C456" s="14" t="s">
        <v>277</v>
      </c>
      <c r="D456" s="2">
        <f t="shared" si="318"/>
        <v>0</v>
      </c>
      <c r="E456" s="2">
        <f t="shared" si="319"/>
        <v>0</v>
      </c>
      <c r="F456" s="2">
        <f t="shared" si="320"/>
        <v>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>
        <f t="shared" si="313"/>
        <v>0</v>
      </c>
      <c r="V456" s="2">
        <f t="shared" si="314"/>
        <v>0</v>
      </c>
      <c r="W456" s="2">
        <f t="shared" si="321"/>
        <v>0</v>
      </c>
      <c r="X456" s="2">
        <f t="shared" si="322"/>
        <v>0</v>
      </c>
      <c r="Y456" s="2">
        <f t="shared" si="323"/>
        <v>0</v>
      </c>
      <c r="Z456" s="46">
        <v>0</v>
      </c>
      <c r="AA456" s="46">
        <v>0</v>
      </c>
      <c r="AB456" s="46">
        <v>0</v>
      </c>
      <c r="AC456" s="58">
        <f t="shared" si="324"/>
        <v>0</v>
      </c>
      <c r="AD456" s="58">
        <f t="shared" si="317"/>
        <v>0</v>
      </c>
      <c r="AE456" s="58">
        <f t="shared" si="325"/>
        <v>0</v>
      </c>
      <c r="AF456" s="56"/>
      <c r="AG456" s="62"/>
      <c r="AH456" s="117">
        <f t="shared" si="326"/>
        <v>0</v>
      </c>
      <c r="AI456" s="114"/>
      <c r="AJ456" s="114"/>
      <c r="AK456" s="114"/>
      <c r="AL456" s="114"/>
      <c r="AM456" s="114"/>
      <c r="AN456" s="114"/>
      <c r="AO456" s="114"/>
      <c r="AP456" s="114"/>
      <c r="AQ456" s="114"/>
      <c r="AR456" s="114"/>
      <c r="AS456" s="114"/>
      <c r="AT456" s="114"/>
      <c r="AU456" s="114"/>
      <c r="AV456" s="114"/>
      <c r="AW456" s="114"/>
      <c r="AX456" s="114"/>
      <c r="AY456" s="119"/>
      <c r="AZ456" s="115"/>
      <c r="BA456" s="115"/>
      <c r="BB456" s="115"/>
      <c r="BC456" s="115"/>
      <c r="BD456" s="115"/>
      <c r="BE456" s="115"/>
      <c r="BF456" s="115"/>
      <c r="BG456" s="115"/>
      <c r="BH456" s="115"/>
      <c r="BI456" s="115"/>
      <c r="BJ456" s="115"/>
    </row>
    <row r="457" spans="1:62" hidden="1" x14ac:dyDescent="0.35">
      <c r="A457" s="19" t="str">
        <f>VLOOKUP(C457,Master!A:D,4,0)</f>
        <v>RM</v>
      </c>
      <c r="B457" s="14" t="str">
        <f>VLOOKUP(C457,Master!A:C,3,0)</f>
        <v>Granuals</v>
      </c>
      <c r="C457" s="14" t="s">
        <v>387</v>
      </c>
      <c r="D457" s="2">
        <f t="shared" si="318"/>
        <v>0</v>
      </c>
      <c r="E457" s="2">
        <f t="shared" si="319"/>
        <v>0</v>
      </c>
      <c r="F457" s="2">
        <f t="shared" si="320"/>
        <v>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>
        <f t="shared" si="313"/>
        <v>0</v>
      </c>
      <c r="V457" s="2">
        <f t="shared" si="314"/>
        <v>0</v>
      </c>
      <c r="W457" s="2">
        <f t="shared" si="321"/>
        <v>0</v>
      </c>
      <c r="X457" s="2">
        <f t="shared" si="322"/>
        <v>0</v>
      </c>
      <c r="Y457" s="2">
        <f t="shared" si="323"/>
        <v>0</v>
      </c>
      <c r="Z457" s="46">
        <v>0</v>
      </c>
      <c r="AA457" s="46">
        <v>0</v>
      </c>
      <c r="AB457" s="46">
        <v>0</v>
      </c>
      <c r="AC457" s="58">
        <f t="shared" si="324"/>
        <v>0</v>
      </c>
      <c r="AD457" s="58">
        <f t="shared" si="317"/>
        <v>0</v>
      </c>
      <c r="AE457" s="58">
        <f t="shared" si="325"/>
        <v>0</v>
      </c>
      <c r="AF457" s="56"/>
      <c r="AG457" s="62"/>
      <c r="AH457" s="117">
        <f t="shared" si="326"/>
        <v>0</v>
      </c>
      <c r="AI457" s="114"/>
      <c r="AJ457" s="114"/>
      <c r="AK457" s="114"/>
      <c r="AL457" s="114"/>
      <c r="AM457" s="114"/>
      <c r="AN457" s="114"/>
      <c r="AO457" s="114"/>
      <c r="AP457" s="114"/>
      <c r="AQ457" s="114"/>
      <c r="AR457" s="114"/>
      <c r="AS457" s="114"/>
      <c r="AT457" s="114"/>
      <c r="AU457" s="114"/>
      <c r="AV457" s="114"/>
      <c r="AW457" s="114"/>
      <c r="AX457" s="114"/>
      <c r="AY457" s="119"/>
      <c r="AZ457" s="115"/>
      <c r="BA457" s="115"/>
      <c r="BB457" s="115"/>
      <c r="BC457" s="115"/>
      <c r="BD457" s="115"/>
      <c r="BE457" s="115"/>
      <c r="BF457" s="115"/>
      <c r="BG457" s="115"/>
      <c r="BH457" s="115"/>
      <c r="BI457" s="115"/>
      <c r="BJ457" s="115"/>
    </row>
    <row r="458" spans="1:62" hidden="1" x14ac:dyDescent="0.35">
      <c r="A458" s="19" t="str">
        <f>VLOOKUP(C458,Master!A:D,4,0)</f>
        <v>RM</v>
      </c>
      <c r="B458" s="14" t="str">
        <f>VLOOKUP(C458,Master!A:C,3,0)</f>
        <v>Films All</v>
      </c>
      <c r="C458" s="14" t="s">
        <v>398</v>
      </c>
      <c r="D458" s="2">
        <f t="shared" si="318"/>
        <v>0</v>
      </c>
      <c r="E458" s="2">
        <f t="shared" si="319"/>
        <v>0</v>
      </c>
      <c r="F458" s="2">
        <f t="shared" si="320"/>
        <v>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>
        <f t="shared" si="313"/>
        <v>0</v>
      </c>
      <c r="V458" s="2">
        <f t="shared" si="314"/>
        <v>0</v>
      </c>
      <c r="W458" s="2">
        <f t="shared" si="321"/>
        <v>0</v>
      </c>
      <c r="X458" s="2">
        <f t="shared" si="322"/>
        <v>0</v>
      </c>
      <c r="Y458" s="2">
        <f t="shared" si="323"/>
        <v>0</v>
      </c>
      <c r="Z458" s="46">
        <v>0</v>
      </c>
      <c r="AA458" s="46">
        <v>0</v>
      </c>
      <c r="AB458" s="46">
        <v>0</v>
      </c>
      <c r="AC458" s="58">
        <f t="shared" si="324"/>
        <v>0</v>
      </c>
      <c r="AD458" s="58">
        <f t="shared" si="317"/>
        <v>0</v>
      </c>
      <c r="AE458" s="58">
        <f t="shared" si="325"/>
        <v>0</v>
      </c>
      <c r="AF458" s="56"/>
      <c r="AG458" s="62"/>
      <c r="AH458" s="117">
        <f t="shared" si="326"/>
        <v>0</v>
      </c>
      <c r="AI458" s="114"/>
      <c r="AJ458" s="114"/>
      <c r="AK458" s="114"/>
      <c r="AL458" s="114"/>
      <c r="AM458" s="114"/>
      <c r="AN458" s="114"/>
      <c r="AO458" s="114"/>
      <c r="AP458" s="114"/>
      <c r="AQ458" s="114"/>
      <c r="AR458" s="114"/>
      <c r="AS458" s="114"/>
      <c r="AT458" s="114"/>
      <c r="AU458" s="114"/>
      <c r="AV458" s="114"/>
      <c r="AW458" s="114"/>
      <c r="AX458" s="114"/>
      <c r="AY458" s="119"/>
      <c r="AZ458" s="115"/>
      <c r="BA458" s="115"/>
      <c r="BB458" s="115"/>
      <c r="BC458" s="115"/>
      <c r="BD458" s="115"/>
      <c r="BE458" s="115"/>
      <c r="BF458" s="115"/>
      <c r="BG458" s="115"/>
      <c r="BH458" s="115"/>
      <c r="BI458" s="115"/>
      <c r="BJ458" s="115"/>
    </row>
    <row r="459" spans="1:62" hidden="1" x14ac:dyDescent="0.35">
      <c r="A459" s="19" t="str">
        <f>VLOOKUP(C459,Master!A:D,4,0)</f>
        <v>RM</v>
      </c>
      <c r="B459" s="14" t="str">
        <f>VLOOKUP(C459,Master!A:C,3,0)</f>
        <v>Granuals</v>
      </c>
      <c r="C459" s="14" t="s">
        <v>417</v>
      </c>
      <c r="D459" s="2">
        <f t="shared" si="318"/>
        <v>0</v>
      </c>
      <c r="E459" s="2">
        <f t="shared" si="319"/>
        <v>0</v>
      </c>
      <c r="F459" s="2">
        <f t="shared" si="320"/>
        <v>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>
        <f t="shared" si="313"/>
        <v>0</v>
      </c>
      <c r="V459" s="2">
        <f t="shared" si="314"/>
        <v>0</v>
      </c>
      <c r="W459" s="2">
        <f t="shared" si="321"/>
        <v>0</v>
      </c>
      <c r="X459" s="2">
        <f t="shared" si="322"/>
        <v>0</v>
      </c>
      <c r="Y459" s="2">
        <f t="shared" si="323"/>
        <v>0</v>
      </c>
      <c r="Z459" s="46">
        <v>0</v>
      </c>
      <c r="AA459" s="46">
        <v>0</v>
      </c>
      <c r="AB459" s="46">
        <v>0</v>
      </c>
      <c r="AC459" s="58">
        <f t="shared" si="324"/>
        <v>0</v>
      </c>
      <c r="AD459" s="58">
        <f t="shared" si="317"/>
        <v>0</v>
      </c>
      <c r="AE459" s="58">
        <f t="shared" si="325"/>
        <v>0</v>
      </c>
      <c r="AF459" s="56"/>
      <c r="AG459" s="62"/>
      <c r="AH459" s="117">
        <f t="shared" si="326"/>
        <v>0</v>
      </c>
      <c r="AI459" s="114"/>
      <c r="AJ459" s="114"/>
      <c r="AK459" s="114"/>
      <c r="AL459" s="114"/>
      <c r="AM459" s="114"/>
      <c r="AN459" s="114"/>
      <c r="AO459" s="114"/>
      <c r="AP459" s="114"/>
      <c r="AQ459" s="114"/>
      <c r="AR459" s="114"/>
      <c r="AS459" s="114"/>
      <c r="AT459" s="114"/>
      <c r="AU459" s="114"/>
      <c r="AV459" s="114"/>
      <c r="AW459" s="114"/>
      <c r="AX459" s="114"/>
      <c r="AY459" s="119"/>
      <c r="AZ459" s="115"/>
      <c r="BA459" s="115"/>
      <c r="BB459" s="115"/>
      <c r="BC459" s="115"/>
      <c r="BD459" s="115"/>
      <c r="BE459" s="115"/>
      <c r="BF459" s="115"/>
      <c r="BG459" s="115"/>
      <c r="BH459" s="115"/>
      <c r="BI459" s="115"/>
      <c r="BJ459" s="115"/>
    </row>
    <row r="460" spans="1:62" hidden="1" x14ac:dyDescent="0.35">
      <c r="A460" s="19" t="str">
        <f>VLOOKUP(C460,Master!A:D,4,0)</f>
        <v>SF</v>
      </c>
      <c r="B460" s="14" t="str">
        <f>VLOOKUP(C460,Master!A:C,3,0)</f>
        <v>Yarn All</v>
      </c>
      <c r="C460" s="14" t="s">
        <v>629</v>
      </c>
      <c r="D460" s="2">
        <f t="shared" si="318"/>
        <v>6000.0000000000055</v>
      </c>
      <c r="E460" s="2">
        <f t="shared" si="319"/>
        <v>8285.8300000000017</v>
      </c>
      <c r="F460" s="2">
        <f t="shared" si="320"/>
        <v>0</v>
      </c>
      <c r="G460" s="2"/>
      <c r="H460" s="2"/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>
        <f t="shared" si="313"/>
        <v>0</v>
      </c>
      <c r="V460" s="2">
        <f t="shared" si="314"/>
        <v>0</v>
      </c>
      <c r="W460" s="2">
        <f t="shared" si="321"/>
        <v>6000.0000000000055</v>
      </c>
      <c r="X460" s="2">
        <f t="shared" si="322"/>
        <v>8285.8300000000017</v>
      </c>
      <c r="Y460" s="2">
        <f t="shared" si="323"/>
        <v>0</v>
      </c>
      <c r="Z460" s="46">
        <v>0</v>
      </c>
      <c r="AA460" s="46">
        <v>0</v>
      </c>
      <c r="AB460" s="46">
        <v>0</v>
      </c>
      <c r="AC460" s="58">
        <v>0</v>
      </c>
      <c r="AD460" s="58">
        <f t="shared" si="317"/>
        <v>8285.8300000000017</v>
      </c>
      <c r="AE460" s="58">
        <f t="shared" si="325"/>
        <v>0</v>
      </c>
      <c r="AF460" s="56"/>
      <c r="AG460" s="62"/>
      <c r="AH460" s="117">
        <f t="shared" si="326"/>
        <v>0</v>
      </c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14"/>
      <c r="AS460" s="114"/>
      <c r="AT460" s="114"/>
      <c r="AU460" s="114"/>
      <c r="AV460" s="114"/>
      <c r="AW460" s="114"/>
      <c r="AX460" s="114"/>
      <c r="AY460" s="119"/>
      <c r="AZ460" s="115"/>
      <c r="BA460" s="115"/>
      <c r="BB460" s="115"/>
      <c r="BC460" s="115"/>
      <c r="BD460" s="115"/>
      <c r="BE460" s="115"/>
      <c r="BF460" s="115"/>
      <c r="BG460" s="115"/>
      <c r="BH460" s="115"/>
      <c r="BI460" s="115"/>
      <c r="BJ460" s="115"/>
    </row>
    <row r="461" spans="1:62" hidden="1" x14ac:dyDescent="0.35">
      <c r="A461" s="19" t="str">
        <f>VLOOKUP(C461,Master!A:D,4,0)</f>
        <v>SF</v>
      </c>
      <c r="B461" s="14" t="str">
        <f>VLOOKUP(C461,Master!A:C,3,0)</f>
        <v>PP/PE Fabric</v>
      </c>
      <c r="C461" s="14" t="s">
        <v>639</v>
      </c>
      <c r="D461" s="2">
        <f t="shared" si="318"/>
        <v>0</v>
      </c>
      <c r="E461" s="2">
        <f t="shared" si="319"/>
        <v>13277</v>
      </c>
      <c r="F461" s="2">
        <f t="shared" si="320"/>
        <v>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>
        <f t="shared" si="313"/>
        <v>0</v>
      </c>
      <c r="V461" s="2">
        <f t="shared" si="314"/>
        <v>0</v>
      </c>
      <c r="W461" s="2">
        <f t="shared" si="321"/>
        <v>0</v>
      </c>
      <c r="X461" s="2">
        <f t="shared" si="322"/>
        <v>13277</v>
      </c>
      <c r="Y461" s="2">
        <f t="shared" si="323"/>
        <v>0</v>
      </c>
      <c r="Z461" s="46">
        <v>0</v>
      </c>
      <c r="AA461" s="46">
        <v>0</v>
      </c>
      <c r="AB461" s="46">
        <v>0</v>
      </c>
      <c r="AC461" s="58">
        <f t="shared" si="324"/>
        <v>0</v>
      </c>
      <c r="AD461" s="58">
        <f t="shared" si="317"/>
        <v>13277</v>
      </c>
      <c r="AE461" s="58">
        <f t="shared" si="325"/>
        <v>0</v>
      </c>
      <c r="AF461" s="56"/>
      <c r="AG461" s="62"/>
      <c r="AH461" s="117">
        <f t="shared" si="326"/>
        <v>0</v>
      </c>
      <c r="AI461" s="114"/>
      <c r="AJ461" s="114"/>
      <c r="AK461" s="114"/>
      <c r="AL461" s="114"/>
      <c r="AM461" s="114"/>
      <c r="AN461" s="114"/>
      <c r="AO461" s="114"/>
      <c r="AP461" s="114"/>
      <c r="AQ461" s="114"/>
      <c r="AR461" s="114"/>
      <c r="AS461" s="114"/>
      <c r="AT461" s="114"/>
      <c r="AU461" s="114"/>
      <c r="AV461" s="114"/>
      <c r="AW461" s="114"/>
      <c r="AX461" s="114"/>
      <c r="AY461" s="119"/>
      <c r="AZ461" s="115"/>
      <c r="BA461" s="115"/>
      <c r="BB461" s="115"/>
      <c r="BC461" s="115"/>
      <c r="BD461" s="115"/>
      <c r="BE461" s="115"/>
      <c r="BF461" s="115"/>
      <c r="BG461" s="115"/>
      <c r="BH461" s="115"/>
      <c r="BI461" s="115"/>
      <c r="BJ461" s="115"/>
    </row>
    <row r="462" spans="1:62" hidden="1" x14ac:dyDescent="0.35">
      <c r="A462" s="19" t="str">
        <f>VLOOKUP(C462,Master!A:D,4,0)</f>
        <v>SF</v>
      </c>
      <c r="B462" s="14" t="str">
        <f>VLOOKUP(C462,Master!A:C,3,0)</f>
        <v>Flexitank Accessories</v>
      </c>
      <c r="C462" s="14" t="s">
        <v>641</v>
      </c>
      <c r="D462" s="2">
        <f t="shared" si="318"/>
        <v>0</v>
      </c>
      <c r="E462" s="2">
        <f t="shared" si="319"/>
        <v>0</v>
      </c>
      <c r="F462" s="2">
        <f t="shared" si="320"/>
        <v>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>
        <f t="shared" si="313"/>
        <v>0</v>
      </c>
      <c r="V462" s="2">
        <f t="shared" si="314"/>
        <v>0</v>
      </c>
      <c r="W462" s="2">
        <f t="shared" si="321"/>
        <v>0</v>
      </c>
      <c r="X462" s="2">
        <f t="shared" si="322"/>
        <v>0</v>
      </c>
      <c r="Y462" s="2">
        <f t="shared" si="323"/>
        <v>0</v>
      </c>
      <c r="Z462" s="46">
        <v>0</v>
      </c>
      <c r="AA462" s="46">
        <v>0</v>
      </c>
      <c r="AB462" s="46">
        <v>0</v>
      </c>
      <c r="AC462" s="58">
        <f t="shared" si="324"/>
        <v>0</v>
      </c>
      <c r="AD462" s="58">
        <f t="shared" si="324"/>
        <v>0</v>
      </c>
      <c r="AE462" s="58">
        <f t="shared" si="325"/>
        <v>0</v>
      </c>
      <c r="AF462" s="56"/>
      <c r="AG462" s="62"/>
      <c r="AH462" s="117">
        <f t="shared" si="326"/>
        <v>0</v>
      </c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14"/>
      <c r="AS462" s="114"/>
      <c r="AT462" s="114"/>
      <c r="AU462" s="114"/>
      <c r="AV462" s="114"/>
      <c r="AW462" s="114"/>
      <c r="AX462" s="114"/>
      <c r="AY462" s="119"/>
      <c r="AZ462" s="115"/>
      <c r="BA462" s="115"/>
      <c r="BB462" s="115"/>
      <c r="BC462" s="115"/>
      <c r="BD462" s="115"/>
      <c r="BE462" s="115"/>
      <c r="BF462" s="115"/>
      <c r="BG462" s="115"/>
      <c r="BH462" s="115"/>
      <c r="BI462" s="115"/>
      <c r="BJ462" s="115"/>
    </row>
    <row r="463" spans="1:62" hidden="1" x14ac:dyDescent="0.35">
      <c r="A463" s="19" t="str">
        <f>VLOOKUP(C463,Master!A:D,4,0)</f>
        <v>SF</v>
      </c>
      <c r="B463" s="14" t="str">
        <f>VLOOKUP(C463,Master!A:C,3,0)</f>
        <v>PP/PE Fabric</v>
      </c>
      <c r="C463" s="14" t="s">
        <v>652</v>
      </c>
      <c r="D463" s="2">
        <f t="shared" si="318"/>
        <v>0</v>
      </c>
      <c r="E463" s="2">
        <f t="shared" si="319"/>
        <v>27104.800000000003</v>
      </c>
      <c r="F463" s="2">
        <f t="shared" si="320"/>
        <v>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>
        <f t="shared" si="313"/>
        <v>0</v>
      </c>
      <c r="V463" s="2">
        <f t="shared" si="314"/>
        <v>0</v>
      </c>
      <c r="W463" s="2">
        <f t="shared" si="321"/>
        <v>0</v>
      </c>
      <c r="X463" s="2">
        <f t="shared" si="322"/>
        <v>27104.800000000003</v>
      </c>
      <c r="Y463" s="2">
        <f t="shared" si="323"/>
        <v>0</v>
      </c>
      <c r="Z463" s="46">
        <v>0</v>
      </c>
      <c r="AA463" s="46">
        <v>0</v>
      </c>
      <c r="AB463" s="46">
        <v>0</v>
      </c>
      <c r="AC463" s="58">
        <f t="shared" si="324"/>
        <v>0</v>
      </c>
      <c r="AD463" s="58">
        <f t="shared" si="324"/>
        <v>27104.800000000003</v>
      </c>
      <c r="AE463" s="58">
        <f t="shared" si="325"/>
        <v>0</v>
      </c>
      <c r="AF463" s="56"/>
      <c r="AG463" s="62"/>
      <c r="AH463" s="117">
        <f t="shared" si="326"/>
        <v>0</v>
      </c>
      <c r="AI463" s="114"/>
      <c r="AJ463" s="114"/>
      <c r="AK463" s="114"/>
      <c r="AL463" s="114"/>
      <c r="AM463" s="114"/>
      <c r="AN463" s="114"/>
      <c r="AO463" s="114"/>
      <c r="AP463" s="114"/>
      <c r="AQ463" s="114"/>
      <c r="AR463" s="114"/>
      <c r="AS463" s="114"/>
      <c r="AT463" s="114"/>
      <c r="AU463" s="114"/>
      <c r="AV463" s="114"/>
      <c r="AW463" s="114"/>
      <c r="AX463" s="114"/>
      <c r="AY463" s="119"/>
      <c r="AZ463" s="115"/>
      <c r="BA463" s="115"/>
      <c r="BB463" s="115"/>
      <c r="BC463" s="115"/>
      <c r="BD463" s="115"/>
      <c r="BE463" s="115"/>
      <c r="BF463" s="115"/>
      <c r="BG463" s="115"/>
      <c r="BH463" s="115"/>
      <c r="BI463" s="115"/>
      <c r="BJ463" s="115"/>
    </row>
    <row r="464" spans="1:62" hidden="1" x14ac:dyDescent="0.35">
      <c r="A464" s="19" t="str">
        <f>VLOOKUP(C464,Master!A:D,4,0)</f>
        <v>SF</v>
      </c>
      <c r="B464" s="14" t="str">
        <f>VLOOKUP(C464,Master!A:C,3,0)</f>
        <v>PP/PE Fabric</v>
      </c>
      <c r="C464" s="14" t="s">
        <v>664</v>
      </c>
      <c r="D464" s="2">
        <f t="shared" si="318"/>
        <v>0</v>
      </c>
      <c r="E464" s="2">
        <f t="shared" si="319"/>
        <v>0</v>
      </c>
      <c r="F464" s="2">
        <f t="shared" si="320"/>
        <v>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>
        <f t="shared" si="313"/>
        <v>0</v>
      </c>
      <c r="V464" s="2">
        <f t="shared" si="314"/>
        <v>0</v>
      </c>
      <c r="W464" s="2">
        <f t="shared" si="321"/>
        <v>0</v>
      </c>
      <c r="X464" s="2">
        <f t="shared" si="322"/>
        <v>0</v>
      </c>
      <c r="Y464" s="2">
        <f t="shared" si="323"/>
        <v>0</v>
      </c>
      <c r="Z464" s="46">
        <v>0</v>
      </c>
      <c r="AA464" s="46">
        <v>0</v>
      </c>
      <c r="AB464" s="46">
        <v>0</v>
      </c>
      <c r="AC464" s="58">
        <f t="shared" si="324"/>
        <v>0</v>
      </c>
      <c r="AD464" s="58">
        <f t="shared" si="324"/>
        <v>0</v>
      </c>
      <c r="AE464" s="58">
        <f t="shared" si="325"/>
        <v>0</v>
      </c>
      <c r="AF464" s="56"/>
      <c r="AG464" s="62"/>
      <c r="AH464" s="117">
        <f t="shared" si="326"/>
        <v>0</v>
      </c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4"/>
      <c r="AS464" s="114"/>
      <c r="AT464" s="114"/>
      <c r="AU464" s="114"/>
      <c r="AV464" s="114"/>
      <c r="AW464" s="114"/>
      <c r="AX464" s="114"/>
      <c r="AY464" s="119"/>
      <c r="AZ464" s="115"/>
      <c r="BA464" s="115"/>
      <c r="BB464" s="115"/>
      <c r="BC464" s="115"/>
      <c r="BD464" s="115"/>
      <c r="BE464" s="115"/>
      <c r="BF464" s="115"/>
      <c r="BG464" s="115"/>
      <c r="BH464" s="115"/>
      <c r="BI464" s="115"/>
      <c r="BJ464" s="115"/>
    </row>
    <row r="465" spans="1:62" hidden="1" x14ac:dyDescent="0.35">
      <c r="A465" s="19" t="str">
        <f>VLOOKUP(C465,Master!A:D,4,0)</f>
        <v>SF</v>
      </c>
      <c r="B465" s="14" t="str">
        <f>VLOOKUP(C465,Master!A:C,3,0)</f>
        <v>PP/PE Fabric</v>
      </c>
      <c r="C465" s="14" t="s">
        <v>675</v>
      </c>
      <c r="D465" s="2">
        <f t="shared" si="318"/>
        <v>0</v>
      </c>
      <c r="E465" s="2">
        <f t="shared" si="319"/>
        <v>0</v>
      </c>
      <c r="F465" s="2">
        <f t="shared" si="320"/>
        <v>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>
        <f t="shared" si="313"/>
        <v>0</v>
      </c>
      <c r="V465" s="2">
        <f t="shared" si="314"/>
        <v>0</v>
      </c>
      <c r="W465" s="2">
        <f t="shared" si="321"/>
        <v>0</v>
      </c>
      <c r="X465" s="2">
        <f t="shared" si="322"/>
        <v>0</v>
      </c>
      <c r="Y465" s="2">
        <f t="shared" si="323"/>
        <v>0</v>
      </c>
      <c r="Z465" s="46">
        <v>0</v>
      </c>
      <c r="AA465" s="46">
        <v>0</v>
      </c>
      <c r="AB465" s="46">
        <v>0</v>
      </c>
      <c r="AC465" s="58">
        <f t="shared" si="324"/>
        <v>0</v>
      </c>
      <c r="AD465" s="58">
        <f t="shared" si="324"/>
        <v>0</v>
      </c>
      <c r="AE465" s="58">
        <f t="shared" si="325"/>
        <v>0</v>
      </c>
      <c r="AF465" s="56"/>
      <c r="AG465" s="62"/>
      <c r="AH465" s="117">
        <f t="shared" si="326"/>
        <v>0</v>
      </c>
      <c r="AI465" s="114"/>
      <c r="AJ465" s="114"/>
      <c r="AK465" s="114"/>
      <c r="AL465" s="114"/>
      <c r="AM465" s="114"/>
      <c r="AN465" s="114"/>
      <c r="AO465" s="114"/>
      <c r="AP465" s="114"/>
      <c r="AQ465" s="114"/>
      <c r="AR465" s="114"/>
      <c r="AS465" s="114"/>
      <c r="AT465" s="114"/>
      <c r="AU465" s="114"/>
      <c r="AV465" s="114"/>
      <c r="AW465" s="114"/>
      <c r="AX465" s="114"/>
      <c r="AY465" s="119"/>
      <c r="AZ465" s="115"/>
      <c r="BA465" s="115"/>
      <c r="BB465" s="115"/>
      <c r="BC465" s="115"/>
      <c r="BD465" s="115"/>
      <c r="BE465" s="115"/>
      <c r="BF465" s="115"/>
      <c r="BG465" s="115"/>
      <c r="BH465" s="115"/>
      <c r="BI465" s="115"/>
      <c r="BJ465" s="115"/>
    </row>
    <row r="466" spans="1:62" hidden="1" x14ac:dyDescent="0.35">
      <c r="A466" s="19" t="str">
        <f>VLOOKUP(C466,Master!A:D,4,0)</f>
        <v>SF</v>
      </c>
      <c r="B466" s="14" t="str">
        <f>VLOOKUP(C466,Master!A:C,3,0)</f>
        <v>Granuals</v>
      </c>
      <c r="C466" s="14" t="s">
        <v>688</v>
      </c>
      <c r="D466" s="2">
        <f t="shared" si="318"/>
        <v>0</v>
      </c>
      <c r="E466" s="2">
        <f t="shared" si="319"/>
        <v>0</v>
      </c>
      <c r="F466" s="2">
        <f t="shared" si="320"/>
        <v>0</v>
      </c>
      <c r="G466" s="2"/>
      <c r="H466" s="2"/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>
        <f t="shared" si="313"/>
        <v>0</v>
      </c>
      <c r="V466" s="2">
        <f t="shared" si="314"/>
        <v>0</v>
      </c>
      <c r="W466" s="2">
        <f t="shared" si="321"/>
        <v>0</v>
      </c>
      <c r="X466" s="2">
        <f t="shared" si="322"/>
        <v>0</v>
      </c>
      <c r="Y466" s="2">
        <f t="shared" si="323"/>
        <v>0</v>
      </c>
      <c r="Z466" s="46">
        <v>0</v>
      </c>
      <c r="AA466" s="46">
        <v>0</v>
      </c>
      <c r="AB466" s="46">
        <v>0</v>
      </c>
      <c r="AC466" s="58">
        <f t="shared" si="324"/>
        <v>0</v>
      </c>
      <c r="AD466" s="58">
        <f t="shared" si="324"/>
        <v>0</v>
      </c>
      <c r="AE466" s="58">
        <f t="shared" si="325"/>
        <v>0</v>
      </c>
      <c r="AF466" s="56"/>
      <c r="AG466" s="62"/>
      <c r="AH466" s="117">
        <f t="shared" si="326"/>
        <v>0</v>
      </c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  <c r="AS466" s="114"/>
      <c r="AT466" s="114"/>
      <c r="AU466" s="114"/>
      <c r="AV466" s="114"/>
      <c r="AW466" s="114"/>
      <c r="AX466" s="114"/>
      <c r="AY466" s="119"/>
      <c r="AZ466" s="115"/>
      <c r="BA466" s="115"/>
      <c r="BB466" s="115"/>
      <c r="BC466" s="115"/>
      <c r="BD466" s="115"/>
      <c r="BE466" s="115"/>
      <c r="BF466" s="115"/>
      <c r="BG466" s="115"/>
      <c r="BH466" s="115"/>
      <c r="BI466" s="115"/>
      <c r="BJ466" s="115"/>
    </row>
    <row r="467" spans="1:62" hidden="1" x14ac:dyDescent="0.35">
      <c r="A467" s="19" t="str">
        <f>VLOOKUP(C467,Master!A:D,4,0)</f>
        <v>SF</v>
      </c>
      <c r="B467" s="14" t="str">
        <f>VLOOKUP(C467,Master!A:C,3,0)</f>
        <v>Liners</v>
      </c>
      <c r="C467" s="14" t="s">
        <v>707</v>
      </c>
      <c r="D467" s="2">
        <f t="shared" si="318"/>
        <v>0</v>
      </c>
      <c r="E467" s="2">
        <f t="shared" si="319"/>
        <v>0</v>
      </c>
      <c r="F467" s="2">
        <f t="shared" si="320"/>
        <v>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>
        <f t="shared" si="313"/>
        <v>0</v>
      </c>
      <c r="V467" s="2">
        <f t="shared" si="314"/>
        <v>0</v>
      </c>
      <c r="W467" s="2">
        <f t="shared" si="321"/>
        <v>0</v>
      </c>
      <c r="X467" s="2">
        <f t="shared" si="322"/>
        <v>0</v>
      </c>
      <c r="Y467" s="2">
        <f t="shared" si="323"/>
        <v>0</v>
      </c>
      <c r="Z467" s="46">
        <v>0</v>
      </c>
      <c r="AA467" s="46">
        <v>0</v>
      </c>
      <c r="AB467" s="46">
        <v>0</v>
      </c>
      <c r="AC467" s="58">
        <f t="shared" si="324"/>
        <v>0</v>
      </c>
      <c r="AD467" s="58">
        <f t="shared" si="324"/>
        <v>0</v>
      </c>
      <c r="AE467" s="58">
        <f t="shared" si="325"/>
        <v>0</v>
      </c>
      <c r="AF467" s="56"/>
      <c r="AG467" s="62"/>
      <c r="AH467" s="117">
        <f t="shared" si="326"/>
        <v>0</v>
      </c>
      <c r="AI467" s="114"/>
      <c r="AJ467" s="114"/>
      <c r="AK467" s="114"/>
      <c r="AL467" s="114"/>
      <c r="AM467" s="114"/>
      <c r="AN467" s="114"/>
      <c r="AO467" s="114"/>
      <c r="AP467" s="114"/>
      <c r="AQ467" s="114"/>
      <c r="AR467" s="114"/>
      <c r="AS467" s="114"/>
      <c r="AT467" s="114"/>
      <c r="AU467" s="114"/>
      <c r="AV467" s="114"/>
      <c r="AW467" s="114"/>
      <c r="AX467" s="114"/>
      <c r="AY467" s="119"/>
      <c r="AZ467" s="115"/>
      <c r="BA467" s="115"/>
      <c r="BB467" s="115"/>
      <c r="BC467" s="115"/>
      <c r="BD467" s="115"/>
      <c r="BE467" s="115"/>
      <c r="BF467" s="115"/>
      <c r="BG467" s="115"/>
      <c r="BH467" s="115"/>
      <c r="BI467" s="115"/>
      <c r="BJ467" s="115"/>
    </row>
    <row r="468" spans="1:62" hidden="1" x14ac:dyDescent="0.35">
      <c r="A468" s="19" t="str">
        <f>VLOOKUP(C468,Master!A:D,4,0)</f>
        <v>SF</v>
      </c>
      <c r="B468" s="14" t="str">
        <f>VLOOKUP(C468,Master!A:C,3,0)</f>
        <v>Webbing</v>
      </c>
      <c r="C468" s="14" t="s">
        <v>710</v>
      </c>
      <c r="D468" s="2">
        <f t="shared" si="318"/>
        <v>0</v>
      </c>
      <c r="E468" s="2">
        <f t="shared" si="319"/>
        <v>1771.8</v>
      </c>
      <c r="F468" s="2">
        <f t="shared" si="320"/>
        <v>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>
        <f t="shared" si="313"/>
        <v>0</v>
      </c>
      <c r="V468" s="2">
        <f t="shared" si="314"/>
        <v>0</v>
      </c>
      <c r="W468" s="2">
        <f t="shared" si="321"/>
        <v>0</v>
      </c>
      <c r="X468" s="2">
        <f t="shared" si="322"/>
        <v>1771.8</v>
      </c>
      <c r="Y468" s="2">
        <f t="shared" si="323"/>
        <v>0</v>
      </c>
      <c r="Z468" s="46">
        <v>0</v>
      </c>
      <c r="AA468" s="46">
        <v>0</v>
      </c>
      <c r="AB468" s="46">
        <v>0</v>
      </c>
      <c r="AC468" s="58">
        <f t="shared" si="324"/>
        <v>0</v>
      </c>
      <c r="AD468" s="58">
        <f t="shared" si="324"/>
        <v>1771.8</v>
      </c>
      <c r="AE468" s="58">
        <f t="shared" si="325"/>
        <v>0</v>
      </c>
      <c r="AF468" s="56"/>
      <c r="AG468" s="62"/>
      <c r="AH468" s="117">
        <f t="shared" si="326"/>
        <v>0</v>
      </c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4"/>
      <c r="AS468" s="114"/>
      <c r="AT468" s="114"/>
      <c r="AU468" s="114"/>
      <c r="AV468" s="114"/>
      <c r="AW468" s="114"/>
      <c r="AX468" s="114"/>
      <c r="AY468" s="119"/>
      <c r="AZ468" s="115"/>
      <c r="BA468" s="115"/>
      <c r="BB468" s="115"/>
      <c r="BC468" s="115"/>
      <c r="BD468" s="115"/>
      <c r="BE468" s="115"/>
      <c r="BF468" s="115"/>
      <c r="BG468" s="115"/>
      <c r="BH468" s="115"/>
      <c r="BI468" s="115"/>
      <c r="BJ468" s="115"/>
    </row>
    <row r="469" spans="1:62" hidden="1" x14ac:dyDescent="0.35">
      <c r="A469" s="19" t="str">
        <f>VLOOKUP(C469,Master!A:D,4,0)</f>
        <v>SF</v>
      </c>
      <c r="B469" s="14" t="str">
        <f>VLOOKUP(C469,Master!A:C,3,0)</f>
        <v>Liners</v>
      </c>
      <c r="C469" s="14" t="s">
        <v>729</v>
      </c>
      <c r="D469" s="2">
        <f t="shared" si="318"/>
        <v>0</v>
      </c>
      <c r="E469" s="2">
        <f t="shared" si="319"/>
        <v>14652.699999999997</v>
      </c>
      <c r="F469" s="2">
        <f t="shared" si="320"/>
        <v>0</v>
      </c>
      <c r="G469" s="2"/>
      <c r="H469" s="2"/>
      <c r="I469" s="2"/>
      <c r="J469" s="2"/>
      <c r="K469" s="2"/>
      <c r="L469" s="2"/>
      <c r="M469" s="2"/>
      <c r="N469" s="2"/>
      <c r="O469" s="2"/>
      <c r="P469" s="58"/>
      <c r="Q469" s="2"/>
      <c r="R469" s="2"/>
      <c r="S469" s="2"/>
      <c r="T469" s="2"/>
      <c r="U469" s="2">
        <f t="shared" si="313"/>
        <v>0</v>
      </c>
      <c r="V469" s="2">
        <f t="shared" si="314"/>
        <v>0</v>
      </c>
      <c r="W469" s="2">
        <f t="shared" si="321"/>
        <v>0</v>
      </c>
      <c r="X469" s="2">
        <f t="shared" si="322"/>
        <v>14652.699999999997</v>
      </c>
      <c r="Y469" s="2">
        <f t="shared" si="323"/>
        <v>0</v>
      </c>
      <c r="Z469" s="46">
        <v>0</v>
      </c>
      <c r="AA469" s="46">
        <v>0</v>
      </c>
      <c r="AB469" s="46">
        <v>0</v>
      </c>
      <c r="AC469" s="58">
        <v>0</v>
      </c>
      <c r="AD469" s="58">
        <f t="shared" si="324"/>
        <v>14652.699999999997</v>
      </c>
      <c r="AE469" s="58">
        <f t="shared" si="325"/>
        <v>0</v>
      </c>
      <c r="AF469" s="56"/>
      <c r="AG469" s="62"/>
      <c r="AH469" s="117">
        <f t="shared" si="326"/>
        <v>0</v>
      </c>
      <c r="AI469" s="114"/>
      <c r="AJ469" s="114"/>
      <c r="AK469" s="114"/>
      <c r="AL469" s="114"/>
      <c r="AM469" s="114"/>
      <c r="AN469" s="114"/>
      <c r="AO469" s="114"/>
      <c r="AP469" s="114"/>
      <c r="AQ469" s="114"/>
      <c r="AR469" s="114"/>
      <c r="AS469" s="114"/>
      <c r="AT469" s="114"/>
      <c r="AU469" s="114"/>
      <c r="AV469" s="114"/>
      <c r="AW469" s="114"/>
      <c r="AX469" s="114"/>
      <c r="AY469" s="119"/>
      <c r="AZ469" s="115"/>
      <c r="BA469" s="115"/>
      <c r="BB469" s="115"/>
      <c r="BC469" s="115"/>
      <c r="BD469" s="115"/>
      <c r="BE469" s="115"/>
      <c r="BF469" s="115"/>
      <c r="BG469" s="115"/>
      <c r="BH469" s="115"/>
      <c r="BI469" s="115"/>
      <c r="BJ469" s="115"/>
    </row>
    <row r="470" spans="1:62" hidden="1" x14ac:dyDescent="0.35">
      <c r="A470" s="19" t="str">
        <f>VLOOKUP(C470,Master!A:D,4,0)</f>
        <v>SF</v>
      </c>
      <c r="B470" s="14" t="str">
        <f>VLOOKUP(C470,Master!A:C,3,0)</f>
        <v>Tape Stock</v>
      </c>
      <c r="C470" s="14" t="s">
        <v>772</v>
      </c>
      <c r="D470" s="2">
        <f t="shared" si="318"/>
        <v>0</v>
      </c>
      <c r="E470" s="2">
        <f t="shared" si="319"/>
        <v>0</v>
      </c>
      <c r="F470" s="2">
        <f t="shared" si="320"/>
        <v>0</v>
      </c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>
        <f t="shared" si="313"/>
        <v>0</v>
      </c>
      <c r="V470" s="2">
        <f t="shared" si="314"/>
        <v>0</v>
      </c>
      <c r="W470" s="2">
        <f t="shared" si="321"/>
        <v>0</v>
      </c>
      <c r="X470" s="2">
        <f t="shared" si="322"/>
        <v>0</v>
      </c>
      <c r="Y470" s="2">
        <f t="shared" si="323"/>
        <v>0</v>
      </c>
      <c r="Z470" s="46">
        <v>0</v>
      </c>
      <c r="AA470" s="46">
        <v>0</v>
      </c>
      <c r="AB470" s="46">
        <v>0</v>
      </c>
      <c r="AC470" s="58">
        <f t="shared" si="324"/>
        <v>0</v>
      </c>
      <c r="AD470" s="58">
        <f t="shared" si="324"/>
        <v>0</v>
      </c>
      <c r="AE470" s="58">
        <f t="shared" si="325"/>
        <v>0</v>
      </c>
      <c r="AF470" s="56"/>
      <c r="AG470" s="62"/>
      <c r="AH470" s="117">
        <f t="shared" si="326"/>
        <v>0</v>
      </c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4"/>
      <c r="AS470" s="114"/>
      <c r="AT470" s="114"/>
      <c r="AU470" s="114"/>
      <c r="AV470" s="114"/>
      <c r="AW470" s="114"/>
      <c r="AX470" s="114"/>
      <c r="AY470" s="119"/>
      <c r="AZ470" s="115"/>
      <c r="BA470" s="115"/>
      <c r="BB470" s="115"/>
      <c r="BC470" s="115"/>
      <c r="BD470" s="115"/>
      <c r="BE470" s="115"/>
      <c r="BF470" s="115"/>
      <c r="BG470" s="115"/>
      <c r="BH470" s="115"/>
      <c r="BI470" s="115"/>
      <c r="BJ470" s="115"/>
    </row>
    <row r="471" spans="1:62" hidden="1" x14ac:dyDescent="0.35">
      <c r="A471" s="19" t="str">
        <f>VLOOKUP(C471,Master!A:D,4,0)</f>
        <v>SF</v>
      </c>
      <c r="B471" s="14" t="str">
        <f>VLOOKUP(C471,Master!A:C,3,0)</f>
        <v>Tape Stock</v>
      </c>
      <c r="C471" s="14" t="s">
        <v>773</v>
      </c>
      <c r="D471" s="2">
        <f t="shared" si="318"/>
        <v>0</v>
      </c>
      <c r="E471" s="2">
        <f t="shared" si="319"/>
        <v>2518.3000000000029</v>
      </c>
      <c r="F471" s="2">
        <f t="shared" si="320"/>
        <v>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>
        <f t="shared" si="313"/>
        <v>0</v>
      </c>
      <c r="V471" s="53">
        <f t="shared" si="314"/>
        <v>0</v>
      </c>
      <c r="W471" s="2">
        <f t="shared" si="321"/>
        <v>0</v>
      </c>
      <c r="X471" s="2">
        <f t="shared" si="322"/>
        <v>2518.3000000000029</v>
      </c>
      <c r="Y471" s="2">
        <f t="shared" si="323"/>
        <v>0</v>
      </c>
      <c r="Z471" s="46">
        <v>0</v>
      </c>
      <c r="AA471" s="46">
        <v>0</v>
      </c>
      <c r="AB471" s="46">
        <v>0</v>
      </c>
      <c r="AC471" s="58">
        <f t="shared" si="324"/>
        <v>0</v>
      </c>
      <c r="AD471" s="58">
        <f t="shared" si="324"/>
        <v>2518.3000000000029</v>
      </c>
      <c r="AE471" s="58">
        <f t="shared" si="325"/>
        <v>0</v>
      </c>
      <c r="AF471" s="56"/>
      <c r="AG471" s="62"/>
      <c r="AH471" s="117">
        <f t="shared" si="326"/>
        <v>0</v>
      </c>
      <c r="AI471" s="114"/>
      <c r="AJ471" s="114"/>
      <c r="AK471" s="114"/>
      <c r="AL471" s="114"/>
      <c r="AM471" s="114"/>
      <c r="AN471" s="114"/>
      <c r="AO471" s="114"/>
      <c r="AP471" s="114"/>
      <c r="AQ471" s="114"/>
      <c r="AR471" s="114"/>
      <c r="AS471" s="114"/>
      <c r="AT471" s="114"/>
      <c r="AU471" s="114"/>
      <c r="AV471" s="114"/>
      <c r="AW471" s="114"/>
      <c r="AX471" s="114"/>
      <c r="AY471" s="119"/>
      <c r="AZ471" s="115"/>
      <c r="BA471" s="243"/>
      <c r="BB471" s="115"/>
      <c r="BC471" s="115"/>
      <c r="BD471" s="115"/>
      <c r="BE471" s="115"/>
      <c r="BF471" s="115"/>
      <c r="BG471" s="115"/>
      <c r="BH471" s="115"/>
      <c r="BI471" s="115"/>
      <c r="BJ471" s="115"/>
    </row>
    <row r="472" spans="1:62" hidden="1" x14ac:dyDescent="0.35">
      <c r="A472" s="19" t="str">
        <f>VLOOKUP(C472,Master!A:D,4,0)</f>
        <v>SF</v>
      </c>
      <c r="B472" s="14" t="str">
        <f>VLOOKUP(C472,Master!A:C,3,0)</f>
        <v>RP Agglo</v>
      </c>
      <c r="C472" s="14" t="s">
        <v>810</v>
      </c>
      <c r="D472" s="2">
        <f t="shared" si="318"/>
        <v>0</v>
      </c>
      <c r="E472" s="2">
        <f t="shared" si="319"/>
        <v>0</v>
      </c>
      <c r="F472" s="2">
        <f t="shared" si="320"/>
        <v>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>
        <f t="shared" si="313"/>
        <v>0</v>
      </c>
      <c r="V472" s="2">
        <f t="shared" si="314"/>
        <v>0</v>
      </c>
      <c r="W472" s="2">
        <f t="shared" si="321"/>
        <v>0</v>
      </c>
      <c r="X472" s="2">
        <f t="shared" si="322"/>
        <v>0</v>
      </c>
      <c r="Y472" s="2">
        <f t="shared" si="323"/>
        <v>0</v>
      </c>
      <c r="Z472" s="46">
        <v>0</v>
      </c>
      <c r="AA472" s="46">
        <v>0</v>
      </c>
      <c r="AB472" s="46">
        <v>0</v>
      </c>
      <c r="AC472" s="58">
        <f t="shared" si="324"/>
        <v>0</v>
      </c>
      <c r="AD472" s="58">
        <f t="shared" si="324"/>
        <v>0</v>
      </c>
      <c r="AE472" s="58">
        <f t="shared" si="325"/>
        <v>0</v>
      </c>
      <c r="AF472" s="56"/>
      <c r="AG472" s="62"/>
      <c r="AH472" s="117">
        <f t="shared" si="326"/>
        <v>0</v>
      </c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4"/>
      <c r="AS472" s="114"/>
      <c r="AT472" s="114"/>
      <c r="AU472" s="114"/>
      <c r="AV472" s="114"/>
      <c r="AW472" s="114"/>
      <c r="AX472" s="114"/>
      <c r="AY472" s="119"/>
      <c r="AZ472" s="115"/>
      <c r="BA472" s="115"/>
      <c r="BB472" s="115"/>
      <c r="BC472" s="115"/>
      <c r="BD472" s="115"/>
      <c r="BE472" s="115"/>
      <c r="BF472" s="115"/>
      <c r="BG472" s="115"/>
      <c r="BH472" s="115"/>
      <c r="BI472" s="115"/>
      <c r="BJ472" s="115"/>
    </row>
    <row r="473" spans="1:62" hidden="1" x14ac:dyDescent="0.35">
      <c r="A473" s="19" t="str">
        <f>VLOOKUP(C473,Master!A:D,4,0)</f>
        <v>SF</v>
      </c>
      <c r="B473" s="14" t="str">
        <f>VLOOKUP(C473,Master!A:C,3,0)</f>
        <v>Wastage/Scrap</v>
      </c>
      <c r="C473" s="14" t="s">
        <v>820</v>
      </c>
      <c r="D473" s="2">
        <f t="shared" si="318"/>
        <v>0</v>
      </c>
      <c r="E473" s="2">
        <f t="shared" si="319"/>
        <v>0</v>
      </c>
      <c r="F473" s="2">
        <f t="shared" si="320"/>
        <v>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>
        <f t="shared" si="313"/>
        <v>0</v>
      </c>
      <c r="V473" s="2">
        <f t="shared" si="314"/>
        <v>0</v>
      </c>
      <c r="W473" s="2">
        <f t="shared" si="321"/>
        <v>0</v>
      </c>
      <c r="X473" s="2">
        <f t="shared" si="322"/>
        <v>0</v>
      </c>
      <c r="Y473" s="2">
        <f t="shared" si="323"/>
        <v>0</v>
      </c>
      <c r="Z473" s="46">
        <v>0</v>
      </c>
      <c r="AA473" s="46">
        <v>0</v>
      </c>
      <c r="AB473" s="46">
        <v>0</v>
      </c>
      <c r="AC473" s="58">
        <f t="shared" si="324"/>
        <v>0</v>
      </c>
      <c r="AD473" s="58">
        <f t="shared" si="324"/>
        <v>0</v>
      </c>
      <c r="AE473" s="58">
        <f t="shared" si="325"/>
        <v>0</v>
      </c>
      <c r="AF473" s="56"/>
      <c r="AG473" s="62"/>
      <c r="AH473" s="117">
        <f t="shared" si="326"/>
        <v>0</v>
      </c>
      <c r="AI473" s="114"/>
      <c r="AJ473" s="114"/>
      <c r="AK473" s="114"/>
      <c r="AL473" s="114"/>
      <c r="AM473" s="114"/>
      <c r="AN473" s="114"/>
      <c r="AO473" s="114"/>
      <c r="AP473" s="114"/>
      <c r="AQ473" s="114"/>
      <c r="AR473" s="114"/>
      <c r="AS473" s="114"/>
      <c r="AT473" s="114"/>
      <c r="AU473" s="114"/>
      <c r="AV473" s="114"/>
      <c r="AW473" s="114"/>
      <c r="AX473" s="114"/>
      <c r="AY473" s="119"/>
      <c r="AZ473" s="115"/>
      <c r="BA473" s="115"/>
      <c r="BB473" s="115"/>
      <c r="BC473" s="115"/>
      <c r="BD473" s="115"/>
      <c r="BE473" s="115"/>
      <c r="BF473" s="115"/>
      <c r="BG473" s="115"/>
      <c r="BH473" s="115"/>
      <c r="BI473" s="115"/>
      <c r="BJ473" s="115"/>
    </row>
    <row r="474" spans="1:62" hidden="1" x14ac:dyDescent="0.35">
      <c r="A474" s="19" t="str">
        <f>VLOOKUP(C474,Master!A:D,4,0)</f>
        <v>FG</v>
      </c>
      <c r="B474" s="14" t="str">
        <f>VLOOKUP(C474,Master!A:C,3,0)</f>
        <v>FIBC WIP</v>
      </c>
      <c r="C474" s="14" t="s">
        <v>892</v>
      </c>
      <c r="D474" s="2">
        <f t="shared" si="318"/>
        <v>42021.998887999915</v>
      </c>
      <c r="E474" s="2">
        <f t="shared" si="319"/>
        <v>0</v>
      </c>
      <c r="F474" s="2">
        <f t="shared" si="320"/>
        <v>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>
        <f t="shared" si="313"/>
        <v>0</v>
      </c>
      <c r="V474" s="2">
        <f t="shared" si="314"/>
        <v>0</v>
      </c>
      <c r="W474" s="2">
        <f t="shared" si="321"/>
        <v>42021.998887999915</v>
      </c>
      <c r="X474" s="2">
        <f t="shared" si="322"/>
        <v>0</v>
      </c>
      <c r="Y474" s="2">
        <f t="shared" si="323"/>
        <v>0</v>
      </c>
      <c r="Z474" s="46">
        <v>0</v>
      </c>
      <c r="AA474" s="46">
        <v>0</v>
      </c>
      <c r="AB474" s="46">
        <v>0</v>
      </c>
      <c r="AC474" s="58">
        <f t="shared" si="324"/>
        <v>42021.998887999915</v>
      </c>
      <c r="AD474" s="58">
        <f t="shared" si="324"/>
        <v>0</v>
      </c>
      <c r="AE474" s="58">
        <f t="shared" si="325"/>
        <v>0</v>
      </c>
      <c r="AF474" s="56"/>
      <c r="AG474" s="62"/>
      <c r="AH474" s="117">
        <f t="shared" si="326"/>
        <v>0</v>
      </c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4"/>
      <c r="AS474" s="114"/>
      <c r="AT474" s="114"/>
      <c r="AU474" s="114"/>
      <c r="AV474" s="114"/>
      <c r="AW474" s="114"/>
      <c r="AX474" s="114"/>
      <c r="AY474" s="119"/>
      <c r="AZ474" s="115"/>
      <c r="BA474" s="115"/>
      <c r="BB474" s="115"/>
      <c r="BC474" s="115"/>
      <c r="BD474" s="115"/>
      <c r="BE474" s="115"/>
      <c r="BF474" s="115"/>
      <c r="BG474" s="115"/>
      <c r="BH474" s="115"/>
      <c r="BI474" s="115"/>
      <c r="BJ474" s="115"/>
    </row>
    <row r="475" spans="1:62" hidden="1" x14ac:dyDescent="0.35">
      <c r="A475" s="19" t="str">
        <f>VLOOKUP(C475,Master!A:D,4,0)</f>
        <v>FG</v>
      </c>
      <c r="B475" s="14" t="str">
        <f>VLOOKUP(C475,Master!A:C,3,0)</f>
        <v>Label Div</v>
      </c>
      <c r="C475" s="14" t="s">
        <v>895</v>
      </c>
      <c r="D475" s="2">
        <f t="shared" si="318"/>
        <v>0</v>
      </c>
      <c r="E475" s="2">
        <f t="shared" si="319"/>
        <v>0</v>
      </c>
      <c r="F475" s="2">
        <f t="shared" si="320"/>
        <v>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>
        <f t="shared" si="313"/>
        <v>0</v>
      </c>
      <c r="V475" s="2">
        <f t="shared" si="314"/>
        <v>0</v>
      </c>
      <c r="W475" s="2">
        <f t="shared" si="321"/>
        <v>0</v>
      </c>
      <c r="X475" s="2">
        <f t="shared" si="322"/>
        <v>0</v>
      </c>
      <c r="Y475" s="2">
        <f t="shared" si="323"/>
        <v>0</v>
      </c>
      <c r="Z475" s="46">
        <v>0</v>
      </c>
      <c r="AA475" s="46">
        <v>0</v>
      </c>
      <c r="AB475" s="46">
        <v>0</v>
      </c>
      <c r="AC475" s="58">
        <f t="shared" si="324"/>
        <v>0</v>
      </c>
      <c r="AD475" s="58">
        <f t="shared" si="324"/>
        <v>0</v>
      </c>
      <c r="AE475" s="58">
        <f t="shared" si="325"/>
        <v>0</v>
      </c>
      <c r="AF475" s="56"/>
      <c r="AG475" s="62"/>
      <c r="AH475" s="117">
        <f t="shared" si="326"/>
        <v>0</v>
      </c>
      <c r="AI475" s="114"/>
      <c r="AJ475" s="114"/>
      <c r="AK475" s="114"/>
      <c r="AL475" s="114"/>
      <c r="AM475" s="114"/>
      <c r="AN475" s="114"/>
      <c r="AO475" s="114"/>
      <c r="AP475" s="114"/>
      <c r="AQ475" s="114"/>
      <c r="AR475" s="114"/>
      <c r="AS475" s="114"/>
      <c r="AT475" s="114"/>
      <c r="AU475" s="114"/>
      <c r="AV475" s="114"/>
      <c r="AW475" s="114"/>
      <c r="AX475" s="114"/>
      <c r="AY475" s="119"/>
      <c r="AZ475" s="115"/>
      <c r="BA475" s="115"/>
      <c r="BB475" s="115"/>
      <c r="BC475" s="115"/>
      <c r="BD475" s="115"/>
      <c r="BE475" s="115"/>
      <c r="BF475" s="115"/>
      <c r="BG475" s="115"/>
      <c r="BH475" s="115"/>
      <c r="BI475" s="115"/>
      <c r="BJ475" s="115"/>
    </row>
    <row r="476" spans="1:62" hidden="1" x14ac:dyDescent="0.35">
      <c r="A476" s="19" t="str">
        <f>VLOOKUP(C476,Master!A:D,4,0)</f>
        <v>FG</v>
      </c>
      <c r="B476" s="14" t="str">
        <f>VLOOKUP(C476,Master!A:C,3,0)</f>
        <v>FIBC Bags</v>
      </c>
      <c r="C476" s="14" t="s">
        <v>897</v>
      </c>
      <c r="D476" s="2">
        <f t="shared" si="318"/>
        <v>1.7462298274040222E-10</v>
      </c>
      <c r="E476" s="2">
        <f t="shared" si="319"/>
        <v>0</v>
      </c>
      <c r="F476" s="2">
        <f t="shared" si="320"/>
        <v>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>
        <f t="shared" si="313"/>
        <v>0</v>
      </c>
      <c r="V476" s="2">
        <f t="shared" si="314"/>
        <v>0</v>
      </c>
      <c r="W476" s="2">
        <f t="shared" si="321"/>
        <v>1.7462298274040222E-10</v>
      </c>
      <c r="X476" s="2">
        <f t="shared" si="322"/>
        <v>0</v>
      </c>
      <c r="Y476" s="2">
        <f t="shared" si="323"/>
        <v>0</v>
      </c>
      <c r="Z476" s="46">
        <v>0</v>
      </c>
      <c r="AA476" s="46">
        <v>0</v>
      </c>
      <c r="AB476" s="46">
        <v>0</v>
      </c>
      <c r="AC476" s="58">
        <v>0</v>
      </c>
      <c r="AD476" s="58">
        <f t="shared" si="324"/>
        <v>0</v>
      </c>
      <c r="AE476" s="58">
        <f t="shared" si="325"/>
        <v>0</v>
      </c>
      <c r="AF476" s="56"/>
      <c r="AG476" s="62"/>
      <c r="AH476" s="117">
        <f t="shared" si="326"/>
        <v>0</v>
      </c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  <c r="AS476" s="114"/>
      <c r="AT476" s="114"/>
      <c r="AU476" s="114"/>
      <c r="AV476" s="114"/>
      <c r="AW476" s="114"/>
      <c r="AX476" s="114"/>
      <c r="AY476" s="119"/>
      <c r="AZ476" s="115"/>
      <c r="BA476" s="115"/>
      <c r="BB476" s="115"/>
      <c r="BC476" s="115"/>
      <c r="BD476" s="115"/>
      <c r="BE476" s="115"/>
      <c r="BF476" s="115"/>
      <c r="BG476" s="115"/>
      <c r="BH476" s="115"/>
      <c r="BI476" s="115"/>
      <c r="BJ476" s="115"/>
    </row>
    <row r="477" spans="1:62" hidden="1" x14ac:dyDescent="0.35">
      <c r="A477" s="19" t="str">
        <f>VLOOKUP(C477,Master!A:D,4,0)</f>
        <v>FG</v>
      </c>
      <c r="B477" s="14" t="str">
        <f>VLOOKUP(C477,Master!A:C,3,0)</f>
        <v>Small Bags</v>
      </c>
      <c r="C477" s="14" t="s">
        <v>900</v>
      </c>
      <c r="D477" s="2">
        <f t="shared" si="318"/>
        <v>0</v>
      </c>
      <c r="E477" s="2">
        <f t="shared" si="319"/>
        <v>0</v>
      </c>
      <c r="F477" s="2">
        <f t="shared" si="320"/>
        <v>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>
        <f t="shared" si="313"/>
        <v>0</v>
      </c>
      <c r="V477" s="2">
        <f t="shared" si="314"/>
        <v>0</v>
      </c>
      <c r="W477" s="2">
        <f t="shared" si="321"/>
        <v>0</v>
      </c>
      <c r="X477" s="2">
        <f t="shared" si="322"/>
        <v>0</v>
      </c>
      <c r="Y477" s="2">
        <f t="shared" si="323"/>
        <v>0</v>
      </c>
      <c r="Z477" s="46">
        <v>0</v>
      </c>
      <c r="AA477" s="46">
        <v>0</v>
      </c>
      <c r="AB477" s="46">
        <v>0</v>
      </c>
      <c r="AC477" s="58">
        <f t="shared" si="324"/>
        <v>0</v>
      </c>
      <c r="AD477" s="58">
        <f t="shared" si="324"/>
        <v>0</v>
      </c>
      <c r="AE477" s="58">
        <f t="shared" si="325"/>
        <v>0</v>
      </c>
      <c r="AF477" s="56"/>
      <c r="AG477" s="62"/>
      <c r="AH477" s="117">
        <f t="shared" si="326"/>
        <v>0</v>
      </c>
      <c r="AI477" s="114"/>
      <c r="AJ477" s="114"/>
      <c r="AK477" s="114"/>
      <c r="AL477" s="114"/>
      <c r="AM477" s="114"/>
      <c r="AN477" s="114"/>
      <c r="AO477" s="114"/>
      <c r="AP477" s="114"/>
      <c r="AQ477" s="114"/>
      <c r="AR477" s="114"/>
      <c r="AS477" s="114"/>
      <c r="AT477" s="114"/>
      <c r="AU477" s="114"/>
      <c r="AV477" s="114"/>
      <c r="AW477" s="114"/>
      <c r="AX477" s="114"/>
      <c r="AY477" s="119"/>
      <c r="AZ477" s="115"/>
      <c r="BA477" s="115"/>
      <c r="BB477" s="115"/>
      <c r="BC477" s="115"/>
      <c r="BD477" s="115"/>
      <c r="BE477" s="115"/>
      <c r="BF477" s="115"/>
      <c r="BG477" s="115"/>
      <c r="BH477" s="115"/>
      <c r="BI477" s="115"/>
      <c r="BJ477" s="115"/>
    </row>
    <row r="478" spans="1:62" hidden="1" x14ac:dyDescent="0.35">
      <c r="A478" s="19" t="str">
        <f>VLOOKUP(C478,Master!A:D,4,0)</f>
        <v>FG</v>
      </c>
      <c r="B478" s="14" t="str">
        <f>VLOOKUP(C478,Master!A:C,3,0)</f>
        <v>Tarps</v>
      </c>
      <c r="C478" s="14" t="s">
        <v>903</v>
      </c>
      <c r="D478" s="2">
        <f t="shared" si="318"/>
        <v>0</v>
      </c>
      <c r="E478" s="2">
        <f t="shared" si="319"/>
        <v>0</v>
      </c>
      <c r="F478" s="2">
        <f t="shared" si="320"/>
        <v>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>
        <f t="shared" si="313"/>
        <v>0</v>
      </c>
      <c r="V478" s="2">
        <f t="shared" si="314"/>
        <v>0</v>
      </c>
      <c r="W478" s="2">
        <f t="shared" si="321"/>
        <v>0</v>
      </c>
      <c r="X478" s="2">
        <f t="shared" si="322"/>
        <v>0</v>
      </c>
      <c r="Y478" s="2">
        <f t="shared" si="323"/>
        <v>0</v>
      </c>
      <c r="Z478" s="46">
        <v>0</v>
      </c>
      <c r="AA478" s="46">
        <v>0</v>
      </c>
      <c r="AB478" s="46">
        <v>0</v>
      </c>
      <c r="AC478" s="58">
        <f t="shared" si="324"/>
        <v>0</v>
      </c>
      <c r="AD478" s="58">
        <f t="shared" si="324"/>
        <v>0</v>
      </c>
      <c r="AE478" s="58">
        <f t="shared" si="325"/>
        <v>0</v>
      </c>
      <c r="AF478" s="56"/>
      <c r="AG478" s="62"/>
      <c r="AH478" s="117">
        <f t="shared" si="326"/>
        <v>0</v>
      </c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  <c r="AS478" s="114"/>
      <c r="AT478" s="114"/>
      <c r="AU478" s="114"/>
      <c r="AV478" s="114"/>
      <c r="AW478" s="114"/>
      <c r="AX478" s="114"/>
      <c r="AY478" s="119"/>
      <c r="AZ478" s="115"/>
      <c r="BA478" s="115"/>
      <c r="BB478" s="115"/>
      <c r="BC478" s="115"/>
      <c r="BD478" s="115"/>
      <c r="BE478" s="115"/>
      <c r="BF478" s="115"/>
      <c r="BG478" s="115"/>
      <c r="BH478" s="115"/>
      <c r="BI478" s="115"/>
      <c r="BJ478" s="115"/>
    </row>
    <row r="479" spans="1:62" hidden="1" x14ac:dyDescent="0.35">
      <c r="A479" s="19" t="str">
        <f>VLOOKUP(C479,Master!A:D,4,0)</f>
        <v>FG</v>
      </c>
      <c r="B479" s="14" t="str">
        <f>VLOOKUP(C479,Master!A:C,3,0)</f>
        <v>Trading Items</v>
      </c>
      <c r="C479" s="14" t="s">
        <v>905</v>
      </c>
      <c r="D479" s="2">
        <f t="shared" si="318"/>
        <v>0</v>
      </c>
      <c r="E479" s="2">
        <f t="shared" si="319"/>
        <v>0</v>
      </c>
      <c r="F479" s="2">
        <f t="shared" si="320"/>
        <v>0</v>
      </c>
      <c r="G479" s="6"/>
      <c r="H479" s="6"/>
      <c r="I479" s="6"/>
      <c r="J479" s="2"/>
      <c r="K479" s="6"/>
      <c r="L479" s="6"/>
      <c r="M479" s="6"/>
      <c r="N479" s="6"/>
      <c r="O479" s="6"/>
      <c r="P479" s="6"/>
      <c r="Q479" s="2"/>
      <c r="R479" s="6"/>
      <c r="S479" s="6"/>
      <c r="T479" s="6"/>
      <c r="U479" s="2">
        <f t="shared" si="313"/>
        <v>0</v>
      </c>
      <c r="V479" s="2">
        <f t="shared" si="314"/>
        <v>0</v>
      </c>
      <c r="W479" s="2">
        <f t="shared" si="321"/>
        <v>0</v>
      </c>
      <c r="X479" s="2">
        <f t="shared" si="322"/>
        <v>0</v>
      </c>
      <c r="Y479" s="2">
        <f t="shared" si="323"/>
        <v>0</v>
      </c>
      <c r="Z479" s="46">
        <v>0</v>
      </c>
      <c r="AA479" s="46">
        <v>0</v>
      </c>
      <c r="AB479" s="46">
        <v>0</v>
      </c>
      <c r="AC479" s="58">
        <f t="shared" si="324"/>
        <v>0</v>
      </c>
      <c r="AD479" s="58">
        <f t="shared" si="324"/>
        <v>0</v>
      </c>
      <c r="AE479" s="58">
        <f t="shared" si="325"/>
        <v>0</v>
      </c>
      <c r="AF479" s="56"/>
      <c r="AG479" s="62"/>
      <c r="AH479" s="117">
        <f t="shared" si="326"/>
        <v>0</v>
      </c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  <c r="AS479" s="114"/>
      <c r="AT479" s="114"/>
      <c r="AU479" s="114"/>
      <c r="AV479" s="114"/>
      <c r="AW479" s="114"/>
      <c r="AX479" s="114"/>
      <c r="AY479" s="119"/>
      <c r="AZ479" s="115"/>
      <c r="BA479" s="115"/>
      <c r="BB479" s="115"/>
      <c r="BC479" s="115"/>
      <c r="BD479" s="115"/>
      <c r="BE479" s="115"/>
      <c r="BF479" s="115"/>
      <c r="BG479" s="115"/>
      <c r="BH479" s="115"/>
      <c r="BI479" s="115"/>
      <c r="BJ479" s="115"/>
    </row>
    <row r="480" spans="1:62" hidden="1" x14ac:dyDescent="0.35">
      <c r="A480" s="19" t="str">
        <f>VLOOKUP(C480,Master!A:D,4,0)</f>
        <v>FG</v>
      </c>
      <c r="B480" s="14" t="str">
        <f>VLOOKUP(C480,Master!A:C,3,0)</f>
        <v>Small Bags</v>
      </c>
      <c r="C480" s="14" t="s">
        <v>907</v>
      </c>
      <c r="D480" s="2">
        <f t="shared" si="318"/>
        <v>0</v>
      </c>
      <c r="E480" s="2">
        <f t="shared" si="319"/>
        <v>0</v>
      </c>
      <c r="F480" s="2">
        <f t="shared" si="320"/>
        <v>0</v>
      </c>
      <c r="G480" s="6"/>
      <c r="H480" s="2"/>
      <c r="I480" s="6"/>
      <c r="J480" s="2"/>
      <c r="K480" s="6"/>
      <c r="L480" s="6"/>
      <c r="M480" s="6"/>
      <c r="N480" s="6"/>
      <c r="O480" s="6"/>
      <c r="P480" s="6"/>
      <c r="Q480" s="2"/>
      <c r="R480" s="6"/>
      <c r="S480" s="6"/>
      <c r="T480" s="6"/>
      <c r="U480" s="2">
        <f t="shared" si="313"/>
        <v>0</v>
      </c>
      <c r="V480" s="2">
        <f t="shared" si="314"/>
        <v>0</v>
      </c>
      <c r="W480" s="2">
        <f t="shared" si="321"/>
        <v>0</v>
      </c>
      <c r="X480" s="2">
        <f t="shared" si="322"/>
        <v>0</v>
      </c>
      <c r="Y480" s="2">
        <f t="shared" si="323"/>
        <v>0</v>
      </c>
      <c r="Z480" s="46">
        <v>0</v>
      </c>
      <c r="AA480" s="46">
        <v>0</v>
      </c>
      <c r="AB480" s="46">
        <v>0</v>
      </c>
      <c r="AC480" s="58">
        <f t="shared" si="324"/>
        <v>0</v>
      </c>
      <c r="AD480" s="58">
        <f t="shared" si="324"/>
        <v>0</v>
      </c>
      <c r="AE480" s="58">
        <f t="shared" si="325"/>
        <v>0</v>
      </c>
      <c r="AF480" s="56"/>
      <c r="AG480" s="62"/>
      <c r="AH480" s="117">
        <f t="shared" si="326"/>
        <v>0</v>
      </c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4"/>
      <c r="AS480" s="114"/>
      <c r="AT480" s="114"/>
      <c r="AU480" s="114"/>
      <c r="AV480" s="114"/>
      <c r="AW480" s="114"/>
      <c r="AX480" s="114"/>
      <c r="AY480" s="119"/>
      <c r="AZ480" s="115"/>
      <c r="BA480" s="115"/>
      <c r="BB480" s="115"/>
      <c r="BC480" s="115"/>
      <c r="BD480" s="115"/>
      <c r="BE480" s="115"/>
      <c r="BF480" s="115"/>
      <c r="BG480" s="115"/>
      <c r="BH480" s="115"/>
      <c r="BI480" s="115"/>
      <c r="BJ480" s="115"/>
    </row>
    <row r="481" spans="1:62" hidden="1" x14ac:dyDescent="0.35">
      <c r="A481" s="19" t="str">
        <f>VLOOKUP(C481,Master!A:D,4,0)</f>
        <v>FG</v>
      </c>
      <c r="B481" s="14" t="str">
        <f>VLOOKUP(C481,Master!A:C,3,0)</f>
        <v>Small Bags WIP</v>
      </c>
      <c r="C481" s="14" t="s">
        <v>908</v>
      </c>
      <c r="D481" s="2">
        <f t="shared" si="318"/>
        <v>0</v>
      </c>
      <c r="E481" s="2">
        <f t="shared" si="319"/>
        <v>0</v>
      </c>
      <c r="F481" s="2">
        <f t="shared" si="320"/>
        <v>0</v>
      </c>
      <c r="G481" s="7"/>
      <c r="H481" s="2"/>
      <c r="I481" s="7"/>
      <c r="J481" s="11"/>
      <c r="K481" s="7"/>
      <c r="L481" s="7"/>
      <c r="M481" s="7"/>
      <c r="N481" s="7"/>
      <c r="O481" s="7"/>
      <c r="P481" s="7"/>
      <c r="Q481" s="2"/>
      <c r="R481" s="7"/>
      <c r="S481" s="7"/>
      <c r="T481" s="6"/>
      <c r="U481" s="2">
        <f t="shared" si="313"/>
        <v>0</v>
      </c>
      <c r="V481" s="2">
        <f t="shared" si="314"/>
        <v>0</v>
      </c>
      <c r="W481" s="2">
        <f t="shared" si="321"/>
        <v>0</v>
      </c>
      <c r="X481" s="2">
        <f t="shared" si="322"/>
        <v>0</v>
      </c>
      <c r="Y481" s="2">
        <f t="shared" si="323"/>
        <v>0</v>
      </c>
      <c r="Z481" s="46">
        <v>0</v>
      </c>
      <c r="AA481" s="46">
        <v>0</v>
      </c>
      <c r="AB481" s="46">
        <v>0</v>
      </c>
      <c r="AC481" s="58">
        <f t="shared" si="324"/>
        <v>0</v>
      </c>
      <c r="AD481" s="58">
        <f t="shared" si="324"/>
        <v>0</v>
      </c>
      <c r="AE481" s="58">
        <f t="shared" si="325"/>
        <v>0</v>
      </c>
      <c r="AF481" s="56"/>
      <c r="AG481" s="62"/>
      <c r="AH481" s="117">
        <f t="shared" si="326"/>
        <v>0</v>
      </c>
      <c r="AI481" s="114"/>
      <c r="AJ481" s="114"/>
      <c r="AK481" s="114"/>
      <c r="AL481" s="114"/>
      <c r="AM481" s="114"/>
      <c r="AN481" s="114"/>
      <c r="AO481" s="114"/>
      <c r="AP481" s="114"/>
      <c r="AQ481" s="114"/>
      <c r="AR481" s="114"/>
      <c r="AS481" s="114"/>
      <c r="AT481" s="114"/>
      <c r="AU481" s="114"/>
      <c r="AV481" s="114"/>
      <c r="AW481" s="114"/>
      <c r="AX481" s="114"/>
      <c r="AY481" s="119"/>
      <c r="AZ481" s="115"/>
      <c r="BA481" s="115"/>
      <c r="BB481" s="115"/>
      <c r="BC481" s="115"/>
      <c r="BD481" s="115"/>
      <c r="BE481" s="115"/>
      <c r="BF481" s="115"/>
      <c r="BG481" s="115"/>
      <c r="BH481" s="115"/>
      <c r="BI481" s="115"/>
      <c r="BJ481" s="115"/>
    </row>
    <row r="482" spans="1:62" ht="15" hidden="1" thickBot="1" x14ac:dyDescent="0.4">
      <c r="A482" s="20" t="str">
        <f>VLOOKUP(C482,Master!A:D,4,0)</f>
        <v>FG</v>
      </c>
      <c r="B482" s="21" t="str">
        <f>VLOOKUP(C482,Master!A:C,3,0)</f>
        <v>Flexitank</v>
      </c>
      <c r="C482" s="21" t="s">
        <v>718</v>
      </c>
      <c r="D482" s="2">
        <f t="shared" si="318"/>
        <v>0</v>
      </c>
      <c r="E482" s="2">
        <f t="shared" si="319"/>
        <v>0</v>
      </c>
      <c r="F482" s="2">
        <f t="shared" si="320"/>
        <v>0</v>
      </c>
      <c r="G482" s="22"/>
      <c r="H482" s="22"/>
      <c r="I482" s="22"/>
      <c r="J482" s="24"/>
      <c r="K482" s="22"/>
      <c r="L482" s="22"/>
      <c r="M482" s="22"/>
      <c r="N482" s="22"/>
      <c r="O482" s="22"/>
      <c r="P482" s="22"/>
      <c r="Q482" s="2"/>
      <c r="R482" s="22"/>
      <c r="S482" s="22"/>
      <c r="T482" s="22"/>
      <c r="U482" s="2">
        <f t="shared" si="313"/>
        <v>0</v>
      </c>
      <c r="V482" s="2">
        <f t="shared" si="314"/>
        <v>0</v>
      </c>
      <c r="W482" s="2">
        <f t="shared" si="321"/>
        <v>0</v>
      </c>
      <c r="X482" s="2">
        <f t="shared" si="322"/>
        <v>0</v>
      </c>
      <c r="Y482" s="2">
        <f t="shared" si="323"/>
        <v>0</v>
      </c>
      <c r="Z482" s="46">
        <v>0</v>
      </c>
      <c r="AA482" s="46">
        <v>0</v>
      </c>
      <c r="AB482" s="46">
        <v>0</v>
      </c>
      <c r="AC482" s="58">
        <f t="shared" si="324"/>
        <v>0</v>
      </c>
      <c r="AD482" s="58">
        <f t="shared" si="324"/>
        <v>0</v>
      </c>
      <c r="AE482" s="58">
        <f t="shared" si="325"/>
        <v>0</v>
      </c>
      <c r="AF482" s="56"/>
      <c r="AG482" s="65"/>
      <c r="AH482" s="117">
        <f t="shared" si="326"/>
        <v>0</v>
      </c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4"/>
      <c r="AS482" s="114"/>
      <c r="AT482" s="114"/>
      <c r="AU482" s="114"/>
      <c r="AV482" s="114"/>
      <c r="AW482" s="114"/>
      <c r="AX482" s="114"/>
      <c r="AY482" s="119"/>
      <c r="AZ482" s="115"/>
      <c r="BA482" s="115"/>
      <c r="BB482" s="115"/>
      <c r="BC482" s="115"/>
      <c r="BD482" s="115"/>
      <c r="BE482" s="115"/>
      <c r="BF482" s="115"/>
      <c r="BG482" s="115"/>
      <c r="BH482" s="115"/>
      <c r="BI482" s="115"/>
      <c r="BJ482" s="115"/>
    </row>
    <row r="483" spans="1:62" hidden="1" x14ac:dyDescent="0.35">
      <c r="A483" s="536" t="s">
        <v>928</v>
      </c>
      <c r="B483" s="537"/>
      <c r="C483" s="538"/>
      <c r="D483" s="17">
        <f>SUM(D446:D482)</f>
        <v>80511.518888000093</v>
      </c>
      <c r="E483" s="17">
        <f t="shared" ref="E483:Z483" si="327">SUM(E446:E482)</f>
        <v>449660.13</v>
      </c>
      <c r="F483" s="17">
        <f t="shared" si="327"/>
        <v>0</v>
      </c>
      <c r="G483" s="17">
        <f t="shared" si="327"/>
        <v>0</v>
      </c>
      <c r="H483" s="17">
        <f t="shared" si="327"/>
        <v>0</v>
      </c>
      <c r="I483" s="17">
        <f t="shared" si="327"/>
        <v>0</v>
      </c>
      <c r="J483" s="17">
        <f t="shared" si="327"/>
        <v>0</v>
      </c>
      <c r="K483" s="17">
        <f t="shared" si="327"/>
        <v>0</v>
      </c>
      <c r="L483" s="17">
        <f t="shared" si="327"/>
        <v>0</v>
      </c>
      <c r="M483" s="17">
        <f t="shared" si="327"/>
        <v>0</v>
      </c>
      <c r="N483" s="17">
        <f t="shared" si="327"/>
        <v>0</v>
      </c>
      <c r="O483" s="17">
        <f t="shared" si="327"/>
        <v>0</v>
      </c>
      <c r="P483" s="17">
        <f t="shared" si="327"/>
        <v>0</v>
      </c>
      <c r="Q483" s="17">
        <f t="shared" si="327"/>
        <v>0</v>
      </c>
      <c r="R483" s="17">
        <f t="shared" si="327"/>
        <v>0</v>
      </c>
      <c r="S483" s="17">
        <f t="shared" si="327"/>
        <v>0</v>
      </c>
      <c r="T483" s="17">
        <f t="shared" si="327"/>
        <v>0</v>
      </c>
      <c r="U483" s="17">
        <f t="shared" si="327"/>
        <v>0</v>
      </c>
      <c r="V483" s="17">
        <f t="shared" si="327"/>
        <v>0</v>
      </c>
      <c r="W483" s="17">
        <f t="shared" si="327"/>
        <v>80511.518888000093</v>
      </c>
      <c r="X483" s="17">
        <f t="shared" si="327"/>
        <v>449660.13</v>
      </c>
      <c r="Y483" s="17">
        <f t="shared" si="327"/>
        <v>0</v>
      </c>
      <c r="Z483" s="17">
        <f t="shared" si="327"/>
        <v>0</v>
      </c>
      <c r="AA483" s="17">
        <f>SUM(AA446:AA482)</f>
        <v>0</v>
      </c>
      <c r="AB483" s="17">
        <f t="shared" ref="AB483:AF483" si="328">SUM(AB446:AB482)</f>
        <v>0</v>
      </c>
      <c r="AC483" s="94">
        <f t="shared" si="328"/>
        <v>74511.518887999919</v>
      </c>
      <c r="AD483" s="94">
        <f t="shared" si="328"/>
        <v>449660.13</v>
      </c>
      <c r="AE483" s="17">
        <f t="shared" si="328"/>
        <v>0</v>
      </c>
      <c r="AF483" s="57">
        <f t="shared" si="328"/>
        <v>0</v>
      </c>
      <c r="AG483" s="61"/>
      <c r="AH483" s="120">
        <f t="shared" ref="AH483" si="329">SUM(AH446:AH482)</f>
        <v>0</v>
      </c>
      <c r="AI483" s="121"/>
      <c r="AJ483" s="121"/>
      <c r="AK483" s="121"/>
      <c r="AL483" s="121"/>
      <c r="AM483" s="121"/>
      <c r="AN483" s="121"/>
      <c r="AO483" s="121"/>
      <c r="AP483" s="121"/>
      <c r="AQ483" s="121"/>
      <c r="AR483" s="121"/>
      <c r="AS483" s="121"/>
      <c r="AT483" s="121"/>
      <c r="AU483" s="121"/>
      <c r="AV483" s="121"/>
      <c r="AW483" s="121"/>
      <c r="AX483" s="121"/>
      <c r="AY483" s="119"/>
      <c r="AZ483" s="115"/>
      <c r="BA483" s="115"/>
      <c r="BB483" s="122"/>
      <c r="BC483" s="122"/>
      <c r="BD483" s="122"/>
      <c r="BE483" s="122"/>
      <c r="BF483" s="122"/>
      <c r="BG483" s="122"/>
      <c r="BH483" s="122"/>
      <c r="BI483" s="122"/>
      <c r="BJ483" s="115"/>
    </row>
    <row r="484" spans="1:62" hidden="1" x14ac:dyDescent="0.35">
      <c r="A484" s="533" t="s">
        <v>927</v>
      </c>
      <c r="B484" s="534"/>
      <c r="C484" s="535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  <c r="Z484" s="11"/>
      <c r="AA484" s="12"/>
      <c r="AB484" s="11"/>
      <c r="AC484" s="11"/>
      <c r="AD484" s="11"/>
      <c r="AE484" s="11"/>
      <c r="AF484" s="4"/>
      <c r="AG484" s="62"/>
      <c r="AH484" s="117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4"/>
      <c r="AS484" s="114"/>
      <c r="AT484" s="114"/>
      <c r="AU484" s="114"/>
      <c r="AV484" s="114"/>
      <c r="AW484" s="114"/>
      <c r="AX484" s="114"/>
      <c r="AY484" s="119"/>
      <c r="AZ484" s="115"/>
      <c r="BA484" s="115"/>
      <c r="BB484" s="115"/>
      <c r="BC484" s="115"/>
      <c r="BD484" s="115"/>
      <c r="BE484" s="115"/>
      <c r="BF484" s="115"/>
      <c r="BG484" s="115"/>
      <c r="BH484" s="115"/>
      <c r="BI484" s="115"/>
      <c r="BJ484" s="115"/>
    </row>
    <row r="485" spans="1:62" ht="15" hidden="1" thickBot="1" x14ac:dyDescent="0.4">
      <c r="A485" s="547" t="s">
        <v>21</v>
      </c>
      <c r="B485" s="548"/>
      <c r="C485" s="549"/>
      <c r="D485" s="23"/>
      <c r="E485" s="23"/>
      <c r="F485" s="23"/>
      <c r="G485" s="24">
        <f>G483-G484</f>
        <v>0</v>
      </c>
      <c r="H485" s="24">
        <f t="shared" ref="H485:N485" si="330">H483-H484</f>
        <v>0</v>
      </c>
      <c r="I485" s="24">
        <f t="shared" si="330"/>
        <v>0</v>
      </c>
      <c r="J485" s="24">
        <f t="shared" si="330"/>
        <v>0</v>
      </c>
      <c r="K485" s="24">
        <f t="shared" si="330"/>
        <v>0</v>
      </c>
      <c r="L485" s="24">
        <f t="shared" si="330"/>
        <v>0</v>
      </c>
      <c r="M485" s="24">
        <f t="shared" si="330"/>
        <v>0</v>
      </c>
      <c r="N485" s="24">
        <f t="shared" si="330"/>
        <v>0</v>
      </c>
      <c r="O485" s="23"/>
      <c r="P485" s="23"/>
      <c r="Q485" s="23"/>
      <c r="R485" s="23"/>
      <c r="S485" s="23"/>
      <c r="T485" s="23"/>
      <c r="U485" s="23"/>
      <c r="V485" s="23"/>
      <c r="W485" s="23"/>
      <c r="X485" s="24"/>
      <c r="Y485" s="23"/>
      <c r="Z485" s="23"/>
      <c r="AA485" s="79">
        <f>+AA483-AA484</f>
        <v>0</v>
      </c>
      <c r="AB485" s="23"/>
      <c r="AC485" s="23"/>
      <c r="AD485" s="23"/>
      <c r="AE485" s="23"/>
      <c r="AF485" s="25"/>
      <c r="AG485" s="63"/>
      <c r="AH485" s="123"/>
      <c r="AI485" s="114"/>
      <c r="AJ485" s="114"/>
      <c r="AK485" s="114"/>
      <c r="AL485" s="114"/>
      <c r="AM485" s="114"/>
      <c r="AN485" s="114"/>
      <c r="AO485" s="114"/>
      <c r="AP485" s="114"/>
      <c r="AQ485" s="114"/>
      <c r="AR485" s="114"/>
      <c r="AS485" s="114"/>
      <c r="AT485" s="114"/>
      <c r="AU485" s="114"/>
      <c r="AV485" s="114"/>
      <c r="AW485" s="114"/>
      <c r="AX485" s="114"/>
      <c r="AY485" s="119"/>
      <c r="AZ485" s="115"/>
      <c r="BA485" s="115"/>
      <c r="BB485" s="115"/>
      <c r="BC485" s="115"/>
      <c r="BD485" s="115"/>
      <c r="BE485" s="115"/>
      <c r="BF485" s="115"/>
      <c r="BG485" s="115"/>
      <c r="BH485" s="115"/>
      <c r="BI485" s="115"/>
      <c r="BJ485" s="115"/>
    </row>
    <row r="486" spans="1:62" hidden="1" x14ac:dyDescent="0.35">
      <c r="O486" s="51" t="s">
        <v>970</v>
      </c>
      <c r="P486" s="70">
        <f>+O483-P483</f>
        <v>0</v>
      </c>
      <c r="S486" s="51" t="s">
        <v>970</v>
      </c>
      <c r="T486" s="70">
        <f>+S483-T483</f>
        <v>0</v>
      </c>
      <c r="W486" s="47"/>
      <c r="X486" s="47"/>
      <c r="AY486" s="246"/>
    </row>
    <row r="487" spans="1:62" hidden="1" x14ac:dyDescent="0.35">
      <c r="A487" s="29"/>
      <c r="O487" s="64"/>
      <c r="P487" s="64"/>
      <c r="S487" s="47"/>
      <c r="W487" s="47"/>
      <c r="X487" s="47"/>
      <c r="Y487" s="47"/>
      <c r="AH487" s="131">
        <f>+AH446+AH460+AH447+AH449+AH454</f>
        <v>0</v>
      </c>
      <c r="AI487" s="105" t="s">
        <v>932</v>
      </c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  <c r="AT487" s="116"/>
      <c r="AU487" s="116"/>
      <c r="AV487" s="116"/>
      <c r="AW487" s="116"/>
      <c r="AX487" s="116"/>
      <c r="AY487" s="246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</row>
    <row r="488" spans="1:62" hidden="1" x14ac:dyDescent="0.35">
      <c r="P488" s="47"/>
      <c r="W488" s="47">
        <f>+D483+H483-K483</f>
        <v>80511.518888000093</v>
      </c>
      <c r="X488" s="47">
        <f>+E483+J483-N483</f>
        <v>449660.13</v>
      </c>
      <c r="AH488" s="116">
        <f>+AH474</f>
        <v>0</v>
      </c>
      <c r="AI488" s="105" t="s">
        <v>931</v>
      </c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  <c r="AT488" s="116"/>
      <c r="AU488" s="116"/>
      <c r="AV488" s="116"/>
      <c r="AW488" s="116"/>
      <c r="AX488" s="116"/>
      <c r="AY488" s="246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</row>
    <row r="489" spans="1:62" hidden="1" x14ac:dyDescent="0.35">
      <c r="W489" s="47">
        <f>+W483-W488</f>
        <v>0</v>
      </c>
      <c r="X489" s="47">
        <f>+X483-X488</f>
        <v>0</v>
      </c>
      <c r="AH489" s="116">
        <f>+AH466+AH473+AH476+AH480</f>
        <v>0</v>
      </c>
      <c r="AI489" s="105" t="s">
        <v>930</v>
      </c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  <c r="AU489" s="116"/>
      <c r="AV489" s="116"/>
      <c r="AW489" s="116"/>
      <c r="AX489" s="116"/>
      <c r="AY489" s="246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</row>
    <row r="490" spans="1:62" hidden="1" x14ac:dyDescent="0.35">
      <c r="AH490" s="116">
        <f>+AH483-AH487-AH488-AH489</f>
        <v>0</v>
      </c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  <c r="AT490" s="116"/>
      <c r="AU490" s="116"/>
      <c r="AV490" s="116"/>
      <c r="AW490" s="116"/>
      <c r="AX490" s="116"/>
      <c r="AY490" s="246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  <c r="BJ490" s="124"/>
    </row>
    <row r="491" spans="1:62" hidden="1" x14ac:dyDescent="0.35"/>
    <row r="492" spans="1:62" ht="15" hidden="1" thickBot="1" x14ac:dyDescent="0.4"/>
    <row r="493" spans="1:62" ht="15.75" hidden="1" customHeight="1" thickBot="1" x14ac:dyDescent="0.4">
      <c r="A493" s="5"/>
      <c r="B493" s="5"/>
      <c r="C493" s="8"/>
      <c r="D493" s="539" t="s">
        <v>0</v>
      </c>
      <c r="E493" s="540"/>
      <c r="F493" s="540"/>
      <c r="G493" s="541" t="s">
        <v>2355</v>
      </c>
      <c r="H493" s="542"/>
      <c r="I493" s="542"/>
      <c r="J493" s="542"/>
      <c r="K493" s="542"/>
      <c r="L493" s="542"/>
      <c r="M493" s="542"/>
      <c r="N493" s="542"/>
      <c r="O493" s="542"/>
      <c r="P493" s="542"/>
      <c r="Q493" s="542"/>
      <c r="R493" s="542"/>
      <c r="S493" s="542"/>
      <c r="T493" s="542"/>
      <c r="U493" s="542"/>
      <c r="V493" s="543"/>
      <c r="W493" s="550" t="s">
        <v>20</v>
      </c>
      <c r="X493" s="551"/>
      <c r="Y493" s="552"/>
      <c r="Z493" s="553" t="s">
        <v>929</v>
      </c>
      <c r="AA493" s="553"/>
      <c r="AB493" s="553"/>
      <c r="AC493" s="553" t="s">
        <v>21</v>
      </c>
      <c r="AD493" s="553"/>
      <c r="AE493" s="553"/>
      <c r="AF493" s="13"/>
      <c r="AG493" s="531"/>
      <c r="AH493" s="532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8"/>
      <c r="AZ493" s="108"/>
      <c r="BA493" s="108"/>
      <c r="BB493" s="108"/>
      <c r="BC493" s="108"/>
      <c r="BD493" s="108"/>
      <c r="BE493" s="108"/>
      <c r="BF493" s="108"/>
      <c r="BG493" s="108"/>
      <c r="BH493" s="108"/>
      <c r="BI493" s="108"/>
      <c r="BJ493" s="108"/>
    </row>
    <row r="494" spans="1:62" ht="29.5" hidden="1" thickBot="1" x14ac:dyDescent="0.4">
      <c r="A494" s="10" t="s">
        <v>24</v>
      </c>
      <c r="B494" s="10" t="s">
        <v>924</v>
      </c>
      <c r="C494" s="10" t="s">
        <v>23</v>
      </c>
      <c r="D494" s="26" t="s">
        <v>1</v>
      </c>
      <c r="E494" s="27" t="s">
        <v>2</v>
      </c>
      <c r="F494" s="27" t="s">
        <v>3</v>
      </c>
      <c r="G494" s="27" t="s">
        <v>4</v>
      </c>
      <c r="H494" s="27" t="s">
        <v>5</v>
      </c>
      <c r="I494" s="27" t="s">
        <v>6</v>
      </c>
      <c r="J494" s="27" t="s">
        <v>7</v>
      </c>
      <c r="K494" s="27" t="s">
        <v>8</v>
      </c>
      <c r="L494" s="27" t="s">
        <v>9</v>
      </c>
      <c r="M494" s="27" t="s">
        <v>10</v>
      </c>
      <c r="N494" s="27" t="s">
        <v>11</v>
      </c>
      <c r="O494" s="27" t="s">
        <v>12</v>
      </c>
      <c r="P494" s="27" t="s">
        <v>13</v>
      </c>
      <c r="Q494" s="27" t="s">
        <v>14</v>
      </c>
      <c r="R494" s="27" t="s">
        <v>15</v>
      </c>
      <c r="S494" s="27" t="s">
        <v>16</v>
      </c>
      <c r="T494" s="27" t="s">
        <v>17</v>
      </c>
      <c r="U494" s="27" t="s">
        <v>18</v>
      </c>
      <c r="V494" s="27" t="s">
        <v>19</v>
      </c>
      <c r="W494" s="28" t="s">
        <v>1</v>
      </c>
      <c r="X494" s="28" t="s">
        <v>2</v>
      </c>
      <c r="Y494" s="28" t="s">
        <v>3</v>
      </c>
      <c r="Z494" s="28" t="s">
        <v>1</v>
      </c>
      <c r="AA494" s="50" t="s">
        <v>2</v>
      </c>
      <c r="AB494" s="27" t="s">
        <v>3</v>
      </c>
      <c r="AC494" s="27" t="s">
        <v>1</v>
      </c>
      <c r="AD494" s="27" t="s">
        <v>2</v>
      </c>
      <c r="AE494" s="27" t="s">
        <v>3</v>
      </c>
      <c r="AF494" s="55" t="s">
        <v>22</v>
      </c>
      <c r="AG494" s="59" t="s">
        <v>934</v>
      </c>
      <c r="AH494" s="110" t="s">
        <v>933</v>
      </c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2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</row>
    <row r="495" spans="1:62" hidden="1" x14ac:dyDescent="0.35">
      <c r="A495" s="15" t="str">
        <f>VLOOKUP(C495,Master!A:D,4,0)</f>
        <v>RM</v>
      </c>
      <c r="B495" s="16" t="str">
        <f>VLOOKUP(C495,Master!A:C,3,0)</f>
        <v>Granuals</v>
      </c>
      <c r="C495" s="16" t="s">
        <v>32</v>
      </c>
      <c r="D495" s="17">
        <f>+W446</f>
        <v>2494.8000000000002</v>
      </c>
      <c r="E495" s="17">
        <f t="shared" ref="E495:F495" si="331">+X446</f>
        <v>200</v>
      </c>
      <c r="F495" s="17">
        <f t="shared" si="331"/>
        <v>0</v>
      </c>
      <c r="G495" s="17"/>
      <c r="H495" s="17"/>
      <c r="I495" s="71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>
        <f t="shared" ref="U495:U527" si="332">O495-S495</f>
        <v>0</v>
      </c>
      <c r="V495" s="17">
        <f t="shared" ref="V495:V527" si="333">P495-T495</f>
        <v>0</v>
      </c>
      <c r="W495" s="17">
        <f>D495+G495+H495+I495-K495-L495-M495-V495+U495</f>
        <v>2494.8000000000002</v>
      </c>
      <c r="X495" s="17">
        <f t="shared" ref="X495:X496" si="334">E495+J495-N495-T495+S495</f>
        <v>200</v>
      </c>
      <c r="Y495" s="17">
        <f t="shared" ref="Y495:Y496" si="335">F495-I495+M495-R495+Q495</f>
        <v>0</v>
      </c>
      <c r="Z495" s="48">
        <v>0</v>
      </c>
      <c r="AA495" s="45">
        <v>0</v>
      </c>
      <c r="AB495" s="45">
        <v>0</v>
      </c>
      <c r="AC495" s="72">
        <f>W495-Z495</f>
        <v>2494.8000000000002</v>
      </c>
      <c r="AD495" s="72">
        <f>X495-AA495</f>
        <v>200</v>
      </c>
      <c r="AE495" s="18">
        <f>Y495-AB495</f>
        <v>0</v>
      </c>
      <c r="AF495" s="56"/>
      <c r="AG495" s="61"/>
      <c r="AH495" s="113">
        <f>+W495*AG495</f>
        <v>0</v>
      </c>
      <c r="AI495" s="114"/>
      <c r="AJ495" s="114"/>
      <c r="AK495" s="114"/>
      <c r="AL495" s="114"/>
      <c r="AM495" s="114"/>
      <c r="AN495" s="114"/>
      <c r="AO495" s="114"/>
      <c r="AP495" s="114"/>
      <c r="AQ495" s="114"/>
      <c r="AR495" s="114"/>
      <c r="AS495" s="114"/>
      <c r="AT495" s="114"/>
      <c r="AU495" s="114"/>
      <c r="AV495" s="114"/>
      <c r="AW495" s="114"/>
      <c r="AX495" s="114"/>
      <c r="AY495" s="119"/>
      <c r="AZ495" s="115"/>
      <c r="BA495" s="243"/>
      <c r="BB495" s="115"/>
      <c r="BC495" s="115"/>
      <c r="BD495" s="115"/>
      <c r="BE495" s="115"/>
      <c r="BF495" s="115"/>
      <c r="BG495" s="115"/>
      <c r="BH495" s="115"/>
      <c r="BI495" s="115"/>
      <c r="BJ495" s="115"/>
    </row>
    <row r="496" spans="1:62" hidden="1" x14ac:dyDescent="0.35">
      <c r="A496" s="19" t="str">
        <f>VLOOKUP(C496,Master!A:D,4,0)</f>
        <v>RM</v>
      </c>
      <c r="B496" s="14" t="str">
        <f>VLOOKUP(C496,Master!A:C,3,0)</f>
        <v>Granuals</v>
      </c>
      <c r="C496" s="14" t="s">
        <v>37</v>
      </c>
      <c r="D496" s="2">
        <f>+W447</f>
        <v>29994.720000000001</v>
      </c>
      <c r="E496" s="2">
        <f t="shared" ref="E496:F496" si="336">+X447</f>
        <v>341299.7</v>
      </c>
      <c r="F496" s="2">
        <f t="shared" si="336"/>
        <v>0</v>
      </c>
      <c r="G496" s="2"/>
      <c r="H496" s="2"/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>
        <f t="shared" si="332"/>
        <v>0</v>
      </c>
      <c r="V496" s="2">
        <f t="shared" si="333"/>
        <v>0</v>
      </c>
      <c r="W496" s="54">
        <f t="shared" ref="W496" si="337">D496+G496+H496+I496-K496-L496-M496-V496+U496</f>
        <v>29994.720000000001</v>
      </c>
      <c r="X496" s="2">
        <f t="shared" si="334"/>
        <v>341299.7</v>
      </c>
      <c r="Y496" s="2">
        <f t="shared" si="335"/>
        <v>0</v>
      </c>
      <c r="Z496" s="46">
        <v>0</v>
      </c>
      <c r="AA496" s="46">
        <v>0</v>
      </c>
      <c r="AB496" s="46">
        <v>0</v>
      </c>
      <c r="AC496" s="58">
        <f t="shared" ref="AC496:AC498" si="338">W496-Z496</f>
        <v>29994.720000000001</v>
      </c>
      <c r="AD496" s="58">
        <f t="shared" ref="AC496:AD531" si="339">X496-AA496</f>
        <v>341299.7</v>
      </c>
      <c r="AE496" s="12">
        <f t="shared" ref="AE496:AE527" si="340">Y496-AB496</f>
        <v>0</v>
      </c>
      <c r="AF496" s="56"/>
      <c r="AG496" s="60"/>
      <c r="AH496" s="117">
        <f>+W496*AG496</f>
        <v>0</v>
      </c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14"/>
      <c r="AS496" s="114"/>
      <c r="AT496" s="114"/>
      <c r="AU496" s="114"/>
      <c r="AV496" s="114"/>
      <c r="AW496" s="114"/>
      <c r="AX496" s="114"/>
      <c r="AY496" s="119"/>
      <c r="AZ496" s="115"/>
      <c r="BA496" s="243"/>
      <c r="BB496" s="115"/>
      <c r="BC496" s="115"/>
      <c r="BD496" s="115"/>
      <c r="BE496" s="115"/>
      <c r="BF496" s="115"/>
      <c r="BG496" s="115"/>
      <c r="BH496" s="115"/>
      <c r="BI496" s="115"/>
      <c r="BJ496" s="115"/>
    </row>
    <row r="497" spans="1:62" hidden="1" x14ac:dyDescent="0.35">
      <c r="A497" s="19" t="str">
        <f>VLOOKUP(C497,Master!A:D,4,0)</f>
        <v>RM</v>
      </c>
      <c r="B497" s="14" t="str">
        <f>VLOOKUP(C497,Master!A:C,3,0)</f>
        <v>Granuals</v>
      </c>
      <c r="C497" s="14" t="s">
        <v>40</v>
      </c>
      <c r="D497" s="2">
        <f t="shared" ref="D497:F497" si="341">+W448</f>
        <v>0</v>
      </c>
      <c r="E497" s="2">
        <f t="shared" si="341"/>
        <v>0</v>
      </c>
      <c r="F497" s="2">
        <f t="shared" si="341"/>
        <v>0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>
        <f t="shared" si="332"/>
        <v>0</v>
      </c>
      <c r="V497" s="2">
        <f t="shared" si="333"/>
        <v>0</v>
      </c>
      <c r="W497" s="54">
        <f t="shared" ref="W497:W531" si="342">D497+G497+H497+I497-K497-L497-M497-V497+U497</f>
        <v>0</v>
      </c>
      <c r="X497" s="2">
        <f t="shared" ref="X497:X531" si="343">E497+J497-N497-T497+S497</f>
        <v>0</v>
      </c>
      <c r="Y497" s="2">
        <f t="shared" ref="Y497:Y531" si="344">F497-I497+M497-R497+Q497</f>
        <v>0</v>
      </c>
      <c r="Z497" s="46">
        <v>0</v>
      </c>
      <c r="AA497" s="46">
        <v>0</v>
      </c>
      <c r="AB497" s="46">
        <v>0</v>
      </c>
      <c r="AC497" s="58">
        <f t="shared" si="338"/>
        <v>0</v>
      </c>
      <c r="AD497" s="58">
        <f t="shared" si="339"/>
        <v>0</v>
      </c>
      <c r="AE497" s="12">
        <f t="shared" si="340"/>
        <v>0</v>
      </c>
      <c r="AF497" s="56"/>
      <c r="AG497" s="62"/>
      <c r="AH497" s="117">
        <f t="shared" ref="AH497:AH531" si="345">+W497*AG497</f>
        <v>0</v>
      </c>
      <c r="AI497" s="114"/>
      <c r="AJ497" s="114"/>
      <c r="AK497" s="114"/>
      <c r="AL497" s="114"/>
      <c r="AM497" s="114"/>
      <c r="AN497" s="114"/>
      <c r="AO497" s="114"/>
      <c r="AP497" s="114"/>
      <c r="AQ497" s="114"/>
      <c r="AR497" s="114"/>
      <c r="AS497" s="114"/>
      <c r="AT497" s="114"/>
      <c r="AU497" s="114"/>
      <c r="AV497" s="114"/>
      <c r="AW497" s="114"/>
      <c r="AX497" s="114"/>
      <c r="AY497" s="119"/>
      <c r="AZ497" s="115"/>
      <c r="BA497" s="115"/>
      <c r="BB497" s="115"/>
      <c r="BC497" s="115"/>
      <c r="BD497" s="115"/>
      <c r="BE497" s="115"/>
      <c r="BF497" s="115"/>
      <c r="BG497" s="115"/>
      <c r="BH497" s="115"/>
      <c r="BI497" s="115"/>
      <c r="BJ497" s="115"/>
    </row>
    <row r="498" spans="1:62" hidden="1" x14ac:dyDescent="0.35">
      <c r="A498" s="19" t="str">
        <f>VLOOKUP(C498,Master!A:D,4,0)</f>
        <v>RM</v>
      </c>
      <c r="B498" s="14" t="str">
        <f>VLOOKUP(C498,Master!A:C,3,0)</f>
        <v>Granuals</v>
      </c>
      <c r="C498" s="14" t="s">
        <v>46</v>
      </c>
      <c r="D498" s="2">
        <f t="shared" ref="D498:F498" si="346">+W449</f>
        <v>0</v>
      </c>
      <c r="E498" s="2">
        <f t="shared" si="346"/>
        <v>15000</v>
      </c>
      <c r="F498" s="2">
        <f t="shared" si="346"/>
        <v>0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>
        <f t="shared" si="332"/>
        <v>0</v>
      </c>
      <c r="V498" s="2">
        <f t="shared" si="333"/>
        <v>0</v>
      </c>
      <c r="W498" s="54">
        <f t="shared" si="342"/>
        <v>0</v>
      </c>
      <c r="X498" s="2">
        <f t="shared" si="343"/>
        <v>15000</v>
      </c>
      <c r="Y498" s="2">
        <f t="shared" si="344"/>
        <v>0</v>
      </c>
      <c r="Z498" s="46">
        <v>0</v>
      </c>
      <c r="AA498" s="46">
        <v>0</v>
      </c>
      <c r="AB498" s="46">
        <v>0</v>
      </c>
      <c r="AC498" s="58">
        <f t="shared" si="338"/>
        <v>0</v>
      </c>
      <c r="AD498" s="58">
        <f t="shared" si="339"/>
        <v>15000</v>
      </c>
      <c r="AE498" s="12">
        <f t="shared" si="340"/>
        <v>0</v>
      </c>
      <c r="AF498" s="56"/>
      <c r="AG498" s="62"/>
      <c r="AH498" s="117">
        <f t="shared" si="345"/>
        <v>0</v>
      </c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4"/>
      <c r="AS498" s="114"/>
      <c r="AT498" s="114"/>
      <c r="AU498" s="114"/>
      <c r="AV498" s="114"/>
      <c r="AW498" s="114"/>
      <c r="AX498" s="114"/>
      <c r="AY498" s="119"/>
      <c r="AZ498" s="115"/>
      <c r="BA498" s="115"/>
      <c r="BB498" s="115"/>
      <c r="BC498" s="115"/>
      <c r="BD498" s="115"/>
      <c r="BE498" s="115"/>
      <c r="BF498" s="115"/>
      <c r="BG498" s="115"/>
      <c r="BH498" s="115"/>
      <c r="BI498" s="115"/>
      <c r="BJ498" s="115"/>
    </row>
    <row r="499" spans="1:62" hidden="1" x14ac:dyDescent="0.35">
      <c r="A499" s="19" t="str">
        <f>VLOOKUP(C499,Master!A:D,4,0)</f>
        <v>RM</v>
      </c>
      <c r="B499" s="14" t="str">
        <f>VLOOKUP(C499,Master!A:C,3,0)</f>
        <v>Granuals</v>
      </c>
      <c r="C499" s="14" t="s">
        <v>49</v>
      </c>
      <c r="D499" s="2">
        <f t="shared" ref="D499:F499" si="347">+W450</f>
        <v>0</v>
      </c>
      <c r="E499" s="2">
        <f t="shared" si="347"/>
        <v>0</v>
      </c>
      <c r="F499" s="2">
        <f t="shared" si="347"/>
        <v>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>
        <f t="shared" si="332"/>
        <v>0</v>
      </c>
      <c r="V499" s="2">
        <f t="shared" si="333"/>
        <v>0</v>
      </c>
      <c r="W499" s="54">
        <f t="shared" si="342"/>
        <v>0</v>
      </c>
      <c r="X499" s="2">
        <f t="shared" si="343"/>
        <v>0</v>
      </c>
      <c r="Y499" s="2">
        <f t="shared" si="344"/>
        <v>0</v>
      </c>
      <c r="Z499" s="46">
        <v>0</v>
      </c>
      <c r="AA499" s="46">
        <v>0</v>
      </c>
      <c r="AB499" s="46">
        <v>0</v>
      </c>
      <c r="AC499" s="58">
        <f>W499-Z499</f>
        <v>0</v>
      </c>
      <c r="AD499" s="58">
        <f t="shared" si="339"/>
        <v>0</v>
      </c>
      <c r="AE499" s="12">
        <f t="shared" si="340"/>
        <v>0</v>
      </c>
      <c r="AF499" s="56"/>
      <c r="AG499" s="62"/>
      <c r="AH499" s="117">
        <f t="shared" si="345"/>
        <v>0</v>
      </c>
      <c r="AI499" s="114"/>
      <c r="AJ499" s="114"/>
      <c r="AK499" s="114"/>
      <c r="AL499" s="114"/>
      <c r="AM499" s="114"/>
      <c r="AN499" s="114"/>
      <c r="AO499" s="114"/>
      <c r="AP499" s="114"/>
      <c r="AQ499" s="114"/>
      <c r="AR499" s="114"/>
      <c r="AS499" s="114"/>
      <c r="AT499" s="114"/>
      <c r="AU499" s="114"/>
      <c r="AV499" s="114"/>
      <c r="AW499" s="114"/>
      <c r="AX499" s="114"/>
      <c r="AY499" s="119"/>
      <c r="AZ499" s="115"/>
      <c r="BA499" s="115"/>
      <c r="BB499" s="115"/>
      <c r="BC499" s="115"/>
      <c r="BD499" s="115"/>
      <c r="BE499" s="115"/>
      <c r="BF499" s="115"/>
      <c r="BG499" s="115"/>
      <c r="BH499" s="115"/>
      <c r="BI499" s="115"/>
      <c r="BJ499" s="115"/>
    </row>
    <row r="500" spans="1:62" hidden="1" x14ac:dyDescent="0.35">
      <c r="A500" s="19" t="str">
        <f>VLOOKUP(C500,Master!A:D,4,0)</f>
        <v>RM</v>
      </c>
      <c r="B500" s="14" t="str">
        <f>VLOOKUP(C500,Master!A:C,3,0)</f>
        <v>Granuals</v>
      </c>
      <c r="C500" s="14" t="s">
        <v>55</v>
      </c>
      <c r="D500" s="2">
        <f t="shared" ref="D500:F500" si="348">+W451</f>
        <v>0</v>
      </c>
      <c r="E500" s="2">
        <f t="shared" si="348"/>
        <v>25550</v>
      </c>
      <c r="F500" s="2">
        <f t="shared" si="348"/>
        <v>0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>
        <f t="shared" si="332"/>
        <v>0</v>
      </c>
      <c r="V500" s="2">
        <f t="shared" si="333"/>
        <v>0</v>
      </c>
      <c r="W500" s="54">
        <f t="shared" si="342"/>
        <v>0</v>
      </c>
      <c r="X500" s="2">
        <f t="shared" si="343"/>
        <v>25550</v>
      </c>
      <c r="Y500" s="2">
        <f t="shared" si="344"/>
        <v>0</v>
      </c>
      <c r="Z500" s="46">
        <v>0</v>
      </c>
      <c r="AA500" s="46">
        <v>0</v>
      </c>
      <c r="AB500" s="46">
        <v>0</v>
      </c>
      <c r="AC500" s="58">
        <f t="shared" ref="AC500:AC509" si="349">W500-Z500</f>
        <v>0</v>
      </c>
      <c r="AD500" s="58">
        <f t="shared" si="339"/>
        <v>25550</v>
      </c>
      <c r="AE500" s="12">
        <f t="shared" si="340"/>
        <v>0</v>
      </c>
      <c r="AF500" s="56"/>
      <c r="AG500" s="62"/>
      <c r="AH500" s="117">
        <f t="shared" si="345"/>
        <v>0</v>
      </c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  <c r="AS500" s="114"/>
      <c r="AT500" s="114"/>
      <c r="AU500" s="114"/>
      <c r="AV500" s="114"/>
      <c r="AW500" s="114"/>
      <c r="AX500" s="114"/>
      <c r="AY500" s="119"/>
      <c r="AZ500" s="115"/>
      <c r="BA500" s="115"/>
      <c r="BB500" s="115"/>
      <c r="BC500" s="115"/>
      <c r="BD500" s="115"/>
      <c r="BE500" s="115"/>
      <c r="BF500" s="115"/>
      <c r="BG500" s="115"/>
      <c r="BH500" s="115"/>
      <c r="BI500" s="115"/>
      <c r="BJ500" s="115"/>
    </row>
    <row r="501" spans="1:62" hidden="1" x14ac:dyDescent="0.35">
      <c r="A501" s="19" t="str">
        <f>VLOOKUP(C501,Master!A:D,4,0)</f>
        <v>RM</v>
      </c>
      <c r="B501" s="14" t="str">
        <f>VLOOKUP(C501,Master!A:C,3,0)</f>
        <v>FIBC Accessories</v>
      </c>
      <c r="C501" s="14" t="s">
        <v>69</v>
      </c>
      <c r="D501" s="2">
        <f t="shared" ref="D501:F501" si="350">+W452</f>
        <v>0</v>
      </c>
      <c r="E501" s="2">
        <f t="shared" si="350"/>
        <v>0</v>
      </c>
      <c r="F501" s="2">
        <f t="shared" si="350"/>
        <v>0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>
        <f t="shared" si="332"/>
        <v>0</v>
      </c>
      <c r="V501" s="2">
        <f t="shared" si="333"/>
        <v>0</v>
      </c>
      <c r="W501" s="54">
        <f t="shared" si="342"/>
        <v>0</v>
      </c>
      <c r="X501" s="2">
        <f t="shared" si="343"/>
        <v>0</v>
      </c>
      <c r="Y501" s="2">
        <f t="shared" si="344"/>
        <v>0</v>
      </c>
      <c r="Z501" s="46">
        <v>0</v>
      </c>
      <c r="AA501" s="46">
        <v>0</v>
      </c>
      <c r="AB501" s="46">
        <v>0</v>
      </c>
      <c r="AC501" s="58">
        <f t="shared" si="349"/>
        <v>0</v>
      </c>
      <c r="AD501" s="58">
        <f t="shared" si="339"/>
        <v>0</v>
      </c>
      <c r="AE501" s="12">
        <f t="shared" si="340"/>
        <v>0</v>
      </c>
      <c r="AF501" s="56"/>
      <c r="AG501" s="62"/>
      <c r="AH501" s="117">
        <f t="shared" si="345"/>
        <v>0</v>
      </c>
      <c r="AI501" s="114"/>
      <c r="AJ501" s="114"/>
      <c r="AK501" s="114"/>
      <c r="AL501" s="114"/>
      <c r="AM501" s="114"/>
      <c r="AN501" s="114"/>
      <c r="AO501" s="114"/>
      <c r="AP501" s="114"/>
      <c r="AQ501" s="114"/>
      <c r="AR501" s="114"/>
      <c r="AS501" s="114"/>
      <c r="AT501" s="114"/>
      <c r="AU501" s="114"/>
      <c r="AV501" s="114"/>
      <c r="AW501" s="114"/>
      <c r="AX501" s="114"/>
      <c r="AY501" s="119"/>
      <c r="AZ501" s="115"/>
      <c r="BA501" s="115"/>
      <c r="BB501" s="115"/>
      <c r="BC501" s="115"/>
      <c r="BD501" s="115"/>
      <c r="BE501" s="115"/>
      <c r="BF501" s="115"/>
      <c r="BG501" s="115"/>
      <c r="BH501" s="115"/>
      <c r="BI501" s="115"/>
      <c r="BJ501" s="115"/>
    </row>
    <row r="502" spans="1:62" hidden="1" x14ac:dyDescent="0.35">
      <c r="A502" s="19" t="str">
        <f>VLOOKUP(C502,Master!A:D,4,0)</f>
        <v>RM</v>
      </c>
      <c r="B502" s="14" t="str">
        <f>VLOOKUP(C502,Master!A:C,3,0)</f>
        <v>Films All</v>
      </c>
      <c r="C502" s="14" t="s">
        <v>71</v>
      </c>
      <c r="D502" s="2">
        <f t="shared" ref="D502:F502" si="351">+W453</f>
        <v>0</v>
      </c>
      <c r="E502" s="2">
        <f t="shared" si="351"/>
        <v>0</v>
      </c>
      <c r="F502" s="2">
        <f t="shared" si="351"/>
        <v>0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>
        <f t="shared" si="332"/>
        <v>0</v>
      </c>
      <c r="V502" s="2">
        <f t="shared" si="333"/>
        <v>0</v>
      </c>
      <c r="W502" s="54">
        <f t="shared" si="342"/>
        <v>0</v>
      </c>
      <c r="X502" s="2">
        <f t="shared" si="343"/>
        <v>0</v>
      </c>
      <c r="Y502" s="2">
        <f t="shared" si="344"/>
        <v>0</v>
      </c>
      <c r="Z502" s="46">
        <v>0</v>
      </c>
      <c r="AA502" s="46">
        <v>0</v>
      </c>
      <c r="AB502" s="46">
        <v>0</v>
      </c>
      <c r="AC502" s="58">
        <f t="shared" si="349"/>
        <v>0</v>
      </c>
      <c r="AD502" s="58">
        <f t="shared" si="339"/>
        <v>0</v>
      </c>
      <c r="AE502" s="12">
        <f t="shared" si="340"/>
        <v>0</v>
      </c>
      <c r="AF502" s="56"/>
      <c r="AG502" s="62"/>
      <c r="AH502" s="117">
        <f t="shared" si="345"/>
        <v>0</v>
      </c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4"/>
      <c r="AS502" s="114"/>
      <c r="AT502" s="114"/>
      <c r="AU502" s="114"/>
      <c r="AV502" s="114"/>
      <c r="AW502" s="114"/>
      <c r="AX502" s="114"/>
      <c r="AY502" s="119"/>
      <c r="AZ502" s="115"/>
      <c r="BA502" s="115"/>
      <c r="BB502" s="115"/>
      <c r="BC502" s="115"/>
      <c r="BD502" s="115"/>
      <c r="BE502" s="115"/>
      <c r="BF502" s="115"/>
      <c r="BG502" s="115"/>
      <c r="BH502" s="115"/>
      <c r="BI502" s="115"/>
      <c r="BJ502" s="115"/>
    </row>
    <row r="503" spans="1:62" hidden="1" x14ac:dyDescent="0.35">
      <c r="A503" s="19" t="str">
        <f>VLOOKUP(C503,Master!A:D,4,0)</f>
        <v>RM</v>
      </c>
      <c r="B503" s="14" t="str">
        <f>VLOOKUP(C503,Master!A:C,3,0)</f>
        <v>Granuals</v>
      </c>
      <c r="C503" s="14" t="s">
        <v>85</v>
      </c>
      <c r="D503" s="2">
        <f t="shared" ref="D503:F503" si="352">+W454</f>
        <v>0</v>
      </c>
      <c r="E503" s="2">
        <f t="shared" si="352"/>
        <v>0</v>
      </c>
      <c r="F503" s="2">
        <f t="shared" si="352"/>
        <v>0</v>
      </c>
      <c r="G503" s="2"/>
      <c r="H503" s="2"/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>
        <f t="shared" si="332"/>
        <v>0</v>
      </c>
      <c r="V503" s="2">
        <f t="shared" si="333"/>
        <v>0</v>
      </c>
      <c r="W503" s="54">
        <f t="shared" si="342"/>
        <v>0</v>
      </c>
      <c r="X503" s="2">
        <f t="shared" si="343"/>
        <v>0</v>
      </c>
      <c r="Y503" s="2">
        <f t="shared" si="344"/>
        <v>0</v>
      </c>
      <c r="Z503" s="46">
        <v>0</v>
      </c>
      <c r="AA503" s="46">
        <v>0</v>
      </c>
      <c r="AB503" s="46">
        <v>0</v>
      </c>
      <c r="AC503" s="58">
        <f t="shared" si="349"/>
        <v>0</v>
      </c>
      <c r="AD503" s="58">
        <f t="shared" si="339"/>
        <v>0</v>
      </c>
      <c r="AE503" s="12">
        <f t="shared" si="340"/>
        <v>0</v>
      </c>
      <c r="AF503" s="56"/>
      <c r="AG503" s="62"/>
      <c r="AH503" s="117">
        <f t="shared" si="345"/>
        <v>0</v>
      </c>
      <c r="AI503" s="114"/>
      <c r="AJ503" s="114"/>
      <c r="AK503" s="114"/>
      <c r="AL503" s="114"/>
      <c r="AM503" s="114"/>
      <c r="AN503" s="114"/>
      <c r="AO503" s="114"/>
      <c r="AP503" s="114"/>
      <c r="AQ503" s="114"/>
      <c r="AR503" s="114"/>
      <c r="AS503" s="114"/>
      <c r="AT503" s="114"/>
      <c r="AU503" s="114"/>
      <c r="AV503" s="114"/>
      <c r="AW503" s="114"/>
      <c r="AX503" s="114"/>
      <c r="AY503" s="119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115"/>
      <c r="BJ503" s="115"/>
    </row>
    <row r="504" spans="1:62" hidden="1" x14ac:dyDescent="0.35">
      <c r="A504" s="19" t="str">
        <f>VLOOKUP(C504,Master!A:D,4,0)</f>
        <v>RM</v>
      </c>
      <c r="B504" s="14" t="str">
        <f>VLOOKUP(C504,Master!A:C,3,0)</f>
        <v>Films All</v>
      </c>
      <c r="C504" s="14" t="s">
        <v>180</v>
      </c>
      <c r="D504" s="2">
        <f t="shared" ref="D504:F504" si="353">+W455</f>
        <v>0</v>
      </c>
      <c r="E504" s="2">
        <f t="shared" si="353"/>
        <v>0</v>
      </c>
      <c r="F504" s="2">
        <f t="shared" si="353"/>
        <v>0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>
        <f t="shared" si="332"/>
        <v>0</v>
      </c>
      <c r="V504" s="2">
        <f t="shared" si="333"/>
        <v>0</v>
      </c>
      <c r="W504" s="54">
        <f t="shared" si="342"/>
        <v>0</v>
      </c>
      <c r="X504" s="2">
        <f t="shared" si="343"/>
        <v>0</v>
      </c>
      <c r="Y504" s="2">
        <f t="shared" si="344"/>
        <v>0</v>
      </c>
      <c r="Z504" s="46">
        <v>0</v>
      </c>
      <c r="AA504" s="46">
        <v>0</v>
      </c>
      <c r="AB504" s="46">
        <v>0</v>
      </c>
      <c r="AC504" s="58">
        <f t="shared" si="349"/>
        <v>0</v>
      </c>
      <c r="AD504" s="58">
        <f t="shared" si="339"/>
        <v>0</v>
      </c>
      <c r="AE504" s="12">
        <f t="shared" si="340"/>
        <v>0</v>
      </c>
      <c r="AF504" s="56"/>
      <c r="AG504" s="62"/>
      <c r="AH504" s="117">
        <f t="shared" si="345"/>
        <v>0</v>
      </c>
      <c r="AI504" s="114"/>
      <c r="AJ504" s="114"/>
      <c r="AK504" s="114"/>
      <c r="AL504" s="114"/>
      <c r="AM504" s="114"/>
      <c r="AN504" s="114"/>
      <c r="AO504" s="114"/>
      <c r="AP504" s="114"/>
      <c r="AQ504" s="114"/>
      <c r="AR504" s="114"/>
      <c r="AS504" s="114"/>
      <c r="AT504" s="114"/>
      <c r="AU504" s="114"/>
      <c r="AV504" s="114"/>
      <c r="AW504" s="114"/>
      <c r="AX504" s="114"/>
      <c r="AY504" s="119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115"/>
      <c r="BJ504" s="115"/>
    </row>
    <row r="505" spans="1:62" hidden="1" x14ac:dyDescent="0.35">
      <c r="A505" s="19" t="str">
        <f>VLOOKUP(C505,Master!A:D,4,0)</f>
        <v>RM</v>
      </c>
      <c r="B505" s="14" t="str">
        <f>VLOOKUP(C505,Master!A:C,3,0)</f>
        <v>Granuals</v>
      </c>
      <c r="C505" s="14" t="s">
        <v>277</v>
      </c>
      <c r="D505" s="2">
        <f t="shared" ref="D505:F505" si="354">+W456</f>
        <v>0</v>
      </c>
      <c r="E505" s="2">
        <f t="shared" si="354"/>
        <v>0</v>
      </c>
      <c r="F505" s="2">
        <f t="shared" si="354"/>
        <v>0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>
        <f t="shared" si="332"/>
        <v>0</v>
      </c>
      <c r="V505" s="2">
        <f t="shared" si="333"/>
        <v>0</v>
      </c>
      <c r="W505" s="54">
        <f t="shared" si="342"/>
        <v>0</v>
      </c>
      <c r="X505" s="2">
        <f t="shared" si="343"/>
        <v>0</v>
      </c>
      <c r="Y505" s="2">
        <f t="shared" si="344"/>
        <v>0</v>
      </c>
      <c r="Z505" s="46">
        <v>0</v>
      </c>
      <c r="AA505" s="46">
        <v>0</v>
      </c>
      <c r="AB505" s="46">
        <v>0</v>
      </c>
      <c r="AC505" s="58">
        <f t="shared" si="349"/>
        <v>0</v>
      </c>
      <c r="AD505" s="58">
        <f t="shared" si="339"/>
        <v>0</v>
      </c>
      <c r="AE505" s="12">
        <f t="shared" si="340"/>
        <v>0</v>
      </c>
      <c r="AF505" s="56"/>
      <c r="AG505" s="62"/>
      <c r="AH505" s="117">
        <f t="shared" si="345"/>
        <v>0</v>
      </c>
      <c r="AI505" s="114"/>
      <c r="AJ505" s="114"/>
      <c r="AK505" s="114"/>
      <c r="AL505" s="114"/>
      <c r="AM505" s="114"/>
      <c r="AN505" s="114"/>
      <c r="AO505" s="114"/>
      <c r="AP505" s="114"/>
      <c r="AQ505" s="114"/>
      <c r="AR505" s="114"/>
      <c r="AS505" s="114"/>
      <c r="AT505" s="114"/>
      <c r="AU505" s="114"/>
      <c r="AV505" s="114"/>
      <c r="AW505" s="114"/>
      <c r="AX505" s="114"/>
      <c r="AY505" s="119"/>
      <c r="AZ505" s="115"/>
      <c r="BA505" s="115"/>
      <c r="BB505" s="115"/>
      <c r="BC505" s="115"/>
      <c r="BD505" s="115"/>
      <c r="BE505" s="115"/>
      <c r="BF505" s="115"/>
      <c r="BG505" s="115"/>
      <c r="BH505" s="115"/>
      <c r="BI505" s="115"/>
      <c r="BJ505" s="115"/>
    </row>
    <row r="506" spans="1:62" hidden="1" x14ac:dyDescent="0.35">
      <c r="A506" s="19" t="str">
        <f>VLOOKUP(C506,Master!A:D,4,0)</f>
        <v>RM</v>
      </c>
      <c r="B506" s="14" t="str">
        <f>VLOOKUP(C506,Master!A:C,3,0)</f>
        <v>Granuals</v>
      </c>
      <c r="C506" s="14" t="s">
        <v>387</v>
      </c>
      <c r="D506" s="2">
        <f t="shared" ref="D506:F506" si="355">+W457</f>
        <v>0</v>
      </c>
      <c r="E506" s="2">
        <f t="shared" si="355"/>
        <v>0</v>
      </c>
      <c r="F506" s="2">
        <f t="shared" si="355"/>
        <v>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>
        <f t="shared" si="332"/>
        <v>0</v>
      </c>
      <c r="V506" s="2">
        <f t="shared" si="333"/>
        <v>0</v>
      </c>
      <c r="W506" s="54">
        <f t="shared" si="342"/>
        <v>0</v>
      </c>
      <c r="X506" s="2">
        <f t="shared" si="343"/>
        <v>0</v>
      </c>
      <c r="Y506" s="2">
        <f t="shared" si="344"/>
        <v>0</v>
      </c>
      <c r="Z506" s="46">
        <v>0</v>
      </c>
      <c r="AA506" s="46">
        <v>0</v>
      </c>
      <c r="AB506" s="46">
        <v>0</v>
      </c>
      <c r="AC506" s="58">
        <f t="shared" si="349"/>
        <v>0</v>
      </c>
      <c r="AD506" s="58">
        <f t="shared" si="339"/>
        <v>0</v>
      </c>
      <c r="AE506" s="12">
        <f t="shared" si="340"/>
        <v>0</v>
      </c>
      <c r="AF506" s="56"/>
      <c r="AG506" s="62"/>
      <c r="AH506" s="117">
        <f t="shared" si="345"/>
        <v>0</v>
      </c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14"/>
      <c r="AS506" s="114"/>
      <c r="AT506" s="114"/>
      <c r="AU506" s="114"/>
      <c r="AV506" s="114"/>
      <c r="AW506" s="114"/>
      <c r="AX506" s="114"/>
      <c r="AY506" s="119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115"/>
      <c r="BJ506" s="115"/>
    </row>
    <row r="507" spans="1:62" hidden="1" x14ac:dyDescent="0.35">
      <c r="A507" s="19" t="str">
        <f>VLOOKUP(C507,Master!A:D,4,0)</f>
        <v>RM</v>
      </c>
      <c r="B507" s="14" t="str">
        <f>VLOOKUP(C507,Master!A:C,3,0)</f>
        <v>Films All</v>
      </c>
      <c r="C507" s="14" t="s">
        <v>398</v>
      </c>
      <c r="D507" s="2">
        <f t="shared" ref="D507:F507" si="356">+W458</f>
        <v>0</v>
      </c>
      <c r="E507" s="2">
        <f t="shared" si="356"/>
        <v>0</v>
      </c>
      <c r="F507" s="2">
        <f t="shared" si="356"/>
        <v>0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>
        <f t="shared" si="332"/>
        <v>0</v>
      </c>
      <c r="V507" s="2">
        <f t="shared" si="333"/>
        <v>0</v>
      </c>
      <c r="W507" s="54">
        <f t="shared" si="342"/>
        <v>0</v>
      </c>
      <c r="X507" s="2">
        <f t="shared" si="343"/>
        <v>0</v>
      </c>
      <c r="Y507" s="2">
        <f t="shared" si="344"/>
        <v>0</v>
      </c>
      <c r="Z507" s="46">
        <v>0</v>
      </c>
      <c r="AA507" s="46">
        <v>0</v>
      </c>
      <c r="AB507" s="46">
        <v>0</v>
      </c>
      <c r="AC507" s="58">
        <f t="shared" si="349"/>
        <v>0</v>
      </c>
      <c r="AD507" s="58">
        <f t="shared" si="339"/>
        <v>0</v>
      </c>
      <c r="AE507" s="12">
        <f t="shared" si="340"/>
        <v>0</v>
      </c>
      <c r="AF507" s="56"/>
      <c r="AG507" s="62"/>
      <c r="AH507" s="117">
        <f t="shared" si="345"/>
        <v>0</v>
      </c>
      <c r="AI507" s="114"/>
      <c r="AJ507" s="114"/>
      <c r="AK507" s="114"/>
      <c r="AL507" s="114"/>
      <c r="AM507" s="114"/>
      <c r="AN507" s="114"/>
      <c r="AO507" s="114"/>
      <c r="AP507" s="114"/>
      <c r="AQ507" s="114"/>
      <c r="AR507" s="114"/>
      <c r="AS507" s="114"/>
      <c r="AT507" s="114"/>
      <c r="AU507" s="114"/>
      <c r="AV507" s="114"/>
      <c r="AW507" s="114"/>
      <c r="AX507" s="114"/>
      <c r="AY507" s="119"/>
      <c r="AZ507" s="115"/>
      <c r="BA507" s="115"/>
      <c r="BB507" s="115"/>
      <c r="BC507" s="115"/>
      <c r="BD507" s="115"/>
      <c r="BE507" s="115"/>
      <c r="BF507" s="115"/>
      <c r="BG507" s="115"/>
      <c r="BH507" s="115"/>
      <c r="BI507" s="115"/>
      <c r="BJ507" s="115"/>
    </row>
    <row r="508" spans="1:62" hidden="1" x14ac:dyDescent="0.35">
      <c r="A508" s="19" t="str">
        <f>VLOOKUP(C508,Master!A:D,4,0)</f>
        <v>RM</v>
      </c>
      <c r="B508" s="14" t="str">
        <f>VLOOKUP(C508,Master!A:C,3,0)</f>
        <v>Granuals</v>
      </c>
      <c r="C508" s="14" t="s">
        <v>417</v>
      </c>
      <c r="D508" s="2">
        <f t="shared" ref="D508:F508" si="357">+W459</f>
        <v>0</v>
      </c>
      <c r="E508" s="2">
        <f t="shared" si="357"/>
        <v>0</v>
      </c>
      <c r="F508" s="2">
        <f t="shared" si="357"/>
        <v>0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>
        <f t="shared" si="332"/>
        <v>0</v>
      </c>
      <c r="V508" s="2">
        <f t="shared" si="333"/>
        <v>0</v>
      </c>
      <c r="W508" s="54">
        <f t="shared" si="342"/>
        <v>0</v>
      </c>
      <c r="X508" s="2">
        <f t="shared" si="343"/>
        <v>0</v>
      </c>
      <c r="Y508" s="2">
        <f t="shared" si="344"/>
        <v>0</v>
      </c>
      <c r="Z508" s="46">
        <v>0</v>
      </c>
      <c r="AA508" s="46">
        <v>0</v>
      </c>
      <c r="AB508" s="46">
        <v>0</v>
      </c>
      <c r="AC508" s="58">
        <f t="shared" si="349"/>
        <v>0</v>
      </c>
      <c r="AD508" s="58">
        <f t="shared" si="339"/>
        <v>0</v>
      </c>
      <c r="AE508" s="12">
        <f t="shared" si="340"/>
        <v>0</v>
      </c>
      <c r="AF508" s="56"/>
      <c r="AG508" s="62"/>
      <c r="AH508" s="117">
        <f t="shared" si="345"/>
        <v>0</v>
      </c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4"/>
      <c r="AS508" s="114"/>
      <c r="AT508" s="114"/>
      <c r="AU508" s="114"/>
      <c r="AV508" s="114"/>
      <c r="AW508" s="114"/>
      <c r="AX508" s="114"/>
      <c r="AY508" s="119"/>
      <c r="AZ508" s="115"/>
      <c r="BA508" s="115"/>
      <c r="BB508" s="115"/>
      <c r="BC508" s="115"/>
      <c r="BD508" s="115"/>
      <c r="BE508" s="115"/>
      <c r="BF508" s="115"/>
      <c r="BG508" s="115"/>
      <c r="BH508" s="115"/>
      <c r="BI508" s="115"/>
      <c r="BJ508" s="115"/>
    </row>
    <row r="509" spans="1:62" hidden="1" x14ac:dyDescent="0.35">
      <c r="A509" s="19" t="str">
        <f>VLOOKUP(C509,Master!A:D,4,0)</f>
        <v>SF</v>
      </c>
      <c r="B509" s="14" t="str">
        <f>VLOOKUP(C509,Master!A:C,3,0)</f>
        <v>Yarn All</v>
      </c>
      <c r="C509" s="14" t="s">
        <v>629</v>
      </c>
      <c r="D509" s="2">
        <f t="shared" ref="D509:F509" si="358">+W460</f>
        <v>6000.0000000000055</v>
      </c>
      <c r="E509" s="2">
        <f t="shared" si="358"/>
        <v>8285.8300000000017</v>
      </c>
      <c r="F509" s="2">
        <f t="shared" si="358"/>
        <v>0</v>
      </c>
      <c r="G509" s="2"/>
      <c r="H509" s="2"/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>
        <f t="shared" si="332"/>
        <v>0</v>
      </c>
      <c r="V509" s="2">
        <f t="shared" si="333"/>
        <v>0</v>
      </c>
      <c r="W509" s="54">
        <f t="shared" si="342"/>
        <v>6000.0000000000055</v>
      </c>
      <c r="X509" s="2">
        <f t="shared" si="343"/>
        <v>8285.8300000000017</v>
      </c>
      <c r="Y509" s="2">
        <f t="shared" si="344"/>
        <v>0</v>
      </c>
      <c r="Z509" s="46">
        <v>0</v>
      </c>
      <c r="AA509" s="46">
        <v>0</v>
      </c>
      <c r="AB509" s="46">
        <v>0</v>
      </c>
      <c r="AC509" s="58">
        <f t="shared" si="349"/>
        <v>6000.0000000000055</v>
      </c>
      <c r="AD509" s="58">
        <f t="shared" si="339"/>
        <v>8285.8300000000017</v>
      </c>
      <c r="AE509" s="12">
        <f t="shared" si="340"/>
        <v>0</v>
      </c>
      <c r="AF509" s="56"/>
      <c r="AG509" s="62"/>
      <c r="AH509" s="117">
        <f t="shared" si="345"/>
        <v>0</v>
      </c>
      <c r="AI509" s="114"/>
      <c r="AJ509" s="114"/>
      <c r="AK509" s="114"/>
      <c r="AL509" s="114"/>
      <c r="AM509" s="114"/>
      <c r="AN509" s="114"/>
      <c r="AO509" s="114"/>
      <c r="AP509" s="114"/>
      <c r="AQ509" s="114"/>
      <c r="AR509" s="114"/>
      <c r="AS509" s="114"/>
      <c r="AT509" s="114"/>
      <c r="AU509" s="114"/>
      <c r="AV509" s="114"/>
      <c r="AW509" s="114"/>
      <c r="AX509" s="114"/>
      <c r="AY509" s="119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115"/>
      <c r="BJ509" s="115"/>
    </row>
    <row r="510" spans="1:62" hidden="1" x14ac:dyDescent="0.35">
      <c r="A510" s="19" t="str">
        <f>VLOOKUP(C510,Master!A:D,4,0)</f>
        <v>SF</v>
      </c>
      <c r="B510" s="14" t="str">
        <f>VLOOKUP(C510,Master!A:C,3,0)</f>
        <v>PP/PE Fabric</v>
      </c>
      <c r="C510" s="14" t="s">
        <v>639</v>
      </c>
      <c r="D510" s="2">
        <f t="shared" ref="D510:F510" si="359">+W461</f>
        <v>0</v>
      </c>
      <c r="E510" s="2">
        <f t="shared" si="359"/>
        <v>13277</v>
      </c>
      <c r="F510" s="2">
        <f t="shared" si="359"/>
        <v>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>
        <f t="shared" si="332"/>
        <v>0</v>
      </c>
      <c r="V510" s="2">
        <f t="shared" si="333"/>
        <v>0</v>
      </c>
      <c r="W510" s="54">
        <f t="shared" si="342"/>
        <v>0</v>
      </c>
      <c r="X510" s="2">
        <f t="shared" si="343"/>
        <v>13277</v>
      </c>
      <c r="Y510" s="2">
        <f t="shared" si="344"/>
        <v>0</v>
      </c>
      <c r="Z510" s="46">
        <v>0</v>
      </c>
      <c r="AA510" s="46">
        <v>0</v>
      </c>
      <c r="AB510" s="46">
        <v>0</v>
      </c>
      <c r="AC510" s="58">
        <f t="shared" si="339"/>
        <v>0</v>
      </c>
      <c r="AD510" s="58">
        <f t="shared" si="339"/>
        <v>13277</v>
      </c>
      <c r="AE510" s="12">
        <f t="shared" si="340"/>
        <v>0</v>
      </c>
      <c r="AF510" s="56"/>
      <c r="AG510" s="62"/>
      <c r="AH510" s="117">
        <f t="shared" si="345"/>
        <v>0</v>
      </c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4"/>
      <c r="AS510" s="114"/>
      <c r="AT510" s="114"/>
      <c r="AU510" s="114"/>
      <c r="AV510" s="114"/>
      <c r="AW510" s="114"/>
      <c r="AX510" s="114"/>
      <c r="AY510" s="119"/>
      <c r="AZ510" s="115"/>
      <c r="BA510" s="115"/>
      <c r="BB510" s="115"/>
      <c r="BC510" s="115"/>
      <c r="BD510" s="115"/>
      <c r="BE510" s="115"/>
      <c r="BF510" s="115"/>
      <c r="BG510" s="115"/>
      <c r="BH510" s="115"/>
      <c r="BI510" s="115"/>
      <c r="BJ510" s="115"/>
    </row>
    <row r="511" spans="1:62" hidden="1" x14ac:dyDescent="0.35">
      <c r="A511" s="19" t="str">
        <f>VLOOKUP(C511,Master!A:D,4,0)</f>
        <v>SF</v>
      </c>
      <c r="B511" s="14" t="str">
        <f>VLOOKUP(C511,Master!A:C,3,0)</f>
        <v>Flexitank Accessories</v>
      </c>
      <c r="C511" s="14" t="s">
        <v>641</v>
      </c>
      <c r="D511" s="2">
        <f t="shared" ref="D511:F511" si="360">+W462</f>
        <v>0</v>
      </c>
      <c r="E511" s="2">
        <f t="shared" si="360"/>
        <v>0</v>
      </c>
      <c r="F511" s="2">
        <f t="shared" si="360"/>
        <v>0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>
        <f t="shared" si="332"/>
        <v>0</v>
      </c>
      <c r="V511" s="2">
        <f t="shared" si="333"/>
        <v>0</v>
      </c>
      <c r="W511" s="54">
        <f t="shared" si="342"/>
        <v>0</v>
      </c>
      <c r="X511" s="2">
        <f t="shared" si="343"/>
        <v>0</v>
      </c>
      <c r="Y511" s="2">
        <f t="shared" si="344"/>
        <v>0</v>
      </c>
      <c r="Z511" s="46">
        <v>0</v>
      </c>
      <c r="AA511" s="46">
        <v>0</v>
      </c>
      <c r="AB511" s="46">
        <v>0</v>
      </c>
      <c r="AC511" s="58">
        <f t="shared" ref="AC511:AC517" si="361">W511-Z511</f>
        <v>0</v>
      </c>
      <c r="AD511" s="58">
        <f t="shared" si="339"/>
        <v>0</v>
      </c>
      <c r="AE511" s="12">
        <f t="shared" si="340"/>
        <v>0</v>
      </c>
      <c r="AF511" s="56"/>
      <c r="AG511" s="62"/>
      <c r="AH511" s="117">
        <f t="shared" si="345"/>
        <v>0</v>
      </c>
      <c r="AI511" s="114"/>
      <c r="AJ511" s="114"/>
      <c r="AK511" s="114"/>
      <c r="AL511" s="114"/>
      <c r="AM511" s="114"/>
      <c r="AN511" s="114"/>
      <c r="AO511" s="114"/>
      <c r="AP511" s="114"/>
      <c r="AQ511" s="114"/>
      <c r="AR511" s="114"/>
      <c r="AS511" s="114"/>
      <c r="AT511" s="114"/>
      <c r="AU511" s="114"/>
      <c r="AV511" s="114"/>
      <c r="AW511" s="114"/>
      <c r="AX511" s="114"/>
      <c r="AY511" s="119"/>
      <c r="AZ511" s="115"/>
      <c r="BA511" s="115"/>
      <c r="BB511" s="115"/>
      <c r="BC511" s="115"/>
      <c r="BD511" s="115"/>
      <c r="BE511" s="115"/>
      <c r="BF511" s="115"/>
      <c r="BG511" s="115"/>
      <c r="BH511" s="115"/>
      <c r="BI511" s="115"/>
      <c r="BJ511" s="115"/>
    </row>
    <row r="512" spans="1:62" hidden="1" x14ac:dyDescent="0.35">
      <c r="A512" s="19" t="str">
        <f>VLOOKUP(C512,Master!A:D,4,0)</f>
        <v>SF</v>
      </c>
      <c r="B512" s="14" t="str">
        <f>VLOOKUP(C512,Master!A:C,3,0)</f>
        <v>PP/PE Fabric</v>
      </c>
      <c r="C512" s="14" t="s">
        <v>652</v>
      </c>
      <c r="D512" s="2">
        <f t="shared" ref="D512:F512" si="362">+W463</f>
        <v>0</v>
      </c>
      <c r="E512" s="2">
        <f t="shared" si="362"/>
        <v>27104.800000000003</v>
      </c>
      <c r="F512" s="2">
        <f t="shared" si="362"/>
        <v>0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>
        <f t="shared" si="332"/>
        <v>0</v>
      </c>
      <c r="V512" s="2">
        <f t="shared" si="333"/>
        <v>0</v>
      </c>
      <c r="W512" s="54">
        <f t="shared" si="342"/>
        <v>0</v>
      </c>
      <c r="X512" s="2">
        <f t="shared" si="343"/>
        <v>27104.800000000003</v>
      </c>
      <c r="Y512" s="2">
        <f t="shared" si="344"/>
        <v>0</v>
      </c>
      <c r="Z512" s="46">
        <v>0</v>
      </c>
      <c r="AA512" s="46">
        <v>0</v>
      </c>
      <c r="AB512" s="46">
        <v>0</v>
      </c>
      <c r="AC512" s="58">
        <f t="shared" si="361"/>
        <v>0</v>
      </c>
      <c r="AD512" s="58">
        <f t="shared" si="339"/>
        <v>27104.800000000003</v>
      </c>
      <c r="AE512" s="12">
        <f t="shared" si="340"/>
        <v>0</v>
      </c>
      <c r="AF512" s="56"/>
      <c r="AG512" s="62"/>
      <c r="AH512" s="117">
        <f t="shared" si="345"/>
        <v>0</v>
      </c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4"/>
      <c r="AS512" s="114"/>
      <c r="AT512" s="114"/>
      <c r="AU512" s="114"/>
      <c r="AV512" s="114"/>
      <c r="AW512" s="114"/>
      <c r="AX512" s="114"/>
      <c r="AY512" s="119"/>
      <c r="AZ512" s="115"/>
      <c r="BA512" s="115"/>
      <c r="BB512" s="115"/>
      <c r="BC512" s="115"/>
      <c r="BD512" s="115"/>
      <c r="BE512" s="115"/>
      <c r="BF512" s="115"/>
      <c r="BG512" s="115"/>
      <c r="BH512" s="115"/>
      <c r="BI512" s="115"/>
      <c r="BJ512" s="115"/>
    </row>
    <row r="513" spans="1:62" hidden="1" x14ac:dyDescent="0.35">
      <c r="A513" s="19" t="str">
        <f>VLOOKUP(C513,Master!A:D,4,0)</f>
        <v>SF</v>
      </c>
      <c r="B513" s="14" t="str">
        <f>VLOOKUP(C513,Master!A:C,3,0)</f>
        <v>PP/PE Fabric</v>
      </c>
      <c r="C513" s="14" t="s">
        <v>664</v>
      </c>
      <c r="D513" s="2">
        <f t="shared" ref="D513:F513" si="363">+W464</f>
        <v>0</v>
      </c>
      <c r="E513" s="2">
        <f t="shared" si="363"/>
        <v>0</v>
      </c>
      <c r="F513" s="2">
        <f t="shared" si="363"/>
        <v>0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>
        <f t="shared" si="332"/>
        <v>0</v>
      </c>
      <c r="V513" s="2">
        <f t="shared" si="333"/>
        <v>0</v>
      </c>
      <c r="W513" s="54">
        <f t="shared" si="342"/>
        <v>0</v>
      </c>
      <c r="X513" s="2">
        <f t="shared" si="343"/>
        <v>0</v>
      </c>
      <c r="Y513" s="2">
        <f t="shared" si="344"/>
        <v>0</v>
      </c>
      <c r="Z513" s="46">
        <v>0</v>
      </c>
      <c r="AA513" s="46">
        <v>0</v>
      </c>
      <c r="AB513" s="46">
        <v>0</v>
      </c>
      <c r="AC513" s="58">
        <f t="shared" si="361"/>
        <v>0</v>
      </c>
      <c r="AD513" s="58">
        <f t="shared" si="339"/>
        <v>0</v>
      </c>
      <c r="AE513" s="12">
        <f t="shared" si="340"/>
        <v>0</v>
      </c>
      <c r="AF513" s="56"/>
      <c r="AG513" s="62"/>
      <c r="AH513" s="117">
        <f t="shared" si="345"/>
        <v>0</v>
      </c>
      <c r="AI513" s="114"/>
      <c r="AJ513" s="114"/>
      <c r="AK513" s="114"/>
      <c r="AL513" s="114"/>
      <c r="AM513" s="114"/>
      <c r="AN513" s="114"/>
      <c r="AO513" s="114"/>
      <c r="AP513" s="114"/>
      <c r="AQ513" s="114"/>
      <c r="AR513" s="114"/>
      <c r="AS513" s="114"/>
      <c r="AT513" s="114"/>
      <c r="AU513" s="114"/>
      <c r="AV513" s="114"/>
      <c r="AW513" s="114"/>
      <c r="AX513" s="114"/>
      <c r="AY513" s="119"/>
      <c r="AZ513" s="115"/>
      <c r="BA513" s="115"/>
      <c r="BB513" s="115"/>
      <c r="BC513" s="115"/>
      <c r="BD513" s="115"/>
      <c r="BE513" s="115"/>
      <c r="BF513" s="115"/>
      <c r="BG513" s="115"/>
      <c r="BH513" s="115"/>
      <c r="BI513" s="115"/>
      <c r="BJ513" s="115"/>
    </row>
    <row r="514" spans="1:62" hidden="1" x14ac:dyDescent="0.35">
      <c r="A514" s="19" t="str">
        <f>VLOOKUP(C514,Master!A:D,4,0)</f>
        <v>SF</v>
      </c>
      <c r="B514" s="14" t="str">
        <f>VLOOKUP(C514,Master!A:C,3,0)</f>
        <v>PP/PE Fabric</v>
      </c>
      <c r="C514" s="14" t="s">
        <v>675</v>
      </c>
      <c r="D514" s="2">
        <f t="shared" ref="D514:F514" si="364">+W465</f>
        <v>0</v>
      </c>
      <c r="E514" s="2">
        <f t="shared" si="364"/>
        <v>0</v>
      </c>
      <c r="F514" s="2">
        <f t="shared" si="364"/>
        <v>0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>
        <f t="shared" si="332"/>
        <v>0</v>
      </c>
      <c r="V514" s="2">
        <f t="shared" si="333"/>
        <v>0</v>
      </c>
      <c r="W514" s="54">
        <f t="shared" si="342"/>
        <v>0</v>
      </c>
      <c r="X514" s="2">
        <f t="shared" si="343"/>
        <v>0</v>
      </c>
      <c r="Y514" s="2">
        <f t="shared" si="344"/>
        <v>0</v>
      </c>
      <c r="Z514" s="46">
        <v>0</v>
      </c>
      <c r="AA514" s="46">
        <v>0</v>
      </c>
      <c r="AB514" s="46">
        <v>0</v>
      </c>
      <c r="AC514" s="58">
        <f t="shared" si="361"/>
        <v>0</v>
      </c>
      <c r="AD514" s="58">
        <f t="shared" si="339"/>
        <v>0</v>
      </c>
      <c r="AE514" s="12">
        <f t="shared" si="340"/>
        <v>0</v>
      </c>
      <c r="AF514" s="56"/>
      <c r="AG514" s="62"/>
      <c r="AH514" s="117">
        <f t="shared" si="345"/>
        <v>0</v>
      </c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4"/>
      <c r="AS514" s="114"/>
      <c r="AT514" s="114"/>
      <c r="AU514" s="114"/>
      <c r="AV514" s="114"/>
      <c r="AW514" s="114"/>
      <c r="AX514" s="114"/>
      <c r="AY514" s="119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115"/>
      <c r="BJ514" s="115"/>
    </row>
    <row r="515" spans="1:62" hidden="1" x14ac:dyDescent="0.35">
      <c r="A515" s="19" t="str">
        <f>VLOOKUP(C515,Master!A:D,4,0)</f>
        <v>SF</v>
      </c>
      <c r="B515" s="14" t="str">
        <f>VLOOKUP(C515,Master!A:C,3,0)</f>
        <v>Granuals</v>
      </c>
      <c r="C515" s="14" t="s">
        <v>688</v>
      </c>
      <c r="D515" s="2">
        <f t="shared" ref="D515:F515" si="365">+W466</f>
        <v>0</v>
      </c>
      <c r="E515" s="2">
        <f t="shared" si="365"/>
        <v>0</v>
      </c>
      <c r="F515" s="2">
        <f t="shared" si="365"/>
        <v>0</v>
      </c>
      <c r="G515" s="2"/>
      <c r="H515" s="2"/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>
        <f t="shared" si="332"/>
        <v>0</v>
      </c>
      <c r="V515" s="2">
        <f t="shared" si="333"/>
        <v>0</v>
      </c>
      <c r="W515" s="54">
        <f t="shared" si="342"/>
        <v>0</v>
      </c>
      <c r="X515" s="2">
        <f t="shared" si="343"/>
        <v>0</v>
      </c>
      <c r="Y515" s="2">
        <f t="shared" si="344"/>
        <v>0</v>
      </c>
      <c r="Z515" s="46">
        <v>0</v>
      </c>
      <c r="AA515" s="46">
        <v>0</v>
      </c>
      <c r="AB515" s="46">
        <v>0</v>
      </c>
      <c r="AC515" s="58">
        <f t="shared" si="361"/>
        <v>0</v>
      </c>
      <c r="AD515" s="58">
        <f t="shared" si="339"/>
        <v>0</v>
      </c>
      <c r="AE515" s="12">
        <f t="shared" si="340"/>
        <v>0</v>
      </c>
      <c r="AF515" s="56"/>
      <c r="AG515" s="62"/>
      <c r="AH515" s="117">
        <f t="shared" si="345"/>
        <v>0</v>
      </c>
      <c r="AI515" s="114"/>
      <c r="AJ515" s="114"/>
      <c r="AK515" s="114"/>
      <c r="AL515" s="114"/>
      <c r="AM515" s="114"/>
      <c r="AN515" s="114"/>
      <c r="AO515" s="114"/>
      <c r="AP515" s="114"/>
      <c r="AQ515" s="114"/>
      <c r="AR515" s="114"/>
      <c r="AS515" s="114"/>
      <c r="AT515" s="114"/>
      <c r="AU515" s="114"/>
      <c r="AV515" s="114"/>
      <c r="AW515" s="114"/>
      <c r="AX515" s="114"/>
      <c r="AY515" s="119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115"/>
      <c r="BJ515" s="115"/>
    </row>
    <row r="516" spans="1:62" hidden="1" x14ac:dyDescent="0.35">
      <c r="A516" s="19" t="str">
        <f>VLOOKUP(C516,Master!A:D,4,0)</f>
        <v>SF</v>
      </c>
      <c r="B516" s="14" t="str">
        <f>VLOOKUP(C516,Master!A:C,3,0)</f>
        <v>Liners</v>
      </c>
      <c r="C516" s="14" t="s">
        <v>707</v>
      </c>
      <c r="D516" s="2">
        <f t="shared" ref="D516:F516" si="366">+W467</f>
        <v>0</v>
      </c>
      <c r="E516" s="2">
        <f t="shared" si="366"/>
        <v>0</v>
      </c>
      <c r="F516" s="2">
        <f t="shared" si="366"/>
        <v>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>
        <f t="shared" si="332"/>
        <v>0</v>
      </c>
      <c r="V516" s="2">
        <f t="shared" si="333"/>
        <v>0</v>
      </c>
      <c r="W516" s="54">
        <f t="shared" si="342"/>
        <v>0</v>
      </c>
      <c r="X516" s="2">
        <f t="shared" si="343"/>
        <v>0</v>
      </c>
      <c r="Y516" s="2">
        <f t="shared" si="344"/>
        <v>0</v>
      </c>
      <c r="Z516" s="46">
        <v>0</v>
      </c>
      <c r="AA516" s="46">
        <v>0</v>
      </c>
      <c r="AB516" s="46">
        <v>0</v>
      </c>
      <c r="AC516" s="58">
        <f t="shared" si="361"/>
        <v>0</v>
      </c>
      <c r="AD516" s="58">
        <f t="shared" si="339"/>
        <v>0</v>
      </c>
      <c r="AE516" s="12">
        <f t="shared" si="340"/>
        <v>0</v>
      </c>
      <c r="AF516" s="56"/>
      <c r="AG516" s="62"/>
      <c r="AH516" s="117">
        <f t="shared" si="345"/>
        <v>0</v>
      </c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4"/>
      <c r="AS516" s="114"/>
      <c r="AT516" s="114"/>
      <c r="AU516" s="114"/>
      <c r="AV516" s="114"/>
      <c r="AW516" s="114"/>
      <c r="AX516" s="114"/>
      <c r="AY516" s="119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115"/>
      <c r="BJ516" s="115"/>
    </row>
    <row r="517" spans="1:62" hidden="1" x14ac:dyDescent="0.35">
      <c r="A517" s="19" t="str">
        <f>VLOOKUP(C517,Master!A:D,4,0)</f>
        <v>SF</v>
      </c>
      <c r="B517" s="14" t="str">
        <f>VLOOKUP(C517,Master!A:C,3,0)</f>
        <v>Webbing</v>
      </c>
      <c r="C517" s="14" t="s">
        <v>710</v>
      </c>
      <c r="D517" s="2">
        <f t="shared" ref="D517:F517" si="367">+W468</f>
        <v>0</v>
      </c>
      <c r="E517" s="2">
        <f t="shared" si="367"/>
        <v>1771.8</v>
      </c>
      <c r="F517" s="2">
        <f t="shared" si="367"/>
        <v>0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>
        <f t="shared" si="332"/>
        <v>0</v>
      </c>
      <c r="V517" s="2">
        <f t="shared" si="333"/>
        <v>0</v>
      </c>
      <c r="W517" s="54">
        <f t="shared" si="342"/>
        <v>0</v>
      </c>
      <c r="X517" s="2">
        <f t="shared" si="343"/>
        <v>1771.8</v>
      </c>
      <c r="Y517" s="2">
        <f t="shared" si="344"/>
        <v>0</v>
      </c>
      <c r="Z517" s="46">
        <v>0</v>
      </c>
      <c r="AA517" s="46">
        <v>0</v>
      </c>
      <c r="AB517" s="46">
        <v>0</v>
      </c>
      <c r="AC517" s="58">
        <f t="shared" si="361"/>
        <v>0</v>
      </c>
      <c r="AD517" s="58">
        <f t="shared" si="339"/>
        <v>1771.8</v>
      </c>
      <c r="AE517" s="12">
        <f t="shared" si="340"/>
        <v>0</v>
      </c>
      <c r="AF517" s="56"/>
      <c r="AG517" s="62"/>
      <c r="AH517" s="117">
        <f t="shared" si="345"/>
        <v>0</v>
      </c>
      <c r="AI517" s="114"/>
      <c r="AJ517" s="114"/>
      <c r="AK517" s="114"/>
      <c r="AL517" s="114"/>
      <c r="AM517" s="114"/>
      <c r="AN517" s="114"/>
      <c r="AO517" s="114"/>
      <c r="AP517" s="114"/>
      <c r="AQ517" s="114"/>
      <c r="AR517" s="114"/>
      <c r="AS517" s="114"/>
      <c r="AT517" s="114"/>
      <c r="AU517" s="114"/>
      <c r="AV517" s="114"/>
      <c r="AW517" s="114"/>
      <c r="AX517" s="114"/>
      <c r="AY517" s="119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115"/>
      <c r="BJ517" s="115"/>
    </row>
    <row r="518" spans="1:62" hidden="1" x14ac:dyDescent="0.35">
      <c r="A518" s="19" t="str">
        <f>VLOOKUP(C518,Master!A:D,4,0)</f>
        <v>SF</v>
      </c>
      <c r="B518" s="14" t="str">
        <f>VLOOKUP(C518,Master!A:C,3,0)</f>
        <v>Liners</v>
      </c>
      <c r="C518" s="14" t="s">
        <v>729</v>
      </c>
      <c r="D518" s="2">
        <f t="shared" ref="D518:F518" si="368">+W469</f>
        <v>0</v>
      </c>
      <c r="E518" s="2">
        <f t="shared" si="368"/>
        <v>14652.699999999997</v>
      </c>
      <c r="F518" s="2">
        <f t="shared" si="368"/>
        <v>0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>
        <f t="shared" si="332"/>
        <v>0</v>
      </c>
      <c r="V518" s="2">
        <f t="shared" si="333"/>
        <v>0</v>
      </c>
      <c r="W518" s="54">
        <f t="shared" si="342"/>
        <v>0</v>
      </c>
      <c r="X518" s="2">
        <f t="shared" si="343"/>
        <v>14652.699999999997</v>
      </c>
      <c r="Y518" s="2">
        <f t="shared" si="344"/>
        <v>0</v>
      </c>
      <c r="Z518" s="46">
        <v>0</v>
      </c>
      <c r="AA518" s="46">
        <v>0</v>
      </c>
      <c r="AB518" s="46">
        <v>0</v>
      </c>
      <c r="AC518" s="58">
        <v>0</v>
      </c>
      <c r="AD518" s="58">
        <v>0</v>
      </c>
      <c r="AE518" s="12">
        <f t="shared" si="340"/>
        <v>0</v>
      </c>
      <c r="AF518" s="56"/>
      <c r="AG518" s="62"/>
      <c r="AH518" s="117">
        <f t="shared" si="345"/>
        <v>0</v>
      </c>
      <c r="AI518" s="114"/>
      <c r="AJ518" s="114"/>
      <c r="AK518" s="114"/>
      <c r="AL518" s="114"/>
      <c r="AM518" s="114"/>
      <c r="AN518" s="114"/>
      <c r="AO518" s="114"/>
      <c r="AP518" s="114"/>
      <c r="AQ518" s="114"/>
      <c r="AR518" s="114"/>
      <c r="AS518" s="114"/>
      <c r="AT518" s="114"/>
      <c r="AU518" s="114"/>
      <c r="AV518" s="114"/>
      <c r="AW518" s="114"/>
      <c r="AX518" s="114"/>
      <c r="AY518" s="119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115"/>
    </row>
    <row r="519" spans="1:62" hidden="1" x14ac:dyDescent="0.35">
      <c r="A519" s="19" t="str">
        <f>VLOOKUP(C519,Master!A:D,4,0)</f>
        <v>SF</v>
      </c>
      <c r="B519" s="14" t="str">
        <f>VLOOKUP(C519,Master!A:C,3,0)</f>
        <v>Tape Stock</v>
      </c>
      <c r="C519" s="14" t="s">
        <v>772</v>
      </c>
      <c r="D519" s="2">
        <f t="shared" ref="D519:F519" si="369">+W470</f>
        <v>0</v>
      </c>
      <c r="E519" s="2">
        <f t="shared" si="369"/>
        <v>0</v>
      </c>
      <c r="F519" s="2">
        <f t="shared" si="369"/>
        <v>0</v>
      </c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>
        <f t="shared" si="332"/>
        <v>0</v>
      </c>
      <c r="V519" s="2">
        <f t="shared" si="333"/>
        <v>0</v>
      </c>
      <c r="W519" s="54">
        <f t="shared" si="342"/>
        <v>0</v>
      </c>
      <c r="X519" s="2">
        <f t="shared" si="343"/>
        <v>0</v>
      </c>
      <c r="Y519" s="2">
        <f t="shared" si="344"/>
        <v>0</v>
      </c>
      <c r="Z519" s="46">
        <v>0</v>
      </c>
      <c r="AA519" s="46">
        <v>0</v>
      </c>
      <c r="AB519" s="46">
        <v>0</v>
      </c>
      <c r="AC519" s="58">
        <f t="shared" ref="AC519:AC531" si="370">W519-Z519</f>
        <v>0</v>
      </c>
      <c r="AD519" s="58">
        <f t="shared" si="339"/>
        <v>0</v>
      </c>
      <c r="AE519" s="12">
        <f t="shared" si="340"/>
        <v>0</v>
      </c>
      <c r="AF519" s="56"/>
      <c r="AG519" s="62"/>
      <c r="AH519" s="117">
        <f t="shared" si="345"/>
        <v>0</v>
      </c>
      <c r="AI519" s="114"/>
      <c r="AJ519" s="114"/>
      <c r="AK519" s="114"/>
      <c r="AL519" s="114"/>
      <c r="AM519" s="114"/>
      <c r="AN519" s="114"/>
      <c r="AO519" s="114"/>
      <c r="AP519" s="114"/>
      <c r="AQ519" s="114"/>
      <c r="AR519" s="114"/>
      <c r="AS519" s="114"/>
      <c r="AT519" s="114"/>
      <c r="AU519" s="114"/>
      <c r="AV519" s="114"/>
      <c r="AW519" s="114"/>
      <c r="AX519" s="114"/>
      <c r="AY519" s="119"/>
      <c r="AZ519" s="115"/>
      <c r="BA519" s="115"/>
      <c r="BB519" s="115"/>
      <c r="BC519" s="115"/>
      <c r="BD519" s="115"/>
      <c r="BE519" s="115"/>
      <c r="BF519" s="115"/>
      <c r="BG519" s="115"/>
      <c r="BH519" s="115"/>
      <c r="BI519" s="115"/>
      <c r="BJ519" s="115"/>
    </row>
    <row r="520" spans="1:62" hidden="1" x14ac:dyDescent="0.35">
      <c r="A520" s="19" t="str">
        <f>VLOOKUP(C520,Master!A:D,4,0)</f>
        <v>SF</v>
      </c>
      <c r="B520" s="14" t="str">
        <f>VLOOKUP(C520,Master!A:C,3,0)</f>
        <v>Tape Stock</v>
      </c>
      <c r="C520" s="14" t="s">
        <v>773</v>
      </c>
      <c r="D520" s="2">
        <f t="shared" ref="D520:F520" si="371">+W471</f>
        <v>0</v>
      </c>
      <c r="E520" s="2">
        <f t="shared" si="371"/>
        <v>2518.3000000000029</v>
      </c>
      <c r="F520" s="2">
        <f t="shared" si="371"/>
        <v>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>
        <f t="shared" si="332"/>
        <v>0</v>
      </c>
      <c r="V520" s="53">
        <f t="shared" si="333"/>
        <v>0</v>
      </c>
      <c r="W520" s="54">
        <f t="shared" si="342"/>
        <v>0</v>
      </c>
      <c r="X520" s="2">
        <f t="shared" si="343"/>
        <v>2518.3000000000029</v>
      </c>
      <c r="Y520" s="2">
        <f t="shared" si="344"/>
        <v>0</v>
      </c>
      <c r="Z520" s="46">
        <v>0</v>
      </c>
      <c r="AA520" s="46">
        <v>0</v>
      </c>
      <c r="AB520" s="46">
        <v>0</v>
      </c>
      <c r="AC520" s="58">
        <f t="shared" si="370"/>
        <v>0</v>
      </c>
      <c r="AD520" s="58">
        <f t="shared" si="339"/>
        <v>2518.3000000000029</v>
      </c>
      <c r="AE520" s="12">
        <f t="shared" si="340"/>
        <v>0</v>
      </c>
      <c r="AF520" s="56"/>
      <c r="AG520" s="62"/>
      <c r="AH520" s="117">
        <f t="shared" si="345"/>
        <v>0</v>
      </c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14"/>
      <c r="AS520" s="114"/>
      <c r="AT520" s="114"/>
      <c r="AU520" s="114"/>
      <c r="AV520" s="114"/>
      <c r="AW520" s="114"/>
      <c r="AX520" s="114"/>
      <c r="AY520" s="119"/>
      <c r="AZ520" s="115"/>
      <c r="BA520" s="243"/>
      <c r="BB520" s="115"/>
      <c r="BC520" s="115"/>
      <c r="BD520" s="115"/>
      <c r="BE520" s="115"/>
      <c r="BF520" s="115"/>
      <c r="BG520" s="115"/>
      <c r="BH520" s="115"/>
      <c r="BI520" s="115"/>
      <c r="BJ520" s="115"/>
    </row>
    <row r="521" spans="1:62" hidden="1" x14ac:dyDescent="0.35">
      <c r="A521" s="19" t="str">
        <f>VLOOKUP(C521,Master!A:D,4,0)</f>
        <v>SF</v>
      </c>
      <c r="B521" s="14" t="str">
        <f>VLOOKUP(C521,Master!A:C,3,0)</f>
        <v>RP Agglo</v>
      </c>
      <c r="C521" s="14" t="s">
        <v>810</v>
      </c>
      <c r="D521" s="2">
        <f t="shared" ref="D521:F521" si="372">+W472</f>
        <v>0</v>
      </c>
      <c r="E521" s="2">
        <f t="shared" si="372"/>
        <v>0</v>
      </c>
      <c r="F521" s="2">
        <f t="shared" si="372"/>
        <v>0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>
        <f t="shared" si="332"/>
        <v>0</v>
      </c>
      <c r="V521" s="2">
        <f t="shared" si="333"/>
        <v>0</v>
      </c>
      <c r="W521" s="54">
        <f t="shared" si="342"/>
        <v>0</v>
      </c>
      <c r="X521" s="2">
        <f t="shared" si="343"/>
        <v>0</v>
      </c>
      <c r="Y521" s="2">
        <f t="shared" si="344"/>
        <v>0</v>
      </c>
      <c r="Z521" s="46">
        <v>0</v>
      </c>
      <c r="AA521" s="46">
        <v>0</v>
      </c>
      <c r="AB521" s="46">
        <v>0</v>
      </c>
      <c r="AC521" s="58">
        <f t="shared" si="370"/>
        <v>0</v>
      </c>
      <c r="AD521" s="58">
        <f t="shared" si="339"/>
        <v>0</v>
      </c>
      <c r="AE521" s="12">
        <f t="shared" si="340"/>
        <v>0</v>
      </c>
      <c r="AF521" s="56"/>
      <c r="AG521" s="62"/>
      <c r="AH521" s="117">
        <f t="shared" si="345"/>
        <v>0</v>
      </c>
      <c r="AI521" s="114"/>
      <c r="AJ521" s="114"/>
      <c r="AK521" s="114"/>
      <c r="AL521" s="114"/>
      <c r="AM521" s="114"/>
      <c r="AN521" s="114"/>
      <c r="AO521" s="114"/>
      <c r="AP521" s="114"/>
      <c r="AQ521" s="114"/>
      <c r="AR521" s="114"/>
      <c r="AS521" s="114"/>
      <c r="AT521" s="114"/>
      <c r="AU521" s="114"/>
      <c r="AV521" s="114"/>
      <c r="AW521" s="114"/>
      <c r="AX521" s="114"/>
      <c r="AY521" s="119"/>
      <c r="AZ521" s="115"/>
      <c r="BA521" s="115"/>
      <c r="BB521" s="115"/>
      <c r="BC521" s="115"/>
      <c r="BD521" s="115"/>
      <c r="BE521" s="115"/>
      <c r="BF521" s="115"/>
      <c r="BG521" s="115"/>
      <c r="BH521" s="115"/>
      <c r="BI521" s="115"/>
      <c r="BJ521" s="115"/>
    </row>
    <row r="522" spans="1:62" hidden="1" x14ac:dyDescent="0.35">
      <c r="A522" s="19" t="str">
        <f>VLOOKUP(C522,Master!A:D,4,0)</f>
        <v>SF</v>
      </c>
      <c r="B522" s="14" t="str">
        <f>VLOOKUP(C522,Master!A:C,3,0)</f>
        <v>Wastage/Scrap</v>
      </c>
      <c r="C522" s="14" t="s">
        <v>820</v>
      </c>
      <c r="D522" s="2">
        <f t="shared" ref="D522:F522" si="373">+W473</f>
        <v>0</v>
      </c>
      <c r="E522" s="2">
        <f t="shared" si="373"/>
        <v>0</v>
      </c>
      <c r="F522" s="2">
        <f t="shared" si="373"/>
        <v>0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>
        <f t="shared" si="332"/>
        <v>0</v>
      </c>
      <c r="V522" s="2">
        <f t="shared" si="333"/>
        <v>0</v>
      </c>
      <c r="W522" s="54">
        <f t="shared" si="342"/>
        <v>0</v>
      </c>
      <c r="X522" s="2">
        <f t="shared" si="343"/>
        <v>0</v>
      </c>
      <c r="Y522" s="2">
        <f t="shared" si="344"/>
        <v>0</v>
      </c>
      <c r="Z522" s="46">
        <v>0</v>
      </c>
      <c r="AA522" s="46">
        <v>0</v>
      </c>
      <c r="AB522" s="46">
        <v>0</v>
      </c>
      <c r="AC522" s="58">
        <f t="shared" si="370"/>
        <v>0</v>
      </c>
      <c r="AD522" s="58">
        <f t="shared" si="339"/>
        <v>0</v>
      </c>
      <c r="AE522" s="12">
        <f t="shared" si="340"/>
        <v>0</v>
      </c>
      <c r="AF522" s="56"/>
      <c r="AG522" s="62"/>
      <c r="AH522" s="117">
        <f t="shared" si="345"/>
        <v>0</v>
      </c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14"/>
      <c r="AS522" s="114"/>
      <c r="AT522" s="114"/>
      <c r="AU522" s="114"/>
      <c r="AV522" s="114"/>
      <c r="AW522" s="114"/>
      <c r="AX522" s="114"/>
      <c r="AY522" s="119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115"/>
      <c r="BJ522" s="115"/>
    </row>
    <row r="523" spans="1:62" hidden="1" x14ac:dyDescent="0.35">
      <c r="A523" s="19" t="str">
        <f>VLOOKUP(C523,Master!A:D,4,0)</f>
        <v>FG</v>
      </c>
      <c r="B523" s="14" t="str">
        <f>VLOOKUP(C523,Master!A:C,3,0)</f>
        <v>FIBC WIP</v>
      </c>
      <c r="C523" s="14" t="s">
        <v>892</v>
      </c>
      <c r="D523" s="2">
        <f t="shared" ref="D523:F523" si="374">+W474</f>
        <v>42021.998887999915</v>
      </c>
      <c r="E523" s="2">
        <f t="shared" si="374"/>
        <v>0</v>
      </c>
      <c r="F523" s="2">
        <f t="shared" si="374"/>
        <v>0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>
        <f t="shared" si="332"/>
        <v>0</v>
      </c>
      <c r="V523" s="2">
        <f t="shared" si="333"/>
        <v>0</v>
      </c>
      <c r="W523" s="54">
        <f t="shared" si="342"/>
        <v>42021.998887999915</v>
      </c>
      <c r="X523" s="2">
        <f t="shared" si="343"/>
        <v>0</v>
      </c>
      <c r="Y523" s="2">
        <f t="shared" si="344"/>
        <v>0</v>
      </c>
      <c r="Z523" s="46">
        <v>0</v>
      </c>
      <c r="AA523" s="46">
        <v>0</v>
      </c>
      <c r="AB523" s="46">
        <v>0</v>
      </c>
      <c r="AC523" s="58">
        <f t="shared" si="370"/>
        <v>42021.998887999915</v>
      </c>
      <c r="AD523" s="58">
        <f t="shared" si="339"/>
        <v>0</v>
      </c>
      <c r="AE523" s="12">
        <f t="shared" si="340"/>
        <v>0</v>
      </c>
      <c r="AF523" s="56"/>
      <c r="AG523" s="62"/>
      <c r="AH523" s="117">
        <f t="shared" si="345"/>
        <v>0</v>
      </c>
      <c r="AI523" s="114"/>
      <c r="AJ523" s="114"/>
      <c r="AK523" s="114"/>
      <c r="AL523" s="114"/>
      <c r="AM523" s="114"/>
      <c r="AN523" s="114"/>
      <c r="AO523" s="114"/>
      <c r="AP523" s="114"/>
      <c r="AQ523" s="114"/>
      <c r="AR523" s="114"/>
      <c r="AS523" s="114"/>
      <c r="AT523" s="114"/>
      <c r="AU523" s="114"/>
      <c r="AV523" s="114"/>
      <c r="AW523" s="114"/>
      <c r="AX523" s="114"/>
      <c r="AY523" s="119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115"/>
      <c r="BJ523" s="115"/>
    </row>
    <row r="524" spans="1:62" hidden="1" x14ac:dyDescent="0.35">
      <c r="A524" s="19" t="str">
        <f>VLOOKUP(C524,Master!A:D,4,0)</f>
        <v>FG</v>
      </c>
      <c r="B524" s="14" t="str">
        <f>VLOOKUP(C524,Master!A:C,3,0)</f>
        <v>Label Div</v>
      </c>
      <c r="C524" s="14" t="s">
        <v>895</v>
      </c>
      <c r="D524" s="2">
        <f t="shared" ref="D524:F524" si="375">+W475</f>
        <v>0</v>
      </c>
      <c r="E524" s="2">
        <f t="shared" si="375"/>
        <v>0</v>
      </c>
      <c r="F524" s="2">
        <f t="shared" si="375"/>
        <v>0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>
        <f t="shared" si="332"/>
        <v>0</v>
      </c>
      <c r="V524" s="2">
        <f t="shared" si="333"/>
        <v>0</v>
      </c>
      <c r="W524" s="54">
        <f t="shared" si="342"/>
        <v>0</v>
      </c>
      <c r="X524" s="2">
        <f t="shared" si="343"/>
        <v>0</v>
      </c>
      <c r="Y524" s="2">
        <f t="shared" si="344"/>
        <v>0</v>
      </c>
      <c r="Z524" s="46">
        <v>0</v>
      </c>
      <c r="AA524" s="46">
        <v>0</v>
      </c>
      <c r="AB524" s="46">
        <v>0</v>
      </c>
      <c r="AC524" s="58">
        <f t="shared" si="370"/>
        <v>0</v>
      </c>
      <c r="AD524" s="58">
        <f t="shared" si="339"/>
        <v>0</v>
      </c>
      <c r="AE524" s="12">
        <f t="shared" si="340"/>
        <v>0</v>
      </c>
      <c r="AF524" s="56"/>
      <c r="AG524" s="62"/>
      <c r="AH524" s="117">
        <f t="shared" si="345"/>
        <v>0</v>
      </c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14"/>
      <c r="AS524" s="114"/>
      <c r="AT524" s="114"/>
      <c r="AU524" s="114"/>
      <c r="AV524" s="114"/>
      <c r="AW524" s="114"/>
      <c r="AX524" s="114"/>
      <c r="AY524" s="119"/>
      <c r="AZ524" s="115"/>
      <c r="BA524" s="115"/>
      <c r="BB524" s="115"/>
      <c r="BC524" s="115"/>
      <c r="BD524" s="115"/>
      <c r="BE524" s="115"/>
      <c r="BF524" s="115"/>
      <c r="BG524" s="115"/>
      <c r="BH524" s="115"/>
      <c r="BI524" s="115"/>
      <c r="BJ524" s="115"/>
    </row>
    <row r="525" spans="1:62" hidden="1" x14ac:dyDescent="0.35">
      <c r="A525" s="19" t="str">
        <f>VLOOKUP(C525,Master!A:D,4,0)</f>
        <v>FG</v>
      </c>
      <c r="B525" s="14" t="str">
        <f>VLOOKUP(C525,Master!A:C,3,0)</f>
        <v>FIBC Bags</v>
      </c>
      <c r="C525" s="14" t="s">
        <v>897</v>
      </c>
      <c r="D525" s="2">
        <f t="shared" ref="D525:F525" si="376">+W476</f>
        <v>1.7462298274040222E-10</v>
      </c>
      <c r="E525" s="2">
        <f t="shared" si="376"/>
        <v>0</v>
      </c>
      <c r="F525" s="2">
        <f t="shared" si="376"/>
        <v>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>
        <f t="shared" si="332"/>
        <v>0</v>
      </c>
      <c r="V525" s="2">
        <f t="shared" si="333"/>
        <v>0</v>
      </c>
      <c r="W525" s="54">
        <f t="shared" si="342"/>
        <v>1.7462298274040222E-10</v>
      </c>
      <c r="X525" s="2">
        <f t="shared" si="343"/>
        <v>0</v>
      </c>
      <c r="Y525" s="2">
        <f t="shared" si="344"/>
        <v>0</v>
      </c>
      <c r="Z525" s="46">
        <v>0</v>
      </c>
      <c r="AA525" s="46">
        <v>0</v>
      </c>
      <c r="AB525" s="46">
        <v>0</v>
      </c>
      <c r="AC525" s="46">
        <v>0</v>
      </c>
      <c r="AD525" s="58">
        <f t="shared" si="339"/>
        <v>0</v>
      </c>
      <c r="AE525" s="12">
        <f t="shared" si="340"/>
        <v>0</v>
      </c>
      <c r="AF525" s="56"/>
      <c r="AG525" s="62"/>
      <c r="AH525" s="117">
        <f t="shared" si="345"/>
        <v>0</v>
      </c>
      <c r="AI525" s="114"/>
      <c r="AJ525" s="114"/>
      <c r="AK525" s="114"/>
      <c r="AL525" s="114"/>
      <c r="AM525" s="114"/>
      <c r="AN525" s="114"/>
      <c r="AO525" s="114"/>
      <c r="AP525" s="114"/>
      <c r="AQ525" s="114"/>
      <c r="AR525" s="114"/>
      <c r="AS525" s="114"/>
      <c r="AT525" s="114"/>
      <c r="AU525" s="114"/>
      <c r="AV525" s="114"/>
      <c r="AW525" s="114"/>
      <c r="AX525" s="114"/>
      <c r="AY525" s="119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115"/>
    </row>
    <row r="526" spans="1:62" hidden="1" x14ac:dyDescent="0.35">
      <c r="A526" s="19" t="str">
        <f>VLOOKUP(C526,Master!A:D,4,0)</f>
        <v>FG</v>
      </c>
      <c r="B526" s="14" t="str">
        <f>VLOOKUP(C526,Master!A:C,3,0)</f>
        <v>Small Bags</v>
      </c>
      <c r="C526" s="14" t="s">
        <v>900</v>
      </c>
      <c r="D526" s="2">
        <f t="shared" ref="D526:F526" si="377">+W477</f>
        <v>0</v>
      </c>
      <c r="E526" s="2">
        <f t="shared" si="377"/>
        <v>0</v>
      </c>
      <c r="F526" s="2">
        <f t="shared" si="377"/>
        <v>0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>
        <f t="shared" si="332"/>
        <v>0</v>
      </c>
      <c r="V526" s="2">
        <f t="shared" si="333"/>
        <v>0</v>
      </c>
      <c r="W526" s="54">
        <f t="shared" si="342"/>
        <v>0</v>
      </c>
      <c r="X526" s="2">
        <f t="shared" si="343"/>
        <v>0</v>
      </c>
      <c r="Y526" s="2">
        <f t="shared" si="344"/>
        <v>0</v>
      </c>
      <c r="Z526" s="46">
        <v>0</v>
      </c>
      <c r="AA526" s="46">
        <v>0</v>
      </c>
      <c r="AB526" s="46">
        <v>0</v>
      </c>
      <c r="AC526" s="58">
        <f t="shared" si="370"/>
        <v>0</v>
      </c>
      <c r="AD526" s="58">
        <f t="shared" si="339"/>
        <v>0</v>
      </c>
      <c r="AE526" s="12">
        <f t="shared" si="340"/>
        <v>0</v>
      </c>
      <c r="AF526" s="56"/>
      <c r="AG526" s="62"/>
      <c r="AH526" s="117">
        <f t="shared" si="345"/>
        <v>0</v>
      </c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4"/>
      <c r="AS526" s="114"/>
      <c r="AT526" s="114"/>
      <c r="AU526" s="114"/>
      <c r="AV526" s="114"/>
      <c r="AW526" s="114"/>
      <c r="AX526" s="114"/>
      <c r="AY526" s="119"/>
      <c r="AZ526" s="115"/>
      <c r="BA526" s="115"/>
      <c r="BB526" s="115"/>
      <c r="BC526" s="115"/>
      <c r="BD526" s="115"/>
      <c r="BE526" s="115"/>
      <c r="BF526" s="115"/>
      <c r="BG526" s="115"/>
      <c r="BH526" s="115"/>
      <c r="BI526" s="115"/>
      <c r="BJ526" s="115"/>
    </row>
    <row r="527" spans="1:62" hidden="1" x14ac:dyDescent="0.35">
      <c r="A527" s="19" t="str">
        <f>VLOOKUP(C527,Master!A:D,4,0)</f>
        <v>FG</v>
      </c>
      <c r="B527" s="14" t="str">
        <f>VLOOKUP(C527,Master!A:C,3,0)</f>
        <v>Tarps</v>
      </c>
      <c r="C527" s="14" t="s">
        <v>903</v>
      </c>
      <c r="D527" s="2">
        <f t="shared" ref="D527:F527" si="378">+W478</f>
        <v>0</v>
      </c>
      <c r="E527" s="2">
        <f t="shared" si="378"/>
        <v>0</v>
      </c>
      <c r="F527" s="2">
        <f t="shared" si="378"/>
        <v>0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>
        <f t="shared" si="332"/>
        <v>0</v>
      </c>
      <c r="V527" s="2">
        <f t="shared" si="333"/>
        <v>0</v>
      </c>
      <c r="W527" s="54">
        <f t="shared" si="342"/>
        <v>0</v>
      </c>
      <c r="X527" s="2">
        <f t="shared" si="343"/>
        <v>0</v>
      </c>
      <c r="Y527" s="2">
        <f t="shared" si="344"/>
        <v>0</v>
      </c>
      <c r="Z527" s="46">
        <v>0</v>
      </c>
      <c r="AA527" s="46">
        <v>0</v>
      </c>
      <c r="AB527" s="46">
        <v>0</v>
      </c>
      <c r="AC527" s="58">
        <f t="shared" si="370"/>
        <v>0</v>
      </c>
      <c r="AD527" s="58">
        <f t="shared" si="339"/>
        <v>0</v>
      </c>
      <c r="AE527" s="12">
        <f t="shared" si="340"/>
        <v>0</v>
      </c>
      <c r="AF527" s="56"/>
      <c r="AG527" s="62"/>
      <c r="AH527" s="117">
        <f t="shared" si="345"/>
        <v>0</v>
      </c>
      <c r="AI527" s="114"/>
      <c r="AJ527" s="114"/>
      <c r="AK527" s="114"/>
      <c r="AL527" s="114"/>
      <c r="AM527" s="114"/>
      <c r="AN527" s="114"/>
      <c r="AO527" s="114"/>
      <c r="AP527" s="114"/>
      <c r="AQ527" s="114"/>
      <c r="AR527" s="114"/>
      <c r="AS527" s="114"/>
      <c r="AT527" s="114"/>
      <c r="AU527" s="114"/>
      <c r="AV527" s="114"/>
      <c r="AW527" s="114"/>
      <c r="AX527" s="114"/>
      <c r="AY527" s="119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115"/>
      <c r="BJ527" s="115"/>
    </row>
    <row r="528" spans="1:62" hidden="1" x14ac:dyDescent="0.35">
      <c r="A528" s="19" t="str">
        <f>VLOOKUP(C528,Master!A:D,4,0)</f>
        <v>FG</v>
      </c>
      <c r="B528" s="14" t="str">
        <f>VLOOKUP(C528,Master!A:C,3,0)</f>
        <v>Trading Items</v>
      </c>
      <c r="C528" s="14" t="s">
        <v>905</v>
      </c>
      <c r="D528" s="2">
        <f t="shared" ref="D528:F528" si="379">+W479</f>
        <v>0</v>
      </c>
      <c r="E528" s="2">
        <f t="shared" si="379"/>
        <v>0</v>
      </c>
      <c r="F528" s="2">
        <f t="shared" si="379"/>
        <v>0</v>
      </c>
      <c r="G528" s="6"/>
      <c r="H528" s="6"/>
      <c r="I528" s="6"/>
      <c r="J528" s="2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2">
        <f t="shared" ref="U528:U531" si="380">O528-S528</f>
        <v>0</v>
      </c>
      <c r="V528" s="2">
        <f t="shared" ref="V528:V531" si="381">P528-T528</f>
        <v>0</v>
      </c>
      <c r="W528" s="54">
        <f t="shared" si="342"/>
        <v>0</v>
      </c>
      <c r="X528" s="2">
        <f t="shared" si="343"/>
        <v>0</v>
      </c>
      <c r="Y528" s="2">
        <f t="shared" si="344"/>
        <v>0</v>
      </c>
      <c r="Z528" s="46">
        <v>0</v>
      </c>
      <c r="AA528" s="46">
        <v>0</v>
      </c>
      <c r="AB528" s="46">
        <v>0</v>
      </c>
      <c r="AC528" s="58">
        <f t="shared" si="370"/>
        <v>0</v>
      </c>
      <c r="AD528" s="58">
        <f t="shared" si="339"/>
        <v>0</v>
      </c>
      <c r="AE528" s="6">
        <v>0</v>
      </c>
      <c r="AF528" s="56"/>
      <c r="AG528" s="62"/>
      <c r="AH528" s="117">
        <f t="shared" si="345"/>
        <v>0</v>
      </c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4"/>
      <c r="AS528" s="114"/>
      <c r="AT528" s="114"/>
      <c r="AU528" s="114"/>
      <c r="AV528" s="114"/>
      <c r="AW528" s="114"/>
      <c r="AX528" s="114"/>
      <c r="AY528" s="119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115"/>
      <c r="BJ528" s="115"/>
    </row>
    <row r="529" spans="1:62" hidden="1" x14ac:dyDescent="0.35">
      <c r="A529" s="19" t="str">
        <f>VLOOKUP(C529,Master!A:D,4,0)</f>
        <v>FG</v>
      </c>
      <c r="B529" s="14" t="str">
        <f>VLOOKUP(C529,Master!A:C,3,0)</f>
        <v>Small Bags</v>
      </c>
      <c r="C529" s="14" t="s">
        <v>907</v>
      </c>
      <c r="D529" s="2">
        <f t="shared" ref="D529:F529" si="382">+W480</f>
        <v>0</v>
      </c>
      <c r="E529" s="2">
        <f t="shared" si="382"/>
        <v>0</v>
      </c>
      <c r="F529" s="2">
        <f t="shared" si="382"/>
        <v>0</v>
      </c>
      <c r="G529" s="6"/>
      <c r="H529" s="2"/>
      <c r="I529" s="6"/>
      <c r="J529" s="2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2">
        <f t="shared" si="380"/>
        <v>0</v>
      </c>
      <c r="V529" s="2">
        <f t="shared" si="381"/>
        <v>0</v>
      </c>
      <c r="W529" s="54">
        <f t="shared" si="342"/>
        <v>0</v>
      </c>
      <c r="X529" s="2">
        <f t="shared" si="343"/>
        <v>0</v>
      </c>
      <c r="Y529" s="2">
        <f t="shared" si="344"/>
        <v>0</v>
      </c>
      <c r="Z529" s="46">
        <v>0</v>
      </c>
      <c r="AA529" s="46">
        <v>0</v>
      </c>
      <c r="AB529" s="46">
        <v>0</v>
      </c>
      <c r="AC529" s="58">
        <f t="shared" si="370"/>
        <v>0</v>
      </c>
      <c r="AD529" s="58">
        <f t="shared" si="339"/>
        <v>0</v>
      </c>
      <c r="AE529" s="6">
        <v>0</v>
      </c>
      <c r="AF529" s="56"/>
      <c r="AG529" s="62"/>
      <c r="AH529" s="117">
        <f t="shared" si="345"/>
        <v>0</v>
      </c>
      <c r="AI529" s="114"/>
      <c r="AJ529" s="114"/>
      <c r="AK529" s="114"/>
      <c r="AL529" s="114"/>
      <c r="AM529" s="114"/>
      <c r="AN529" s="114"/>
      <c r="AO529" s="114"/>
      <c r="AP529" s="114"/>
      <c r="AQ529" s="114"/>
      <c r="AR529" s="114"/>
      <c r="AS529" s="114"/>
      <c r="AT529" s="114"/>
      <c r="AU529" s="114"/>
      <c r="AV529" s="114"/>
      <c r="AW529" s="114"/>
      <c r="AX529" s="114"/>
      <c r="AY529" s="119"/>
      <c r="AZ529" s="115"/>
      <c r="BA529" s="115"/>
      <c r="BB529" s="115"/>
      <c r="BC529" s="115"/>
      <c r="BD529" s="115"/>
      <c r="BE529" s="115"/>
      <c r="BF529" s="115"/>
      <c r="BG529" s="115"/>
      <c r="BH529" s="115"/>
      <c r="BI529" s="115"/>
      <c r="BJ529" s="115"/>
    </row>
    <row r="530" spans="1:62" hidden="1" x14ac:dyDescent="0.35">
      <c r="A530" s="19" t="str">
        <f>VLOOKUP(C530,Master!A:D,4,0)</f>
        <v>FG</v>
      </c>
      <c r="B530" s="14" t="str">
        <f>VLOOKUP(C530,Master!A:C,3,0)</f>
        <v>Small Bags WIP</v>
      </c>
      <c r="C530" s="14" t="s">
        <v>908</v>
      </c>
      <c r="D530" s="2">
        <f t="shared" ref="D530:F530" si="383">+W481</f>
        <v>0</v>
      </c>
      <c r="E530" s="2">
        <f t="shared" si="383"/>
        <v>0</v>
      </c>
      <c r="F530" s="2">
        <f t="shared" si="383"/>
        <v>0</v>
      </c>
      <c r="G530" s="7"/>
      <c r="H530" s="2"/>
      <c r="I530" s="7"/>
      <c r="J530" s="11"/>
      <c r="K530" s="7"/>
      <c r="L530" s="7"/>
      <c r="M530" s="7"/>
      <c r="N530" s="7"/>
      <c r="O530" s="7"/>
      <c r="P530" s="6"/>
      <c r="Q530" s="7"/>
      <c r="R530" s="7"/>
      <c r="S530" s="7"/>
      <c r="T530" s="6"/>
      <c r="U530" s="2">
        <f t="shared" si="380"/>
        <v>0</v>
      </c>
      <c r="V530" s="2">
        <f t="shared" si="381"/>
        <v>0</v>
      </c>
      <c r="W530" s="54">
        <f t="shared" si="342"/>
        <v>0</v>
      </c>
      <c r="X530" s="2">
        <f t="shared" si="343"/>
        <v>0</v>
      </c>
      <c r="Y530" s="2">
        <f t="shared" si="344"/>
        <v>0</v>
      </c>
      <c r="Z530" s="46">
        <v>0</v>
      </c>
      <c r="AA530" s="46">
        <v>0</v>
      </c>
      <c r="AB530" s="46">
        <v>0</v>
      </c>
      <c r="AC530" s="58">
        <f t="shared" si="370"/>
        <v>0</v>
      </c>
      <c r="AD530" s="58">
        <f t="shared" si="339"/>
        <v>0</v>
      </c>
      <c r="AE530" s="6">
        <v>0</v>
      </c>
      <c r="AF530" s="56"/>
      <c r="AG530" s="62"/>
      <c r="AH530" s="117">
        <f t="shared" si="345"/>
        <v>0</v>
      </c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4"/>
      <c r="AS530" s="114"/>
      <c r="AT530" s="114"/>
      <c r="AU530" s="114"/>
      <c r="AV530" s="114"/>
      <c r="AW530" s="114"/>
      <c r="AX530" s="114"/>
      <c r="AY530" s="119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115"/>
      <c r="BJ530" s="115"/>
    </row>
    <row r="531" spans="1:62" ht="15" hidden="1" thickBot="1" x14ac:dyDescent="0.4">
      <c r="A531" s="20" t="str">
        <f>VLOOKUP(C531,Master!A:D,4,0)</f>
        <v>FG</v>
      </c>
      <c r="B531" s="21" t="str">
        <f>VLOOKUP(C531,Master!A:C,3,0)</f>
        <v>Flexitank</v>
      </c>
      <c r="C531" s="21" t="s">
        <v>718</v>
      </c>
      <c r="D531" s="2">
        <f t="shared" ref="D531:F531" si="384">+W482</f>
        <v>0</v>
      </c>
      <c r="E531" s="2">
        <f t="shared" si="384"/>
        <v>0</v>
      </c>
      <c r="F531" s="2">
        <f t="shared" si="384"/>
        <v>0</v>
      </c>
      <c r="G531" s="22"/>
      <c r="H531" s="22"/>
      <c r="I531" s="22"/>
      <c r="J531" s="24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">
        <f t="shared" si="380"/>
        <v>0</v>
      </c>
      <c r="V531" s="2">
        <f t="shared" si="381"/>
        <v>0</v>
      </c>
      <c r="W531" s="54">
        <f t="shared" si="342"/>
        <v>0</v>
      </c>
      <c r="X531" s="2">
        <f t="shared" si="343"/>
        <v>0</v>
      </c>
      <c r="Y531" s="2">
        <f t="shared" si="344"/>
        <v>0</v>
      </c>
      <c r="Z531" s="46">
        <v>0</v>
      </c>
      <c r="AA531" s="46">
        <v>0</v>
      </c>
      <c r="AB531" s="46">
        <v>0</v>
      </c>
      <c r="AC531" s="58">
        <f t="shared" si="370"/>
        <v>0</v>
      </c>
      <c r="AD531" s="58">
        <f t="shared" si="339"/>
        <v>0</v>
      </c>
      <c r="AE531" s="6">
        <v>0</v>
      </c>
      <c r="AF531" s="56"/>
      <c r="AG531" s="65"/>
      <c r="AH531" s="117">
        <f t="shared" si="345"/>
        <v>0</v>
      </c>
      <c r="AI531" s="114"/>
      <c r="AJ531" s="114"/>
      <c r="AK531" s="114"/>
      <c r="AL531" s="114"/>
      <c r="AM531" s="114"/>
      <c r="AN531" s="114"/>
      <c r="AO531" s="114"/>
      <c r="AP531" s="114"/>
      <c r="AQ531" s="114"/>
      <c r="AR531" s="114"/>
      <c r="AS531" s="114"/>
      <c r="AT531" s="114"/>
      <c r="AU531" s="114"/>
      <c r="AV531" s="114"/>
      <c r="AW531" s="114"/>
      <c r="AX531" s="114"/>
      <c r="AY531" s="119"/>
      <c r="AZ531" s="115"/>
      <c r="BA531" s="115"/>
      <c r="BB531" s="115"/>
      <c r="BC531" s="115"/>
      <c r="BD531" s="115"/>
      <c r="BE531" s="115"/>
      <c r="BF531" s="115"/>
      <c r="BG531" s="115"/>
      <c r="BH531" s="115"/>
      <c r="BI531" s="115"/>
      <c r="BJ531" s="115"/>
    </row>
    <row r="532" spans="1:62" hidden="1" x14ac:dyDescent="0.35">
      <c r="A532" s="536" t="s">
        <v>928</v>
      </c>
      <c r="B532" s="537"/>
      <c r="C532" s="538"/>
      <c r="D532" s="17">
        <f>SUM(D495:D531)</f>
        <v>80511.518888000093</v>
      </c>
      <c r="E532" s="17">
        <f t="shared" ref="E532:Z532" si="385">SUM(E495:E531)</f>
        <v>449660.13</v>
      </c>
      <c r="F532" s="17">
        <f t="shared" si="385"/>
        <v>0</v>
      </c>
      <c r="G532" s="17">
        <f t="shared" si="385"/>
        <v>0</v>
      </c>
      <c r="H532" s="17">
        <f t="shared" si="385"/>
        <v>0</v>
      </c>
      <c r="I532" s="17">
        <f t="shared" si="385"/>
        <v>0</v>
      </c>
      <c r="J532" s="17">
        <f t="shared" si="385"/>
        <v>0</v>
      </c>
      <c r="K532" s="17">
        <f t="shared" si="385"/>
        <v>0</v>
      </c>
      <c r="L532" s="17">
        <f t="shared" si="385"/>
        <v>0</v>
      </c>
      <c r="M532" s="17">
        <f t="shared" si="385"/>
        <v>0</v>
      </c>
      <c r="N532" s="17">
        <f t="shared" si="385"/>
        <v>0</v>
      </c>
      <c r="O532" s="17">
        <f t="shared" si="385"/>
        <v>0</v>
      </c>
      <c r="P532" s="17">
        <f t="shared" si="385"/>
        <v>0</v>
      </c>
      <c r="Q532" s="17">
        <f t="shared" si="385"/>
        <v>0</v>
      </c>
      <c r="R532" s="17">
        <f t="shared" si="385"/>
        <v>0</v>
      </c>
      <c r="S532" s="17">
        <f t="shared" si="385"/>
        <v>0</v>
      </c>
      <c r="T532" s="17">
        <f t="shared" si="385"/>
        <v>0</v>
      </c>
      <c r="U532" s="17">
        <f t="shared" si="385"/>
        <v>0</v>
      </c>
      <c r="V532" s="17">
        <f t="shared" si="385"/>
        <v>0</v>
      </c>
      <c r="W532" s="17">
        <f t="shared" si="385"/>
        <v>80511.518888000093</v>
      </c>
      <c r="X532" s="17">
        <f t="shared" si="385"/>
        <v>449660.13</v>
      </c>
      <c r="Y532" s="17">
        <f t="shared" si="385"/>
        <v>0</v>
      </c>
      <c r="Z532" s="17">
        <f t="shared" si="385"/>
        <v>0</v>
      </c>
      <c r="AA532" s="94">
        <f>SUM(AA495:AA531)</f>
        <v>0</v>
      </c>
      <c r="AB532" s="17">
        <f t="shared" ref="AB532:AF532" si="386">SUM(AB495:AB531)</f>
        <v>0</v>
      </c>
      <c r="AC532" s="17">
        <f t="shared" si="386"/>
        <v>80511.518887999919</v>
      </c>
      <c r="AD532" s="94">
        <f t="shared" si="386"/>
        <v>435007.43</v>
      </c>
      <c r="AE532" s="17">
        <f t="shared" si="386"/>
        <v>0</v>
      </c>
      <c r="AF532" s="57">
        <f t="shared" si="386"/>
        <v>0</v>
      </c>
      <c r="AG532" s="61"/>
      <c r="AH532" s="120">
        <f t="shared" ref="AH532" si="387">SUM(AH495:AH531)</f>
        <v>0</v>
      </c>
      <c r="AI532" s="121"/>
      <c r="AJ532" s="121"/>
      <c r="AK532" s="121"/>
      <c r="AL532" s="121"/>
      <c r="AM532" s="121"/>
      <c r="AN532" s="121"/>
      <c r="AO532" s="121"/>
      <c r="AP532" s="121"/>
      <c r="AQ532" s="121"/>
      <c r="AR532" s="121"/>
      <c r="AS532" s="121"/>
      <c r="AT532" s="121"/>
      <c r="AU532" s="121"/>
      <c r="AV532" s="121"/>
      <c r="AW532" s="121"/>
      <c r="AX532" s="121"/>
      <c r="AY532" s="119"/>
      <c r="AZ532" s="115"/>
      <c r="BA532" s="115"/>
      <c r="BB532" s="122"/>
      <c r="BC532" s="122"/>
      <c r="BD532" s="122"/>
      <c r="BE532" s="122"/>
      <c r="BF532" s="122"/>
      <c r="BG532" s="122"/>
      <c r="BH532" s="122"/>
      <c r="BI532" s="122"/>
      <c r="BJ532" s="115"/>
    </row>
    <row r="533" spans="1:62" hidden="1" x14ac:dyDescent="0.35">
      <c r="A533" s="544" t="s">
        <v>927</v>
      </c>
      <c r="B533" s="545"/>
      <c r="C533" s="546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  <c r="Z533" s="11"/>
      <c r="AA533" s="11"/>
      <c r="AB533" s="11"/>
      <c r="AC533" s="11"/>
      <c r="AD533" s="11"/>
      <c r="AE533" s="11"/>
      <c r="AF533" s="4"/>
      <c r="AG533" s="62"/>
      <c r="AH533" s="117"/>
      <c r="AI533" s="114"/>
      <c r="AJ533" s="114"/>
      <c r="AK533" s="114"/>
      <c r="AL533" s="114"/>
      <c r="AM533" s="114"/>
      <c r="AN533" s="114"/>
      <c r="AO533" s="114"/>
      <c r="AP533" s="114"/>
      <c r="AQ533" s="114"/>
      <c r="AR533" s="114"/>
      <c r="AS533" s="114"/>
      <c r="AT533" s="114"/>
      <c r="AU533" s="114"/>
      <c r="AV533" s="114"/>
      <c r="AW533" s="114"/>
      <c r="AX533" s="114"/>
      <c r="AY533" s="119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115"/>
      <c r="BJ533" s="115"/>
    </row>
    <row r="534" spans="1:62" ht="15" hidden="1" thickBot="1" x14ac:dyDescent="0.4">
      <c r="A534" s="547" t="s">
        <v>21</v>
      </c>
      <c r="B534" s="548"/>
      <c r="C534" s="549"/>
      <c r="D534" s="23"/>
      <c r="E534" s="23"/>
      <c r="F534" s="23"/>
      <c r="G534" s="24">
        <f>G532-G533</f>
        <v>0</v>
      </c>
      <c r="H534" s="24">
        <f t="shared" ref="H534:N534" si="388">H532-H533</f>
        <v>0</v>
      </c>
      <c r="I534" s="24">
        <f t="shared" si="388"/>
        <v>0</v>
      </c>
      <c r="J534" s="24">
        <f t="shared" si="388"/>
        <v>0</v>
      </c>
      <c r="K534" s="24">
        <f t="shared" si="388"/>
        <v>0</v>
      </c>
      <c r="L534" s="24">
        <f t="shared" si="388"/>
        <v>0</v>
      </c>
      <c r="M534" s="24">
        <f t="shared" si="388"/>
        <v>0</v>
      </c>
      <c r="N534" s="24">
        <f t="shared" si="388"/>
        <v>0</v>
      </c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4">
        <f>+AA532-AA533</f>
        <v>0</v>
      </c>
      <c r="AB534" s="24"/>
      <c r="AC534" s="23"/>
      <c r="AD534" s="23"/>
      <c r="AE534" s="23"/>
      <c r="AF534" s="25"/>
      <c r="AG534" s="63"/>
      <c r="AH534" s="123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4"/>
      <c r="AS534" s="114"/>
      <c r="AT534" s="114"/>
      <c r="AU534" s="114"/>
      <c r="AV534" s="114"/>
      <c r="AW534" s="114"/>
      <c r="AX534" s="114"/>
      <c r="AY534" s="119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115"/>
      <c r="BJ534" s="115"/>
    </row>
    <row r="535" spans="1:62" hidden="1" x14ac:dyDescent="0.35">
      <c r="O535" s="51" t="s">
        <v>970</v>
      </c>
      <c r="P535" s="70">
        <f>+O532-P532</f>
        <v>0</v>
      </c>
      <c r="S535" s="51" t="s">
        <v>970</v>
      </c>
      <c r="T535" s="70">
        <f>+S532-T532</f>
        <v>0</v>
      </c>
      <c r="V535" s="47"/>
    </row>
    <row r="536" spans="1:62" hidden="1" x14ac:dyDescent="0.35">
      <c r="A536" s="29"/>
      <c r="O536" s="64"/>
      <c r="S536" s="47"/>
      <c r="W536" s="47">
        <f>+D532+H532-K532</f>
        <v>80511.518888000093</v>
      </c>
      <c r="X536" s="47">
        <f>+E532+J532-N533</f>
        <v>449660.13</v>
      </c>
      <c r="AH536" s="116">
        <f>+AH496+AH495+AH509+AH510+AH517+AH520+AH498+AH503</f>
        <v>0</v>
      </c>
      <c r="AI536" s="105" t="s">
        <v>932</v>
      </c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  <c r="AT536" s="116"/>
      <c r="AU536" s="116"/>
      <c r="AV536" s="116"/>
      <c r="AW536" s="116"/>
      <c r="AX536" s="116"/>
      <c r="AY536" s="246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</row>
    <row r="537" spans="1:62" hidden="1" x14ac:dyDescent="0.35">
      <c r="W537" s="64">
        <f>+W532-W536</f>
        <v>0</v>
      </c>
      <c r="X537" s="64">
        <f>+X532-X536</f>
        <v>0</v>
      </c>
      <c r="Y537" s="64"/>
      <c r="AH537" s="116">
        <f>+AH523</f>
        <v>0</v>
      </c>
      <c r="AI537" s="105" t="s">
        <v>931</v>
      </c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  <c r="AT537" s="116"/>
      <c r="AU537" s="116"/>
      <c r="AV537" s="116"/>
      <c r="AW537" s="116"/>
      <c r="AX537" s="116"/>
      <c r="AY537" s="246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</row>
    <row r="538" spans="1:62" hidden="1" x14ac:dyDescent="0.35">
      <c r="AH538" s="116">
        <f>+AH515+AH522+AH525+AH529</f>
        <v>0</v>
      </c>
      <c r="AI538" s="105" t="s">
        <v>930</v>
      </c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  <c r="AT538" s="116"/>
      <c r="AU538" s="116"/>
      <c r="AV538" s="116"/>
      <c r="AW538" s="116"/>
      <c r="AX538" s="116"/>
      <c r="AY538" s="246"/>
      <c r="AZ538" s="124"/>
      <c r="BA538" s="124"/>
      <c r="BB538" s="124"/>
      <c r="BC538" s="124"/>
      <c r="BD538" s="124"/>
      <c r="BE538" s="124"/>
      <c r="BF538" s="124"/>
      <c r="BG538" s="124"/>
      <c r="BH538" s="124"/>
      <c r="BI538" s="124"/>
    </row>
    <row r="539" spans="1:62" hidden="1" x14ac:dyDescent="0.35">
      <c r="AH539" s="116">
        <f>+AH532-AH536-AH537-AH538</f>
        <v>0</v>
      </c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  <c r="AT539" s="116"/>
      <c r="AU539" s="116"/>
      <c r="AV539" s="116"/>
      <c r="AW539" s="116"/>
      <c r="AX539" s="116"/>
      <c r="AY539" s="246"/>
      <c r="AZ539" s="124"/>
      <c r="BA539" s="124"/>
      <c r="BB539" s="124"/>
      <c r="BC539" s="124"/>
      <c r="BD539" s="124"/>
      <c r="BE539" s="124"/>
      <c r="BF539" s="124"/>
      <c r="BG539" s="124"/>
      <c r="BH539" s="124"/>
      <c r="BI539" s="124"/>
      <c r="BJ539" s="124"/>
    </row>
    <row r="540" spans="1:62" hidden="1" x14ac:dyDescent="0.35"/>
    <row r="541" spans="1:62" ht="15" hidden="1" customHeight="1" x14ac:dyDescent="0.35"/>
    <row r="542" spans="1:62" ht="15" hidden="1" customHeight="1" x14ac:dyDescent="0.35"/>
    <row r="543" spans="1:62" ht="15.75" hidden="1" customHeight="1" x14ac:dyDescent="0.35"/>
    <row r="544" spans="1:62" ht="15.75" hidden="1" customHeight="1" thickBot="1" x14ac:dyDescent="0.4"/>
    <row r="545" spans="1:62" ht="15.75" hidden="1" customHeight="1" thickBot="1" x14ac:dyDescent="0.4">
      <c r="A545" s="5"/>
      <c r="B545" s="5"/>
      <c r="C545" s="8"/>
      <c r="D545" s="539" t="s">
        <v>0</v>
      </c>
      <c r="E545" s="540"/>
      <c r="F545" s="540"/>
      <c r="G545" s="541" t="s">
        <v>2356</v>
      </c>
      <c r="H545" s="542"/>
      <c r="I545" s="542"/>
      <c r="J545" s="542"/>
      <c r="K545" s="542"/>
      <c r="L545" s="542"/>
      <c r="M545" s="542"/>
      <c r="N545" s="542"/>
      <c r="O545" s="542"/>
      <c r="P545" s="542"/>
      <c r="Q545" s="542"/>
      <c r="R545" s="542"/>
      <c r="S545" s="542"/>
      <c r="T545" s="542"/>
      <c r="U545" s="542"/>
      <c r="V545" s="543"/>
      <c r="W545" s="554" t="s">
        <v>20</v>
      </c>
      <c r="X545" s="554"/>
      <c r="Y545" s="554"/>
      <c r="Z545" s="553" t="s">
        <v>929</v>
      </c>
      <c r="AA545" s="553"/>
      <c r="AB545" s="553"/>
      <c r="AC545" s="553" t="s">
        <v>21</v>
      </c>
      <c r="AD545" s="553"/>
      <c r="AE545" s="553"/>
      <c r="AF545" s="13"/>
      <c r="AG545" s="531"/>
      <c r="AH545" s="532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8"/>
      <c r="AZ545" s="108"/>
      <c r="BA545" s="108"/>
      <c r="BB545" s="108"/>
      <c r="BC545" s="108"/>
      <c r="BD545" s="108"/>
      <c r="BE545" s="108"/>
      <c r="BF545" s="108"/>
      <c r="BG545" s="108"/>
      <c r="BH545" s="108"/>
      <c r="BI545" s="108"/>
      <c r="BJ545" s="108"/>
    </row>
    <row r="546" spans="1:62" ht="45.75" hidden="1" customHeight="1" thickBot="1" x14ac:dyDescent="0.4">
      <c r="A546" s="10" t="s">
        <v>24</v>
      </c>
      <c r="B546" s="10" t="s">
        <v>924</v>
      </c>
      <c r="C546" s="10" t="s">
        <v>23</v>
      </c>
      <c r="D546" s="26" t="s">
        <v>1</v>
      </c>
      <c r="E546" s="27" t="s">
        <v>2</v>
      </c>
      <c r="F546" s="27" t="s">
        <v>3</v>
      </c>
      <c r="G546" s="27" t="s">
        <v>4</v>
      </c>
      <c r="H546" s="27" t="s">
        <v>5</v>
      </c>
      <c r="I546" s="27" t="s">
        <v>6</v>
      </c>
      <c r="J546" s="27" t="s">
        <v>7</v>
      </c>
      <c r="K546" s="27" t="s">
        <v>8</v>
      </c>
      <c r="L546" s="27" t="s">
        <v>9</v>
      </c>
      <c r="M546" s="27" t="s">
        <v>10</v>
      </c>
      <c r="N546" s="27" t="s">
        <v>11</v>
      </c>
      <c r="O546" s="27" t="s">
        <v>12</v>
      </c>
      <c r="P546" s="27" t="s">
        <v>13</v>
      </c>
      <c r="Q546" s="27" t="s">
        <v>14</v>
      </c>
      <c r="R546" s="27" t="s">
        <v>15</v>
      </c>
      <c r="S546" s="27" t="s">
        <v>16</v>
      </c>
      <c r="T546" s="27" t="s">
        <v>17</v>
      </c>
      <c r="U546" s="27" t="s">
        <v>18</v>
      </c>
      <c r="V546" s="27" t="s">
        <v>19</v>
      </c>
      <c r="W546" s="28" t="s">
        <v>1</v>
      </c>
      <c r="X546" s="28" t="s">
        <v>2</v>
      </c>
      <c r="Y546" s="28" t="s">
        <v>3</v>
      </c>
      <c r="Z546" s="28" t="s">
        <v>1</v>
      </c>
      <c r="AA546" s="50" t="s">
        <v>2</v>
      </c>
      <c r="AB546" s="27" t="s">
        <v>3</v>
      </c>
      <c r="AC546" s="27" t="s">
        <v>1</v>
      </c>
      <c r="AD546" s="27" t="s">
        <v>2</v>
      </c>
      <c r="AE546" s="27" t="s">
        <v>3</v>
      </c>
      <c r="AF546" s="55" t="s">
        <v>22</v>
      </c>
      <c r="AG546" s="55" t="s">
        <v>934</v>
      </c>
      <c r="AH546" s="130" t="s">
        <v>933</v>
      </c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2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</row>
    <row r="547" spans="1:62" ht="15" hidden="1" customHeight="1" x14ac:dyDescent="0.35">
      <c r="A547" s="15" t="str">
        <f>VLOOKUP(C547,Master!A:D,4,0)</f>
        <v>RM</v>
      </c>
      <c r="B547" s="16" t="str">
        <f>VLOOKUP(C547,Master!A:C,3,0)</f>
        <v>Granuals</v>
      </c>
      <c r="C547" s="16" t="s">
        <v>32</v>
      </c>
      <c r="D547" s="17">
        <f>+W495</f>
        <v>2494.8000000000002</v>
      </c>
      <c r="E547" s="17">
        <f t="shared" ref="E547:F547" si="389">+X495</f>
        <v>200</v>
      </c>
      <c r="F547" s="17">
        <f t="shared" si="389"/>
        <v>0</v>
      </c>
      <c r="G547" s="17"/>
      <c r="H547" s="17"/>
      <c r="I547" s="71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>
        <f t="shared" ref="U547:U579" si="390">O547-S547</f>
        <v>0</v>
      </c>
      <c r="V547" s="17">
        <f t="shared" ref="V547:V579" si="391">P547-T547</f>
        <v>0</v>
      </c>
      <c r="W547" s="17">
        <f>D547+G547+H547+I547-K547-L547-M547-V547+U547</f>
        <v>2494.8000000000002</v>
      </c>
      <c r="X547" s="17">
        <f t="shared" ref="X547:X548" si="392">E547+J547-N547-T547+S547</f>
        <v>200</v>
      </c>
      <c r="Y547" s="17">
        <f t="shared" ref="Y547:Y548" si="393">F547-I547+M547-R547+Q547</f>
        <v>0</v>
      </c>
      <c r="Z547" s="48">
        <f>+W547</f>
        <v>2494.8000000000002</v>
      </c>
      <c r="AA547" s="45">
        <v>0</v>
      </c>
      <c r="AB547" s="45">
        <v>0</v>
      </c>
      <c r="AC547" s="72">
        <f>W547-Z547</f>
        <v>0</v>
      </c>
      <c r="AD547" s="72">
        <f>X547-AA547</f>
        <v>200</v>
      </c>
      <c r="AE547" s="18">
        <f>Y547-AB547</f>
        <v>0</v>
      </c>
      <c r="AF547" s="56"/>
      <c r="AG547" s="62"/>
      <c r="AH547" s="113">
        <f>+W547*AG547</f>
        <v>0</v>
      </c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  <c r="AS547" s="114"/>
      <c r="AT547" s="114"/>
      <c r="AU547" s="114"/>
      <c r="AV547" s="114"/>
      <c r="AW547" s="114"/>
      <c r="AX547" s="114"/>
      <c r="AY547" s="119"/>
      <c r="AZ547" s="115"/>
      <c r="BA547" s="243"/>
      <c r="BB547" s="115"/>
      <c r="BC547" s="115"/>
      <c r="BD547" s="115"/>
      <c r="BE547" s="115"/>
      <c r="BF547" s="115"/>
      <c r="BG547" s="115"/>
      <c r="BH547" s="115"/>
      <c r="BI547" s="115"/>
      <c r="BJ547" s="115"/>
    </row>
    <row r="548" spans="1:62" ht="15" hidden="1" customHeight="1" x14ac:dyDescent="0.35">
      <c r="A548" s="19" t="str">
        <f>VLOOKUP(C548,Master!A:D,4,0)</f>
        <v>RM</v>
      </c>
      <c r="B548" s="14" t="str">
        <f>VLOOKUP(C548,Master!A:C,3,0)</f>
        <v>Granuals</v>
      </c>
      <c r="C548" s="102" t="s">
        <v>37</v>
      </c>
      <c r="D548" s="2">
        <f>+W496</f>
        <v>29994.720000000001</v>
      </c>
      <c r="E548" s="2">
        <f t="shared" ref="E548:F548" si="394">+X496</f>
        <v>341299.7</v>
      </c>
      <c r="F548" s="2">
        <f t="shared" si="394"/>
        <v>0</v>
      </c>
      <c r="G548" s="2"/>
      <c r="H548" s="2"/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>
        <f t="shared" si="390"/>
        <v>0</v>
      </c>
      <c r="V548" s="2">
        <f t="shared" si="391"/>
        <v>0</v>
      </c>
      <c r="W548" s="2">
        <f t="shared" ref="W548" si="395">D548+G548+H548+I548-K548-L548-M548-V548+U548</f>
        <v>29994.720000000001</v>
      </c>
      <c r="X548" s="2">
        <f t="shared" si="392"/>
        <v>341299.7</v>
      </c>
      <c r="Y548" s="2">
        <f t="shared" si="393"/>
        <v>0</v>
      </c>
      <c r="Z548" s="46">
        <f>+W548</f>
        <v>29994.720000000001</v>
      </c>
      <c r="AA548" s="46">
        <f t="shared" ref="AA548:AA583" si="396">+X548</f>
        <v>341299.7</v>
      </c>
      <c r="AB548" s="46">
        <f t="shared" ref="AB548:AB583" si="397">+Y548</f>
        <v>0</v>
      </c>
      <c r="AC548" s="58">
        <f t="shared" ref="AC548:AC583" si="398">W548-Z548</f>
        <v>0</v>
      </c>
      <c r="AD548" s="58">
        <f t="shared" ref="AD548" si="399">X548-AA548</f>
        <v>0</v>
      </c>
      <c r="AE548" s="12">
        <f t="shared" ref="AE548" si="400">Y548-AB548</f>
        <v>0</v>
      </c>
      <c r="AF548" s="56"/>
      <c r="AG548" s="62"/>
      <c r="AH548" s="117">
        <f>+W548*AG548</f>
        <v>0</v>
      </c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  <c r="AS548" s="114"/>
      <c r="AT548" s="114"/>
      <c r="AU548" s="114"/>
      <c r="AV548" s="114"/>
      <c r="AW548" s="114"/>
      <c r="AX548" s="114"/>
      <c r="AY548" s="119"/>
      <c r="AZ548" s="115"/>
      <c r="BA548" s="243"/>
      <c r="BB548" s="115"/>
      <c r="BC548" s="115"/>
      <c r="BD548" s="115"/>
      <c r="BE548" s="115"/>
      <c r="BF548" s="115"/>
      <c r="BG548" s="115"/>
      <c r="BH548" s="115"/>
      <c r="BI548" s="115"/>
      <c r="BJ548" s="115"/>
    </row>
    <row r="549" spans="1:62" ht="15" hidden="1" customHeight="1" x14ac:dyDescent="0.35">
      <c r="A549" s="19" t="str">
        <f>VLOOKUP(C549,Master!A:D,4,0)</f>
        <v>RM</v>
      </c>
      <c r="B549" s="14" t="str">
        <f>VLOOKUP(C549,Master!A:C,3,0)</f>
        <v>Granuals</v>
      </c>
      <c r="C549" s="14" t="s">
        <v>40</v>
      </c>
      <c r="D549" s="2">
        <f t="shared" ref="D549:F549" si="401">+W497</f>
        <v>0</v>
      </c>
      <c r="E549" s="2">
        <f t="shared" si="401"/>
        <v>0</v>
      </c>
      <c r="F549" s="2">
        <f t="shared" si="401"/>
        <v>0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>
        <f t="shared" si="390"/>
        <v>0</v>
      </c>
      <c r="V549" s="2">
        <f t="shared" si="391"/>
        <v>0</v>
      </c>
      <c r="W549" s="2">
        <f t="shared" ref="W549:W583" si="402">D549+G549+H549+I549-K549-L549-M549-V549+U549</f>
        <v>0</v>
      </c>
      <c r="X549" s="2">
        <f t="shared" ref="X549:X583" si="403">E549+J549-N549-T549+S549</f>
        <v>0</v>
      </c>
      <c r="Y549" s="2">
        <f t="shared" ref="Y549:Y583" si="404">F549-I549+M549-R549+Q549</f>
        <v>0</v>
      </c>
      <c r="Z549" s="46">
        <f t="shared" ref="Z549:Z583" si="405">+W549</f>
        <v>0</v>
      </c>
      <c r="AA549" s="46">
        <f t="shared" si="396"/>
        <v>0</v>
      </c>
      <c r="AB549" s="46">
        <f t="shared" si="397"/>
        <v>0</v>
      </c>
      <c r="AC549" s="58">
        <f t="shared" si="398"/>
        <v>0</v>
      </c>
      <c r="AD549" s="58">
        <f t="shared" ref="AD549:AD583" si="406">X549-AA549</f>
        <v>0</v>
      </c>
      <c r="AE549" s="12">
        <f t="shared" ref="AE549:AE583" si="407">Y549-AB549</f>
        <v>0</v>
      </c>
      <c r="AF549" s="56"/>
      <c r="AG549" s="62"/>
      <c r="AH549" s="117">
        <f t="shared" ref="AH549:AH583" si="408">+W549*AG549</f>
        <v>0</v>
      </c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  <c r="AS549" s="114"/>
      <c r="AT549" s="114"/>
      <c r="AU549" s="114"/>
      <c r="AV549" s="114"/>
      <c r="AW549" s="114"/>
      <c r="AX549" s="114"/>
      <c r="AY549" s="119"/>
      <c r="AZ549" s="115"/>
      <c r="BA549" s="243"/>
      <c r="BB549" s="115"/>
      <c r="BC549" s="115"/>
      <c r="BD549" s="115"/>
      <c r="BE549" s="115"/>
      <c r="BF549" s="115"/>
      <c r="BG549" s="115"/>
      <c r="BH549" s="115"/>
      <c r="BI549" s="115"/>
      <c r="BJ549" s="115"/>
    </row>
    <row r="550" spans="1:62" ht="15" hidden="1" customHeight="1" x14ac:dyDescent="0.35">
      <c r="A550" s="19" t="str">
        <f>VLOOKUP(C550,Master!A:D,4,0)</f>
        <v>RM</v>
      </c>
      <c r="B550" s="14" t="str">
        <f>VLOOKUP(C550,Master!A:C,3,0)</f>
        <v>Granuals</v>
      </c>
      <c r="C550" s="14" t="s">
        <v>46</v>
      </c>
      <c r="D550" s="2">
        <f t="shared" ref="D550:F550" si="409">+W498</f>
        <v>0</v>
      </c>
      <c r="E550" s="2">
        <f t="shared" si="409"/>
        <v>15000</v>
      </c>
      <c r="F550" s="2">
        <f t="shared" si="409"/>
        <v>0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>
        <f t="shared" si="390"/>
        <v>0</v>
      </c>
      <c r="V550" s="2">
        <f t="shared" si="391"/>
        <v>0</v>
      </c>
      <c r="W550" s="2">
        <f t="shared" si="402"/>
        <v>0</v>
      </c>
      <c r="X550" s="2">
        <f t="shared" si="403"/>
        <v>15000</v>
      </c>
      <c r="Y550" s="2">
        <f t="shared" si="404"/>
        <v>0</v>
      </c>
      <c r="Z550" s="46">
        <f t="shared" si="405"/>
        <v>0</v>
      </c>
      <c r="AA550" s="46">
        <f t="shared" si="396"/>
        <v>15000</v>
      </c>
      <c r="AB550" s="46">
        <f t="shared" si="397"/>
        <v>0</v>
      </c>
      <c r="AC550" s="58">
        <f t="shared" si="398"/>
        <v>0</v>
      </c>
      <c r="AD550" s="58">
        <f t="shared" si="406"/>
        <v>0</v>
      </c>
      <c r="AE550" s="12">
        <f t="shared" si="407"/>
        <v>0</v>
      </c>
      <c r="AF550" s="56"/>
      <c r="AG550" s="62"/>
      <c r="AH550" s="117">
        <f t="shared" si="408"/>
        <v>0</v>
      </c>
      <c r="AI550" s="114"/>
      <c r="AJ550" s="114"/>
      <c r="AK550" s="114"/>
      <c r="AL550" s="114"/>
      <c r="AM550" s="114"/>
      <c r="AN550" s="114"/>
      <c r="AO550" s="114"/>
      <c r="AP550" s="114"/>
      <c r="AQ550" s="114"/>
      <c r="AR550" s="114"/>
      <c r="AS550" s="114"/>
      <c r="AT550" s="114"/>
      <c r="AU550" s="114"/>
      <c r="AV550" s="114"/>
      <c r="AW550" s="114"/>
      <c r="AX550" s="114"/>
      <c r="AY550" s="119"/>
      <c r="AZ550" s="115"/>
      <c r="BA550" s="243"/>
      <c r="BB550" s="115"/>
      <c r="BC550" s="115"/>
      <c r="BD550" s="115"/>
      <c r="BE550" s="115"/>
      <c r="BF550" s="115"/>
      <c r="BG550" s="115"/>
      <c r="BH550" s="115"/>
      <c r="BI550" s="115"/>
      <c r="BJ550" s="115"/>
    </row>
    <row r="551" spans="1:62" ht="15" hidden="1" customHeight="1" x14ac:dyDescent="0.35">
      <c r="A551" s="19" t="str">
        <f>VLOOKUP(C551,Master!A:D,4,0)</f>
        <v>RM</v>
      </c>
      <c r="B551" s="14" t="str">
        <f>VLOOKUP(C551,Master!A:C,3,0)</f>
        <v>Granuals</v>
      </c>
      <c r="C551" s="14" t="s">
        <v>49</v>
      </c>
      <c r="D551" s="2">
        <f t="shared" ref="D551:F551" si="410">+W499</f>
        <v>0</v>
      </c>
      <c r="E551" s="2">
        <f t="shared" si="410"/>
        <v>0</v>
      </c>
      <c r="F551" s="2">
        <f t="shared" si="410"/>
        <v>0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>
        <f t="shared" si="390"/>
        <v>0</v>
      </c>
      <c r="V551" s="2">
        <f t="shared" si="391"/>
        <v>0</v>
      </c>
      <c r="W551" s="2">
        <f t="shared" si="402"/>
        <v>0</v>
      </c>
      <c r="X551" s="2">
        <f t="shared" si="403"/>
        <v>0</v>
      </c>
      <c r="Y551" s="2">
        <f t="shared" si="404"/>
        <v>0</v>
      </c>
      <c r="Z551" s="46">
        <f t="shared" si="405"/>
        <v>0</v>
      </c>
      <c r="AA551" s="46">
        <f t="shared" si="396"/>
        <v>0</v>
      </c>
      <c r="AB551" s="46">
        <f t="shared" si="397"/>
        <v>0</v>
      </c>
      <c r="AC551" s="58">
        <f t="shared" si="398"/>
        <v>0</v>
      </c>
      <c r="AD551" s="58">
        <f t="shared" si="406"/>
        <v>0</v>
      </c>
      <c r="AE551" s="12">
        <f t="shared" si="407"/>
        <v>0</v>
      </c>
      <c r="AF551" s="56"/>
      <c r="AG551" s="62"/>
      <c r="AH551" s="117">
        <f t="shared" si="408"/>
        <v>0</v>
      </c>
      <c r="AI551" s="114"/>
      <c r="AJ551" s="114"/>
      <c r="AK551" s="114"/>
      <c r="AL551" s="114"/>
      <c r="AM551" s="114"/>
      <c r="AN551" s="114"/>
      <c r="AO551" s="114"/>
      <c r="AP551" s="114"/>
      <c r="AQ551" s="114"/>
      <c r="AR551" s="114"/>
      <c r="AS551" s="114"/>
      <c r="AT551" s="114"/>
      <c r="AU551" s="114"/>
      <c r="AV551" s="114"/>
      <c r="AW551" s="114"/>
      <c r="AX551" s="114"/>
      <c r="AY551" s="119"/>
      <c r="AZ551" s="115"/>
      <c r="BA551" s="243"/>
      <c r="BB551" s="115"/>
      <c r="BC551" s="115"/>
      <c r="BD551" s="115"/>
      <c r="BE551" s="115"/>
      <c r="BF551" s="115"/>
      <c r="BG551" s="115"/>
      <c r="BH551" s="115"/>
      <c r="BI551" s="115"/>
      <c r="BJ551" s="115"/>
    </row>
    <row r="552" spans="1:62" ht="15" hidden="1" customHeight="1" x14ac:dyDescent="0.35">
      <c r="A552" s="19" t="str">
        <f>VLOOKUP(C552,Master!A:D,4,0)</f>
        <v>RM</v>
      </c>
      <c r="B552" s="14" t="str">
        <f>VLOOKUP(C552,Master!A:C,3,0)</f>
        <v>Granuals</v>
      </c>
      <c r="C552" s="14" t="s">
        <v>55</v>
      </c>
      <c r="D552" s="2">
        <f t="shared" ref="D552:F552" si="411">+W500</f>
        <v>0</v>
      </c>
      <c r="E552" s="2">
        <f t="shared" si="411"/>
        <v>25550</v>
      </c>
      <c r="F552" s="2">
        <f t="shared" si="411"/>
        <v>0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>
        <f t="shared" si="390"/>
        <v>0</v>
      </c>
      <c r="V552" s="2">
        <f t="shared" si="391"/>
        <v>0</v>
      </c>
      <c r="W552" s="2">
        <f t="shared" si="402"/>
        <v>0</v>
      </c>
      <c r="X552" s="2">
        <f t="shared" si="403"/>
        <v>25550</v>
      </c>
      <c r="Y552" s="2">
        <f t="shared" si="404"/>
        <v>0</v>
      </c>
      <c r="Z552" s="46">
        <f t="shared" si="405"/>
        <v>0</v>
      </c>
      <c r="AA552" s="46">
        <f t="shared" si="396"/>
        <v>25550</v>
      </c>
      <c r="AB552" s="46">
        <f t="shared" si="397"/>
        <v>0</v>
      </c>
      <c r="AC552" s="58">
        <f t="shared" si="398"/>
        <v>0</v>
      </c>
      <c r="AD552" s="58">
        <f t="shared" si="406"/>
        <v>0</v>
      </c>
      <c r="AE552" s="12">
        <f t="shared" si="407"/>
        <v>0</v>
      </c>
      <c r="AF552" s="56"/>
      <c r="AG552" s="62"/>
      <c r="AH552" s="117">
        <f t="shared" si="408"/>
        <v>0</v>
      </c>
      <c r="AI552" s="114"/>
      <c r="AJ552" s="114"/>
      <c r="AK552" s="114"/>
      <c r="AL552" s="114"/>
      <c r="AM552" s="114"/>
      <c r="AN552" s="114"/>
      <c r="AO552" s="114"/>
      <c r="AP552" s="114"/>
      <c r="AQ552" s="114"/>
      <c r="AR552" s="114"/>
      <c r="AS552" s="114"/>
      <c r="AT552" s="114"/>
      <c r="AU552" s="114"/>
      <c r="AV552" s="114"/>
      <c r="AW552" s="114"/>
      <c r="AX552" s="114"/>
      <c r="AY552" s="119"/>
      <c r="AZ552" s="115"/>
      <c r="BA552" s="243"/>
      <c r="BB552" s="115"/>
      <c r="BC552" s="115"/>
      <c r="BD552" s="115"/>
      <c r="BE552" s="115"/>
      <c r="BF552" s="115"/>
      <c r="BG552" s="115"/>
      <c r="BH552" s="115"/>
      <c r="BI552" s="115"/>
      <c r="BJ552" s="115"/>
    </row>
    <row r="553" spans="1:62" ht="15" hidden="1" customHeight="1" x14ac:dyDescent="0.35">
      <c r="A553" s="19" t="str">
        <f>VLOOKUP(C553,Master!A:D,4,0)</f>
        <v>RM</v>
      </c>
      <c r="B553" s="14" t="str">
        <f>VLOOKUP(C553,Master!A:C,3,0)</f>
        <v>FIBC Accessories</v>
      </c>
      <c r="C553" s="14" t="s">
        <v>69</v>
      </c>
      <c r="D553" s="2">
        <f t="shared" ref="D553:F553" si="412">+W501</f>
        <v>0</v>
      </c>
      <c r="E553" s="2">
        <f t="shared" si="412"/>
        <v>0</v>
      </c>
      <c r="F553" s="2">
        <f t="shared" si="412"/>
        <v>0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>
        <f t="shared" si="390"/>
        <v>0</v>
      </c>
      <c r="V553" s="2">
        <f t="shared" si="391"/>
        <v>0</v>
      </c>
      <c r="W553" s="2">
        <f t="shared" si="402"/>
        <v>0</v>
      </c>
      <c r="X553" s="2">
        <f t="shared" si="403"/>
        <v>0</v>
      </c>
      <c r="Y553" s="2">
        <f t="shared" si="404"/>
        <v>0</v>
      </c>
      <c r="Z553" s="46">
        <f t="shared" si="405"/>
        <v>0</v>
      </c>
      <c r="AA553" s="46">
        <f t="shared" si="396"/>
        <v>0</v>
      </c>
      <c r="AB553" s="46">
        <f t="shared" si="397"/>
        <v>0</v>
      </c>
      <c r="AC553" s="58">
        <f t="shared" si="398"/>
        <v>0</v>
      </c>
      <c r="AD553" s="58">
        <f t="shared" si="406"/>
        <v>0</v>
      </c>
      <c r="AE553" s="12">
        <f t="shared" si="407"/>
        <v>0</v>
      </c>
      <c r="AF553" s="56"/>
      <c r="AG553" s="62"/>
      <c r="AH553" s="117">
        <f t="shared" si="408"/>
        <v>0</v>
      </c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  <c r="AS553" s="114"/>
      <c r="AT553" s="114"/>
      <c r="AU553" s="114"/>
      <c r="AV553" s="114"/>
      <c r="AW553" s="114"/>
      <c r="AX553" s="114"/>
      <c r="AY553" s="119"/>
      <c r="AZ553" s="115"/>
      <c r="BA553" s="243"/>
      <c r="BB553" s="115"/>
      <c r="BC553" s="115"/>
      <c r="BD553" s="115"/>
      <c r="BE553" s="115"/>
      <c r="BF553" s="115"/>
      <c r="BG553" s="115"/>
      <c r="BH553" s="115"/>
      <c r="BI553" s="115"/>
      <c r="BJ553" s="115"/>
    </row>
    <row r="554" spans="1:62" ht="15" hidden="1" customHeight="1" x14ac:dyDescent="0.35">
      <c r="A554" s="19" t="str">
        <f>VLOOKUP(C554,Master!A:D,4,0)</f>
        <v>RM</v>
      </c>
      <c r="B554" s="14" t="str">
        <f>VLOOKUP(C554,Master!A:C,3,0)</f>
        <v>Films All</v>
      </c>
      <c r="C554" s="14" t="s">
        <v>71</v>
      </c>
      <c r="D554" s="2">
        <f t="shared" ref="D554:F554" si="413">+W502</f>
        <v>0</v>
      </c>
      <c r="E554" s="2">
        <f t="shared" si="413"/>
        <v>0</v>
      </c>
      <c r="F554" s="2">
        <f t="shared" si="413"/>
        <v>0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>
        <f t="shared" si="390"/>
        <v>0</v>
      </c>
      <c r="V554" s="2">
        <f t="shared" si="391"/>
        <v>0</v>
      </c>
      <c r="W554" s="2">
        <f t="shared" si="402"/>
        <v>0</v>
      </c>
      <c r="X554" s="2">
        <f t="shared" si="403"/>
        <v>0</v>
      </c>
      <c r="Y554" s="2">
        <f t="shared" si="404"/>
        <v>0</v>
      </c>
      <c r="Z554" s="46">
        <f t="shared" si="405"/>
        <v>0</v>
      </c>
      <c r="AA554" s="46">
        <f t="shared" si="396"/>
        <v>0</v>
      </c>
      <c r="AB554" s="46">
        <f t="shared" si="397"/>
        <v>0</v>
      </c>
      <c r="AC554" s="58">
        <f t="shared" si="398"/>
        <v>0</v>
      </c>
      <c r="AD554" s="58">
        <f t="shared" si="406"/>
        <v>0</v>
      </c>
      <c r="AE554" s="12">
        <f t="shared" si="407"/>
        <v>0</v>
      </c>
      <c r="AF554" s="56"/>
      <c r="AG554" s="62"/>
      <c r="AH554" s="117">
        <f t="shared" si="408"/>
        <v>0</v>
      </c>
      <c r="AI554" s="114"/>
      <c r="AJ554" s="114"/>
      <c r="AK554" s="114"/>
      <c r="AL554" s="114"/>
      <c r="AM554" s="114"/>
      <c r="AN554" s="114"/>
      <c r="AO554" s="114"/>
      <c r="AP554" s="114"/>
      <c r="AQ554" s="114"/>
      <c r="AR554" s="114"/>
      <c r="AS554" s="114"/>
      <c r="AT554" s="114"/>
      <c r="AU554" s="114"/>
      <c r="AV554" s="114"/>
      <c r="AW554" s="114"/>
      <c r="AX554" s="114"/>
      <c r="AY554" s="119"/>
      <c r="AZ554" s="115"/>
      <c r="BA554" s="243"/>
      <c r="BB554" s="115"/>
      <c r="BC554" s="115"/>
      <c r="BD554" s="115"/>
      <c r="BE554" s="115"/>
      <c r="BF554" s="115"/>
      <c r="BG554" s="115"/>
      <c r="BH554" s="115"/>
      <c r="BI554" s="115"/>
      <c r="BJ554" s="115"/>
    </row>
    <row r="555" spans="1:62" ht="15" hidden="1" customHeight="1" x14ac:dyDescent="0.35">
      <c r="A555" s="19" t="str">
        <f>VLOOKUP(C555,Master!A:D,4,0)</f>
        <v>RM</v>
      </c>
      <c r="B555" s="14" t="str">
        <f>VLOOKUP(C555,Master!A:C,3,0)</f>
        <v>Granuals</v>
      </c>
      <c r="C555" s="14" t="s">
        <v>85</v>
      </c>
      <c r="D555" s="2">
        <f t="shared" ref="D555:F555" si="414">+W503</f>
        <v>0</v>
      </c>
      <c r="E555" s="2">
        <f t="shared" si="414"/>
        <v>0</v>
      </c>
      <c r="F555" s="2">
        <f t="shared" si="414"/>
        <v>0</v>
      </c>
      <c r="G555" s="2"/>
      <c r="H555" s="2"/>
      <c r="I555" s="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>
        <f t="shared" si="390"/>
        <v>0</v>
      </c>
      <c r="V555" s="2">
        <f t="shared" si="391"/>
        <v>0</v>
      </c>
      <c r="W555" s="2">
        <f t="shared" si="402"/>
        <v>0</v>
      </c>
      <c r="X555" s="2">
        <f t="shared" si="403"/>
        <v>0</v>
      </c>
      <c r="Y555" s="2">
        <f t="shared" si="404"/>
        <v>0</v>
      </c>
      <c r="Z555" s="46">
        <f t="shared" si="405"/>
        <v>0</v>
      </c>
      <c r="AA555" s="46">
        <f t="shared" si="396"/>
        <v>0</v>
      </c>
      <c r="AB555" s="46">
        <f t="shared" si="397"/>
        <v>0</v>
      </c>
      <c r="AC555" s="58">
        <f t="shared" si="398"/>
        <v>0</v>
      </c>
      <c r="AD555" s="58">
        <f t="shared" si="406"/>
        <v>0</v>
      </c>
      <c r="AE555" s="12">
        <f t="shared" si="407"/>
        <v>0</v>
      </c>
      <c r="AF555" s="56"/>
      <c r="AG555" s="62"/>
      <c r="AH555" s="117">
        <f t="shared" si="408"/>
        <v>0</v>
      </c>
      <c r="AI555" s="114"/>
      <c r="AJ555" s="114"/>
      <c r="AK555" s="114"/>
      <c r="AL555" s="114"/>
      <c r="AM555" s="114"/>
      <c r="AN555" s="114"/>
      <c r="AO555" s="114"/>
      <c r="AP555" s="114"/>
      <c r="AQ555" s="114"/>
      <c r="AR555" s="114"/>
      <c r="AS555" s="114"/>
      <c r="AT555" s="114"/>
      <c r="AU555" s="114"/>
      <c r="AV555" s="114"/>
      <c r="AW555" s="114"/>
      <c r="AX555" s="114"/>
      <c r="AY555" s="119"/>
      <c r="AZ555" s="115"/>
      <c r="BA555" s="243"/>
      <c r="BB555" s="115"/>
      <c r="BC555" s="115"/>
      <c r="BD555" s="115"/>
      <c r="BE555" s="115"/>
      <c r="BF555" s="115"/>
      <c r="BG555" s="115"/>
      <c r="BH555" s="115"/>
      <c r="BI555" s="115"/>
      <c r="BJ555" s="115"/>
    </row>
    <row r="556" spans="1:62" ht="15" hidden="1" customHeight="1" x14ac:dyDescent="0.35">
      <c r="A556" s="19" t="str">
        <f>VLOOKUP(C556,Master!A:D,4,0)</f>
        <v>RM</v>
      </c>
      <c r="B556" s="14" t="str">
        <f>VLOOKUP(C556,Master!A:C,3,0)</f>
        <v>Films All</v>
      </c>
      <c r="C556" s="14" t="s">
        <v>180</v>
      </c>
      <c r="D556" s="2">
        <f t="shared" ref="D556:F556" si="415">+W504</f>
        <v>0</v>
      </c>
      <c r="E556" s="2">
        <f t="shared" si="415"/>
        <v>0</v>
      </c>
      <c r="F556" s="2">
        <f t="shared" si="415"/>
        <v>0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>
        <f t="shared" si="390"/>
        <v>0</v>
      </c>
      <c r="V556" s="2">
        <f t="shared" si="391"/>
        <v>0</v>
      </c>
      <c r="W556" s="2">
        <f t="shared" si="402"/>
        <v>0</v>
      </c>
      <c r="X556" s="2">
        <f t="shared" si="403"/>
        <v>0</v>
      </c>
      <c r="Y556" s="2">
        <f t="shared" si="404"/>
        <v>0</v>
      </c>
      <c r="Z556" s="46">
        <f t="shared" si="405"/>
        <v>0</v>
      </c>
      <c r="AA556" s="46">
        <f t="shared" si="396"/>
        <v>0</v>
      </c>
      <c r="AB556" s="46">
        <f t="shared" si="397"/>
        <v>0</v>
      </c>
      <c r="AC556" s="58">
        <f t="shared" si="398"/>
        <v>0</v>
      </c>
      <c r="AD556" s="58">
        <f t="shared" si="406"/>
        <v>0</v>
      </c>
      <c r="AE556" s="12">
        <f t="shared" si="407"/>
        <v>0</v>
      </c>
      <c r="AF556" s="56"/>
      <c r="AG556" s="62"/>
      <c r="AH556" s="117">
        <f t="shared" si="408"/>
        <v>0</v>
      </c>
      <c r="AI556" s="114"/>
      <c r="AJ556" s="114"/>
      <c r="AK556" s="114"/>
      <c r="AL556" s="114"/>
      <c r="AM556" s="114"/>
      <c r="AN556" s="114"/>
      <c r="AO556" s="114"/>
      <c r="AP556" s="114"/>
      <c r="AQ556" s="114"/>
      <c r="AR556" s="114"/>
      <c r="AS556" s="114"/>
      <c r="AT556" s="114"/>
      <c r="AU556" s="114"/>
      <c r="AV556" s="114"/>
      <c r="AW556" s="114"/>
      <c r="AX556" s="114"/>
      <c r="AY556" s="119"/>
      <c r="AZ556" s="115"/>
      <c r="BA556" s="243"/>
      <c r="BB556" s="115"/>
      <c r="BC556" s="115"/>
      <c r="BD556" s="115"/>
      <c r="BE556" s="115"/>
      <c r="BF556" s="115"/>
      <c r="BG556" s="115"/>
      <c r="BH556" s="115"/>
      <c r="BI556" s="115"/>
      <c r="BJ556" s="115"/>
    </row>
    <row r="557" spans="1:62" ht="15" hidden="1" customHeight="1" x14ac:dyDescent="0.35">
      <c r="A557" s="19" t="str">
        <f>VLOOKUP(C557,Master!A:D,4,0)</f>
        <v>RM</v>
      </c>
      <c r="B557" s="14" t="str">
        <f>VLOOKUP(C557,Master!A:C,3,0)</f>
        <v>Granuals</v>
      </c>
      <c r="C557" s="14" t="s">
        <v>277</v>
      </c>
      <c r="D557" s="2">
        <f t="shared" ref="D557:F557" si="416">+W505</f>
        <v>0</v>
      </c>
      <c r="E557" s="2">
        <f t="shared" si="416"/>
        <v>0</v>
      </c>
      <c r="F557" s="2">
        <f t="shared" si="416"/>
        <v>0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>
        <f t="shared" si="390"/>
        <v>0</v>
      </c>
      <c r="V557" s="2">
        <f t="shared" si="391"/>
        <v>0</v>
      </c>
      <c r="W557" s="2">
        <f t="shared" si="402"/>
        <v>0</v>
      </c>
      <c r="X557" s="2">
        <f t="shared" si="403"/>
        <v>0</v>
      </c>
      <c r="Y557" s="2">
        <f t="shared" si="404"/>
        <v>0</v>
      </c>
      <c r="Z557" s="46">
        <f t="shared" si="405"/>
        <v>0</v>
      </c>
      <c r="AA557" s="46">
        <f t="shared" si="396"/>
        <v>0</v>
      </c>
      <c r="AB557" s="46">
        <f t="shared" si="397"/>
        <v>0</v>
      </c>
      <c r="AC557" s="58">
        <f t="shared" si="398"/>
        <v>0</v>
      </c>
      <c r="AD557" s="58">
        <f t="shared" si="406"/>
        <v>0</v>
      </c>
      <c r="AE557" s="12">
        <f t="shared" si="407"/>
        <v>0</v>
      </c>
      <c r="AF557" s="56"/>
      <c r="AG557" s="62"/>
      <c r="AH557" s="117">
        <f t="shared" si="408"/>
        <v>0</v>
      </c>
      <c r="AI557" s="114"/>
      <c r="AJ557" s="114"/>
      <c r="AK557" s="114"/>
      <c r="AL557" s="114"/>
      <c r="AM557" s="114"/>
      <c r="AN557" s="114"/>
      <c r="AO557" s="114"/>
      <c r="AP557" s="114"/>
      <c r="AQ557" s="114"/>
      <c r="AR557" s="114"/>
      <c r="AS557" s="114"/>
      <c r="AT557" s="114"/>
      <c r="AU557" s="114"/>
      <c r="AV557" s="114"/>
      <c r="AW557" s="114"/>
      <c r="AX557" s="114"/>
      <c r="AY557" s="119"/>
      <c r="AZ557" s="115"/>
      <c r="BA557" s="243"/>
      <c r="BB557" s="115"/>
      <c r="BC557" s="115"/>
      <c r="BD557" s="115"/>
      <c r="BE557" s="115"/>
      <c r="BF557" s="115"/>
      <c r="BG557" s="115"/>
      <c r="BH557" s="115"/>
      <c r="BI557" s="115"/>
      <c r="BJ557" s="115"/>
    </row>
    <row r="558" spans="1:62" ht="15" hidden="1" customHeight="1" x14ac:dyDescent="0.35">
      <c r="A558" s="19" t="str">
        <f>VLOOKUP(C558,Master!A:D,4,0)</f>
        <v>RM</v>
      </c>
      <c r="B558" s="14" t="str">
        <f>VLOOKUP(C558,Master!A:C,3,0)</f>
        <v>Granuals</v>
      </c>
      <c r="C558" s="14" t="s">
        <v>387</v>
      </c>
      <c r="D558" s="2">
        <f t="shared" ref="D558:F558" si="417">+W506</f>
        <v>0</v>
      </c>
      <c r="E558" s="2">
        <f t="shared" si="417"/>
        <v>0</v>
      </c>
      <c r="F558" s="2">
        <f t="shared" si="417"/>
        <v>0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>
        <f t="shared" si="390"/>
        <v>0</v>
      </c>
      <c r="V558" s="2">
        <f t="shared" si="391"/>
        <v>0</v>
      </c>
      <c r="W558" s="2">
        <f t="shared" si="402"/>
        <v>0</v>
      </c>
      <c r="X558" s="2">
        <f t="shared" si="403"/>
        <v>0</v>
      </c>
      <c r="Y558" s="2">
        <f t="shared" si="404"/>
        <v>0</v>
      </c>
      <c r="Z558" s="46">
        <f t="shared" si="405"/>
        <v>0</v>
      </c>
      <c r="AA558" s="46">
        <f t="shared" si="396"/>
        <v>0</v>
      </c>
      <c r="AB558" s="46">
        <f t="shared" si="397"/>
        <v>0</v>
      </c>
      <c r="AC558" s="58">
        <f t="shared" si="398"/>
        <v>0</v>
      </c>
      <c r="AD558" s="58">
        <f t="shared" si="406"/>
        <v>0</v>
      </c>
      <c r="AE558" s="12">
        <f t="shared" si="407"/>
        <v>0</v>
      </c>
      <c r="AF558" s="56"/>
      <c r="AG558" s="62"/>
      <c r="AH558" s="117">
        <f t="shared" si="408"/>
        <v>0</v>
      </c>
      <c r="AI558" s="114"/>
      <c r="AJ558" s="114"/>
      <c r="AK558" s="114"/>
      <c r="AL558" s="114"/>
      <c r="AM558" s="114"/>
      <c r="AN558" s="114"/>
      <c r="AO558" s="114"/>
      <c r="AP558" s="114"/>
      <c r="AQ558" s="114"/>
      <c r="AR558" s="114"/>
      <c r="AS558" s="114"/>
      <c r="AT558" s="114"/>
      <c r="AU558" s="114"/>
      <c r="AV558" s="114"/>
      <c r="AW558" s="114"/>
      <c r="AX558" s="114"/>
      <c r="AY558" s="119"/>
      <c r="AZ558" s="115"/>
      <c r="BA558" s="243"/>
      <c r="BB558" s="115"/>
      <c r="BC558" s="115"/>
      <c r="BD558" s="115"/>
      <c r="BE558" s="115"/>
      <c r="BF558" s="115"/>
      <c r="BG558" s="115"/>
      <c r="BH558" s="115"/>
      <c r="BI558" s="115"/>
      <c r="BJ558" s="115"/>
    </row>
    <row r="559" spans="1:62" ht="15" hidden="1" customHeight="1" x14ac:dyDescent="0.35">
      <c r="A559" s="19" t="str">
        <f>VLOOKUP(C559,Master!A:D,4,0)</f>
        <v>RM</v>
      </c>
      <c r="B559" s="14" t="str">
        <f>VLOOKUP(C559,Master!A:C,3,0)</f>
        <v>Films All</v>
      </c>
      <c r="C559" s="14" t="s">
        <v>398</v>
      </c>
      <c r="D559" s="2">
        <f t="shared" ref="D559:F559" si="418">+W507</f>
        <v>0</v>
      </c>
      <c r="E559" s="2">
        <f t="shared" si="418"/>
        <v>0</v>
      </c>
      <c r="F559" s="2">
        <f t="shared" si="418"/>
        <v>0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>
        <f t="shared" si="390"/>
        <v>0</v>
      </c>
      <c r="V559" s="2">
        <f t="shared" si="391"/>
        <v>0</v>
      </c>
      <c r="W559" s="2">
        <f t="shared" si="402"/>
        <v>0</v>
      </c>
      <c r="X559" s="2">
        <f t="shared" si="403"/>
        <v>0</v>
      </c>
      <c r="Y559" s="2">
        <f t="shared" si="404"/>
        <v>0</v>
      </c>
      <c r="Z559" s="46">
        <f t="shared" si="405"/>
        <v>0</v>
      </c>
      <c r="AA559" s="46">
        <f t="shared" si="396"/>
        <v>0</v>
      </c>
      <c r="AB559" s="46">
        <f t="shared" si="397"/>
        <v>0</v>
      </c>
      <c r="AC559" s="58">
        <f t="shared" si="398"/>
        <v>0</v>
      </c>
      <c r="AD559" s="58">
        <f t="shared" si="406"/>
        <v>0</v>
      </c>
      <c r="AE559" s="12">
        <f t="shared" si="407"/>
        <v>0</v>
      </c>
      <c r="AF559" s="56"/>
      <c r="AG559" s="62"/>
      <c r="AH559" s="117">
        <f t="shared" si="408"/>
        <v>0</v>
      </c>
      <c r="AI559" s="114"/>
      <c r="AJ559" s="114"/>
      <c r="AK559" s="114"/>
      <c r="AL559" s="114"/>
      <c r="AM559" s="114"/>
      <c r="AN559" s="114"/>
      <c r="AO559" s="114"/>
      <c r="AP559" s="114"/>
      <c r="AQ559" s="114"/>
      <c r="AR559" s="114"/>
      <c r="AS559" s="114"/>
      <c r="AT559" s="114"/>
      <c r="AU559" s="114"/>
      <c r="AV559" s="114"/>
      <c r="AW559" s="114"/>
      <c r="AX559" s="114"/>
      <c r="AY559" s="119"/>
      <c r="AZ559" s="115"/>
      <c r="BA559" s="243"/>
      <c r="BB559" s="115"/>
      <c r="BC559" s="115"/>
      <c r="BD559" s="115"/>
      <c r="BE559" s="115"/>
      <c r="BF559" s="115"/>
      <c r="BG559" s="115"/>
      <c r="BH559" s="115"/>
      <c r="BI559" s="115"/>
      <c r="BJ559" s="115"/>
    </row>
    <row r="560" spans="1:62" ht="15" hidden="1" customHeight="1" x14ac:dyDescent="0.35">
      <c r="A560" s="19" t="str">
        <f>VLOOKUP(C560,Master!A:D,4,0)</f>
        <v>RM</v>
      </c>
      <c r="B560" s="14" t="str">
        <f>VLOOKUP(C560,Master!A:C,3,0)</f>
        <v>Granuals</v>
      </c>
      <c r="C560" s="14" t="s">
        <v>417</v>
      </c>
      <c r="D560" s="2">
        <f t="shared" ref="D560:F560" si="419">+W508</f>
        <v>0</v>
      </c>
      <c r="E560" s="2">
        <f t="shared" si="419"/>
        <v>0</v>
      </c>
      <c r="F560" s="2">
        <f t="shared" si="419"/>
        <v>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>
        <f t="shared" si="390"/>
        <v>0</v>
      </c>
      <c r="V560" s="2">
        <f t="shared" si="391"/>
        <v>0</v>
      </c>
      <c r="W560" s="2">
        <f t="shared" si="402"/>
        <v>0</v>
      </c>
      <c r="X560" s="2">
        <f t="shared" si="403"/>
        <v>0</v>
      </c>
      <c r="Y560" s="2">
        <f t="shared" si="404"/>
        <v>0</v>
      </c>
      <c r="Z560" s="46">
        <f t="shared" si="405"/>
        <v>0</v>
      </c>
      <c r="AA560" s="46">
        <f t="shared" si="396"/>
        <v>0</v>
      </c>
      <c r="AB560" s="46">
        <f t="shared" si="397"/>
        <v>0</v>
      </c>
      <c r="AC560" s="58">
        <f t="shared" si="398"/>
        <v>0</v>
      </c>
      <c r="AD560" s="58">
        <f t="shared" si="406"/>
        <v>0</v>
      </c>
      <c r="AE560" s="12">
        <f t="shared" si="407"/>
        <v>0</v>
      </c>
      <c r="AF560" s="56"/>
      <c r="AG560" s="62"/>
      <c r="AH560" s="117">
        <f t="shared" si="408"/>
        <v>0</v>
      </c>
      <c r="AI560" s="114"/>
      <c r="AJ560" s="114"/>
      <c r="AK560" s="114"/>
      <c r="AL560" s="114"/>
      <c r="AM560" s="114"/>
      <c r="AN560" s="114"/>
      <c r="AO560" s="114"/>
      <c r="AP560" s="114"/>
      <c r="AQ560" s="114"/>
      <c r="AR560" s="114"/>
      <c r="AS560" s="114"/>
      <c r="AT560" s="114"/>
      <c r="AU560" s="114"/>
      <c r="AV560" s="114"/>
      <c r="AW560" s="114"/>
      <c r="AX560" s="114"/>
      <c r="AY560" s="119"/>
      <c r="AZ560" s="115"/>
      <c r="BA560" s="243"/>
      <c r="BB560" s="115"/>
      <c r="BC560" s="115"/>
      <c r="BD560" s="115"/>
      <c r="BE560" s="115"/>
      <c r="BF560" s="115"/>
      <c r="BG560" s="115"/>
      <c r="BH560" s="115"/>
      <c r="BI560" s="115"/>
      <c r="BJ560" s="115"/>
    </row>
    <row r="561" spans="1:62" ht="15" hidden="1" customHeight="1" x14ac:dyDescent="0.35">
      <c r="A561" s="19" t="str">
        <f>VLOOKUP(C561,Master!A:D,4,0)</f>
        <v>SF</v>
      </c>
      <c r="B561" s="14" t="str">
        <f>VLOOKUP(C561,Master!A:C,3,0)</f>
        <v>Yarn All</v>
      </c>
      <c r="C561" s="14" t="s">
        <v>629</v>
      </c>
      <c r="D561" s="2">
        <f t="shared" ref="D561:F561" si="420">+W509</f>
        <v>6000.0000000000055</v>
      </c>
      <c r="E561" s="2">
        <f t="shared" si="420"/>
        <v>8285.8300000000017</v>
      </c>
      <c r="F561" s="2">
        <f t="shared" si="420"/>
        <v>0</v>
      </c>
      <c r="G561" s="2"/>
      <c r="H561" s="2"/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>
        <f t="shared" si="390"/>
        <v>0</v>
      </c>
      <c r="V561" s="2">
        <f t="shared" si="391"/>
        <v>0</v>
      </c>
      <c r="W561" s="2">
        <f t="shared" si="402"/>
        <v>6000.0000000000055</v>
      </c>
      <c r="X561" s="2">
        <f t="shared" si="403"/>
        <v>8285.8300000000017</v>
      </c>
      <c r="Y561" s="2">
        <f t="shared" si="404"/>
        <v>0</v>
      </c>
      <c r="Z561" s="46">
        <f t="shared" si="405"/>
        <v>6000.0000000000055</v>
      </c>
      <c r="AA561" s="46">
        <f t="shared" si="396"/>
        <v>8285.8300000000017</v>
      </c>
      <c r="AB561" s="46">
        <f t="shared" si="397"/>
        <v>0</v>
      </c>
      <c r="AC561" s="58">
        <f t="shared" si="398"/>
        <v>0</v>
      </c>
      <c r="AD561" s="58">
        <f t="shared" si="406"/>
        <v>0</v>
      </c>
      <c r="AE561" s="12">
        <f t="shared" si="407"/>
        <v>0</v>
      </c>
      <c r="AF561" s="56"/>
      <c r="AG561" s="62"/>
      <c r="AH561" s="117">
        <f t="shared" si="408"/>
        <v>0</v>
      </c>
      <c r="AI561" s="114"/>
      <c r="AJ561" s="114"/>
      <c r="AK561" s="114"/>
      <c r="AL561" s="114"/>
      <c r="AM561" s="114"/>
      <c r="AN561" s="114"/>
      <c r="AO561" s="114"/>
      <c r="AP561" s="114"/>
      <c r="AQ561" s="114"/>
      <c r="AR561" s="114"/>
      <c r="AS561" s="114"/>
      <c r="AT561" s="114"/>
      <c r="AU561" s="114"/>
      <c r="AV561" s="114"/>
      <c r="AW561" s="114"/>
      <c r="AX561" s="114"/>
      <c r="AY561" s="119"/>
      <c r="AZ561" s="115"/>
      <c r="BA561" s="243"/>
      <c r="BB561" s="115"/>
      <c r="BC561" s="115"/>
      <c r="BD561" s="115"/>
      <c r="BE561" s="115"/>
      <c r="BF561" s="115"/>
      <c r="BG561" s="115"/>
      <c r="BH561" s="115"/>
      <c r="BI561" s="115"/>
      <c r="BJ561" s="115"/>
    </row>
    <row r="562" spans="1:62" ht="15" hidden="1" customHeight="1" x14ac:dyDescent="0.35">
      <c r="A562" s="19" t="str">
        <f>VLOOKUP(C562,Master!A:D,4,0)</f>
        <v>SF</v>
      </c>
      <c r="B562" s="14" t="str">
        <f>VLOOKUP(C562,Master!A:C,3,0)</f>
        <v>PP/PE Fabric</v>
      </c>
      <c r="C562" s="14" t="s">
        <v>639</v>
      </c>
      <c r="D562" s="2">
        <f t="shared" ref="D562:F562" si="421">+W510</f>
        <v>0</v>
      </c>
      <c r="E562" s="2">
        <f t="shared" si="421"/>
        <v>13277</v>
      </c>
      <c r="F562" s="2">
        <f t="shared" si="421"/>
        <v>0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>
        <f t="shared" si="390"/>
        <v>0</v>
      </c>
      <c r="V562" s="2">
        <f t="shared" si="391"/>
        <v>0</v>
      </c>
      <c r="W562" s="2">
        <f t="shared" si="402"/>
        <v>0</v>
      </c>
      <c r="X562" s="2">
        <f t="shared" si="403"/>
        <v>13277</v>
      </c>
      <c r="Y562" s="2">
        <f t="shared" si="404"/>
        <v>0</v>
      </c>
      <c r="Z562" s="46">
        <f t="shared" si="405"/>
        <v>0</v>
      </c>
      <c r="AA562" s="46">
        <f t="shared" si="396"/>
        <v>13277</v>
      </c>
      <c r="AB562" s="46">
        <f t="shared" si="397"/>
        <v>0</v>
      </c>
      <c r="AC562" s="58">
        <f t="shared" si="398"/>
        <v>0</v>
      </c>
      <c r="AD562" s="58">
        <f t="shared" si="406"/>
        <v>0</v>
      </c>
      <c r="AE562" s="12">
        <f t="shared" si="407"/>
        <v>0</v>
      </c>
      <c r="AF562" s="56"/>
      <c r="AG562" s="62"/>
      <c r="AH562" s="117">
        <f t="shared" si="408"/>
        <v>0</v>
      </c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  <c r="AS562" s="114"/>
      <c r="AT562" s="114"/>
      <c r="AU562" s="114"/>
      <c r="AV562" s="114"/>
      <c r="AW562" s="114"/>
      <c r="AX562" s="114"/>
      <c r="AY562" s="119"/>
      <c r="AZ562" s="115"/>
      <c r="BA562" s="243"/>
      <c r="BB562" s="115"/>
      <c r="BC562" s="115"/>
      <c r="BD562" s="115"/>
      <c r="BE562" s="115"/>
      <c r="BF562" s="115"/>
      <c r="BG562" s="115"/>
      <c r="BH562" s="115"/>
      <c r="BI562" s="115"/>
      <c r="BJ562" s="115"/>
    </row>
    <row r="563" spans="1:62" ht="15" hidden="1" customHeight="1" x14ac:dyDescent="0.35">
      <c r="A563" s="19" t="str">
        <f>VLOOKUP(C563,Master!A:D,4,0)</f>
        <v>SF</v>
      </c>
      <c r="B563" s="14" t="str">
        <f>VLOOKUP(C563,Master!A:C,3,0)</f>
        <v>Flexitank Accessories</v>
      </c>
      <c r="C563" s="14" t="s">
        <v>641</v>
      </c>
      <c r="D563" s="2">
        <f t="shared" ref="D563:F563" si="422">+W511</f>
        <v>0</v>
      </c>
      <c r="E563" s="2">
        <f t="shared" si="422"/>
        <v>0</v>
      </c>
      <c r="F563" s="2">
        <f t="shared" si="422"/>
        <v>0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>
        <f t="shared" si="390"/>
        <v>0</v>
      </c>
      <c r="V563" s="2">
        <f t="shared" si="391"/>
        <v>0</v>
      </c>
      <c r="W563" s="2">
        <f t="shared" si="402"/>
        <v>0</v>
      </c>
      <c r="X563" s="2">
        <f t="shared" si="403"/>
        <v>0</v>
      </c>
      <c r="Y563" s="2">
        <f t="shared" si="404"/>
        <v>0</v>
      </c>
      <c r="Z563" s="46">
        <f t="shared" si="405"/>
        <v>0</v>
      </c>
      <c r="AA563" s="46">
        <f t="shared" si="396"/>
        <v>0</v>
      </c>
      <c r="AB563" s="46">
        <f t="shared" si="397"/>
        <v>0</v>
      </c>
      <c r="AC563" s="58">
        <f t="shared" si="398"/>
        <v>0</v>
      </c>
      <c r="AD563" s="58">
        <f t="shared" si="406"/>
        <v>0</v>
      </c>
      <c r="AE563" s="12">
        <f t="shared" si="407"/>
        <v>0</v>
      </c>
      <c r="AF563" s="56"/>
      <c r="AG563" s="62"/>
      <c r="AH563" s="117">
        <f t="shared" si="408"/>
        <v>0</v>
      </c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  <c r="AS563" s="114"/>
      <c r="AT563" s="114"/>
      <c r="AU563" s="114"/>
      <c r="AV563" s="114"/>
      <c r="AW563" s="114"/>
      <c r="AX563" s="114"/>
      <c r="AY563" s="119"/>
      <c r="AZ563" s="115"/>
      <c r="BA563" s="243"/>
      <c r="BB563" s="115"/>
      <c r="BC563" s="115"/>
      <c r="BD563" s="115"/>
      <c r="BE563" s="115"/>
      <c r="BF563" s="115"/>
      <c r="BG563" s="115"/>
      <c r="BH563" s="115"/>
      <c r="BI563" s="115"/>
      <c r="BJ563" s="115"/>
    </row>
    <row r="564" spans="1:62" ht="15" hidden="1" customHeight="1" x14ac:dyDescent="0.35">
      <c r="A564" s="19" t="str">
        <f>VLOOKUP(C564,Master!A:D,4,0)</f>
        <v>SF</v>
      </c>
      <c r="B564" s="14" t="str">
        <f>VLOOKUP(C564,Master!A:C,3,0)</f>
        <v>PP/PE Fabric</v>
      </c>
      <c r="C564" s="14" t="s">
        <v>652</v>
      </c>
      <c r="D564" s="2">
        <f t="shared" ref="D564:F564" si="423">+W512</f>
        <v>0</v>
      </c>
      <c r="E564" s="2">
        <f t="shared" si="423"/>
        <v>27104.800000000003</v>
      </c>
      <c r="F564" s="2">
        <f t="shared" si="423"/>
        <v>0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>
        <f t="shared" si="390"/>
        <v>0</v>
      </c>
      <c r="V564" s="2">
        <f t="shared" si="391"/>
        <v>0</v>
      </c>
      <c r="W564" s="2">
        <f t="shared" si="402"/>
        <v>0</v>
      </c>
      <c r="X564" s="2">
        <f t="shared" si="403"/>
        <v>27104.800000000003</v>
      </c>
      <c r="Y564" s="2">
        <f t="shared" si="404"/>
        <v>0</v>
      </c>
      <c r="Z564" s="46">
        <f t="shared" si="405"/>
        <v>0</v>
      </c>
      <c r="AA564" s="46">
        <f t="shared" si="396"/>
        <v>27104.800000000003</v>
      </c>
      <c r="AB564" s="46">
        <f t="shared" si="397"/>
        <v>0</v>
      </c>
      <c r="AC564" s="58">
        <f t="shared" si="398"/>
        <v>0</v>
      </c>
      <c r="AD564" s="58">
        <f t="shared" si="406"/>
        <v>0</v>
      </c>
      <c r="AE564" s="12">
        <f t="shared" si="407"/>
        <v>0</v>
      </c>
      <c r="AF564" s="56"/>
      <c r="AG564" s="62"/>
      <c r="AH564" s="117">
        <f t="shared" si="408"/>
        <v>0</v>
      </c>
      <c r="AI564" s="114"/>
      <c r="AJ564" s="114"/>
      <c r="AK564" s="114"/>
      <c r="AL564" s="114"/>
      <c r="AM564" s="114"/>
      <c r="AN564" s="114"/>
      <c r="AO564" s="114"/>
      <c r="AP564" s="114"/>
      <c r="AQ564" s="114"/>
      <c r="AR564" s="114"/>
      <c r="AS564" s="114"/>
      <c r="AT564" s="114"/>
      <c r="AU564" s="114"/>
      <c r="AV564" s="114"/>
      <c r="AW564" s="114"/>
      <c r="AX564" s="114"/>
      <c r="AY564" s="119"/>
      <c r="AZ564" s="115"/>
      <c r="BA564" s="243"/>
      <c r="BB564" s="115"/>
      <c r="BC564" s="115"/>
      <c r="BD564" s="115"/>
      <c r="BE564" s="115"/>
      <c r="BF564" s="115"/>
      <c r="BG564" s="115"/>
      <c r="BH564" s="115"/>
      <c r="BI564" s="115"/>
      <c r="BJ564" s="115"/>
    </row>
    <row r="565" spans="1:62" ht="15" hidden="1" customHeight="1" x14ac:dyDescent="0.35">
      <c r="A565" s="19" t="str">
        <f>VLOOKUP(C565,Master!A:D,4,0)</f>
        <v>SF</v>
      </c>
      <c r="B565" s="14" t="str">
        <f>VLOOKUP(C565,Master!A:C,3,0)</f>
        <v>PP/PE Fabric</v>
      </c>
      <c r="C565" s="14" t="s">
        <v>664</v>
      </c>
      <c r="D565" s="2">
        <f t="shared" ref="D565:F565" si="424">+W513</f>
        <v>0</v>
      </c>
      <c r="E565" s="2">
        <f t="shared" si="424"/>
        <v>0</v>
      </c>
      <c r="F565" s="2">
        <f t="shared" si="424"/>
        <v>0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>
        <f t="shared" si="390"/>
        <v>0</v>
      </c>
      <c r="V565" s="2">
        <f t="shared" si="391"/>
        <v>0</v>
      </c>
      <c r="W565" s="2">
        <f t="shared" si="402"/>
        <v>0</v>
      </c>
      <c r="X565" s="2">
        <f t="shared" si="403"/>
        <v>0</v>
      </c>
      <c r="Y565" s="2">
        <f t="shared" si="404"/>
        <v>0</v>
      </c>
      <c r="Z565" s="46">
        <f t="shared" si="405"/>
        <v>0</v>
      </c>
      <c r="AA565" s="46">
        <f t="shared" si="396"/>
        <v>0</v>
      </c>
      <c r="AB565" s="46">
        <f t="shared" si="397"/>
        <v>0</v>
      </c>
      <c r="AC565" s="58">
        <f t="shared" si="398"/>
        <v>0</v>
      </c>
      <c r="AD565" s="58">
        <f t="shared" si="406"/>
        <v>0</v>
      </c>
      <c r="AE565" s="12">
        <f t="shared" si="407"/>
        <v>0</v>
      </c>
      <c r="AF565" s="56"/>
      <c r="AG565" s="62"/>
      <c r="AH565" s="117">
        <f t="shared" si="408"/>
        <v>0</v>
      </c>
      <c r="AI565" s="114"/>
      <c r="AJ565" s="114"/>
      <c r="AK565" s="114"/>
      <c r="AL565" s="114"/>
      <c r="AM565" s="114"/>
      <c r="AN565" s="114"/>
      <c r="AO565" s="114"/>
      <c r="AP565" s="114"/>
      <c r="AQ565" s="114"/>
      <c r="AR565" s="114"/>
      <c r="AS565" s="114"/>
      <c r="AT565" s="114"/>
      <c r="AU565" s="114"/>
      <c r="AV565" s="114"/>
      <c r="AW565" s="114"/>
      <c r="AX565" s="114"/>
      <c r="AY565" s="119"/>
      <c r="AZ565" s="115"/>
      <c r="BA565" s="243"/>
      <c r="BB565" s="115"/>
      <c r="BC565" s="115"/>
      <c r="BD565" s="115"/>
      <c r="BE565" s="115"/>
      <c r="BF565" s="115"/>
      <c r="BG565" s="115"/>
      <c r="BH565" s="115"/>
      <c r="BI565" s="115"/>
      <c r="BJ565" s="115"/>
    </row>
    <row r="566" spans="1:62" ht="15" hidden="1" customHeight="1" x14ac:dyDescent="0.35">
      <c r="A566" s="19" t="str">
        <f>VLOOKUP(C566,Master!A:D,4,0)</f>
        <v>SF</v>
      </c>
      <c r="B566" s="14" t="str">
        <f>VLOOKUP(C566,Master!A:C,3,0)</f>
        <v>PP/PE Fabric</v>
      </c>
      <c r="C566" s="14" t="s">
        <v>675</v>
      </c>
      <c r="D566" s="2">
        <f t="shared" ref="D566:F566" si="425">+W514</f>
        <v>0</v>
      </c>
      <c r="E566" s="2">
        <f t="shared" si="425"/>
        <v>0</v>
      </c>
      <c r="F566" s="2">
        <f t="shared" si="425"/>
        <v>0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>
        <f t="shared" si="390"/>
        <v>0</v>
      </c>
      <c r="V566" s="2">
        <f t="shared" si="391"/>
        <v>0</v>
      </c>
      <c r="W566" s="2">
        <f t="shared" si="402"/>
        <v>0</v>
      </c>
      <c r="X566" s="2">
        <f t="shared" si="403"/>
        <v>0</v>
      </c>
      <c r="Y566" s="2">
        <f t="shared" si="404"/>
        <v>0</v>
      </c>
      <c r="Z566" s="46">
        <f t="shared" si="405"/>
        <v>0</v>
      </c>
      <c r="AA566" s="46">
        <f t="shared" si="396"/>
        <v>0</v>
      </c>
      <c r="AB566" s="46">
        <f t="shared" si="397"/>
        <v>0</v>
      </c>
      <c r="AC566" s="58">
        <f t="shared" si="398"/>
        <v>0</v>
      </c>
      <c r="AD566" s="58">
        <f t="shared" si="406"/>
        <v>0</v>
      </c>
      <c r="AE566" s="12">
        <f t="shared" si="407"/>
        <v>0</v>
      </c>
      <c r="AF566" s="56"/>
      <c r="AG566" s="62"/>
      <c r="AH566" s="117">
        <f t="shared" si="408"/>
        <v>0</v>
      </c>
      <c r="AI566" s="114"/>
      <c r="AJ566" s="114"/>
      <c r="AK566" s="114"/>
      <c r="AL566" s="114"/>
      <c r="AM566" s="114"/>
      <c r="AN566" s="114"/>
      <c r="AO566" s="114"/>
      <c r="AP566" s="114"/>
      <c r="AQ566" s="114"/>
      <c r="AR566" s="114"/>
      <c r="AS566" s="114"/>
      <c r="AT566" s="114"/>
      <c r="AU566" s="114"/>
      <c r="AV566" s="114"/>
      <c r="AW566" s="114"/>
      <c r="AX566" s="114"/>
      <c r="AY566" s="119"/>
      <c r="AZ566" s="115"/>
      <c r="BA566" s="243"/>
      <c r="BB566" s="115"/>
      <c r="BC566" s="115"/>
      <c r="BD566" s="115"/>
      <c r="BE566" s="115"/>
      <c r="BF566" s="115"/>
      <c r="BG566" s="115"/>
      <c r="BH566" s="115"/>
      <c r="BI566" s="115"/>
      <c r="BJ566" s="115"/>
    </row>
    <row r="567" spans="1:62" ht="15" hidden="1" customHeight="1" x14ac:dyDescent="0.35">
      <c r="A567" s="19" t="str">
        <f>VLOOKUP(C567,Master!A:D,4,0)</f>
        <v>SF</v>
      </c>
      <c r="B567" s="14" t="str">
        <f>VLOOKUP(C567,Master!A:C,3,0)</f>
        <v>Granuals</v>
      </c>
      <c r="C567" s="14" t="s">
        <v>688</v>
      </c>
      <c r="D567" s="2">
        <f t="shared" ref="D567:F567" si="426">+W515</f>
        <v>0</v>
      </c>
      <c r="E567" s="2">
        <f t="shared" si="426"/>
        <v>0</v>
      </c>
      <c r="F567" s="2">
        <f t="shared" si="426"/>
        <v>0</v>
      </c>
      <c r="G567" s="2"/>
      <c r="H567" s="2"/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>
        <f t="shared" si="390"/>
        <v>0</v>
      </c>
      <c r="V567" s="2">
        <f t="shared" si="391"/>
        <v>0</v>
      </c>
      <c r="W567" s="2">
        <f t="shared" si="402"/>
        <v>0</v>
      </c>
      <c r="X567" s="2">
        <f t="shared" si="403"/>
        <v>0</v>
      </c>
      <c r="Y567" s="2">
        <f t="shared" si="404"/>
        <v>0</v>
      </c>
      <c r="Z567" s="46">
        <f t="shared" si="405"/>
        <v>0</v>
      </c>
      <c r="AA567" s="46">
        <f t="shared" si="396"/>
        <v>0</v>
      </c>
      <c r="AB567" s="46">
        <f t="shared" si="397"/>
        <v>0</v>
      </c>
      <c r="AC567" s="58">
        <f t="shared" si="398"/>
        <v>0</v>
      </c>
      <c r="AD567" s="58">
        <f t="shared" si="406"/>
        <v>0</v>
      </c>
      <c r="AE567" s="12">
        <f t="shared" si="407"/>
        <v>0</v>
      </c>
      <c r="AF567" s="56"/>
      <c r="AG567" s="62"/>
      <c r="AH567" s="117">
        <f t="shared" si="408"/>
        <v>0</v>
      </c>
      <c r="AI567" s="114"/>
      <c r="AJ567" s="114"/>
      <c r="AK567" s="114"/>
      <c r="AL567" s="114"/>
      <c r="AM567" s="114"/>
      <c r="AN567" s="114"/>
      <c r="AO567" s="114"/>
      <c r="AP567" s="114"/>
      <c r="AQ567" s="114"/>
      <c r="AR567" s="114"/>
      <c r="AS567" s="114"/>
      <c r="AT567" s="114"/>
      <c r="AU567" s="114"/>
      <c r="AV567" s="114"/>
      <c r="AW567" s="114"/>
      <c r="AX567" s="114"/>
      <c r="AY567" s="119"/>
      <c r="AZ567" s="115"/>
      <c r="BA567" s="243"/>
      <c r="BB567" s="115"/>
      <c r="BC567" s="115"/>
      <c r="BD567" s="115"/>
      <c r="BE567" s="115"/>
      <c r="BF567" s="115"/>
      <c r="BG567" s="115"/>
      <c r="BH567" s="115"/>
      <c r="BI567" s="115"/>
      <c r="BJ567" s="115"/>
    </row>
    <row r="568" spans="1:62" ht="15" hidden="1" customHeight="1" x14ac:dyDescent="0.35">
      <c r="A568" s="19" t="str">
        <f>VLOOKUP(C568,Master!A:D,4,0)</f>
        <v>SF</v>
      </c>
      <c r="B568" s="14" t="str">
        <f>VLOOKUP(C568,Master!A:C,3,0)</f>
        <v>Liners</v>
      </c>
      <c r="C568" s="14" t="s">
        <v>707</v>
      </c>
      <c r="D568" s="2">
        <f t="shared" ref="D568:F568" si="427">+W516</f>
        <v>0</v>
      </c>
      <c r="E568" s="2">
        <f t="shared" si="427"/>
        <v>0</v>
      </c>
      <c r="F568" s="2">
        <f t="shared" si="427"/>
        <v>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>
        <f t="shared" si="390"/>
        <v>0</v>
      </c>
      <c r="V568" s="2">
        <f t="shared" si="391"/>
        <v>0</v>
      </c>
      <c r="W568" s="2">
        <f t="shared" si="402"/>
        <v>0</v>
      </c>
      <c r="X568" s="2">
        <f t="shared" si="403"/>
        <v>0</v>
      </c>
      <c r="Y568" s="2">
        <f t="shared" si="404"/>
        <v>0</v>
      </c>
      <c r="Z568" s="46">
        <f t="shared" si="405"/>
        <v>0</v>
      </c>
      <c r="AA568" s="46">
        <f t="shared" si="396"/>
        <v>0</v>
      </c>
      <c r="AB568" s="46">
        <f t="shared" si="397"/>
        <v>0</v>
      </c>
      <c r="AC568" s="58">
        <f t="shared" si="398"/>
        <v>0</v>
      </c>
      <c r="AD568" s="58">
        <f t="shared" si="406"/>
        <v>0</v>
      </c>
      <c r="AE568" s="12">
        <f t="shared" si="407"/>
        <v>0</v>
      </c>
      <c r="AF568" s="56"/>
      <c r="AG568" s="62"/>
      <c r="AH568" s="117">
        <f t="shared" si="408"/>
        <v>0</v>
      </c>
      <c r="AI568" s="114"/>
      <c r="AJ568" s="114"/>
      <c r="AK568" s="114"/>
      <c r="AL568" s="114"/>
      <c r="AM568" s="114"/>
      <c r="AN568" s="114"/>
      <c r="AO568" s="114"/>
      <c r="AP568" s="114"/>
      <c r="AQ568" s="114"/>
      <c r="AR568" s="114"/>
      <c r="AS568" s="114"/>
      <c r="AT568" s="114"/>
      <c r="AU568" s="114"/>
      <c r="AV568" s="114"/>
      <c r="AW568" s="114"/>
      <c r="AX568" s="114"/>
      <c r="AY568" s="119"/>
      <c r="AZ568" s="115"/>
      <c r="BA568" s="243"/>
      <c r="BB568" s="115"/>
      <c r="BC568" s="115"/>
      <c r="BD568" s="115"/>
      <c r="BE568" s="115"/>
      <c r="BF568" s="115"/>
      <c r="BG568" s="115"/>
      <c r="BH568" s="115"/>
      <c r="BI568" s="115"/>
      <c r="BJ568" s="115"/>
    </row>
    <row r="569" spans="1:62" ht="15" hidden="1" customHeight="1" x14ac:dyDescent="0.35">
      <c r="A569" s="19" t="str">
        <f>VLOOKUP(C569,Master!A:D,4,0)</f>
        <v>SF</v>
      </c>
      <c r="B569" s="14" t="str">
        <f>VLOOKUP(C569,Master!A:C,3,0)</f>
        <v>Webbing</v>
      </c>
      <c r="C569" s="14" t="s">
        <v>710</v>
      </c>
      <c r="D569" s="2">
        <f t="shared" ref="D569:F569" si="428">+W517</f>
        <v>0</v>
      </c>
      <c r="E569" s="2">
        <f t="shared" si="428"/>
        <v>1771.8</v>
      </c>
      <c r="F569" s="2">
        <f t="shared" si="428"/>
        <v>0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>
        <f t="shared" si="390"/>
        <v>0</v>
      </c>
      <c r="V569" s="2">
        <f t="shared" si="391"/>
        <v>0</v>
      </c>
      <c r="W569" s="2">
        <f t="shared" si="402"/>
        <v>0</v>
      </c>
      <c r="X569" s="2">
        <f t="shared" si="403"/>
        <v>1771.8</v>
      </c>
      <c r="Y569" s="2">
        <f t="shared" si="404"/>
        <v>0</v>
      </c>
      <c r="Z569" s="46">
        <f t="shared" si="405"/>
        <v>0</v>
      </c>
      <c r="AA569" s="46">
        <f t="shared" si="396"/>
        <v>1771.8</v>
      </c>
      <c r="AB569" s="46">
        <f t="shared" si="397"/>
        <v>0</v>
      </c>
      <c r="AC569" s="58">
        <f t="shared" si="398"/>
        <v>0</v>
      </c>
      <c r="AD569" s="58">
        <f t="shared" si="406"/>
        <v>0</v>
      </c>
      <c r="AE569" s="12">
        <f t="shared" si="407"/>
        <v>0</v>
      </c>
      <c r="AF569" s="56"/>
      <c r="AG569" s="62"/>
      <c r="AH569" s="117">
        <f t="shared" si="408"/>
        <v>0</v>
      </c>
      <c r="AI569" s="114"/>
      <c r="AJ569" s="114"/>
      <c r="AK569" s="114"/>
      <c r="AL569" s="114"/>
      <c r="AM569" s="114"/>
      <c r="AN569" s="114"/>
      <c r="AO569" s="114"/>
      <c r="AP569" s="114"/>
      <c r="AQ569" s="114"/>
      <c r="AR569" s="114"/>
      <c r="AS569" s="114"/>
      <c r="AT569" s="114"/>
      <c r="AU569" s="114"/>
      <c r="AV569" s="114"/>
      <c r="AW569" s="114"/>
      <c r="AX569" s="114"/>
      <c r="AY569" s="119"/>
      <c r="AZ569" s="115"/>
      <c r="BA569" s="243"/>
      <c r="BB569" s="115"/>
      <c r="BC569" s="115"/>
      <c r="BD569" s="115"/>
      <c r="BE569" s="115"/>
      <c r="BF569" s="115"/>
      <c r="BG569" s="115"/>
      <c r="BH569" s="115"/>
      <c r="BI569" s="115"/>
      <c r="BJ569" s="115"/>
    </row>
    <row r="570" spans="1:62" ht="15" hidden="1" customHeight="1" x14ac:dyDescent="0.35">
      <c r="A570" s="19" t="str">
        <f>VLOOKUP(C570,Master!A:D,4,0)</f>
        <v>SF</v>
      </c>
      <c r="B570" s="14" t="str">
        <f>VLOOKUP(C570,Master!A:C,3,0)</f>
        <v>Liners</v>
      </c>
      <c r="C570" s="14" t="s">
        <v>729</v>
      </c>
      <c r="D570" s="2">
        <f t="shared" ref="D570:F570" si="429">+W518</f>
        <v>0</v>
      </c>
      <c r="E570" s="2">
        <f t="shared" si="429"/>
        <v>14652.699999999997</v>
      </c>
      <c r="F570" s="2">
        <f t="shared" si="429"/>
        <v>0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>
        <f t="shared" si="390"/>
        <v>0</v>
      </c>
      <c r="V570" s="2">
        <f t="shared" si="391"/>
        <v>0</v>
      </c>
      <c r="W570" s="2">
        <f t="shared" si="402"/>
        <v>0</v>
      </c>
      <c r="X570" s="2">
        <f t="shared" si="403"/>
        <v>14652.699999999997</v>
      </c>
      <c r="Y570" s="2">
        <f t="shared" si="404"/>
        <v>0</v>
      </c>
      <c r="Z570" s="46">
        <f t="shared" si="405"/>
        <v>0</v>
      </c>
      <c r="AA570" s="46">
        <f t="shared" si="396"/>
        <v>14652.699999999997</v>
      </c>
      <c r="AB570" s="46">
        <f t="shared" si="397"/>
        <v>0</v>
      </c>
      <c r="AC570" s="58">
        <f t="shared" si="398"/>
        <v>0</v>
      </c>
      <c r="AD570" s="58">
        <f t="shared" si="406"/>
        <v>0</v>
      </c>
      <c r="AE570" s="12">
        <f t="shared" si="407"/>
        <v>0</v>
      </c>
      <c r="AF570" s="56"/>
      <c r="AG570" s="62"/>
      <c r="AH570" s="117">
        <f t="shared" si="408"/>
        <v>0</v>
      </c>
      <c r="AI570" s="114"/>
      <c r="AJ570" s="114"/>
      <c r="AK570" s="114"/>
      <c r="AL570" s="114"/>
      <c r="AM570" s="114"/>
      <c r="AN570" s="114"/>
      <c r="AO570" s="114"/>
      <c r="AP570" s="114"/>
      <c r="AQ570" s="114"/>
      <c r="AR570" s="114"/>
      <c r="AS570" s="114"/>
      <c r="AT570" s="114"/>
      <c r="AU570" s="114"/>
      <c r="AV570" s="114"/>
      <c r="AW570" s="114"/>
      <c r="AX570" s="114"/>
      <c r="AY570" s="119"/>
      <c r="AZ570" s="115"/>
      <c r="BA570" s="243"/>
      <c r="BB570" s="115"/>
      <c r="BC570" s="115"/>
      <c r="BD570" s="115"/>
      <c r="BE570" s="115"/>
      <c r="BF570" s="115"/>
      <c r="BG570" s="115"/>
      <c r="BH570" s="115"/>
      <c r="BI570" s="115"/>
      <c r="BJ570" s="115"/>
    </row>
    <row r="571" spans="1:62" ht="15" hidden="1" customHeight="1" x14ac:dyDescent="0.35">
      <c r="A571" s="19" t="str">
        <f>VLOOKUP(C571,Master!A:D,4,0)</f>
        <v>SF</v>
      </c>
      <c r="B571" s="14" t="str">
        <f>VLOOKUP(C571,Master!A:C,3,0)</f>
        <v>Tape Stock</v>
      </c>
      <c r="C571" s="14" t="s">
        <v>772</v>
      </c>
      <c r="D571" s="2">
        <f t="shared" ref="D571:F571" si="430">+W519</f>
        <v>0</v>
      </c>
      <c r="E571" s="2">
        <f t="shared" si="430"/>
        <v>0</v>
      </c>
      <c r="F571" s="2">
        <f t="shared" si="430"/>
        <v>0</v>
      </c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>
        <f t="shared" si="390"/>
        <v>0</v>
      </c>
      <c r="V571" s="2">
        <f t="shared" si="391"/>
        <v>0</v>
      </c>
      <c r="W571" s="2">
        <f t="shared" si="402"/>
        <v>0</v>
      </c>
      <c r="X571" s="2">
        <f t="shared" si="403"/>
        <v>0</v>
      </c>
      <c r="Y571" s="2">
        <f t="shared" si="404"/>
        <v>0</v>
      </c>
      <c r="Z571" s="46">
        <f t="shared" si="405"/>
        <v>0</v>
      </c>
      <c r="AA571" s="46">
        <f t="shared" si="396"/>
        <v>0</v>
      </c>
      <c r="AB571" s="46">
        <f t="shared" si="397"/>
        <v>0</v>
      </c>
      <c r="AC571" s="58">
        <f t="shared" si="398"/>
        <v>0</v>
      </c>
      <c r="AD571" s="58">
        <f t="shared" si="406"/>
        <v>0</v>
      </c>
      <c r="AE571" s="12">
        <f t="shared" si="407"/>
        <v>0</v>
      </c>
      <c r="AF571" s="56"/>
      <c r="AG571" s="62"/>
      <c r="AH571" s="117">
        <f t="shared" si="408"/>
        <v>0</v>
      </c>
      <c r="AI571" s="114"/>
      <c r="AJ571" s="114"/>
      <c r="AK571" s="114"/>
      <c r="AL571" s="114"/>
      <c r="AM571" s="114"/>
      <c r="AN571" s="114"/>
      <c r="AO571" s="114"/>
      <c r="AP571" s="114"/>
      <c r="AQ571" s="114"/>
      <c r="AR571" s="114"/>
      <c r="AS571" s="114"/>
      <c r="AT571" s="114"/>
      <c r="AU571" s="114"/>
      <c r="AV571" s="114"/>
      <c r="AW571" s="114"/>
      <c r="AX571" s="114"/>
      <c r="AY571" s="119"/>
      <c r="AZ571" s="115"/>
      <c r="BA571" s="243"/>
      <c r="BB571" s="115"/>
      <c r="BC571" s="115"/>
      <c r="BD571" s="115"/>
      <c r="BE571" s="115"/>
      <c r="BF571" s="115"/>
      <c r="BG571" s="115"/>
      <c r="BH571" s="115"/>
      <c r="BI571" s="115"/>
      <c r="BJ571" s="115"/>
    </row>
    <row r="572" spans="1:62" ht="15" hidden="1" customHeight="1" x14ac:dyDescent="0.35">
      <c r="A572" s="19" t="str">
        <f>VLOOKUP(C572,Master!A:D,4,0)</f>
        <v>SF</v>
      </c>
      <c r="B572" s="14" t="str">
        <f>VLOOKUP(C572,Master!A:C,3,0)</f>
        <v>Tape Stock</v>
      </c>
      <c r="C572" s="14" t="s">
        <v>773</v>
      </c>
      <c r="D572" s="2">
        <f t="shared" ref="D572:F572" si="431">+W520</f>
        <v>0</v>
      </c>
      <c r="E572" s="2">
        <f t="shared" si="431"/>
        <v>2518.3000000000029</v>
      </c>
      <c r="F572" s="2">
        <f t="shared" si="431"/>
        <v>0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>
        <f t="shared" si="390"/>
        <v>0</v>
      </c>
      <c r="V572" s="53">
        <f t="shared" si="391"/>
        <v>0</v>
      </c>
      <c r="W572" s="2">
        <f t="shared" si="402"/>
        <v>0</v>
      </c>
      <c r="X572" s="2">
        <f t="shared" si="403"/>
        <v>2518.3000000000029</v>
      </c>
      <c r="Y572" s="2">
        <f t="shared" si="404"/>
        <v>0</v>
      </c>
      <c r="Z572" s="46">
        <f t="shared" si="405"/>
        <v>0</v>
      </c>
      <c r="AA572" s="46">
        <f t="shared" si="396"/>
        <v>2518.3000000000029</v>
      </c>
      <c r="AB572" s="46">
        <f t="shared" si="397"/>
        <v>0</v>
      </c>
      <c r="AC572" s="58">
        <f t="shared" si="398"/>
        <v>0</v>
      </c>
      <c r="AD572" s="58">
        <f t="shared" si="406"/>
        <v>0</v>
      </c>
      <c r="AE572" s="12">
        <f t="shared" si="407"/>
        <v>0</v>
      </c>
      <c r="AF572" s="56"/>
      <c r="AG572" s="62"/>
      <c r="AH572" s="117">
        <f t="shared" si="408"/>
        <v>0</v>
      </c>
      <c r="AI572" s="114"/>
      <c r="AJ572" s="114"/>
      <c r="AK572" s="114"/>
      <c r="AL572" s="114"/>
      <c r="AM572" s="114"/>
      <c r="AN572" s="114"/>
      <c r="AO572" s="114"/>
      <c r="AP572" s="114"/>
      <c r="AQ572" s="114"/>
      <c r="AR572" s="114"/>
      <c r="AS572" s="114"/>
      <c r="AT572" s="114"/>
      <c r="AU572" s="114"/>
      <c r="AV572" s="114"/>
      <c r="AW572" s="114"/>
      <c r="AX572" s="114"/>
      <c r="AY572" s="119"/>
      <c r="AZ572" s="115"/>
      <c r="BA572" s="243"/>
      <c r="BB572" s="115"/>
      <c r="BC572" s="115"/>
      <c r="BD572" s="115"/>
      <c r="BE572" s="115"/>
      <c r="BF572" s="115"/>
      <c r="BG572" s="115"/>
      <c r="BH572" s="115"/>
      <c r="BI572" s="115"/>
      <c r="BJ572" s="115"/>
    </row>
    <row r="573" spans="1:62" ht="15" hidden="1" customHeight="1" x14ac:dyDescent="0.35">
      <c r="A573" s="19" t="str">
        <f>VLOOKUP(C573,Master!A:D,4,0)</f>
        <v>SF</v>
      </c>
      <c r="B573" s="14" t="str">
        <f>VLOOKUP(C573,Master!A:C,3,0)</f>
        <v>RP Agglo</v>
      </c>
      <c r="C573" s="14" t="s">
        <v>810</v>
      </c>
      <c r="D573" s="2">
        <f t="shared" ref="D573:F573" si="432">+W521</f>
        <v>0</v>
      </c>
      <c r="E573" s="2">
        <f t="shared" si="432"/>
        <v>0</v>
      </c>
      <c r="F573" s="2">
        <f t="shared" si="432"/>
        <v>0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>
        <f t="shared" si="390"/>
        <v>0</v>
      </c>
      <c r="V573" s="2">
        <f t="shared" si="391"/>
        <v>0</v>
      </c>
      <c r="W573" s="2">
        <f t="shared" si="402"/>
        <v>0</v>
      </c>
      <c r="X573" s="2">
        <f t="shared" si="403"/>
        <v>0</v>
      </c>
      <c r="Y573" s="2">
        <f t="shared" si="404"/>
        <v>0</v>
      </c>
      <c r="Z573" s="46">
        <f t="shared" si="405"/>
        <v>0</v>
      </c>
      <c r="AA573" s="46">
        <f t="shared" si="396"/>
        <v>0</v>
      </c>
      <c r="AB573" s="46">
        <f t="shared" si="397"/>
        <v>0</v>
      </c>
      <c r="AC573" s="58">
        <f t="shared" si="398"/>
        <v>0</v>
      </c>
      <c r="AD573" s="58">
        <f t="shared" si="406"/>
        <v>0</v>
      </c>
      <c r="AE573" s="12">
        <f t="shared" si="407"/>
        <v>0</v>
      </c>
      <c r="AF573" s="56"/>
      <c r="AG573" s="62"/>
      <c r="AH573" s="117">
        <f t="shared" si="408"/>
        <v>0</v>
      </c>
      <c r="AI573" s="114"/>
      <c r="AJ573" s="114"/>
      <c r="AK573" s="114"/>
      <c r="AL573" s="114"/>
      <c r="AM573" s="114"/>
      <c r="AN573" s="114"/>
      <c r="AO573" s="114"/>
      <c r="AP573" s="114"/>
      <c r="AQ573" s="114"/>
      <c r="AR573" s="114"/>
      <c r="AS573" s="114"/>
      <c r="AT573" s="114"/>
      <c r="AU573" s="114"/>
      <c r="AV573" s="114"/>
      <c r="AW573" s="114"/>
      <c r="AX573" s="114"/>
      <c r="AY573" s="119"/>
      <c r="AZ573" s="115"/>
      <c r="BA573" s="243"/>
      <c r="BB573" s="115"/>
      <c r="BC573" s="115"/>
      <c r="BD573" s="115"/>
      <c r="BE573" s="115"/>
      <c r="BF573" s="115"/>
      <c r="BG573" s="115"/>
      <c r="BH573" s="115"/>
      <c r="BI573" s="115"/>
      <c r="BJ573" s="115"/>
    </row>
    <row r="574" spans="1:62" ht="15" hidden="1" customHeight="1" x14ac:dyDescent="0.35">
      <c r="A574" s="19" t="str">
        <f>VLOOKUP(C574,Master!A:D,4,0)</f>
        <v>SF</v>
      </c>
      <c r="B574" s="14" t="str">
        <f>VLOOKUP(C574,Master!A:C,3,0)</f>
        <v>Wastage/Scrap</v>
      </c>
      <c r="C574" s="14" t="s">
        <v>820</v>
      </c>
      <c r="D574" s="2">
        <f t="shared" ref="D574:F574" si="433">+W522</f>
        <v>0</v>
      </c>
      <c r="E574" s="2">
        <f t="shared" si="433"/>
        <v>0</v>
      </c>
      <c r="F574" s="2">
        <f t="shared" si="433"/>
        <v>0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>
        <f t="shared" si="390"/>
        <v>0</v>
      </c>
      <c r="V574" s="2">
        <f t="shared" si="391"/>
        <v>0</v>
      </c>
      <c r="W574" s="2">
        <f t="shared" si="402"/>
        <v>0</v>
      </c>
      <c r="X574" s="2">
        <f t="shared" si="403"/>
        <v>0</v>
      </c>
      <c r="Y574" s="2">
        <f t="shared" si="404"/>
        <v>0</v>
      </c>
      <c r="Z574" s="46">
        <f t="shared" si="405"/>
        <v>0</v>
      </c>
      <c r="AA574" s="46">
        <f t="shared" si="396"/>
        <v>0</v>
      </c>
      <c r="AB574" s="46">
        <f t="shared" si="397"/>
        <v>0</v>
      </c>
      <c r="AC574" s="58">
        <f t="shared" si="398"/>
        <v>0</v>
      </c>
      <c r="AD574" s="58">
        <f t="shared" si="406"/>
        <v>0</v>
      </c>
      <c r="AE574" s="12">
        <f t="shared" si="407"/>
        <v>0</v>
      </c>
      <c r="AF574" s="56"/>
      <c r="AG574" s="62"/>
      <c r="AH574" s="117">
        <f t="shared" si="408"/>
        <v>0</v>
      </c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9"/>
      <c r="AZ574" s="115"/>
      <c r="BA574" s="243"/>
      <c r="BB574" s="115"/>
      <c r="BC574" s="115"/>
      <c r="BD574" s="115"/>
      <c r="BE574" s="115"/>
      <c r="BF574" s="115"/>
      <c r="BG574" s="115"/>
      <c r="BH574" s="115"/>
      <c r="BI574" s="115"/>
      <c r="BJ574" s="115"/>
    </row>
    <row r="575" spans="1:62" ht="15" hidden="1" customHeight="1" x14ac:dyDescent="0.35">
      <c r="A575" s="19" t="str">
        <f>VLOOKUP(C575,Master!A:D,4,0)</f>
        <v>FG</v>
      </c>
      <c r="B575" s="14" t="str">
        <f>VLOOKUP(C575,Master!A:C,3,0)</f>
        <v>FIBC WIP</v>
      </c>
      <c r="C575" s="14" t="s">
        <v>892</v>
      </c>
      <c r="D575" s="2">
        <f t="shared" ref="D575:F575" si="434">+W523</f>
        <v>42021.998887999915</v>
      </c>
      <c r="E575" s="2">
        <f t="shared" si="434"/>
        <v>0</v>
      </c>
      <c r="F575" s="2">
        <f t="shared" si="434"/>
        <v>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>
        <f t="shared" si="390"/>
        <v>0</v>
      </c>
      <c r="V575" s="2">
        <f t="shared" si="391"/>
        <v>0</v>
      </c>
      <c r="W575" s="2">
        <f t="shared" si="402"/>
        <v>42021.998887999915</v>
      </c>
      <c r="X575" s="2">
        <f t="shared" si="403"/>
        <v>0</v>
      </c>
      <c r="Y575" s="2">
        <f t="shared" si="404"/>
        <v>0</v>
      </c>
      <c r="Z575" s="46">
        <f t="shared" si="405"/>
        <v>42021.998887999915</v>
      </c>
      <c r="AA575" s="46">
        <f t="shared" si="396"/>
        <v>0</v>
      </c>
      <c r="AB575" s="46">
        <f t="shared" si="397"/>
        <v>0</v>
      </c>
      <c r="AC575" s="58">
        <f t="shared" si="398"/>
        <v>0</v>
      </c>
      <c r="AD575" s="58">
        <f t="shared" si="406"/>
        <v>0</v>
      </c>
      <c r="AE575" s="12">
        <f t="shared" si="407"/>
        <v>0</v>
      </c>
      <c r="AF575" s="56"/>
      <c r="AG575" s="62"/>
      <c r="AH575" s="117">
        <f t="shared" si="408"/>
        <v>0</v>
      </c>
      <c r="AI575" s="114"/>
      <c r="AJ575" s="114"/>
      <c r="AK575" s="114"/>
      <c r="AL575" s="114"/>
      <c r="AM575" s="114"/>
      <c r="AN575" s="114"/>
      <c r="AO575" s="114"/>
      <c r="AP575" s="114"/>
      <c r="AQ575" s="114"/>
      <c r="AR575" s="114"/>
      <c r="AS575" s="114"/>
      <c r="AT575" s="114"/>
      <c r="AU575" s="114"/>
      <c r="AV575" s="114"/>
      <c r="AW575" s="114"/>
      <c r="AX575" s="114"/>
      <c r="AY575" s="119"/>
      <c r="AZ575" s="115"/>
      <c r="BA575" s="243"/>
      <c r="BB575" s="115"/>
      <c r="BC575" s="115"/>
      <c r="BD575" s="115"/>
      <c r="BE575" s="115"/>
      <c r="BF575" s="115"/>
      <c r="BG575" s="115"/>
      <c r="BH575" s="115"/>
      <c r="BI575" s="115"/>
      <c r="BJ575" s="115"/>
    </row>
    <row r="576" spans="1:62" ht="15" hidden="1" customHeight="1" x14ac:dyDescent="0.35">
      <c r="A576" s="19" t="str">
        <f>VLOOKUP(C576,Master!A:D,4,0)</f>
        <v>FG</v>
      </c>
      <c r="B576" s="14" t="str">
        <f>VLOOKUP(C576,Master!A:C,3,0)</f>
        <v>Label Div</v>
      </c>
      <c r="C576" s="14" t="s">
        <v>895</v>
      </c>
      <c r="D576" s="2">
        <f t="shared" ref="D576:F576" si="435">+W524</f>
        <v>0</v>
      </c>
      <c r="E576" s="2">
        <f t="shared" si="435"/>
        <v>0</v>
      </c>
      <c r="F576" s="2">
        <f t="shared" si="435"/>
        <v>0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>
        <f t="shared" si="390"/>
        <v>0</v>
      </c>
      <c r="V576" s="2">
        <f t="shared" si="391"/>
        <v>0</v>
      </c>
      <c r="W576" s="2">
        <f t="shared" si="402"/>
        <v>0</v>
      </c>
      <c r="X576" s="2">
        <f t="shared" si="403"/>
        <v>0</v>
      </c>
      <c r="Y576" s="2">
        <f t="shared" si="404"/>
        <v>0</v>
      </c>
      <c r="Z576" s="46">
        <f t="shared" si="405"/>
        <v>0</v>
      </c>
      <c r="AA576" s="46">
        <f t="shared" si="396"/>
        <v>0</v>
      </c>
      <c r="AB576" s="46">
        <f t="shared" si="397"/>
        <v>0</v>
      </c>
      <c r="AC576" s="58">
        <f t="shared" si="398"/>
        <v>0</v>
      </c>
      <c r="AD576" s="58">
        <f t="shared" si="406"/>
        <v>0</v>
      </c>
      <c r="AE576" s="12">
        <f t="shared" si="407"/>
        <v>0</v>
      </c>
      <c r="AF576" s="56"/>
      <c r="AG576" s="62"/>
      <c r="AH576" s="117">
        <f t="shared" si="408"/>
        <v>0</v>
      </c>
      <c r="AI576" s="114"/>
      <c r="AJ576" s="114"/>
      <c r="AK576" s="114"/>
      <c r="AL576" s="114"/>
      <c r="AM576" s="114"/>
      <c r="AN576" s="114"/>
      <c r="AO576" s="114"/>
      <c r="AP576" s="114"/>
      <c r="AQ576" s="114"/>
      <c r="AR576" s="114"/>
      <c r="AS576" s="114"/>
      <c r="AT576" s="114"/>
      <c r="AU576" s="114"/>
      <c r="AV576" s="114"/>
      <c r="AW576" s="114"/>
      <c r="AX576" s="114"/>
      <c r="AY576" s="119"/>
      <c r="AZ576" s="115"/>
      <c r="BA576" s="243"/>
      <c r="BB576" s="115"/>
      <c r="BC576" s="115"/>
      <c r="BD576" s="115"/>
      <c r="BE576" s="115"/>
      <c r="BF576" s="115"/>
      <c r="BG576" s="115"/>
      <c r="BH576" s="115"/>
      <c r="BI576" s="115"/>
      <c r="BJ576" s="115"/>
    </row>
    <row r="577" spans="1:62" ht="15" hidden="1" customHeight="1" x14ac:dyDescent="0.35">
      <c r="A577" s="19" t="str">
        <f>VLOOKUP(C577,Master!A:D,4,0)</f>
        <v>FG</v>
      </c>
      <c r="B577" s="14" t="str">
        <f>VLOOKUP(C577,Master!A:C,3,0)</f>
        <v>FIBC Bags</v>
      </c>
      <c r="C577" s="14" t="s">
        <v>897</v>
      </c>
      <c r="D577" s="2">
        <f t="shared" ref="D577:F577" si="436">+W525</f>
        <v>1.7462298274040222E-10</v>
      </c>
      <c r="E577" s="2">
        <f t="shared" si="436"/>
        <v>0</v>
      </c>
      <c r="F577" s="2">
        <f t="shared" si="436"/>
        <v>0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>
        <f t="shared" si="390"/>
        <v>0</v>
      </c>
      <c r="V577" s="2">
        <f t="shared" si="391"/>
        <v>0</v>
      </c>
      <c r="W577" s="2">
        <f t="shared" si="402"/>
        <v>1.7462298274040222E-10</v>
      </c>
      <c r="X577" s="2">
        <f t="shared" si="403"/>
        <v>0</v>
      </c>
      <c r="Y577" s="2">
        <f t="shared" si="404"/>
        <v>0</v>
      </c>
      <c r="Z577" s="46">
        <f t="shared" si="405"/>
        <v>1.7462298274040222E-10</v>
      </c>
      <c r="AA577" s="46">
        <f t="shared" si="396"/>
        <v>0</v>
      </c>
      <c r="AB577" s="46">
        <f t="shared" si="397"/>
        <v>0</v>
      </c>
      <c r="AC577" s="58">
        <v>0</v>
      </c>
      <c r="AD577" s="58">
        <f t="shared" si="406"/>
        <v>0</v>
      </c>
      <c r="AE577" s="12">
        <f t="shared" si="407"/>
        <v>0</v>
      </c>
      <c r="AF577" s="56"/>
      <c r="AG577" s="62"/>
      <c r="AH577" s="117">
        <f t="shared" si="408"/>
        <v>0</v>
      </c>
      <c r="AI577" s="114"/>
      <c r="AJ577" s="114"/>
      <c r="AK577" s="114"/>
      <c r="AL577" s="114"/>
      <c r="AM577" s="114"/>
      <c r="AN577" s="114"/>
      <c r="AO577" s="114"/>
      <c r="AP577" s="114"/>
      <c r="AQ577" s="114"/>
      <c r="AR577" s="114"/>
      <c r="AS577" s="114"/>
      <c r="AT577" s="114"/>
      <c r="AU577" s="114"/>
      <c r="AV577" s="114"/>
      <c r="AW577" s="114"/>
      <c r="AX577" s="114"/>
      <c r="AY577" s="119"/>
      <c r="AZ577" s="115"/>
      <c r="BA577" s="243"/>
      <c r="BB577" s="115"/>
      <c r="BC577" s="115"/>
      <c r="BD577" s="115"/>
      <c r="BE577" s="115"/>
      <c r="BF577" s="115"/>
      <c r="BG577" s="115"/>
      <c r="BH577" s="115"/>
      <c r="BI577" s="115"/>
      <c r="BJ577" s="115"/>
    </row>
    <row r="578" spans="1:62" ht="15" hidden="1" customHeight="1" x14ac:dyDescent="0.35">
      <c r="A578" s="19" t="str">
        <f>VLOOKUP(C578,Master!A:D,4,0)</f>
        <v>FG</v>
      </c>
      <c r="B578" s="14" t="str">
        <f>VLOOKUP(C578,Master!A:C,3,0)</f>
        <v>Small Bags</v>
      </c>
      <c r="C578" s="14" t="s">
        <v>900</v>
      </c>
      <c r="D578" s="2">
        <f t="shared" ref="D578:F578" si="437">+W526</f>
        <v>0</v>
      </c>
      <c r="E578" s="2">
        <f t="shared" si="437"/>
        <v>0</v>
      </c>
      <c r="F578" s="2">
        <f t="shared" si="437"/>
        <v>0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>
        <f t="shared" si="390"/>
        <v>0</v>
      </c>
      <c r="V578" s="2">
        <f t="shared" si="391"/>
        <v>0</v>
      </c>
      <c r="W578" s="2">
        <f t="shared" si="402"/>
        <v>0</v>
      </c>
      <c r="X578" s="2">
        <f t="shared" si="403"/>
        <v>0</v>
      </c>
      <c r="Y578" s="2">
        <f t="shared" si="404"/>
        <v>0</v>
      </c>
      <c r="Z578" s="46">
        <f t="shared" si="405"/>
        <v>0</v>
      </c>
      <c r="AA578" s="46">
        <f t="shared" si="396"/>
        <v>0</v>
      </c>
      <c r="AB578" s="46">
        <f t="shared" si="397"/>
        <v>0</v>
      </c>
      <c r="AC578" s="58">
        <f t="shared" si="398"/>
        <v>0</v>
      </c>
      <c r="AD578" s="58">
        <f t="shared" si="406"/>
        <v>0</v>
      </c>
      <c r="AE578" s="12">
        <f t="shared" si="407"/>
        <v>0</v>
      </c>
      <c r="AF578" s="56"/>
      <c r="AG578" s="62"/>
      <c r="AH578" s="117">
        <f t="shared" si="408"/>
        <v>0</v>
      </c>
      <c r="AI578" s="114"/>
      <c r="AJ578" s="114"/>
      <c r="AK578" s="114"/>
      <c r="AL578" s="114"/>
      <c r="AM578" s="114"/>
      <c r="AN578" s="114"/>
      <c r="AO578" s="114"/>
      <c r="AP578" s="114"/>
      <c r="AQ578" s="114"/>
      <c r="AR578" s="114"/>
      <c r="AS578" s="114"/>
      <c r="AT578" s="114"/>
      <c r="AU578" s="114"/>
      <c r="AV578" s="114"/>
      <c r="AW578" s="114"/>
      <c r="AX578" s="114"/>
      <c r="AY578" s="119"/>
      <c r="AZ578" s="115"/>
      <c r="BA578" s="243"/>
      <c r="BB578" s="115"/>
      <c r="BC578" s="115"/>
      <c r="BD578" s="115"/>
      <c r="BE578" s="115"/>
      <c r="BF578" s="115"/>
      <c r="BG578" s="115"/>
      <c r="BH578" s="115"/>
      <c r="BI578" s="115"/>
      <c r="BJ578" s="115"/>
    </row>
    <row r="579" spans="1:62" ht="15" hidden="1" customHeight="1" x14ac:dyDescent="0.35">
      <c r="A579" s="19" t="str">
        <f>VLOOKUP(C579,Master!A:D,4,0)</f>
        <v>FG</v>
      </c>
      <c r="B579" s="14" t="str">
        <f>VLOOKUP(C579,Master!A:C,3,0)</f>
        <v>Tarps</v>
      </c>
      <c r="C579" s="14" t="s">
        <v>903</v>
      </c>
      <c r="D579" s="2">
        <f t="shared" ref="D579:F579" si="438">+W527</f>
        <v>0</v>
      </c>
      <c r="E579" s="2">
        <f t="shared" si="438"/>
        <v>0</v>
      </c>
      <c r="F579" s="2">
        <f t="shared" si="438"/>
        <v>0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>
        <f t="shared" si="390"/>
        <v>0</v>
      </c>
      <c r="V579" s="2">
        <f t="shared" si="391"/>
        <v>0</v>
      </c>
      <c r="W579" s="2">
        <f t="shared" si="402"/>
        <v>0</v>
      </c>
      <c r="X579" s="2">
        <f t="shared" si="403"/>
        <v>0</v>
      </c>
      <c r="Y579" s="2">
        <f t="shared" si="404"/>
        <v>0</v>
      </c>
      <c r="Z579" s="46">
        <f t="shared" si="405"/>
        <v>0</v>
      </c>
      <c r="AA579" s="46">
        <f t="shared" si="396"/>
        <v>0</v>
      </c>
      <c r="AB579" s="46">
        <f t="shared" si="397"/>
        <v>0</v>
      </c>
      <c r="AC579" s="58">
        <f t="shared" si="398"/>
        <v>0</v>
      </c>
      <c r="AD579" s="58">
        <f t="shared" si="406"/>
        <v>0</v>
      </c>
      <c r="AE579" s="12">
        <f t="shared" si="407"/>
        <v>0</v>
      </c>
      <c r="AF579" s="56"/>
      <c r="AG579" s="62"/>
      <c r="AH579" s="117">
        <f t="shared" si="408"/>
        <v>0</v>
      </c>
      <c r="AI579" s="114"/>
      <c r="AJ579" s="114"/>
      <c r="AK579" s="114"/>
      <c r="AL579" s="114"/>
      <c r="AM579" s="114"/>
      <c r="AN579" s="114"/>
      <c r="AO579" s="114"/>
      <c r="AP579" s="114"/>
      <c r="AQ579" s="114"/>
      <c r="AR579" s="114"/>
      <c r="AS579" s="114"/>
      <c r="AT579" s="114"/>
      <c r="AU579" s="114"/>
      <c r="AV579" s="114"/>
      <c r="AW579" s="114"/>
      <c r="AX579" s="114"/>
      <c r="AY579" s="119"/>
      <c r="AZ579" s="115"/>
      <c r="BA579" s="243"/>
      <c r="BB579" s="115"/>
      <c r="BC579" s="115"/>
      <c r="BD579" s="115"/>
      <c r="BE579" s="115"/>
      <c r="BF579" s="115"/>
      <c r="BG579" s="115"/>
      <c r="BH579" s="115"/>
      <c r="BI579" s="115"/>
      <c r="BJ579" s="115"/>
    </row>
    <row r="580" spans="1:62" ht="15" hidden="1" customHeight="1" x14ac:dyDescent="0.35">
      <c r="A580" s="19" t="str">
        <f>VLOOKUP(C580,Master!A:D,4,0)</f>
        <v>FG</v>
      </c>
      <c r="B580" s="14" t="str">
        <f>VLOOKUP(C580,Master!A:C,3,0)</f>
        <v>Trading Items</v>
      </c>
      <c r="C580" s="14" t="s">
        <v>905</v>
      </c>
      <c r="D580" s="2">
        <f t="shared" ref="D580:F580" si="439">+W528</f>
        <v>0</v>
      </c>
      <c r="E580" s="2">
        <f t="shared" si="439"/>
        <v>0</v>
      </c>
      <c r="F580" s="2">
        <f t="shared" si="439"/>
        <v>0</v>
      </c>
      <c r="G580" s="6"/>
      <c r="H580" s="6"/>
      <c r="I580" s="6"/>
      <c r="J580" s="2"/>
      <c r="K580" s="6"/>
      <c r="L580" s="6"/>
      <c r="M580" s="6"/>
      <c r="N580" s="6"/>
      <c r="O580" s="6"/>
      <c r="P580" s="6"/>
      <c r="Q580" s="2"/>
      <c r="R580" s="6"/>
      <c r="S580" s="6"/>
      <c r="T580" s="6"/>
      <c r="U580" s="2">
        <f t="shared" ref="U580:U583" si="440">O580-S580</f>
        <v>0</v>
      </c>
      <c r="V580" s="2">
        <f t="shared" ref="V580:V583" si="441">P580-T580</f>
        <v>0</v>
      </c>
      <c r="W580" s="2">
        <f t="shared" si="402"/>
        <v>0</v>
      </c>
      <c r="X580" s="2">
        <f t="shared" si="403"/>
        <v>0</v>
      </c>
      <c r="Y580" s="2">
        <f t="shared" si="404"/>
        <v>0</v>
      </c>
      <c r="Z580" s="46">
        <f t="shared" si="405"/>
        <v>0</v>
      </c>
      <c r="AA580" s="46">
        <f t="shared" si="396"/>
        <v>0</v>
      </c>
      <c r="AB580" s="46">
        <f t="shared" si="397"/>
        <v>0</v>
      </c>
      <c r="AC580" s="58">
        <f t="shared" si="398"/>
        <v>0</v>
      </c>
      <c r="AD580" s="58">
        <f t="shared" si="406"/>
        <v>0</v>
      </c>
      <c r="AE580" s="12">
        <f t="shared" si="407"/>
        <v>0</v>
      </c>
      <c r="AF580" s="56"/>
      <c r="AG580" s="62"/>
      <c r="AH580" s="117">
        <f t="shared" si="408"/>
        <v>0</v>
      </c>
      <c r="AI580" s="114"/>
      <c r="AJ580" s="114"/>
      <c r="AK580" s="114"/>
      <c r="AL580" s="114"/>
      <c r="AM580" s="114"/>
      <c r="AN580" s="114"/>
      <c r="AO580" s="114"/>
      <c r="AP580" s="114"/>
      <c r="AQ580" s="114"/>
      <c r="AR580" s="114"/>
      <c r="AS580" s="114"/>
      <c r="AT580" s="114"/>
      <c r="AU580" s="114"/>
      <c r="AV580" s="114"/>
      <c r="AW580" s="114"/>
      <c r="AX580" s="114"/>
      <c r="AY580" s="119"/>
      <c r="AZ580" s="115"/>
      <c r="BA580" s="243"/>
      <c r="BB580" s="115"/>
      <c r="BC580" s="115"/>
      <c r="BD580" s="115"/>
      <c r="BE580" s="115"/>
      <c r="BF580" s="115"/>
      <c r="BG580" s="115"/>
      <c r="BH580" s="115"/>
      <c r="BI580" s="115"/>
      <c r="BJ580" s="115"/>
    </row>
    <row r="581" spans="1:62" ht="15" hidden="1" customHeight="1" x14ac:dyDescent="0.35">
      <c r="A581" s="19" t="str">
        <f>VLOOKUP(C581,Master!A:D,4,0)</f>
        <v>FG</v>
      </c>
      <c r="B581" s="14" t="str">
        <f>VLOOKUP(C581,Master!A:C,3,0)</f>
        <v>Small Bags</v>
      </c>
      <c r="C581" s="14" t="s">
        <v>907</v>
      </c>
      <c r="D581" s="2">
        <f t="shared" ref="D581:F581" si="442">+W529</f>
        <v>0</v>
      </c>
      <c r="E581" s="2">
        <f t="shared" si="442"/>
        <v>0</v>
      </c>
      <c r="F581" s="2">
        <f t="shared" si="442"/>
        <v>0</v>
      </c>
      <c r="G581" s="6"/>
      <c r="H581" s="2"/>
      <c r="I581" s="6"/>
      <c r="J581" s="2"/>
      <c r="K581" s="6"/>
      <c r="L581" s="6"/>
      <c r="M581" s="6"/>
      <c r="N581" s="6"/>
      <c r="O581" s="6"/>
      <c r="P581" s="6"/>
      <c r="Q581" s="2"/>
      <c r="R581" s="6"/>
      <c r="S581" s="6"/>
      <c r="T581" s="6"/>
      <c r="U581" s="2">
        <f t="shared" si="440"/>
        <v>0</v>
      </c>
      <c r="V581" s="2">
        <f t="shared" si="441"/>
        <v>0</v>
      </c>
      <c r="W581" s="2">
        <f t="shared" si="402"/>
        <v>0</v>
      </c>
      <c r="X581" s="2">
        <f t="shared" si="403"/>
        <v>0</v>
      </c>
      <c r="Y581" s="2">
        <f t="shared" si="404"/>
        <v>0</v>
      </c>
      <c r="Z581" s="46">
        <f t="shared" si="405"/>
        <v>0</v>
      </c>
      <c r="AA581" s="46">
        <f t="shared" si="396"/>
        <v>0</v>
      </c>
      <c r="AB581" s="46">
        <f t="shared" si="397"/>
        <v>0</v>
      </c>
      <c r="AC581" s="58">
        <f t="shared" si="398"/>
        <v>0</v>
      </c>
      <c r="AD581" s="58">
        <f t="shared" si="406"/>
        <v>0</v>
      </c>
      <c r="AE581" s="12">
        <f t="shared" si="407"/>
        <v>0</v>
      </c>
      <c r="AF581" s="56"/>
      <c r="AG581" s="62"/>
      <c r="AH581" s="117">
        <f t="shared" si="408"/>
        <v>0</v>
      </c>
      <c r="AI581" s="114"/>
      <c r="AJ581" s="114"/>
      <c r="AK581" s="114"/>
      <c r="AL581" s="114"/>
      <c r="AM581" s="114"/>
      <c r="AN581" s="114"/>
      <c r="AO581" s="114"/>
      <c r="AP581" s="114"/>
      <c r="AQ581" s="114"/>
      <c r="AR581" s="114"/>
      <c r="AS581" s="114"/>
      <c r="AT581" s="114"/>
      <c r="AU581" s="114"/>
      <c r="AV581" s="114"/>
      <c r="AW581" s="114"/>
      <c r="AX581" s="114"/>
      <c r="AY581" s="119"/>
      <c r="AZ581" s="115"/>
      <c r="BA581" s="243"/>
      <c r="BB581" s="115"/>
      <c r="BC581" s="115"/>
      <c r="BD581" s="115"/>
      <c r="BE581" s="115"/>
      <c r="BF581" s="115"/>
      <c r="BG581" s="115"/>
      <c r="BH581" s="115"/>
      <c r="BI581" s="115"/>
      <c r="BJ581" s="115"/>
    </row>
    <row r="582" spans="1:62" ht="15" hidden="1" customHeight="1" x14ac:dyDescent="0.35">
      <c r="A582" s="19" t="str">
        <f>VLOOKUP(C582,Master!A:D,4,0)</f>
        <v>FG</v>
      </c>
      <c r="B582" s="14" t="str">
        <f>VLOOKUP(C582,Master!A:C,3,0)</f>
        <v>Small Bags WIP</v>
      </c>
      <c r="C582" s="14" t="s">
        <v>908</v>
      </c>
      <c r="D582" s="2">
        <f t="shared" ref="D582:F582" si="443">+W530</f>
        <v>0</v>
      </c>
      <c r="E582" s="2">
        <f t="shared" si="443"/>
        <v>0</v>
      </c>
      <c r="F582" s="2">
        <f t="shared" si="443"/>
        <v>0</v>
      </c>
      <c r="G582" s="7"/>
      <c r="H582" s="2"/>
      <c r="I582" s="7"/>
      <c r="J582" s="11"/>
      <c r="K582" s="7"/>
      <c r="L582" s="7"/>
      <c r="M582" s="7"/>
      <c r="N582" s="7"/>
      <c r="O582" s="7"/>
      <c r="P582" s="7"/>
      <c r="Q582" s="2"/>
      <c r="R582" s="7"/>
      <c r="S582" s="7"/>
      <c r="T582" s="6"/>
      <c r="U582" s="2">
        <f t="shared" si="440"/>
        <v>0</v>
      </c>
      <c r="V582" s="2">
        <f t="shared" si="441"/>
        <v>0</v>
      </c>
      <c r="W582" s="2">
        <f t="shared" si="402"/>
        <v>0</v>
      </c>
      <c r="X582" s="2">
        <f t="shared" si="403"/>
        <v>0</v>
      </c>
      <c r="Y582" s="2">
        <f t="shared" si="404"/>
        <v>0</v>
      </c>
      <c r="Z582" s="46">
        <f t="shared" si="405"/>
        <v>0</v>
      </c>
      <c r="AA582" s="46">
        <f t="shared" si="396"/>
        <v>0</v>
      </c>
      <c r="AB582" s="46">
        <f t="shared" si="397"/>
        <v>0</v>
      </c>
      <c r="AC582" s="58">
        <f t="shared" si="398"/>
        <v>0</v>
      </c>
      <c r="AD582" s="58">
        <f t="shared" si="406"/>
        <v>0</v>
      </c>
      <c r="AE582" s="12">
        <f t="shared" si="407"/>
        <v>0</v>
      </c>
      <c r="AF582" s="56"/>
      <c r="AG582" s="62"/>
      <c r="AH582" s="117">
        <f t="shared" si="408"/>
        <v>0</v>
      </c>
      <c r="AI582" s="114"/>
      <c r="AJ582" s="114"/>
      <c r="AK582" s="114"/>
      <c r="AL582" s="114"/>
      <c r="AM582" s="114"/>
      <c r="AN582" s="114"/>
      <c r="AO582" s="114"/>
      <c r="AP582" s="114"/>
      <c r="AQ582" s="114"/>
      <c r="AR582" s="114"/>
      <c r="AS582" s="114"/>
      <c r="AT582" s="114"/>
      <c r="AU582" s="114"/>
      <c r="AV582" s="114"/>
      <c r="AW582" s="114"/>
      <c r="AX582" s="114"/>
      <c r="AY582" s="119"/>
      <c r="AZ582" s="115"/>
      <c r="BA582" s="243"/>
      <c r="BB582" s="115"/>
      <c r="BC582" s="115"/>
      <c r="BD582" s="115"/>
      <c r="BE582" s="115"/>
      <c r="BF582" s="115"/>
      <c r="BG582" s="115"/>
      <c r="BH582" s="115"/>
      <c r="BI582" s="115"/>
      <c r="BJ582" s="115"/>
    </row>
    <row r="583" spans="1:62" ht="15.75" hidden="1" customHeight="1" thickBot="1" x14ac:dyDescent="0.4">
      <c r="A583" s="20" t="str">
        <f>VLOOKUP(C583,Master!A:D,4,0)</f>
        <v>FG</v>
      </c>
      <c r="B583" s="21" t="str">
        <f>VLOOKUP(C583,Master!A:C,3,0)</f>
        <v>Flexitank</v>
      </c>
      <c r="C583" s="21" t="s">
        <v>718</v>
      </c>
      <c r="D583" s="2">
        <f t="shared" ref="D583:F583" si="444">+W531</f>
        <v>0</v>
      </c>
      <c r="E583" s="2">
        <f t="shared" si="444"/>
        <v>0</v>
      </c>
      <c r="F583" s="2">
        <f t="shared" si="444"/>
        <v>0</v>
      </c>
      <c r="G583" s="22"/>
      <c r="H583" s="22"/>
      <c r="I583" s="22"/>
      <c r="J583" s="24"/>
      <c r="K583" s="22"/>
      <c r="L583" s="22"/>
      <c r="M583" s="22"/>
      <c r="N583" s="22"/>
      <c r="O583" s="22"/>
      <c r="P583" s="22"/>
      <c r="Q583" s="2"/>
      <c r="R583" s="22"/>
      <c r="S583" s="22"/>
      <c r="T583" s="22"/>
      <c r="U583" s="2">
        <f t="shared" si="440"/>
        <v>0</v>
      </c>
      <c r="V583" s="2">
        <f t="shared" si="441"/>
        <v>0</v>
      </c>
      <c r="W583" s="2">
        <f t="shared" si="402"/>
        <v>0</v>
      </c>
      <c r="X583" s="2">
        <f t="shared" si="403"/>
        <v>0</v>
      </c>
      <c r="Y583" s="2">
        <f t="shared" si="404"/>
        <v>0</v>
      </c>
      <c r="Z583" s="46">
        <f t="shared" si="405"/>
        <v>0</v>
      </c>
      <c r="AA583" s="46">
        <f t="shared" si="396"/>
        <v>0</v>
      </c>
      <c r="AB583" s="46">
        <f t="shared" si="397"/>
        <v>0</v>
      </c>
      <c r="AC583" s="58">
        <f t="shared" si="398"/>
        <v>0</v>
      </c>
      <c r="AD583" s="58">
        <f t="shared" si="406"/>
        <v>0</v>
      </c>
      <c r="AE583" s="12">
        <f t="shared" si="407"/>
        <v>0</v>
      </c>
      <c r="AF583" s="56"/>
      <c r="AG583" s="65"/>
      <c r="AH583" s="117">
        <f t="shared" si="408"/>
        <v>0</v>
      </c>
      <c r="AI583" s="114"/>
      <c r="AJ583" s="114"/>
      <c r="AK583" s="114"/>
      <c r="AL583" s="114"/>
      <c r="AM583" s="114"/>
      <c r="AN583" s="114"/>
      <c r="AO583" s="114"/>
      <c r="AP583" s="114"/>
      <c r="AQ583" s="114"/>
      <c r="AR583" s="114"/>
      <c r="AS583" s="114"/>
      <c r="AT583" s="114"/>
      <c r="AU583" s="114"/>
      <c r="AV583" s="114"/>
      <c r="AW583" s="114"/>
      <c r="AX583" s="114"/>
      <c r="AY583" s="119"/>
      <c r="AZ583" s="115"/>
      <c r="BA583" s="243"/>
      <c r="BB583" s="115"/>
      <c r="BC583" s="115"/>
      <c r="BD583" s="115"/>
      <c r="BE583" s="115"/>
      <c r="BF583" s="115"/>
      <c r="BG583" s="115"/>
      <c r="BH583" s="115"/>
      <c r="BI583" s="115"/>
      <c r="BJ583" s="115"/>
    </row>
    <row r="584" spans="1:62" ht="15" hidden="1" customHeight="1" x14ac:dyDescent="0.35">
      <c r="A584" s="536" t="s">
        <v>928</v>
      </c>
      <c r="B584" s="537"/>
      <c r="C584" s="538"/>
      <c r="D584" s="17">
        <f>SUM(D547:D583)</f>
        <v>80511.518888000093</v>
      </c>
      <c r="E584" s="17">
        <f t="shared" ref="E584:Z584" si="445">SUM(E547:E583)</f>
        <v>449660.13</v>
      </c>
      <c r="F584" s="17">
        <f t="shared" si="445"/>
        <v>0</v>
      </c>
      <c r="G584" s="17">
        <f t="shared" si="445"/>
        <v>0</v>
      </c>
      <c r="H584" s="17">
        <f t="shared" si="445"/>
        <v>0</v>
      </c>
      <c r="I584" s="17">
        <f t="shared" si="445"/>
        <v>0</v>
      </c>
      <c r="J584" s="17">
        <f t="shared" si="445"/>
        <v>0</v>
      </c>
      <c r="K584" s="17">
        <f t="shared" si="445"/>
        <v>0</v>
      </c>
      <c r="L584" s="17">
        <f t="shared" si="445"/>
        <v>0</v>
      </c>
      <c r="M584" s="17">
        <f t="shared" si="445"/>
        <v>0</v>
      </c>
      <c r="N584" s="17">
        <f t="shared" si="445"/>
        <v>0</v>
      </c>
      <c r="O584" s="17">
        <f t="shared" si="445"/>
        <v>0</v>
      </c>
      <c r="P584" s="17">
        <f t="shared" si="445"/>
        <v>0</v>
      </c>
      <c r="Q584" s="17">
        <f t="shared" si="445"/>
        <v>0</v>
      </c>
      <c r="R584" s="17">
        <f t="shared" si="445"/>
        <v>0</v>
      </c>
      <c r="S584" s="17">
        <f t="shared" si="445"/>
        <v>0</v>
      </c>
      <c r="T584" s="17">
        <f t="shared" si="445"/>
        <v>0</v>
      </c>
      <c r="U584" s="17">
        <f t="shared" si="445"/>
        <v>0</v>
      </c>
      <c r="V584" s="17">
        <f t="shared" si="445"/>
        <v>0</v>
      </c>
      <c r="W584" s="17">
        <f t="shared" si="445"/>
        <v>80511.518888000093</v>
      </c>
      <c r="X584" s="17">
        <f t="shared" si="445"/>
        <v>449660.13</v>
      </c>
      <c r="Y584" s="17">
        <f t="shared" si="445"/>
        <v>0</v>
      </c>
      <c r="Z584" s="17">
        <f t="shared" si="445"/>
        <v>80511.518888000093</v>
      </c>
      <c r="AA584" s="17">
        <f>SUM(AA547:AA583)</f>
        <v>449460.13</v>
      </c>
      <c r="AB584" s="17">
        <f t="shared" ref="AB584:AF584" si="446">SUM(AB547:AB583)</f>
        <v>0</v>
      </c>
      <c r="AC584" s="17">
        <f t="shared" si="446"/>
        <v>0</v>
      </c>
      <c r="AD584" s="17">
        <f t="shared" si="446"/>
        <v>200</v>
      </c>
      <c r="AE584" s="17">
        <f t="shared" si="446"/>
        <v>0</v>
      </c>
      <c r="AF584" s="57">
        <f t="shared" si="446"/>
        <v>0</v>
      </c>
      <c r="AG584" s="61"/>
      <c r="AH584" s="120">
        <f>SUM(AH547:AH583)</f>
        <v>0</v>
      </c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19"/>
      <c r="AZ584" s="115"/>
      <c r="BA584" s="115"/>
      <c r="BB584" s="122"/>
      <c r="BC584" s="122"/>
      <c r="BD584" s="122"/>
      <c r="BE584" s="122"/>
      <c r="BF584" s="122"/>
      <c r="BG584" s="122"/>
      <c r="BH584" s="122"/>
      <c r="BI584" s="122"/>
      <c r="BJ584" s="115"/>
    </row>
    <row r="585" spans="1:62" ht="15" hidden="1" customHeight="1" x14ac:dyDescent="0.35">
      <c r="A585" s="533" t="s">
        <v>927</v>
      </c>
      <c r="B585" s="534"/>
      <c r="C585" s="535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  <c r="Z585" s="11"/>
      <c r="AA585" s="11"/>
      <c r="AB585" s="11"/>
      <c r="AC585" s="11"/>
      <c r="AD585" s="11"/>
      <c r="AE585" s="11"/>
      <c r="AF585" s="4"/>
      <c r="AG585" s="62"/>
      <c r="AH585" s="117"/>
      <c r="AI585" s="114"/>
      <c r="AJ585" s="114"/>
      <c r="AK585" s="114"/>
      <c r="AL585" s="114"/>
      <c r="AM585" s="114"/>
      <c r="AN585" s="114"/>
      <c r="AO585" s="114"/>
      <c r="AP585" s="114"/>
      <c r="AQ585" s="114"/>
      <c r="AR585" s="114"/>
      <c r="AS585" s="114"/>
      <c r="AT585" s="114"/>
      <c r="AU585" s="114"/>
      <c r="AV585" s="114"/>
      <c r="AW585" s="114"/>
      <c r="AX585" s="114"/>
      <c r="AY585" s="119"/>
      <c r="AZ585" s="115"/>
      <c r="BA585" s="115"/>
      <c r="BB585" s="115"/>
      <c r="BC585" s="115"/>
      <c r="BD585" s="115"/>
      <c r="BE585" s="115"/>
      <c r="BF585" s="115"/>
      <c r="BG585" s="115"/>
      <c r="BH585" s="115"/>
      <c r="BI585" s="115"/>
      <c r="BJ585" s="115"/>
    </row>
    <row r="586" spans="1:62" ht="15.75" hidden="1" customHeight="1" thickBot="1" x14ac:dyDescent="0.4">
      <c r="A586" s="547" t="s">
        <v>21</v>
      </c>
      <c r="B586" s="548"/>
      <c r="C586" s="549"/>
      <c r="D586" s="23"/>
      <c r="E586" s="23"/>
      <c r="F586" s="23"/>
      <c r="G586" s="24">
        <f>G584-G585</f>
        <v>0</v>
      </c>
      <c r="H586" s="24">
        <f t="shared" ref="H586:N586" si="447">H584-H585</f>
        <v>0</v>
      </c>
      <c r="I586" s="24">
        <f t="shared" si="447"/>
        <v>0</v>
      </c>
      <c r="J586" s="24">
        <f t="shared" si="447"/>
        <v>0</v>
      </c>
      <c r="K586" s="24">
        <f t="shared" si="447"/>
        <v>0</v>
      </c>
      <c r="L586" s="24">
        <f t="shared" si="447"/>
        <v>0</v>
      </c>
      <c r="M586" s="24">
        <f t="shared" si="447"/>
        <v>0</v>
      </c>
      <c r="N586" s="24">
        <f t="shared" si="447"/>
        <v>0</v>
      </c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79">
        <f>+AA584-AA585</f>
        <v>449460.13</v>
      </c>
      <c r="AB586" s="23"/>
      <c r="AC586" s="23"/>
      <c r="AD586" s="23"/>
      <c r="AE586" s="23"/>
      <c r="AF586" s="25"/>
      <c r="AG586" s="63"/>
      <c r="AH586" s="123"/>
      <c r="AI586" s="114"/>
      <c r="AJ586" s="114"/>
      <c r="AK586" s="114"/>
      <c r="AL586" s="114"/>
      <c r="AM586" s="114"/>
      <c r="AN586" s="114"/>
      <c r="AO586" s="114"/>
      <c r="AP586" s="114"/>
      <c r="AQ586" s="114"/>
      <c r="AR586" s="114"/>
      <c r="AS586" s="114"/>
      <c r="AT586" s="114"/>
      <c r="AU586" s="114"/>
      <c r="AV586" s="114"/>
      <c r="AW586" s="114"/>
      <c r="AX586" s="114"/>
      <c r="AY586" s="119"/>
      <c r="AZ586" s="115"/>
      <c r="BA586" s="115"/>
      <c r="BB586" s="115"/>
      <c r="BC586" s="115"/>
      <c r="BD586" s="115"/>
      <c r="BE586" s="115"/>
      <c r="BF586" s="115"/>
      <c r="BG586" s="115"/>
      <c r="BH586" s="115"/>
      <c r="BI586" s="115"/>
      <c r="BJ586" s="115"/>
    </row>
    <row r="587" spans="1:62" ht="15" hidden="1" customHeight="1" x14ac:dyDescent="0.35">
      <c r="O587" s="51" t="s">
        <v>970</v>
      </c>
      <c r="P587" s="70">
        <f>+O584-P584</f>
        <v>0</v>
      </c>
      <c r="S587" s="51" t="s">
        <v>970</v>
      </c>
      <c r="T587" s="70">
        <f>+S584-T584</f>
        <v>0</v>
      </c>
      <c r="W587" s="47"/>
      <c r="X587" s="47"/>
      <c r="AY587" s="246"/>
    </row>
    <row r="588" spans="1:62" ht="15" hidden="1" customHeight="1" x14ac:dyDescent="0.35">
      <c r="A588" s="29"/>
      <c r="O588" s="64"/>
      <c r="S588" s="47"/>
      <c r="W588" s="47">
        <f>+D584+H584-K584</f>
        <v>80511.518888000093</v>
      </c>
      <c r="X588" s="64">
        <f>+E584+J584-N584</f>
        <v>449660.13</v>
      </c>
      <c r="Y588" s="47"/>
      <c r="AH588" s="116">
        <f>+AH547+AH569+AH548+AH561+AH562+AH550+AH572</f>
        <v>0</v>
      </c>
      <c r="AI588" s="105" t="s">
        <v>932</v>
      </c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  <c r="AT588" s="116"/>
      <c r="AU588" s="116"/>
      <c r="AV588" s="116"/>
      <c r="AW588" s="116"/>
      <c r="AX588" s="116"/>
      <c r="AY588" s="246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</row>
    <row r="589" spans="1:62" ht="15" hidden="1" customHeight="1" x14ac:dyDescent="0.35">
      <c r="W589" s="64">
        <f>+W584-W588</f>
        <v>0</v>
      </c>
      <c r="X589" s="47">
        <f>+X584-X588</f>
        <v>0</v>
      </c>
      <c r="AH589" s="116">
        <f>+AH575</f>
        <v>0</v>
      </c>
      <c r="AI589" s="105" t="s">
        <v>931</v>
      </c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  <c r="AT589" s="116"/>
      <c r="AU589" s="116"/>
      <c r="AV589" s="116"/>
      <c r="AW589" s="116"/>
      <c r="AX589" s="116"/>
      <c r="AY589" s="246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</row>
    <row r="590" spans="1:62" ht="15" hidden="1" customHeight="1" x14ac:dyDescent="0.35">
      <c r="W590" s="64"/>
      <c r="AH590" s="116">
        <f>+AH567+AH574+AH577+AH581</f>
        <v>0</v>
      </c>
      <c r="AI590" s="105" t="s">
        <v>930</v>
      </c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  <c r="AT590" s="116"/>
      <c r="AU590" s="116"/>
      <c r="AV590" s="116"/>
      <c r="AW590" s="116"/>
      <c r="AX590" s="116"/>
      <c r="AY590" s="246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</row>
    <row r="591" spans="1:62" ht="15" hidden="1" customHeight="1" x14ac:dyDescent="0.35">
      <c r="AH591" s="116">
        <f>+AH584-AH588-AH589-AH590</f>
        <v>0</v>
      </c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  <c r="AT591" s="116"/>
      <c r="AU591" s="116"/>
      <c r="AV591" s="116"/>
      <c r="AW591" s="116"/>
      <c r="AX591" s="116"/>
      <c r="AY591" s="246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  <c r="BJ591" s="124"/>
    </row>
    <row r="592" spans="1:62" ht="15" hidden="1" customHeight="1" x14ac:dyDescent="0.35"/>
    <row r="593" spans="1:67" ht="15" hidden="1" customHeight="1" x14ac:dyDescent="0.35"/>
    <row r="594" spans="1:67" ht="15" hidden="1" customHeight="1" x14ac:dyDescent="0.35"/>
    <row r="595" spans="1:67" ht="15" hidden="1" customHeight="1" x14ac:dyDescent="0.35"/>
    <row r="596" spans="1:67" ht="15" hidden="1" customHeight="1" x14ac:dyDescent="0.35"/>
    <row r="597" spans="1:67" ht="15" hidden="1" customHeight="1" x14ac:dyDescent="0.35"/>
    <row r="598" spans="1:67" ht="15" hidden="1" customHeight="1" x14ac:dyDescent="0.35"/>
    <row r="599" spans="1:67" ht="15" hidden="1" customHeight="1" x14ac:dyDescent="0.35"/>
    <row r="600" spans="1:67" ht="15" hidden="1" customHeight="1" x14ac:dyDescent="0.35">
      <c r="AY600" s="246"/>
    </row>
    <row r="601" spans="1:67" ht="15" hidden="1" customHeight="1" x14ac:dyDescent="0.35"/>
    <row r="602" spans="1:67" hidden="1" x14ac:dyDescent="0.35">
      <c r="AH602" s="116"/>
    </row>
    <row r="603" spans="1:67" x14ac:dyDescent="0.35">
      <c r="AH603" s="282"/>
    </row>
    <row r="604" spans="1:67" ht="15" thickBot="1" x14ac:dyDescent="0.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  <c r="AT604" s="116"/>
      <c r="AU604" s="116"/>
      <c r="AV604" s="116"/>
      <c r="AW604" s="116"/>
      <c r="AX604" s="116"/>
      <c r="AY604" s="246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  <c r="BJ604" s="124"/>
      <c r="BK604" s="116"/>
    </row>
    <row r="605" spans="1:67" ht="15.75" customHeight="1" thickBot="1" x14ac:dyDescent="0.4">
      <c r="A605" s="539" t="s">
        <v>2358</v>
      </c>
      <c r="B605" s="540"/>
      <c r="C605" s="540"/>
      <c r="D605" s="539" t="s">
        <v>0</v>
      </c>
      <c r="E605" s="540"/>
      <c r="F605" s="540"/>
      <c r="G605" s="541" t="s">
        <v>2359</v>
      </c>
      <c r="H605" s="542"/>
      <c r="I605" s="542"/>
      <c r="J605" s="542"/>
      <c r="K605" s="542"/>
      <c r="L605" s="542"/>
      <c r="M605" s="542"/>
      <c r="N605" s="542"/>
      <c r="O605" s="542"/>
      <c r="P605" s="542"/>
      <c r="Q605" s="542"/>
      <c r="R605" s="542"/>
      <c r="S605" s="542"/>
      <c r="T605" s="542"/>
      <c r="U605" s="542"/>
      <c r="V605" s="543"/>
      <c r="W605" s="554" t="s">
        <v>20</v>
      </c>
      <c r="X605" s="554"/>
      <c r="Y605" s="554"/>
      <c r="Z605" s="52"/>
      <c r="AA605" s="52"/>
      <c r="AB605" s="52"/>
      <c r="AC605" s="52"/>
      <c r="AD605" s="52"/>
      <c r="AE605" s="52"/>
      <c r="AF605" s="52"/>
      <c r="AG605" s="52"/>
    </row>
    <row r="606" spans="1:67" ht="29.5" thickBot="1" x14ac:dyDescent="0.4">
      <c r="A606" s="10" t="s">
        <v>24</v>
      </c>
      <c r="B606" s="10" t="s">
        <v>924</v>
      </c>
      <c r="C606" s="10" t="s">
        <v>23</v>
      </c>
      <c r="D606" s="26" t="s">
        <v>1</v>
      </c>
      <c r="E606" s="27" t="s">
        <v>2</v>
      </c>
      <c r="F606" s="27" t="s">
        <v>3</v>
      </c>
      <c r="G606" s="27" t="s">
        <v>4</v>
      </c>
      <c r="H606" s="27" t="s">
        <v>5</v>
      </c>
      <c r="I606" s="27" t="s">
        <v>6</v>
      </c>
      <c r="J606" s="27" t="s">
        <v>7</v>
      </c>
      <c r="K606" s="27" t="s">
        <v>8</v>
      </c>
      <c r="L606" s="27" t="s">
        <v>9</v>
      </c>
      <c r="M606" s="27" t="s">
        <v>10</v>
      </c>
      <c r="N606" s="27" t="s">
        <v>11</v>
      </c>
      <c r="O606" s="27" t="s">
        <v>12</v>
      </c>
      <c r="P606" s="27" t="s">
        <v>13</v>
      </c>
      <c r="Q606" s="27" t="s">
        <v>14</v>
      </c>
      <c r="R606" s="27" t="s">
        <v>15</v>
      </c>
      <c r="S606" s="27" t="s">
        <v>16</v>
      </c>
      <c r="T606" s="27" t="s">
        <v>17</v>
      </c>
      <c r="U606" s="27" t="s">
        <v>18</v>
      </c>
      <c r="V606" s="27" t="s">
        <v>19</v>
      </c>
      <c r="W606" s="28" t="s">
        <v>1</v>
      </c>
      <c r="X606" s="28" t="s">
        <v>2</v>
      </c>
      <c r="Y606" s="28" t="s">
        <v>3</v>
      </c>
      <c r="Z606" s="52"/>
      <c r="AA606" s="52"/>
      <c r="AB606" s="52"/>
      <c r="AC606" s="52"/>
      <c r="AD606" s="52"/>
      <c r="AE606" s="52"/>
      <c r="AF606" s="52"/>
      <c r="AG606" s="52"/>
      <c r="AY606" s="111"/>
      <c r="AZ606" s="111"/>
      <c r="BA606" s="111"/>
    </row>
    <row r="607" spans="1:67" x14ac:dyDescent="0.35">
      <c r="A607" s="15" t="str">
        <f>VLOOKUP(C607,Master!A:D,4,0)</f>
        <v>RM</v>
      </c>
      <c r="B607" s="16" t="str">
        <f>VLOOKUP(C607,Master!A:C,3,0)</f>
        <v>Granuals</v>
      </c>
      <c r="C607" s="16" t="s">
        <v>32</v>
      </c>
      <c r="D607" s="48">
        <f t="shared" ref="D607:F626" si="448">+D4</f>
        <v>1834.7000000000003</v>
      </c>
      <c r="E607" s="48">
        <f t="shared" si="448"/>
        <v>350</v>
      </c>
      <c r="F607" s="48">
        <f t="shared" si="448"/>
        <v>0</v>
      </c>
      <c r="G607" s="17">
        <f t="shared" ref="G607:V607" si="449">+G4+G53+G102+G151+G200+G250+G299+G348+G397+G446+G495+G547</f>
        <v>0</v>
      </c>
      <c r="H607" s="17">
        <f t="shared" si="449"/>
        <v>925</v>
      </c>
      <c r="I607" s="17">
        <f t="shared" si="449"/>
        <v>0</v>
      </c>
      <c r="J607" s="17">
        <f t="shared" si="449"/>
        <v>1175</v>
      </c>
      <c r="K607" s="17">
        <f t="shared" si="449"/>
        <v>0</v>
      </c>
      <c r="L607" s="17">
        <f t="shared" si="449"/>
        <v>0</v>
      </c>
      <c r="M607" s="17">
        <f t="shared" si="449"/>
        <v>0</v>
      </c>
      <c r="N607" s="17">
        <f t="shared" si="449"/>
        <v>0</v>
      </c>
      <c r="O607" s="17">
        <f t="shared" si="449"/>
        <v>0</v>
      </c>
      <c r="P607" s="17">
        <f t="shared" si="449"/>
        <v>1589.9</v>
      </c>
      <c r="Q607" s="17">
        <f t="shared" si="449"/>
        <v>0</v>
      </c>
      <c r="R607" s="17">
        <f t="shared" si="449"/>
        <v>0</v>
      </c>
      <c r="S607" s="17">
        <f t="shared" si="449"/>
        <v>0</v>
      </c>
      <c r="T607" s="17">
        <f t="shared" si="449"/>
        <v>1325</v>
      </c>
      <c r="U607" s="17">
        <f t="shared" si="449"/>
        <v>0</v>
      </c>
      <c r="V607" s="17">
        <f t="shared" si="449"/>
        <v>264.89999999999998</v>
      </c>
      <c r="W607" s="17">
        <f>D607+G607+H607+I607-K607-L607-M607-V607+U607</f>
        <v>2494.8000000000002</v>
      </c>
      <c r="X607" s="17">
        <f t="shared" ref="X607:X608" si="450">E607+J607-N607-T607+S607</f>
        <v>200</v>
      </c>
      <c r="Y607" s="17">
        <f t="shared" ref="Y607:Y608" si="451">F607-I607+M607-R607+Q607</f>
        <v>0</v>
      </c>
      <c r="Z607" s="52"/>
      <c r="AA607" s="52"/>
      <c r="AB607" s="66"/>
      <c r="AC607" s="66"/>
      <c r="AD607" s="52"/>
      <c r="AE607" s="52"/>
      <c r="AF607" s="52"/>
      <c r="AG607" s="52"/>
      <c r="AY607" s="119"/>
      <c r="AZ607" s="115"/>
      <c r="BA607" s="115"/>
      <c r="BM607" s="118"/>
      <c r="BN607" s="118"/>
      <c r="BO607" s="118"/>
    </row>
    <row r="608" spans="1:67" x14ac:dyDescent="0.35">
      <c r="A608" s="19" t="str">
        <f>VLOOKUP(C608,Master!A:D,4,0)</f>
        <v>RM</v>
      </c>
      <c r="B608" s="14" t="str">
        <f>VLOOKUP(C608,Master!A:C,3,0)</f>
        <v>Granuals</v>
      </c>
      <c r="C608" s="14" t="s">
        <v>37</v>
      </c>
      <c r="D608" s="2">
        <f t="shared" si="448"/>
        <v>23534.34888799995</v>
      </c>
      <c r="E608" s="2">
        <f t="shared" si="448"/>
        <v>579675.5</v>
      </c>
      <c r="F608" s="2">
        <f t="shared" si="448"/>
        <v>0</v>
      </c>
      <c r="G608" s="2">
        <f t="shared" ref="G608:V608" si="452">+G5+G54+G103+G152+G201+G251+G300+G349+G398+G447+G496+G548</f>
        <v>0</v>
      </c>
      <c r="H608" s="2">
        <f t="shared" si="452"/>
        <v>294900</v>
      </c>
      <c r="I608" s="2">
        <f t="shared" si="452"/>
        <v>0</v>
      </c>
      <c r="J608" s="2">
        <f t="shared" si="452"/>
        <v>314250</v>
      </c>
      <c r="K608" s="2">
        <f t="shared" si="452"/>
        <v>0</v>
      </c>
      <c r="L608" s="2">
        <f t="shared" si="452"/>
        <v>0</v>
      </c>
      <c r="M608" s="2">
        <f t="shared" si="452"/>
        <v>0</v>
      </c>
      <c r="N608" s="2">
        <f t="shared" si="452"/>
        <v>0</v>
      </c>
      <c r="O608" s="2">
        <f t="shared" si="452"/>
        <v>0</v>
      </c>
      <c r="P608" s="2">
        <f t="shared" si="452"/>
        <v>841065.42888799997</v>
      </c>
      <c r="Q608" s="2">
        <f t="shared" si="452"/>
        <v>0</v>
      </c>
      <c r="R608" s="2">
        <f t="shared" si="452"/>
        <v>0</v>
      </c>
      <c r="S608" s="2">
        <f t="shared" si="452"/>
        <v>0</v>
      </c>
      <c r="T608" s="2">
        <f t="shared" si="452"/>
        <v>552625.80000000005</v>
      </c>
      <c r="U608" s="2">
        <f t="shared" si="452"/>
        <v>0</v>
      </c>
      <c r="V608" s="2">
        <f t="shared" si="452"/>
        <v>288439.62888799992</v>
      </c>
      <c r="W608" s="54">
        <f t="shared" ref="W608" si="453">D608+G608+H608+I608-K608-L608-M608-V608+U608</f>
        <v>29994.72000000003</v>
      </c>
      <c r="X608" s="2">
        <f t="shared" si="450"/>
        <v>341299.69999999995</v>
      </c>
      <c r="Y608" s="2">
        <f t="shared" si="451"/>
        <v>0</v>
      </c>
      <c r="Z608" s="52"/>
      <c r="AA608" s="52"/>
      <c r="AB608" s="66"/>
      <c r="AC608" s="66"/>
      <c r="AD608" s="52"/>
      <c r="AE608" s="52"/>
      <c r="AF608" s="52"/>
      <c r="AG608" s="52"/>
      <c r="AY608" s="119"/>
      <c r="AZ608" s="115"/>
      <c r="BA608" s="243"/>
      <c r="BM608" s="118"/>
      <c r="BN608" s="118"/>
      <c r="BO608" s="118"/>
    </row>
    <row r="609" spans="1:67" x14ac:dyDescent="0.35">
      <c r="A609" s="19" t="str">
        <f>VLOOKUP(C609,Master!A:D,4,0)</f>
        <v>RM</v>
      </c>
      <c r="B609" s="14" t="str">
        <f>VLOOKUP(C609,Master!A:C,3,0)</f>
        <v>Granuals</v>
      </c>
      <c r="C609" s="14" t="s">
        <v>40</v>
      </c>
      <c r="D609" s="2">
        <f t="shared" si="448"/>
        <v>0</v>
      </c>
      <c r="E609" s="2">
        <f t="shared" si="448"/>
        <v>0</v>
      </c>
      <c r="F609" s="2">
        <f t="shared" si="448"/>
        <v>0</v>
      </c>
      <c r="G609" s="2">
        <f t="shared" ref="G609:V609" si="454">+G6+G55+G104+G153+G202+G252+G301+G350+G399+G448+G497+G549</f>
        <v>0</v>
      </c>
      <c r="H609" s="2">
        <f t="shared" si="454"/>
        <v>0</v>
      </c>
      <c r="I609" s="2">
        <f t="shared" si="454"/>
        <v>0</v>
      </c>
      <c r="J609" s="2">
        <f t="shared" si="454"/>
        <v>0</v>
      </c>
      <c r="K609" s="2">
        <f t="shared" si="454"/>
        <v>0</v>
      </c>
      <c r="L609" s="2">
        <f t="shared" si="454"/>
        <v>0</v>
      </c>
      <c r="M609" s="2">
        <f t="shared" si="454"/>
        <v>0</v>
      </c>
      <c r="N609" s="2">
        <f t="shared" si="454"/>
        <v>0</v>
      </c>
      <c r="O609" s="2">
        <f t="shared" si="454"/>
        <v>0</v>
      </c>
      <c r="P609" s="2">
        <f t="shared" si="454"/>
        <v>0</v>
      </c>
      <c r="Q609" s="2">
        <f t="shared" si="454"/>
        <v>0</v>
      </c>
      <c r="R609" s="2">
        <f t="shared" si="454"/>
        <v>0</v>
      </c>
      <c r="S609" s="2">
        <f t="shared" si="454"/>
        <v>0</v>
      </c>
      <c r="T609" s="2">
        <f t="shared" si="454"/>
        <v>0</v>
      </c>
      <c r="U609" s="2">
        <f t="shared" si="454"/>
        <v>0</v>
      </c>
      <c r="V609" s="2">
        <f t="shared" si="454"/>
        <v>0</v>
      </c>
      <c r="W609" s="54">
        <f t="shared" ref="W609:W643" si="455">D609+G609+H609+I609-K609-L609-M609-V609+U609</f>
        <v>0</v>
      </c>
      <c r="X609" s="2">
        <f t="shared" ref="X609:X643" si="456">E609+J609-N609-T609+S609</f>
        <v>0</v>
      </c>
      <c r="Y609" s="2">
        <f t="shared" ref="Y609:Y643" si="457">F609-I609+M609-R609+Q609</f>
        <v>0</v>
      </c>
      <c r="Z609" s="52"/>
      <c r="AA609" s="52"/>
      <c r="AB609" s="66"/>
      <c r="AC609" s="66"/>
      <c r="AD609" s="52"/>
      <c r="AE609" s="52"/>
      <c r="AF609" s="52"/>
      <c r="AG609" s="52"/>
      <c r="AY609" s="119"/>
      <c r="AZ609" s="115"/>
      <c r="BA609" s="115"/>
      <c r="BM609" s="118"/>
      <c r="BN609" s="118"/>
      <c r="BO609" s="118"/>
    </row>
    <row r="610" spans="1:67" x14ac:dyDescent="0.35">
      <c r="A610" s="19" t="str">
        <f>VLOOKUP(C610,Master!A:D,4,0)</f>
        <v>RM</v>
      </c>
      <c r="B610" s="14" t="str">
        <f>VLOOKUP(C610,Master!A:C,3,0)</f>
        <v>Granuals</v>
      </c>
      <c r="C610" s="14" t="s">
        <v>46</v>
      </c>
      <c r="D610" s="2">
        <f t="shared" si="448"/>
        <v>0</v>
      </c>
      <c r="E610" s="2">
        <f t="shared" si="448"/>
        <v>13000</v>
      </c>
      <c r="F610" s="2">
        <f t="shared" si="448"/>
        <v>0</v>
      </c>
      <c r="G610" s="2">
        <f t="shared" ref="G610:V610" si="458">+G7+G56+G105+G154+G203+G253+G302+G351+G400+G449+G498+G550</f>
        <v>0</v>
      </c>
      <c r="H610" s="2">
        <f t="shared" si="458"/>
        <v>1000</v>
      </c>
      <c r="I610" s="2">
        <f t="shared" si="458"/>
        <v>0</v>
      </c>
      <c r="J610" s="2">
        <f t="shared" si="458"/>
        <v>2000</v>
      </c>
      <c r="K610" s="2">
        <f t="shared" si="458"/>
        <v>0</v>
      </c>
      <c r="L610" s="2">
        <f t="shared" si="458"/>
        <v>0</v>
      </c>
      <c r="M610" s="2">
        <f t="shared" si="458"/>
        <v>0</v>
      </c>
      <c r="N610" s="2">
        <f t="shared" si="458"/>
        <v>0</v>
      </c>
      <c r="O610" s="2">
        <f t="shared" si="458"/>
        <v>0</v>
      </c>
      <c r="P610" s="2">
        <f t="shared" si="458"/>
        <v>1000</v>
      </c>
      <c r="Q610" s="2">
        <f t="shared" si="458"/>
        <v>0</v>
      </c>
      <c r="R610" s="2">
        <f t="shared" si="458"/>
        <v>0</v>
      </c>
      <c r="S610" s="2">
        <f t="shared" si="458"/>
        <v>0</v>
      </c>
      <c r="T610" s="2">
        <f t="shared" si="458"/>
        <v>0</v>
      </c>
      <c r="U610" s="2">
        <f t="shared" si="458"/>
        <v>0</v>
      </c>
      <c r="V610" s="2">
        <f t="shared" si="458"/>
        <v>1000</v>
      </c>
      <c r="W610" s="54">
        <f t="shared" si="455"/>
        <v>0</v>
      </c>
      <c r="X610" s="2">
        <f t="shared" si="456"/>
        <v>15000</v>
      </c>
      <c r="Y610" s="2">
        <f t="shared" si="457"/>
        <v>0</v>
      </c>
      <c r="Z610" s="52"/>
      <c r="AA610" s="52"/>
      <c r="AB610" s="66"/>
      <c r="AC610" s="66"/>
      <c r="AD610" s="52"/>
      <c r="AE610" s="52"/>
      <c r="AF610" s="52"/>
      <c r="AG610" s="52"/>
      <c r="AY610" s="119"/>
      <c r="AZ610" s="115"/>
      <c r="BA610" s="115"/>
      <c r="BM610" s="118"/>
      <c r="BN610" s="118"/>
      <c r="BO610" s="118"/>
    </row>
    <row r="611" spans="1:67" x14ac:dyDescent="0.35">
      <c r="A611" s="19" t="str">
        <f>VLOOKUP(C611,Master!A:D,4,0)</f>
        <v>RM</v>
      </c>
      <c r="B611" s="14" t="str">
        <f>VLOOKUP(C611,Master!A:C,3,0)</f>
        <v>Granuals</v>
      </c>
      <c r="C611" s="14" t="s">
        <v>49</v>
      </c>
      <c r="D611" s="2">
        <f t="shared" si="448"/>
        <v>0</v>
      </c>
      <c r="E611" s="2">
        <f t="shared" si="448"/>
        <v>0</v>
      </c>
      <c r="F611" s="2">
        <f t="shared" si="448"/>
        <v>0</v>
      </c>
      <c r="G611" s="2">
        <f t="shared" ref="G611:V611" si="459">+G8+G57+G106+G155+G204+G254+G303+G352+G401+G450+G499+G551</f>
        <v>0</v>
      </c>
      <c r="H611" s="2">
        <f t="shared" si="459"/>
        <v>0</v>
      </c>
      <c r="I611" s="2">
        <f t="shared" si="459"/>
        <v>0</v>
      </c>
      <c r="J611" s="2">
        <f t="shared" si="459"/>
        <v>0</v>
      </c>
      <c r="K611" s="2">
        <f t="shared" si="459"/>
        <v>0</v>
      </c>
      <c r="L611" s="2">
        <f t="shared" si="459"/>
        <v>0</v>
      </c>
      <c r="M611" s="2">
        <f t="shared" si="459"/>
        <v>0</v>
      </c>
      <c r="N611" s="2">
        <f t="shared" si="459"/>
        <v>0</v>
      </c>
      <c r="O611" s="2">
        <f t="shared" si="459"/>
        <v>0</v>
      </c>
      <c r="P611" s="2">
        <f t="shared" si="459"/>
        <v>0</v>
      </c>
      <c r="Q611" s="2">
        <f t="shared" si="459"/>
        <v>0</v>
      </c>
      <c r="R611" s="2">
        <f t="shared" si="459"/>
        <v>0</v>
      </c>
      <c r="S611" s="2">
        <f t="shared" si="459"/>
        <v>0</v>
      </c>
      <c r="T611" s="2">
        <f t="shared" si="459"/>
        <v>0</v>
      </c>
      <c r="U611" s="2">
        <f t="shared" si="459"/>
        <v>0</v>
      </c>
      <c r="V611" s="2">
        <f t="shared" si="459"/>
        <v>0</v>
      </c>
      <c r="W611" s="54">
        <f t="shared" si="455"/>
        <v>0</v>
      </c>
      <c r="X611" s="2">
        <f t="shared" si="456"/>
        <v>0</v>
      </c>
      <c r="Y611" s="2">
        <f t="shared" si="457"/>
        <v>0</v>
      </c>
      <c r="Z611" s="52"/>
      <c r="AA611" s="52"/>
      <c r="AB611" s="66"/>
      <c r="AC611" s="66"/>
      <c r="AD611" s="52"/>
      <c r="AE611" s="52"/>
      <c r="AF611" s="52"/>
      <c r="AG611" s="52"/>
      <c r="AY611" s="119"/>
      <c r="AZ611" s="115"/>
      <c r="BA611" s="115"/>
      <c r="BM611" s="118"/>
      <c r="BN611" s="118"/>
      <c r="BO611" s="118"/>
    </row>
    <row r="612" spans="1:67" x14ac:dyDescent="0.35">
      <c r="A612" s="19" t="str">
        <f>VLOOKUP(C612,Master!A:D,4,0)</f>
        <v>RM</v>
      </c>
      <c r="B612" s="14" t="str">
        <f>VLOOKUP(C612,Master!A:C,3,0)</f>
        <v>Granuals</v>
      </c>
      <c r="C612" s="14" t="s">
        <v>55</v>
      </c>
      <c r="D612" s="2">
        <f t="shared" si="448"/>
        <v>0</v>
      </c>
      <c r="E612" s="2">
        <f t="shared" si="448"/>
        <v>15000</v>
      </c>
      <c r="F612" s="2">
        <f t="shared" si="448"/>
        <v>0</v>
      </c>
      <c r="G612" s="2">
        <f t="shared" ref="G612:V612" si="460">+G9+G58+G107+G156+G205+G255+G304+G353+G402+G451+G500+G552</f>
        <v>0</v>
      </c>
      <c r="H612" s="2">
        <f t="shared" si="460"/>
        <v>0</v>
      </c>
      <c r="I612" s="2">
        <f t="shared" si="460"/>
        <v>0</v>
      </c>
      <c r="J612" s="2">
        <f t="shared" si="460"/>
        <v>19350</v>
      </c>
      <c r="K612" s="2">
        <f t="shared" si="460"/>
        <v>0</v>
      </c>
      <c r="L612" s="2">
        <f t="shared" si="460"/>
        <v>0</v>
      </c>
      <c r="M612" s="2">
        <f t="shared" si="460"/>
        <v>0</v>
      </c>
      <c r="N612" s="2">
        <f t="shared" si="460"/>
        <v>0</v>
      </c>
      <c r="O612" s="2">
        <f t="shared" si="460"/>
        <v>0</v>
      </c>
      <c r="P612" s="2">
        <f t="shared" si="460"/>
        <v>8800</v>
      </c>
      <c r="Q612" s="2">
        <f t="shared" si="460"/>
        <v>0</v>
      </c>
      <c r="R612" s="2">
        <f t="shared" si="460"/>
        <v>0</v>
      </c>
      <c r="S612" s="2">
        <f t="shared" si="460"/>
        <v>0</v>
      </c>
      <c r="T612" s="2">
        <f t="shared" si="460"/>
        <v>8800</v>
      </c>
      <c r="U612" s="2">
        <f t="shared" si="460"/>
        <v>0</v>
      </c>
      <c r="V612" s="2">
        <f t="shared" si="460"/>
        <v>0</v>
      </c>
      <c r="W612" s="54">
        <f t="shared" si="455"/>
        <v>0</v>
      </c>
      <c r="X612" s="2">
        <f t="shared" si="456"/>
        <v>25550</v>
      </c>
      <c r="Y612" s="2">
        <f t="shared" si="457"/>
        <v>0</v>
      </c>
      <c r="Z612" s="52"/>
      <c r="AA612" s="52"/>
      <c r="AB612" s="66"/>
      <c r="AC612" s="66"/>
      <c r="AD612" s="52"/>
      <c r="AE612" s="52"/>
      <c r="AF612" s="52"/>
      <c r="AG612" s="52"/>
      <c r="AY612" s="119"/>
      <c r="AZ612" s="115"/>
      <c r="BA612" s="115"/>
      <c r="BM612" s="118"/>
      <c r="BN612" s="118"/>
      <c r="BO612" s="118"/>
    </row>
    <row r="613" spans="1:67" x14ac:dyDescent="0.35">
      <c r="A613" s="19" t="str">
        <f>VLOOKUP(C613,Master!A:D,4,0)</f>
        <v>RM</v>
      </c>
      <c r="B613" s="14" t="str">
        <f>VLOOKUP(C613,Master!A:C,3,0)</f>
        <v>FIBC Accessories</v>
      </c>
      <c r="C613" s="14" t="s">
        <v>69</v>
      </c>
      <c r="D613" s="2">
        <f t="shared" si="448"/>
        <v>0</v>
      </c>
      <c r="E613" s="2">
        <f t="shared" si="448"/>
        <v>0</v>
      </c>
      <c r="F613" s="2">
        <f t="shared" si="448"/>
        <v>0</v>
      </c>
      <c r="G613" s="2">
        <f t="shared" ref="G613:V613" si="461">+G10+G59+G108+G157+G206+G256+G305+G354+G403+G452+G501+G553</f>
        <v>0</v>
      </c>
      <c r="H613" s="2">
        <f t="shared" si="461"/>
        <v>0</v>
      </c>
      <c r="I613" s="2">
        <f t="shared" si="461"/>
        <v>0</v>
      </c>
      <c r="J613" s="2">
        <f t="shared" si="461"/>
        <v>0</v>
      </c>
      <c r="K613" s="2">
        <f t="shared" si="461"/>
        <v>0</v>
      </c>
      <c r="L613" s="2">
        <f t="shared" si="461"/>
        <v>0</v>
      </c>
      <c r="M613" s="2">
        <f t="shared" si="461"/>
        <v>0</v>
      </c>
      <c r="N613" s="2">
        <f t="shared" si="461"/>
        <v>0</v>
      </c>
      <c r="O613" s="2">
        <f t="shared" si="461"/>
        <v>0</v>
      </c>
      <c r="P613" s="2">
        <f t="shared" si="461"/>
        <v>0</v>
      </c>
      <c r="Q613" s="2">
        <f t="shared" si="461"/>
        <v>0</v>
      </c>
      <c r="R613" s="2">
        <f t="shared" si="461"/>
        <v>0</v>
      </c>
      <c r="S613" s="2">
        <f t="shared" si="461"/>
        <v>0</v>
      </c>
      <c r="T613" s="2">
        <f t="shared" si="461"/>
        <v>0</v>
      </c>
      <c r="U613" s="2">
        <f t="shared" si="461"/>
        <v>0</v>
      </c>
      <c r="V613" s="2">
        <f t="shared" si="461"/>
        <v>0</v>
      </c>
      <c r="W613" s="54">
        <f t="shared" si="455"/>
        <v>0</v>
      </c>
      <c r="X613" s="2">
        <f t="shared" si="456"/>
        <v>0</v>
      </c>
      <c r="Y613" s="2">
        <f t="shared" si="457"/>
        <v>0</v>
      </c>
      <c r="Z613" s="52"/>
      <c r="AA613" s="52"/>
      <c r="AB613" s="66"/>
      <c r="AC613" s="66"/>
      <c r="AD613" s="52"/>
      <c r="AE613" s="52"/>
      <c r="AF613" s="52"/>
      <c r="AG613" s="52"/>
      <c r="AY613" s="119"/>
      <c r="AZ613" s="115"/>
      <c r="BA613" s="115"/>
      <c r="BM613" s="118"/>
      <c r="BN613" s="118"/>
      <c r="BO613" s="118"/>
    </row>
    <row r="614" spans="1:67" x14ac:dyDescent="0.35">
      <c r="A614" s="19" t="str">
        <f>VLOOKUP(C614,Master!A:D,4,0)</f>
        <v>RM</v>
      </c>
      <c r="B614" s="14" t="str">
        <f>VLOOKUP(C614,Master!A:C,3,0)</f>
        <v>Films All</v>
      </c>
      <c r="C614" s="14" t="s">
        <v>71</v>
      </c>
      <c r="D614" s="2">
        <f t="shared" si="448"/>
        <v>0</v>
      </c>
      <c r="E614" s="2">
        <f t="shared" si="448"/>
        <v>0</v>
      </c>
      <c r="F614" s="2">
        <f t="shared" si="448"/>
        <v>0</v>
      </c>
      <c r="G614" s="2">
        <f t="shared" ref="G614:V614" si="462">+G11+G60+G109+G158+G207+G257+G306+G355+G404+G453+G502+G554</f>
        <v>0</v>
      </c>
      <c r="H614" s="2">
        <f t="shared" si="462"/>
        <v>0</v>
      </c>
      <c r="I614" s="2">
        <f t="shared" si="462"/>
        <v>0</v>
      </c>
      <c r="J614" s="2">
        <f t="shared" si="462"/>
        <v>0</v>
      </c>
      <c r="K614" s="2">
        <f t="shared" si="462"/>
        <v>0</v>
      </c>
      <c r="L614" s="2">
        <f t="shared" si="462"/>
        <v>0</v>
      </c>
      <c r="M614" s="2">
        <f t="shared" si="462"/>
        <v>0</v>
      </c>
      <c r="N614" s="2">
        <f t="shared" si="462"/>
        <v>0</v>
      </c>
      <c r="O614" s="2">
        <f t="shared" si="462"/>
        <v>0</v>
      </c>
      <c r="P614" s="2">
        <f t="shared" si="462"/>
        <v>0</v>
      </c>
      <c r="Q614" s="2">
        <f t="shared" si="462"/>
        <v>0</v>
      </c>
      <c r="R614" s="2">
        <f t="shared" si="462"/>
        <v>0</v>
      </c>
      <c r="S614" s="2">
        <f t="shared" si="462"/>
        <v>0</v>
      </c>
      <c r="T614" s="2">
        <f t="shared" si="462"/>
        <v>0</v>
      </c>
      <c r="U614" s="2">
        <f t="shared" si="462"/>
        <v>0</v>
      </c>
      <c r="V614" s="2">
        <f t="shared" si="462"/>
        <v>0</v>
      </c>
      <c r="W614" s="54">
        <f t="shared" si="455"/>
        <v>0</v>
      </c>
      <c r="X614" s="2">
        <f t="shared" si="456"/>
        <v>0</v>
      </c>
      <c r="Y614" s="2">
        <f t="shared" si="457"/>
        <v>0</v>
      </c>
      <c r="Z614" s="52"/>
      <c r="AA614" s="52"/>
      <c r="AB614" s="66"/>
      <c r="AC614" s="66"/>
      <c r="AD614" s="52"/>
      <c r="AE614" s="52"/>
      <c r="AF614" s="52"/>
      <c r="AG614" s="52"/>
      <c r="AY614" s="119"/>
      <c r="AZ614" s="115"/>
      <c r="BA614" s="115"/>
      <c r="BM614" s="118"/>
      <c r="BN614" s="118"/>
      <c r="BO614" s="118"/>
    </row>
    <row r="615" spans="1:67" x14ac:dyDescent="0.35">
      <c r="A615" s="19" t="str">
        <f>VLOOKUP(C615,Master!A:D,4,0)</f>
        <v>RM</v>
      </c>
      <c r="B615" s="14" t="str">
        <f>VLOOKUP(C615,Master!A:C,3,0)</f>
        <v>Granuals</v>
      </c>
      <c r="C615" s="14" t="s">
        <v>85</v>
      </c>
      <c r="D615" s="2">
        <f t="shared" si="448"/>
        <v>0</v>
      </c>
      <c r="E615" s="2">
        <f t="shared" si="448"/>
        <v>0</v>
      </c>
      <c r="F615" s="2">
        <f t="shared" si="448"/>
        <v>0</v>
      </c>
      <c r="G615" s="2">
        <f t="shared" ref="G615:V615" si="463">+G12+G61+G110+G159+G208+G258+G307+G356+G405+G454+G503+G555</f>
        <v>0</v>
      </c>
      <c r="H615" s="2">
        <f t="shared" si="463"/>
        <v>25000</v>
      </c>
      <c r="I615" s="2">
        <f t="shared" si="463"/>
        <v>0</v>
      </c>
      <c r="J615" s="2">
        <f t="shared" si="463"/>
        <v>8000</v>
      </c>
      <c r="K615" s="2">
        <f t="shared" si="463"/>
        <v>0</v>
      </c>
      <c r="L615" s="2">
        <f t="shared" si="463"/>
        <v>0</v>
      </c>
      <c r="M615" s="2">
        <f t="shared" si="463"/>
        <v>0</v>
      </c>
      <c r="N615" s="2">
        <f t="shared" si="463"/>
        <v>0</v>
      </c>
      <c r="O615" s="2">
        <f t="shared" si="463"/>
        <v>0</v>
      </c>
      <c r="P615" s="2">
        <f t="shared" si="463"/>
        <v>33000</v>
      </c>
      <c r="Q615" s="2">
        <f t="shared" si="463"/>
        <v>0</v>
      </c>
      <c r="R615" s="2">
        <f t="shared" si="463"/>
        <v>0</v>
      </c>
      <c r="S615" s="2">
        <f t="shared" si="463"/>
        <v>0</v>
      </c>
      <c r="T615" s="2">
        <f t="shared" si="463"/>
        <v>8000</v>
      </c>
      <c r="U615" s="2">
        <f t="shared" si="463"/>
        <v>0</v>
      </c>
      <c r="V615" s="2">
        <f t="shared" si="463"/>
        <v>25000</v>
      </c>
      <c r="W615" s="54">
        <f t="shared" si="455"/>
        <v>0</v>
      </c>
      <c r="X615" s="2">
        <f t="shared" si="456"/>
        <v>0</v>
      </c>
      <c r="Y615" s="2">
        <f t="shared" si="457"/>
        <v>0</v>
      </c>
      <c r="Z615" s="52"/>
      <c r="AA615" s="52"/>
      <c r="AB615" s="66"/>
      <c r="AC615" s="66"/>
      <c r="AD615" s="52"/>
      <c r="AE615" s="52"/>
      <c r="AF615" s="52"/>
      <c r="AG615" s="52"/>
      <c r="AY615" s="119"/>
      <c r="AZ615" s="115"/>
      <c r="BA615" s="115"/>
      <c r="BM615" s="118"/>
      <c r="BN615" s="118"/>
      <c r="BO615" s="118"/>
    </row>
    <row r="616" spans="1:67" x14ac:dyDescent="0.35">
      <c r="A616" s="19" t="str">
        <f>VLOOKUP(C616,Master!A:D,4,0)</f>
        <v>RM</v>
      </c>
      <c r="B616" s="14" t="str">
        <f>VLOOKUP(C616,Master!A:C,3,0)</f>
        <v>Films All</v>
      </c>
      <c r="C616" s="14" t="s">
        <v>180</v>
      </c>
      <c r="D616" s="2">
        <f t="shared" si="448"/>
        <v>0</v>
      </c>
      <c r="E616" s="2">
        <f t="shared" si="448"/>
        <v>0</v>
      </c>
      <c r="F616" s="2">
        <f t="shared" si="448"/>
        <v>0</v>
      </c>
      <c r="G616" s="2">
        <f t="shared" ref="G616:V616" si="464">+G13+G62+G111+G160+G209+G259+G308+G357+G406+G455+G504+G556</f>
        <v>0</v>
      </c>
      <c r="H616" s="2">
        <f t="shared" si="464"/>
        <v>0</v>
      </c>
      <c r="I616" s="2">
        <f t="shared" si="464"/>
        <v>0</v>
      </c>
      <c r="J616" s="2">
        <f t="shared" si="464"/>
        <v>0</v>
      </c>
      <c r="K616" s="2">
        <f t="shared" si="464"/>
        <v>0</v>
      </c>
      <c r="L616" s="2">
        <f t="shared" si="464"/>
        <v>0</v>
      </c>
      <c r="M616" s="2">
        <f t="shared" si="464"/>
        <v>0</v>
      </c>
      <c r="N616" s="2">
        <f t="shared" si="464"/>
        <v>0</v>
      </c>
      <c r="O616" s="2">
        <f t="shared" si="464"/>
        <v>0</v>
      </c>
      <c r="P616" s="2">
        <f t="shared" si="464"/>
        <v>0</v>
      </c>
      <c r="Q616" s="2">
        <f t="shared" si="464"/>
        <v>0</v>
      </c>
      <c r="R616" s="2">
        <f t="shared" si="464"/>
        <v>0</v>
      </c>
      <c r="S616" s="2">
        <f t="shared" si="464"/>
        <v>0</v>
      </c>
      <c r="T616" s="2">
        <f t="shared" si="464"/>
        <v>0</v>
      </c>
      <c r="U616" s="2">
        <f t="shared" si="464"/>
        <v>0</v>
      </c>
      <c r="V616" s="2">
        <f t="shared" si="464"/>
        <v>0</v>
      </c>
      <c r="W616" s="54">
        <f t="shared" si="455"/>
        <v>0</v>
      </c>
      <c r="X616" s="2">
        <f t="shared" si="456"/>
        <v>0</v>
      </c>
      <c r="Y616" s="2">
        <f t="shared" si="457"/>
        <v>0</v>
      </c>
      <c r="Z616" s="52"/>
      <c r="AA616" s="52"/>
      <c r="AB616" s="66"/>
      <c r="AC616" s="66"/>
      <c r="AD616" s="52"/>
      <c r="AE616" s="52"/>
      <c r="AF616" s="52"/>
      <c r="AG616" s="52"/>
      <c r="AY616" s="119"/>
      <c r="AZ616" s="115"/>
      <c r="BA616" s="115"/>
      <c r="BM616" s="118"/>
      <c r="BN616" s="118"/>
      <c r="BO616" s="118"/>
    </row>
    <row r="617" spans="1:67" x14ac:dyDescent="0.35">
      <c r="A617" s="19" t="str">
        <f>VLOOKUP(C617,Master!A:D,4,0)</f>
        <v>RM</v>
      </c>
      <c r="B617" s="14" t="str">
        <f>VLOOKUP(C617,Master!A:C,3,0)</f>
        <v>Granuals</v>
      </c>
      <c r="C617" s="14" t="s">
        <v>277</v>
      </c>
      <c r="D617" s="2">
        <f t="shared" si="448"/>
        <v>0</v>
      </c>
      <c r="E617" s="2">
        <f t="shared" si="448"/>
        <v>0</v>
      </c>
      <c r="F617" s="2">
        <f t="shared" si="448"/>
        <v>0</v>
      </c>
      <c r="G617" s="2">
        <f t="shared" ref="G617:V617" si="465">+G14+G63+G112+G161+G210+G260+G309+G358+G407+G456+G505+G557</f>
        <v>0</v>
      </c>
      <c r="H617" s="2">
        <f t="shared" si="465"/>
        <v>0</v>
      </c>
      <c r="I617" s="2">
        <f t="shared" si="465"/>
        <v>0</v>
      </c>
      <c r="J617" s="2">
        <f t="shared" si="465"/>
        <v>0</v>
      </c>
      <c r="K617" s="2">
        <f t="shared" si="465"/>
        <v>0</v>
      </c>
      <c r="L617" s="2">
        <f t="shared" si="465"/>
        <v>0</v>
      </c>
      <c r="M617" s="2">
        <f t="shared" si="465"/>
        <v>0</v>
      </c>
      <c r="N617" s="2">
        <f t="shared" si="465"/>
        <v>0</v>
      </c>
      <c r="O617" s="2">
        <f t="shared" si="465"/>
        <v>0</v>
      </c>
      <c r="P617" s="2">
        <f t="shared" si="465"/>
        <v>0</v>
      </c>
      <c r="Q617" s="2">
        <f t="shared" si="465"/>
        <v>0</v>
      </c>
      <c r="R617" s="2">
        <f t="shared" si="465"/>
        <v>0</v>
      </c>
      <c r="S617" s="2">
        <f t="shared" si="465"/>
        <v>0</v>
      </c>
      <c r="T617" s="2">
        <f t="shared" si="465"/>
        <v>0</v>
      </c>
      <c r="U617" s="2">
        <f t="shared" si="465"/>
        <v>0</v>
      </c>
      <c r="V617" s="2">
        <f t="shared" si="465"/>
        <v>0</v>
      </c>
      <c r="W617" s="54">
        <f t="shared" si="455"/>
        <v>0</v>
      </c>
      <c r="X617" s="2">
        <f t="shared" si="456"/>
        <v>0</v>
      </c>
      <c r="Y617" s="2">
        <f t="shared" si="457"/>
        <v>0</v>
      </c>
      <c r="Z617" s="52"/>
      <c r="AA617" s="52"/>
      <c r="AB617" s="66"/>
      <c r="AC617" s="66"/>
      <c r="AD617" s="52"/>
      <c r="AE617" s="52"/>
      <c r="AF617" s="52"/>
      <c r="AG617" s="52"/>
      <c r="AY617" s="119"/>
      <c r="AZ617" s="115"/>
      <c r="BA617" s="115"/>
      <c r="BM617" s="118"/>
      <c r="BN617" s="118"/>
      <c r="BO617" s="118"/>
    </row>
    <row r="618" spans="1:67" x14ac:dyDescent="0.35">
      <c r="A618" s="19" t="str">
        <f>VLOOKUP(C618,Master!A:D,4,0)</f>
        <v>RM</v>
      </c>
      <c r="B618" s="14" t="str">
        <f>VLOOKUP(C618,Master!A:C,3,0)</f>
        <v>Granuals</v>
      </c>
      <c r="C618" s="14" t="s">
        <v>387</v>
      </c>
      <c r="D618" s="2">
        <f t="shared" si="448"/>
        <v>0</v>
      </c>
      <c r="E618" s="2">
        <f t="shared" si="448"/>
        <v>0</v>
      </c>
      <c r="F618" s="2">
        <f t="shared" si="448"/>
        <v>0</v>
      </c>
      <c r="G618" s="2">
        <f t="shared" ref="G618:V618" si="466">+G15+G64+G113+G162+G211+G261+G310+G359+G408+G457+G506+G558</f>
        <v>0</v>
      </c>
      <c r="H618" s="2">
        <f t="shared" si="466"/>
        <v>0</v>
      </c>
      <c r="I618" s="2">
        <f t="shared" si="466"/>
        <v>0</v>
      </c>
      <c r="J618" s="2">
        <f t="shared" si="466"/>
        <v>0</v>
      </c>
      <c r="K618" s="2">
        <f t="shared" si="466"/>
        <v>0</v>
      </c>
      <c r="L618" s="2">
        <f t="shared" si="466"/>
        <v>0</v>
      </c>
      <c r="M618" s="2">
        <f t="shared" si="466"/>
        <v>0</v>
      </c>
      <c r="N618" s="2">
        <f t="shared" si="466"/>
        <v>0</v>
      </c>
      <c r="O618" s="2">
        <f t="shared" si="466"/>
        <v>0</v>
      </c>
      <c r="P618" s="2">
        <f t="shared" si="466"/>
        <v>0</v>
      </c>
      <c r="Q618" s="2">
        <f t="shared" si="466"/>
        <v>0</v>
      </c>
      <c r="R618" s="2">
        <f t="shared" si="466"/>
        <v>0</v>
      </c>
      <c r="S618" s="2">
        <f t="shared" si="466"/>
        <v>0</v>
      </c>
      <c r="T618" s="2">
        <f t="shared" si="466"/>
        <v>0</v>
      </c>
      <c r="U618" s="2">
        <f t="shared" si="466"/>
        <v>0</v>
      </c>
      <c r="V618" s="2">
        <f t="shared" si="466"/>
        <v>0</v>
      </c>
      <c r="W618" s="54">
        <f t="shared" si="455"/>
        <v>0</v>
      </c>
      <c r="X618" s="2">
        <f t="shared" si="456"/>
        <v>0</v>
      </c>
      <c r="Y618" s="2">
        <f t="shared" si="457"/>
        <v>0</v>
      </c>
      <c r="Z618" s="52"/>
      <c r="AA618" s="52"/>
      <c r="AB618" s="66"/>
      <c r="AC618" s="66"/>
      <c r="AD618" s="52"/>
      <c r="AE618" s="52"/>
      <c r="AF618" s="52"/>
      <c r="AG618" s="52"/>
      <c r="AY618" s="119"/>
      <c r="AZ618" s="115"/>
      <c r="BA618" s="115"/>
      <c r="BM618" s="118"/>
      <c r="BN618" s="118"/>
      <c r="BO618" s="118"/>
    </row>
    <row r="619" spans="1:67" x14ac:dyDescent="0.35">
      <c r="A619" s="19" t="str">
        <f>VLOOKUP(C619,Master!A:D,4,0)</f>
        <v>RM</v>
      </c>
      <c r="B619" s="14" t="str">
        <f>VLOOKUP(C619,Master!A:C,3,0)</f>
        <v>Films All</v>
      </c>
      <c r="C619" s="14" t="s">
        <v>398</v>
      </c>
      <c r="D619" s="2">
        <f t="shared" si="448"/>
        <v>0</v>
      </c>
      <c r="E619" s="2">
        <f t="shared" si="448"/>
        <v>0</v>
      </c>
      <c r="F619" s="2">
        <f t="shared" si="448"/>
        <v>0</v>
      </c>
      <c r="G619" s="2">
        <f t="shared" ref="G619:V619" si="467">+G16+G65+G114+G163+G212+G262+G311+G360+G409+G458+G507+G559</f>
        <v>0</v>
      </c>
      <c r="H619" s="2">
        <f t="shared" si="467"/>
        <v>0</v>
      </c>
      <c r="I619" s="2">
        <f t="shared" si="467"/>
        <v>0</v>
      </c>
      <c r="J619" s="2">
        <f t="shared" si="467"/>
        <v>0</v>
      </c>
      <c r="K619" s="2">
        <f t="shared" si="467"/>
        <v>0</v>
      </c>
      <c r="L619" s="2">
        <f t="shared" si="467"/>
        <v>0</v>
      </c>
      <c r="M619" s="2">
        <f t="shared" si="467"/>
        <v>0</v>
      </c>
      <c r="N619" s="2">
        <f t="shared" si="467"/>
        <v>0</v>
      </c>
      <c r="O619" s="2">
        <f t="shared" si="467"/>
        <v>0</v>
      </c>
      <c r="P619" s="2">
        <f t="shared" si="467"/>
        <v>0</v>
      </c>
      <c r="Q619" s="2">
        <f t="shared" si="467"/>
        <v>0</v>
      </c>
      <c r="R619" s="2">
        <f t="shared" si="467"/>
        <v>0</v>
      </c>
      <c r="S619" s="2">
        <f t="shared" si="467"/>
        <v>0</v>
      </c>
      <c r="T619" s="2">
        <f t="shared" si="467"/>
        <v>0</v>
      </c>
      <c r="U619" s="2">
        <f t="shared" si="467"/>
        <v>0</v>
      </c>
      <c r="V619" s="2">
        <f t="shared" si="467"/>
        <v>0</v>
      </c>
      <c r="W619" s="54">
        <f t="shared" si="455"/>
        <v>0</v>
      </c>
      <c r="X619" s="2">
        <f t="shared" si="456"/>
        <v>0</v>
      </c>
      <c r="Y619" s="2">
        <f t="shared" si="457"/>
        <v>0</v>
      </c>
      <c r="Z619" s="52"/>
      <c r="AA619" s="52"/>
      <c r="AB619" s="66"/>
      <c r="AC619" s="66"/>
      <c r="AD619" s="52"/>
      <c r="AE619" s="52"/>
      <c r="AF619" s="52"/>
      <c r="AG619" s="52"/>
      <c r="AY619" s="119"/>
      <c r="AZ619" s="115"/>
      <c r="BA619" s="115"/>
      <c r="BM619" s="118"/>
      <c r="BN619" s="118"/>
      <c r="BO619" s="118"/>
    </row>
    <row r="620" spans="1:67" x14ac:dyDescent="0.35">
      <c r="A620" s="19" t="str">
        <f>VLOOKUP(C620,Master!A:D,4,0)</f>
        <v>RM</v>
      </c>
      <c r="B620" s="14" t="str">
        <f>VLOOKUP(C620,Master!A:C,3,0)</f>
        <v>Granuals</v>
      </c>
      <c r="C620" s="14" t="s">
        <v>417</v>
      </c>
      <c r="D620" s="2">
        <f t="shared" si="448"/>
        <v>0</v>
      </c>
      <c r="E620" s="2">
        <f t="shared" si="448"/>
        <v>0</v>
      </c>
      <c r="F620" s="2">
        <f t="shared" si="448"/>
        <v>0</v>
      </c>
      <c r="G620" s="2">
        <f t="shared" ref="G620:V620" si="468">+G17+G66+G115+G164+G213+G263+G312+G361+G410+G459+G508+G560</f>
        <v>0</v>
      </c>
      <c r="H620" s="2">
        <f t="shared" si="468"/>
        <v>0</v>
      </c>
      <c r="I620" s="2">
        <f t="shared" si="468"/>
        <v>0</v>
      </c>
      <c r="J620" s="2">
        <f t="shared" si="468"/>
        <v>0</v>
      </c>
      <c r="K620" s="2">
        <f t="shared" si="468"/>
        <v>0</v>
      </c>
      <c r="L620" s="2">
        <f t="shared" si="468"/>
        <v>0</v>
      </c>
      <c r="M620" s="2">
        <f t="shared" si="468"/>
        <v>0</v>
      </c>
      <c r="N620" s="2">
        <f t="shared" si="468"/>
        <v>0</v>
      </c>
      <c r="O620" s="2">
        <f t="shared" si="468"/>
        <v>0</v>
      </c>
      <c r="P620" s="2">
        <f t="shared" si="468"/>
        <v>0</v>
      </c>
      <c r="Q620" s="2">
        <f t="shared" si="468"/>
        <v>0</v>
      </c>
      <c r="R620" s="2">
        <f t="shared" si="468"/>
        <v>0</v>
      </c>
      <c r="S620" s="2">
        <f t="shared" si="468"/>
        <v>0</v>
      </c>
      <c r="T620" s="2">
        <f t="shared" si="468"/>
        <v>0</v>
      </c>
      <c r="U620" s="2">
        <f t="shared" si="468"/>
        <v>0</v>
      </c>
      <c r="V620" s="2">
        <f t="shared" si="468"/>
        <v>0</v>
      </c>
      <c r="W620" s="54">
        <f t="shared" si="455"/>
        <v>0</v>
      </c>
      <c r="X620" s="2">
        <f t="shared" si="456"/>
        <v>0</v>
      </c>
      <c r="Y620" s="2">
        <f t="shared" si="457"/>
        <v>0</v>
      </c>
      <c r="Z620" s="52"/>
      <c r="AA620" s="52"/>
      <c r="AB620" s="66"/>
      <c r="AC620" s="66"/>
      <c r="AD620" s="52"/>
      <c r="AE620" s="52"/>
      <c r="AF620" s="52"/>
      <c r="AG620" s="52"/>
      <c r="AY620" s="119"/>
      <c r="AZ620" s="115"/>
      <c r="BA620" s="115"/>
      <c r="BM620" s="118"/>
      <c r="BN620" s="118"/>
      <c r="BO620" s="118"/>
    </row>
    <row r="621" spans="1:67" x14ac:dyDescent="0.35">
      <c r="A621" s="19" t="str">
        <f>VLOOKUP(C621,Master!A:D,4,0)</f>
        <v>SF</v>
      </c>
      <c r="B621" s="14" t="str">
        <f>VLOOKUP(C621,Master!A:C,3,0)</f>
        <v>Yarn All</v>
      </c>
      <c r="C621" s="14" t="s">
        <v>629</v>
      </c>
      <c r="D621" s="2">
        <f t="shared" si="448"/>
        <v>0</v>
      </c>
      <c r="E621" s="2">
        <f t="shared" si="448"/>
        <v>15276.140000000003</v>
      </c>
      <c r="F621" s="2">
        <f t="shared" si="448"/>
        <v>0</v>
      </c>
      <c r="G621" s="2">
        <f t="shared" ref="G621:V621" si="469">+G18+G67+G116+G165+G214+G264+G313+G362+G411+G460+G509+G561</f>
        <v>0</v>
      </c>
      <c r="H621" s="2">
        <f t="shared" si="469"/>
        <v>26869.020000000004</v>
      </c>
      <c r="I621" s="2">
        <f t="shared" si="469"/>
        <v>0</v>
      </c>
      <c r="J621" s="2">
        <f t="shared" si="469"/>
        <v>63212.069999999992</v>
      </c>
      <c r="K621" s="2">
        <f t="shared" si="469"/>
        <v>0</v>
      </c>
      <c r="L621" s="2">
        <f t="shared" si="469"/>
        <v>0</v>
      </c>
      <c r="M621" s="2">
        <f t="shared" si="469"/>
        <v>0</v>
      </c>
      <c r="N621" s="2">
        <f t="shared" si="469"/>
        <v>0</v>
      </c>
      <c r="O621" s="2">
        <f t="shared" si="469"/>
        <v>4730.2</v>
      </c>
      <c r="P621" s="2">
        <f t="shared" si="469"/>
        <v>95801.600000000006</v>
      </c>
      <c r="Q621" s="2">
        <f t="shared" si="469"/>
        <v>0</v>
      </c>
      <c r="R621" s="2">
        <f t="shared" si="469"/>
        <v>0</v>
      </c>
      <c r="S621" s="2">
        <f t="shared" si="469"/>
        <v>0</v>
      </c>
      <c r="T621" s="2">
        <f t="shared" si="469"/>
        <v>70202.38</v>
      </c>
      <c r="U621" s="2">
        <f t="shared" si="469"/>
        <v>4730.2</v>
      </c>
      <c r="V621" s="2">
        <f t="shared" si="469"/>
        <v>25599.219999999998</v>
      </c>
      <c r="W621" s="54">
        <f t="shared" si="455"/>
        <v>6000.0000000000064</v>
      </c>
      <c r="X621" s="2">
        <f t="shared" si="456"/>
        <v>8285.8299999999872</v>
      </c>
      <c r="Y621" s="2">
        <f t="shared" si="457"/>
        <v>0</v>
      </c>
      <c r="Z621" s="52"/>
      <c r="AA621" s="52"/>
      <c r="AB621" s="66"/>
      <c r="AC621" s="66"/>
      <c r="AD621" s="52"/>
      <c r="AE621" s="52"/>
      <c r="AF621" s="52"/>
      <c r="AG621" s="52"/>
      <c r="AY621" s="119"/>
      <c r="AZ621" s="115"/>
      <c r="BA621" s="115"/>
      <c r="BM621" s="118"/>
      <c r="BN621" s="118"/>
      <c r="BO621" s="118"/>
    </row>
    <row r="622" spans="1:67" x14ac:dyDescent="0.35">
      <c r="A622" s="19" t="str">
        <f>VLOOKUP(C622,Master!A:D,4,0)</f>
        <v>SF</v>
      </c>
      <c r="B622" s="14" t="str">
        <f>VLOOKUP(C622,Master!A:C,3,0)</f>
        <v>PP/PE Fabric</v>
      </c>
      <c r="C622" s="14" t="s">
        <v>639</v>
      </c>
      <c r="D622" s="2">
        <f t="shared" si="448"/>
        <v>0</v>
      </c>
      <c r="E622" s="2">
        <f t="shared" si="448"/>
        <v>11815</v>
      </c>
      <c r="F622" s="2">
        <f t="shared" si="448"/>
        <v>0</v>
      </c>
      <c r="G622" s="2">
        <f t="shared" ref="G622:V622" si="470">+G19+G68+G117+G166+G215+G265+G314+G363+G412+G461+G510+G562</f>
        <v>0</v>
      </c>
      <c r="H622" s="2">
        <f t="shared" si="470"/>
        <v>3774.5</v>
      </c>
      <c r="I622" s="2">
        <f t="shared" si="470"/>
        <v>0</v>
      </c>
      <c r="J622" s="2">
        <f t="shared" si="470"/>
        <v>176367.09999999998</v>
      </c>
      <c r="K622" s="2">
        <f t="shared" si="470"/>
        <v>196413.5</v>
      </c>
      <c r="L622" s="2">
        <f t="shared" si="470"/>
        <v>0</v>
      </c>
      <c r="M622" s="2">
        <f t="shared" si="470"/>
        <v>0</v>
      </c>
      <c r="N622" s="2">
        <f t="shared" si="470"/>
        <v>0</v>
      </c>
      <c r="O622" s="2">
        <f t="shared" si="470"/>
        <v>737884</v>
      </c>
      <c r="P622" s="2">
        <f t="shared" si="470"/>
        <v>720150.1</v>
      </c>
      <c r="Q622" s="2">
        <f t="shared" si="470"/>
        <v>0</v>
      </c>
      <c r="R622" s="2">
        <f t="shared" si="470"/>
        <v>0</v>
      </c>
      <c r="S622" s="2">
        <f t="shared" si="470"/>
        <v>0</v>
      </c>
      <c r="T622" s="2">
        <f t="shared" si="470"/>
        <v>174905.10000000003</v>
      </c>
      <c r="U622" s="2">
        <f t="shared" si="470"/>
        <v>737884</v>
      </c>
      <c r="V622" s="2">
        <f t="shared" si="470"/>
        <v>545245</v>
      </c>
      <c r="W622" s="54">
        <f t="shared" si="455"/>
        <v>0</v>
      </c>
      <c r="X622" s="2">
        <f t="shared" si="456"/>
        <v>13276.999999999942</v>
      </c>
      <c r="Y622" s="2">
        <f t="shared" si="457"/>
        <v>0</v>
      </c>
      <c r="Z622" s="52"/>
      <c r="AA622" s="52"/>
      <c r="AB622" s="66"/>
      <c r="AC622" s="66"/>
      <c r="AD622" s="52"/>
      <c r="AE622" s="52"/>
      <c r="AF622" s="52"/>
      <c r="AG622" s="52"/>
      <c r="AY622" s="119"/>
      <c r="AZ622" s="115"/>
      <c r="BA622" s="115"/>
      <c r="BM622" s="118"/>
      <c r="BN622" s="118"/>
      <c r="BO622" s="118"/>
    </row>
    <row r="623" spans="1:67" x14ac:dyDescent="0.35">
      <c r="A623" s="19" t="str">
        <f>VLOOKUP(C623,Master!A:D,4,0)</f>
        <v>SF</v>
      </c>
      <c r="B623" s="14" t="str">
        <f>VLOOKUP(C623,Master!A:C,3,0)</f>
        <v>Flexitank Accessories</v>
      </c>
      <c r="C623" s="14" t="s">
        <v>641</v>
      </c>
      <c r="D623" s="2">
        <f t="shared" si="448"/>
        <v>0</v>
      </c>
      <c r="E623" s="2">
        <f t="shared" si="448"/>
        <v>0</v>
      </c>
      <c r="F623" s="2">
        <f t="shared" si="448"/>
        <v>0</v>
      </c>
      <c r="G623" s="2">
        <f t="shared" ref="G623:V623" si="471">+G20+G69+G118+G167+G216+G266+G315+G364+G413+G462+G511+G563</f>
        <v>0</v>
      </c>
      <c r="H623" s="2">
        <f t="shared" si="471"/>
        <v>0</v>
      </c>
      <c r="I623" s="2">
        <f t="shared" si="471"/>
        <v>0</v>
      </c>
      <c r="J623" s="2">
        <f t="shared" si="471"/>
        <v>0</v>
      </c>
      <c r="K623" s="2">
        <f t="shared" si="471"/>
        <v>0</v>
      </c>
      <c r="L623" s="2">
        <f t="shared" si="471"/>
        <v>0</v>
      </c>
      <c r="M623" s="2">
        <f t="shared" si="471"/>
        <v>0</v>
      </c>
      <c r="N623" s="2">
        <f t="shared" si="471"/>
        <v>0</v>
      </c>
      <c r="O623" s="2">
        <f t="shared" si="471"/>
        <v>0</v>
      </c>
      <c r="P623" s="2">
        <f t="shared" si="471"/>
        <v>0</v>
      </c>
      <c r="Q623" s="2">
        <f t="shared" si="471"/>
        <v>0</v>
      </c>
      <c r="R623" s="2">
        <f t="shared" si="471"/>
        <v>0</v>
      </c>
      <c r="S623" s="2">
        <f t="shared" si="471"/>
        <v>0</v>
      </c>
      <c r="T623" s="2">
        <f t="shared" si="471"/>
        <v>0</v>
      </c>
      <c r="U623" s="2">
        <f t="shared" si="471"/>
        <v>0</v>
      </c>
      <c r="V623" s="2">
        <f t="shared" si="471"/>
        <v>0</v>
      </c>
      <c r="W623" s="54">
        <f t="shared" si="455"/>
        <v>0</v>
      </c>
      <c r="X623" s="2">
        <f t="shared" si="456"/>
        <v>0</v>
      </c>
      <c r="Y623" s="2">
        <f t="shared" si="457"/>
        <v>0</v>
      </c>
      <c r="Z623" s="52"/>
      <c r="AA623" s="52"/>
      <c r="AB623" s="66"/>
      <c r="AC623" s="66"/>
      <c r="AD623" s="52"/>
      <c r="AE623" s="52"/>
      <c r="AF623" s="52"/>
      <c r="AG623" s="52"/>
      <c r="AY623" s="119"/>
      <c r="AZ623" s="115"/>
      <c r="BA623" s="115"/>
      <c r="BM623" s="118"/>
      <c r="BN623" s="118"/>
      <c r="BO623" s="118"/>
    </row>
    <row r="624" spans="1:67" x14ac:dyDescent="0.35">
      <c r="A624" s="19" t="str">
        <f>VLOOKUP(C624,Master!A:D,4,0)</f>
        <v>SF</v>
      </c>
      <c r="B624" s="14" t="str">
        <f>VLOOKUP(C624,Master!A:C,3,0)</f>
        <v>PP/PE Fabric</v>
      </c>
      <c r="C624" s="14" t="s">
        <v>652</v>
      </c>
      <c r="D624" s="2">
        <f t="shared" si="448"/>
        <v>0</v>
      </c>
      <c r="E624" s="2">
        <f t="shared" si="448"/>
        <v>9587</v>
      </c>
      <c r="F624" s="2">
        <f t="shared" si="448"/>
        <v>0</v>
      </c>
      <c r="G624" s="2">
        <f t="shared" ref="G624:V624" si="472">+G21+G70+G119+G168+G217+G267+G316+G365+G414+G463+G512+G564</f>
        <v>0</v>
      </c>
      <c r="H624" s="2">
        <f t="shared" si="472"/>
        <v>0</v>
      </c>
      <c r="I624" s="2">
        <f t="shared" si="472"/>
        <v>0</v>
      </c>
      <c r="J624" s="2">
        <f t="shared" si="472"/>
        <v>95772.1</v>
      </c>
      <c r="K624" s="2">
        <f t="shared" si="472"/>
        <v>0</v>
      </c>
      <c r="L624" s="2">
        <f t="shared" si="472"/>
        <v>0</v>
      </c>
      <c r="M624" s="2">
        <f t="shared" si="472"/>
        <v>0</v>
      </c>
      <c r="N624" s="2">
        <f t="shared" si="472"/>
        <v>0</v>
      </c>
      <c r="O624" s="2">
        <f t="shared" si="472"/>
        <v>446043</v>
      </c>
      <c r="P624" s="2">
        <f t="shared" si="472"/>
        <v>524297.30000000005</v>
      </c>
      <c r="Q624" s="2">
        <f t="shared" si="472"/>
        <v>0</v>
      </c>
      <c r="R624" s="2">
        <f t="shared" si="472"/>
        <v>0</v>
      </c>
      <c r="S624" s="2">
        <f t="shared" si="472"/>
        <v>0</v>
      </c>
      <c r="T624" s="2">
        <f t="shared" si="472"/>
        <v>78254.3</v>
      </c>
      <c r="U624" s="2">
        <f t="shared" si="472"/>
        <v>446043</v>
      </c>
      <c r="V624" s="2">
        <f t="shared" si="472"/>
        <v>446043</v>
      </c>
      <c r="W624" s="54">
        <f t="shared" si="455"/>
        <v>0</v>
      </c>
      <c r="X624" s="2">
        <f t="shared" si="456"/>
        <v>27104.800000000003</v>
      </c>
      <c r="Y624" s="2">
        <f t="shared" si="457"/>
        <v>0</v>
      </c>
      <c r="Z624" s="52"/>
      <c r="AA624" s="52"/>
      <c r="AB624" s="66"/>
      <c r="AC624" s="66"/>
      <c r="AD624" s="52"/>
      <c r="AE624" s="52"/>
      <c r="AF624" s="52"/>
      <c r="AG624" s="52"/>
      <c r="AY624" s="119"/>
      <c r="AZ624" s="115"/>
      <c r="BA624" s="115"/>
      <c r="BM624" s="118"/>
      <c r="BN624" s="118"/>
      <c r="BO624" s="118"/>
    </row>
    <row r="625" spans="1:67" x14ac:dyDescent="0.35">
      <c r="A625" s="19" t="str">
        <f>VLOOKUP(C625,Master!A:D,4,0)</f>
        <v>SF</v>
      </c>
      <c r="B625" s="14" t="str">
        <f>VLOOKUP(C625,Master!A:C,3,0)</f>
        <v>PP/PE Fabric</v>
      </c>
      <c r="C625" s="14" t="s">
        <v>664</v>
      </c>
      <c r="D625" s="2">
        <f t="shared" si="448"/>
        <v>0</v>
      </c>
      <c r="E625" s="2">
        <f t="shared" si="448"/>
        <v>0</v>
      </c>
      <c r="F625" s="2">
        <f t="shared" si="448"/>
        <v>0</v>
      </c>
      <c r="G625" s="2">
        <f t="shared" ref="G625:V625" si="473">+G22+G71+G120+G169+G218+G268+G317+G366+G415+G464+G513+G565</f>
        <v>0</v>
      </c>
      <c r="H625" s="2">
        <f t="shared" si="473"/>
        <v>0</v>
      </c>
      <c r="I625" s="2">
        <f t="shared" si="473"/>
        <v>0</v>
      </c>
      <c r="J625" s="2">
        <f t="shared" si="473"/>
        <v>0</v>
      </c>
      <c r="K625" s="2">
        <f t="shared" si="473"/>
        <v>0</v>
      </c>
      <c r="L625" s="2">
        <f t="shared" si="473"/>
        <v>0</v>
      </c>
      <c r="M625" s="2">
        <f t="shared" si="473"/>
        <v>0</v>
      </c>
      <c r="N625" s="2">
        <f t="shared" si="473"/>
        <v>0</v>
      </c>
      <c r="O625" s="2">
        <f t="shared" si="473"/>
        <v>0</v>
      </c>
      <c r="P625" s="2">
        <f t="shared" si="473"/>
        <v>0</v>
      </c>
      <c r="Q625" s="2">
        <f t="shared" si="473"/>
        <v>0</v>
      </c>
      <c r="R625" s="2">
        <f t="shared" si="473"/>
        <v>0</v>
      </c>
      <c r="S625" s="2">
        <f t="shared" si="473"/>
        <v>0</v>
      </c>
      <c r="T625" s="2">
        <f t="shared" si="473"/>
        <v>0</v>
      </c>
      <c r="U625" s="2">
        <f t="shared" si="473"/>
        <v>0</v>
      </c>
      <c r="V625" s="2">
        <f t="shared" si="473"/>
        <v>0</v>
      </c>
      <c r="W625" s="54">
        <f t="shared" si="455"/>
        <v>0</v>
      </c>
      <c r="X625" s="2">
        <f t="shared" si="456"/>
        <v>0</v>
      </c>
      <c r="Y625" s="2">
        <f t="shared" si="457"/>
        <v>0</v>
      </c>
      <c r="Z625" s="52"/>
      <c r="AA625" s="52"/>
      <c r="AB625" s="66"/>
      <c r="AC625" s="66"/>
      <c r="AD625" s="52"/>
      <c r="AE625" s="52"/>
      <c r="AF625" s="52"/>
      <c r="AG625" s="52"/>
      <c r="AY625" s="119"/>
      <c r="AZ625" s="115"/>
      <c r="BA625" s="115"/>
      <c r="BM625" s="118"/>
      <c r="BN625" s="118"/>
      <c r="BO625" s="118"/>
    </row>
    <row r="626" spans="1:67" x14ac:dyDescent="0.35">
      <c r="A626" s="19" t="str">
        <f>VLOOKUP(C626,Master!A:D,4,0)</f>
        <v>SF</v>
      </c>
      <c r="B626" s="14" t="str">
        <f>VLOOKUP(C626,Master!A:C,3,0)</f>
        <v>PP/PE Fabric</v>
      </c>
      <c r="C626" s="14" t="s">
        <v>675</v>
      </c>
      <c r="D626" s="2">
        <f t="shared" si="448"/>
        <v>0</v>
      </c>
      <c r="E626" s="2">
        <f t="shared" si="448"/>
        <v>0</v>
      </c>
      <c r="F626" s="2">
        <f t="shared" si="448"/>
        <v>0</v>
      </c>
      <c r="G626" s="2">
        <f t="shared" ref="G626:V626" si="474">+G23+G72+G121+G170+G219+G269+G318+G367+G416+G465+G514+G566</f>
        <v>0</v>
      </c>
      <c r="H626" s="2">
        <f t="shared" si="474"/>
        <v>0</v>
      </c>
      <c r="I626" s="2">
        <f t="shared" si="474"/>
        <v>0</v>
      </c>
      <c r="J626" s="2">
        <f t="shared" si="474"/>
        <v>0</v>
      </c>
      <c r="K626" s="2">
        <f t="shared" si="474"/>
        <v>0</v>
      </c>
      <c r="L626" s="2">
        <f t="shared" si="474"/>
        <v>0</v>
      </c>
      <c r="M626" s="2">
        <f t="shared" si="474"/>
        <v>0</v>
      </c>
      <c r="N626" s="2">
        <f t="shared" si="474"/>
        <v>0</v>
      </c>
      <c r="O626" s="2">
        <f t="shared" si="474"/>
        <v>0</v>
      </c>
      <c r="P626" s="2">
        <f t="shared" si="474"/>
        <v>0</v>
      </c>
      <c r="Q626" s="2">
        <f t="shared" si="474"/>
        <v>0</v>
      </c>
      <c r="R626" s="2">
        <f t="shared" si="474"/>
        <v>0</v>
      </c>
      <c r="S626" s="2">
        <f t="shared" si="474"/>
        <v>0</v>
      </c>
      <c r="T626" s="2">
        <f t="shared" si="474"/>
        <v>0</v>
      </c>
      <c r="U626" s="2">
        <f t="shared" si="474"/>
        <v>0</v>
      </c>
      <c r="V626" s="2">
        <f t="shared" si="474"/>
        <v>0</v>
      </c>
      <c r="W626" s="54">
        <f t="shared" si="455"/>
        <v>0</v>
      </c>
      <c r="X626" s="2">
        <f t="shared" si="456"/>
        <v>0</v>
      </c>
      <c r="Y626" s="2">
        <f t="shared" si="457"/>
        <v>0</v>
      </c>
      <c r="Z626" s="52"/>
      <c r="AA626" s="52"/>
      <c r="AB626" s="66"/>
      <c r="AC626" s="66"/>
      <c r="AD626" s="52"/>
      <c r="AE626" s="52"/>
      <c r="AF626" s="52"/>
      <c r="AG626" s="52"/>
      <c r="AY626" s="119"/>
      <c r="AZ626" s="115"/>
      <c r="BA626" s="115"/>
      <c r="BM626" s="118"/>
      <c r="BN626" s="118"/>
      <c r="BO626" s="118"/>
    </row>
    <row r="627" spans="1:67" x14ac:dyDescent="0.35">
      <c r="A627" s="19" t="str">
        <f>VLOOKUP(C627,Master!A:D,4,0)</f>
        <v>SF</v>
      </c>
      <c r="B627" s="14" t="str">
        <f>VLOOKUP(C627,Master!A:C,3,0)</f>
        <v>Granuals</v>
      </c>
      <c r="C627" s="14" t="s">
        <v>688</v>
      </c>
      <c r="D627" s="2">
        <f t="shared" ref="D627:F643" si="475">+D24</f>
        <v>46952.750000000189</v>
      </c>
      <c r="E627" s="2">
        <f t="shared" si="475"/>
        <v>0</v>
      </c>
      <c r="F627" s="2">
        <f t="shared" si="475"/>
        <v>0</v>
      </c>
      <c r="G627" s="2">
        <f t="shared" ref="G627:V627" si="476">+G24+G73+G122+G171+G220+G270+G319+G368+G417+G466+G515+G567</f>
        <v>0</v>
      </c>
      <c r="H627" s="2">
        <f t="shared" si="476"/>
        <v>0</v>
      </c>
      <c r="I627" s="2">
        <f t="shared" si="476"/>
        <v>0</v>
      </c>
      <c r="J627" s="2">
        <f t="shared" si="476"/>
        <v>4000</v>
      </c>
      <c r="K627" s="2">
        <f t="shared" si="476"/>
        <v>211650</v>
      </c>
      <c r="L627" s="2">
        <f t="shared" si="476"/>
        <v>0</v>
      </c>
      <c r="M627" s="2">
        <f t="shared" si="476"/>
        <v>0</v>
      </c>
      <c r="N627" s="2">
        <f t="shared" si="476"/>
        <v>0</v>
      </c>
      <c r="O627" s="2">
        <f t="shared" si="476"/>
        <v>252510</v>
      </c>
      <c r="P627" s="2">
        <f t="shared" si="476"/>
        <v>91812.750000000204</v>
      </c>
      <c r="Q627" s="2">
        <f t="shared" si="476"/>
        <v>0</v>
      </c>
      <c r="R627" s="2">
        <f t="shared" si="476"/>
        <v>0</v>
      </c>
      <c r="S627" s="2">
        <f t="shared" si="476"/>
        <v>0</v>
      </c>
      <c r="T627" s="2">
        <f t="shared" si="476"/>
        <v>4000</v>
      </c>
      <c r="U627" s="2">
        <f t="shared" si="476"/>
        <v>252510</v>
      </c>
      <c r="V627" s="2">
        <f t="shared" si="476"/>
        <v>87812.750000000204</v>
      </c>
      <c r="W627" s="54">
        <f t="shared" si="455"/>
        <v>0</v>
      </c>
      <c r="X627" s="2">
        <f t="shared" si="456"/>
        <v>0</v>
      </c>
      <c r="Y627" s="2">
        <f t="shared" si="457"/>
        <v>0</v>
      </c>
      <c r="Z627" s="52"/>
      <c r="AA627" s="52"/>
      <c r="AB627" s="66"/>
      <c r="AC627" s="66"/>
      <c r="AD627" s="52"/>
      <c r="AE627" s="52"/>
      <c r="AF627" s="52"/>
      <c r="AG627" s="52"/>
      <c r="AY627" s="119"/>
      <c r="AZ627" s="115"/>
      <c r="BA627" s="115"/>
      <c r="BM627" s="118"/>
      <c r="BN627" s="118"/>
      <c r="BO627" s="118"/>
    </row>
    <row r="628" spans="1:67" x14ac:dyDescent="0.35">
      <c r="A628" s="19" t="str">
        <f>VLOOKUP(C628,Master!A:D,4,0)</f>
        <v>SF</v>
      </c>
      <c r="B628" s="14" t="str">
        <f>VLOOKUP(C628,Master!A:C,3,0)</f>
        <v>Liners</v>
      </c>
      <c r="C628" s="14" t="s">
        <v>707</v>
      </c>
      <c r="D628" s="2">
        <f t="shared" si="475"/>
        <v>0</v>
      </c>
      <c r="E628" s="2">
        <f t="shared" si="475"/>
        <v>0</v>
      </c>
      <c r="F628" s="2">
        <f t="shared" si="475"/>
        <v>0</v>
      </c>
      <c r="G628" s="2">
        <f t="shared" ref="G628:V628" si="477">+G25+G74+G123+G172+G221+G271+G320+G369+G418+G467+G516+G568</f>
        <v>0</v>
      </c>
      <c r="H628" s="2">
        <f t="shared" si="477"/>
        <v>0</v>
      </c>
      <c r="I628" s="2">
        <f t="shared" si="477"/>
        <v>0</v>
      </c>
      <c r="J628" s="2">
        <f t="shared" si="477"/>
        <v>0</v>
      </c>
      <c r="K628" s="2">
        <f t="shared" si="477"/>
        <v>0</v>
      </c>
      <c r="L628" s="2">
        <f t="shared" si="477"/>
        <v>0</v>
      </c>
      <c r="M628" s="2">
        <f t="shared" si="477"/>
        <v>0</v>
      </c>
      <c r="N628" s="2">
        <f t="shared" si="477"/>
        <v>0</v>
      </c>
      <c r="O628" s="2">
        <f t="shared" si="477"/>
        <v>0</v>
      </c>
      <c r="P628" s="2">
        <f t="shared" si="477"/>
        <v>0</v>
      </c>
      <c r="Q628" s="2">
        <f t="shared" si="477"/>
        <v>0</v>
      </c>
      <c r="R628" s="2">
        <f t="shared" si="477"/>
        <v>0</v>
      </c>
      <c r="S628" s="2">
        <f t="shared" si="477"/>
        <v>0</v>
      </c>
      <c r="T628" s="2">
        <f t="shared" si="477"/>
        <v>0</v>
      </c>
      <c r="U628" s="2">
        <f t="shared" si="477"/>
        <v>0</v>
      </c>
      <c r="V628" s="2">
        <f t="shared" si="477"/>
        <v>0</v>
      </c>
      <c r="W628" s="54">
        <f t="shared" si="455"/>
        <v>0</v>
      </c>
      <c r="X628" s="2">
        <f t="shared" si="456"/>
        <v>0</v>
      </c>
      <c r="Y628" s="2">
        <f t="shared" si="457"/>
        <v>0</v>
      </c>
      <c r="Z628" s="52"/>
      <c r="AA628" s="52"/>
      <c r="AB628" s="66"/>
      <c r="AC628" s="66"/>
      <c r="AD628" s="52"/>
      <c r="AE628" s="52"/>
      <c r="AF628" s="52"/>
      <c r="AG628" s="52"/>
      <c r="AY628" s="119"/>
      <c r="AZ628" s="115"/>
      <c r="BA628" s="115"/>
      <c r="BM628" s="118"/>
      <c r="BN628" s="118"/>
      <c r="BO628" s="118"/>
    </row>
    <row r="629" spans="1:67" x14ac:dyDescent="0.35">
      <c r="A629" s="19" t="str">
        <f>VLOOKUP(C629,Master!A:D,4,0)</f>
        <v>SF</v>
      </c>
      <c r="B629" s="14" t="str">
        <f>VLOOKUP(C629,Master!A:C,3,0)</f>
        <v>Webbing</v>
      </c>
      <c r="C629" s="14" t="s">
        <v>710</v>
      </c>
      <c r="D629" s="2">
        <f t="shared" si="475"/>
        <v>0</v>
      </c>
      <c r="E629" s="2">
        <f t="shared" si="475"/>
        <v>1656.1</v>
      </c>
      <c r="F629" s="2">
        <f t="shared" si="475"/>
        <v>0</v>
      </c>
      <c r="G629" s="2">
        <f t="shared" ref="G629:V629" si="478">+G26+G75+G124+G173+G222+G272+G321+G370+G419+G468+G517+G569</f>
        <v>0</v>
      </c>
      <c r="H629" s="2">
        <f t="shared" si="478"/>
        <v>0</v>
      </c>
      <c r="I629" s="2">
        <f t="shared" si="478"/>
        <v>0</v>
      </c>
      <c r="J629" s="2">
        <f t="shared" si="478"/>
        <v>821.30000000000007</v>
      </c>
      <c r="K629" s="2">
        <f t="shared" si="478"/>
        <v>9868.2999999999993</v>
      </c>
      <c r="L629" s="2">
        <f t="shared" si="478"/>
        <v>0</v>
      </c>
      <c r="M629" s="2">
        <f t="shared" si="478"/>
        <v>0</v>
      </c>
      <c r="N629" s="2">
        <f t="shared" si="478"/>
        <v>0</v>
      </c>
      <c r="O629" s="2">
        <f t="shared" si="478"/>
        <v>206699.59999999998</v>
      </c>
      <c r="P629" s="2">
        <f t="shared" si="478"/>
        <v>197536.9</v>
      </c>
      <c r="Q629" s="2">
        <f t="shared" si="478"/>
        <v>0</v>
      </c>
      <c r="R629" s="2">
        <f t="shared" si="478"/>
        <v>0</v>
      </c>
      <c r="S629" s="2">
        <f t="shared" si="478"/>
        <v>0</v>
      </c>
      <c r="T629" s="2">
        <f t="shared" si="478"/>
        <v>705.60000000000014</v>
      </c>
      <c r="U629" s="2">
        <f t="shared" si="478"/>
        <v>206699.59999999998</v>
      </c>
      <c r="V629" s="2">
        <f t="shared" si="478"/>
        <v>196831.3</v>
      </c>
      <c r="W629" s="54">
        <f t="shared" si="455"/>
        <v>0</v>
      </c>
      <c r="X629" s="2">
        <f t="shared" si="456"/>
        <v>1771.8</v>
      </c>
      <c r="Y629" s="2">
        <f t="shared" si="457"/>
        <v>0</v>
      </c>
      <c r="Z629" s="52"/>
      <c r="AA629" s="52"/>
      <c r="AB629" s="66"/>
      <c r="AC629" s="66"/>
      <c r="AD629" s="52"/>
      <c r="AE629" s="52"/>
      <c r="AF629" s="52"/>
      <c r="AG629" s="52"/>
      <c r="AY629" s="119"/>
      <c r="AZ629" s="115"/>
      <c r="BA629" s="115"/>
      <c r="BM629" s="118"/>
      <c r="BN629" s="118"/>
      <c r="BO629" s="118"/>
    </row>
    <row r="630" spans="1:67" x14ac:dyDescent="0.35">
      <c r="A630" s="19" t="str">
        <f>VLOOKUP(C630,Master!A:D,4,0)</f>
        <v>SF</v>
      </c>
      <c r="B630" s="14" t="str">
        <f>VLOOKUP(C630,Master!A:C,3,0)</f>
        <v>Liners</v>
      </c>
      <c r="C630" s="14" t="s">
        <v>729</v>
      </c>
      <c r="D630" s="2">
        <f t="shared" si="475"/>
        <v>0</v>
      </c>
      <c r="E630" s="2">
        <f t="shared" si="475"/>
        <v>8281.3000000000029</v>
      </c>
      <c r="F630" s="2">
        <f t="shared" si="475"/>
        <v>0</v>
      </c>
      <c r="G630" s="2">
        <f t="shared" ref="G630:V630" si="479">+G27+G76+G125+G174+G223+G273+G322+G371+G420+G469+G518+G570</f>
        <v>0</v>
      </c>
      <c r="H630" s="2">
        <f t="shared" si="479"/>
        <v>136</v>
      </c>
      <c r="I630" s="2">
        <f t="shared" si="479"/>
        <v>0</v>
      </c>
      <c r="J630" s="2">
        <f t="shared" si="479"/>
        <v>206745.8</v>
      </c>
      <c r="K630" s="2">
        <f t="shared" si="479"/>
        <v>0</v>
      </c>
      <c r="L630" s="2">
        <f t="shared" si="479"/>
        <v>0</v>
      </c>
      <c r="M630" s="2">
        <f t="shared" si="479"/>
        <v>0</v>
      </c>
      <c r="N630" s="2">
        <f t="shared" si="479"/>
        <v>0</v>
      </c>
      <c r="O630" s="2">
        <f t="shared" si="479"/>
        <v>0</v>
      </c>
      <c r="P630" s="2">
        <f t="shared" si="479"/>
        <v>200510.4</v>
      </c>
      <c r="Q630" s="2">
        <f t="shared" si="479"/>
        <v>0</v>
      </c>
      <c r="R630" s="2">
        <f t="shared" si="479"/>
        <v>0</v>
      </c>
      <c r="S630" s="2">
        <f t="shared" si="479"/>
        <v>0</v>
      </c>
      <c r="T630" s="2">
        <f t="shared" si="479"/>
        <v>200374.39999999999</v>
      </c>
      <c r="U630" s="2">
        <f t="shared" si="479"/>
        <v>0</v>
      </c>
      <c r="V630" s="2">
        <f t="shared" si="479"/>
        <v>136</v>
      </c>
      <c r="W630" s="54">
        <f t="shared" si="455"/>
        <v>0</v>
      </c>
      <c r="X630" s="2">
        <f t="shared" si="456"/>
        <v>14652.699999999983</v>
      </c>
      <c r="Y630" s="2">
        <f t="shared" si="457"/>
        <v>0</v>
      </c>
      <c r="Z630" s="66"/>
      <c r="AA630" s="66"/>
      <c r="AB630" s="66"/>
      <c r="AC630" s="66"/>
      <c r="AD630" s="52"/>
      <c r="AE630" s="52"/>
      <c r="AF630" s="52"/>
      <c r="AG630" s="52"/>
      <c r="AY630" s="119"/>
      <c r="AZ630" s="115"/>
      <c r="BA630" s="115"/>
      <c r="BM630" s="118"/>
      <c r="BN630" s="118"/>
      <c r="BO630" s="118"/>
    </row>
    <row r="631" spans="1:67" x14ac:dyDescent="0.35">
      <c r="A631" s="19" t="str">
        <f>VLOOKUP(C631,Master!A:D,4,0)</f>
        <v>SF</v>
      </c>
      <c r="B631" s="14" t="str">
        <f>VLOOKUP(C631,Master!A:C,3,0)</f>
        <v>Tape Stock</v>
      </c>
      <c r="C631" s="14" t="s">
        <v>772</v>
      </c>
      <c r="D631" s="2">
        <f t="shared" si="475"/>
        <v>0</v>
      </c>
      <c r="E631" s="2">
        <f t="shared" si="475"/>
        <v>0</v>
      </c>
      <c r="F631" s="2">
        <f t="shared" si="475"/>
        <v>0</v>
      </c>
      <c r="G631" s="2">
        <f t="shared" ref="G631:V631" si="480">+G28+G77+G126+G175+G224+G274+G323+G372+G421+G470+G519+G571</f>
        <v>0</v>
      </c>
      <c r="H631" s="2">
        <f t="shared" si="480"/>
        <v>0</v>
      </c>
      <c r="I631" s="2">
        <f t="shared" si="480"/>
        <v>0</v>
      </c>
      <c r="J631" s="2">
        <f t="shared" si="480"/>
        <v>0</v>
      </c>
      <c r="K631" s="2">
        <f t="shared" si="480"/>
        <v>0</v>
      </c>
      <c r="L631" s="2">
        <f t="shared" si="480"/>
        <v>0</v>
      </c>
      <c r="M631" s="2">
        <f t="shared" si="480"/>
        <v>0</v>
      </c>
      <c r="N631" s="2">
        <f t="shared" si="480"/>
        <v>0</v>
      </c>
      <c r="O631" s="2">
        <f t="shared" si="480"/>
        <v>0</v>
      </c>
      <c r="P631" s="2">
        <f t="shared" si="480"/>
        <v>0</v>
      </c>
      <c r="Q631" s="2">
        <f t="shared" si="480"/>
        <v>0</v>
      </c>
      <c r="R631" s="2">
        <f t="shared" si="480"/>
        <v>0</v>
      </c>
      <c r="S631" s="2">
        <f t="shared" si="480"/>
        <v>0</v>
      </c>
      <c r="T631" s="2">
        <f t="shared" si="480"/>
        <v>0</v>
      </c>
      <c r="U631" s="2">
        <f t="shared" si="480"/>
        <v>0</v>
      </c>
      <c r="V631" s="2">
        <f t="shared" si="480"/>
        <v>0</v>
      </c>
      <c r="W631" s="54">
        <f t="shared" si="455"/>
        <v>0</v>
      </c>
      <c r="X631" s="2">
        <f t="shared" si="456"/>
        <v>0</v>
      </c>
      <c r="Y631" s="2">
        <f t="shared" si="457"/>
        <v>0</v>
      </c>
      <c r="Z631" s="52"/>
      <c r="AA631" s="52"/>
      <c r="AB631" s="66"/>
      <c r="AC631" s="66"/>
      <c r="AD631" s="52"/>
      <c r="AE631" s="52"/>
      <c r="AF631" s="52"/>
      <c r="AG631" s="52"/>
      <c r="AY631" s="119"/>
      <c r="AZ631" s="115"/>
      <c r="BA631" s="115"/>
      <c r="BM631" s="118"/>
      <c r="BN631" s="118"/>
      <c r="BO631" s="118"/>
    </row>
    <row r="632" spans="1:67" x14ac:dyDescent="0.35">
      <c r="A632" s="19" t="str">
        <f>VLOOKUP(C632,Master!A:D,4,0)</f>
        <v>SF</v>
      </c>
      <c r="B632" s="14" t="str">
        <f>VLOOKUP(C632,Master!A:C,3,0)</f>
        <v>Tape Stock</v>
      </c>
      <c r="C632" s="14" t="s">
        <v>773</v>
      </c>
      <c r="D632" s="2">
        <f t="shared" si="475"/>
        <v>0</v>
      </c>
      <c r="E632" s="2">
        <f t="shared" si="475"/>
        <v>3243.1999999999971</v>
      </c>
      <c r="F632" s="2">
        <f t="shared" si="475"/>
        <v>0</v>
      </c>
      <c r="G632" s="2">
        <f t="shared" ref="G632:V632" si="481">+G29+G78+G127+G176+G225+G275+G324+G373+G422+G471+G520+G572</f>
        <v>0</v>
      </c>
      <c r="H632" s="2">
        <f t="shared" si="481"/>
        <v>1124.07</v>
      </c>
      <c r="I632" s="2">
        <f t="shared" si="481"/>
        <v>0</v>
      </c>
      <c r="J632" s="2">
        <f t="shared" si="481"/>
        <v>164275.15</v>
      </c>
      <c r="K632" s="2">
        <f t="shared" si="481"/>
        <v>0</v>
      </c>
      <c r="L632" s="2">
        <f t="shared" si="481"/>
        <v>0</v>
      </c>
      <c r="M632" s="2">
        <f t="shared" si="481"/>
        <v>0</v>
      </c>
      <c r="N632" s="2">
        <f t="shared" si="481"/>
        <v>0</v>
      </c>
      <c r="O632" s="2">
        <f t="shared" si="481"/>
        <v>761673</v>
      </c>
      <c r="P632" s="2">
        <f t="shared" si="481"/>
        <v>927797.12</v>
      </c>
      <c r="Q632" s="2">
        <f t="shared" si="481"/>
        <v>0</v>
      </c>
      <c r="R632" s="2">
        <f t="shared" si="481"/>
        <v>0</v>
      </c>
      <c r="S632" s="2">
        <f t="shared" si="481"/>
        <v>0</v>
      </c>
      <c r="T632" s="2">
        <f t="shared" si="481"/>
        <v>165000.04999999999</v>
      </c>
      <c r="U632" s="2">
        <f t="shared" si="481"/>
        <v>761673</v>
      </c>
      <c r="V632" s="2">
        <f t="shared" si="481"/>
        <v>762797.07</v>
      </c>
      <c r="W632" s="54">
        <f t="shared" si="455"/>
        <v>0</v>
      </c>
      <c r="X632" s="2">
        <f t="shared" si="456"/>
        <v>2518.2999999999884</v>
      </c>
      <c r="Y632" s="2">
        <f t="shared" si="457"/>
        <v>0</v>
      </c>
      <c r="Z632" s="52"/>
      <c r="AA632" s="52"/>
      <c r="AB632" s="66"/>
      <c r="AC632" s="66"/>
      <c r="AD632" s="52"/>
      <c r="AE632" s="52"/>
      <c r="AF632" s="52"/>
      <c r="AG632" s="52"/>
      <c r="AY632" s="119"/>
      <c r="AZ632" s="115"/>
      <c r="BA632" s="115"/>
      <c r="BM632" s="118"/>
      <c r="BN632" s="118"/>
      <c r="BO632" s="118"/>
    </row>
    <row r="633" spans="1:67" x14ac:dyDescent="0.35">
      <c r="A633" s="19" t="str">
        <f>VLOOKUP(C633,Master!A:D,4,0)</f>
        <v>SF</v>
      </c>
      <c r="B633" s="14" t="str">
        <f>VLOOKUP(C633,Master!A:C,3,0)</f>
        <v>RP Agglo</v>
      </c>
      <c r="C633" s="14" t="s">
        <v>810</v>
      </c>
      <c r="D633" s="2">
        <f t="shared" si="475"/>
        <v>0</v>
      </c>
      <c r="E633" s="2">
        <f t="shared" si="475"/>
        <v>0</v>
      </c>
      <c r="F633" s="2">
        <f t="shared" si="475"/>
        <v>0</v>
      </c>
      <c r="G633" s="2">
        <f t="shared" ref="G633:V633" si="482">+G30+G79+G128+G177+G226+G276+G325+G374+G423+G472+G521+G573</f>
        <v>0</v>
      </c>
      <c r="H633" s="2">
        <f t="shared" si="482"/>
        <v>0</v>
      </c>
      <c r="I633" s="2">
        <f t="shared" si="482"/>
        <v>0</v>
      </c>
      <c r="J633" s="2">
        <f t="shared" si="482"/>
        <v>0</v>
      </c>
      <c r="K633" s="2">
        <f t="shared" si="482"/>
        <v>0</v>
      </c>
      <c r="L633" s="2">
        <f t="shared" si="482"/>
        <v>0</v>
      </c>
      <c r="M633" s="2">
        <f t="shared" si="482"/>
        <v>0</v>
      </c>
      <c r="N633" s="2">
        <f t="shared" si="482"/>
        <v>0</v>
      </c>
      <c r="O633" s="2">
        <f t="shared" si="482"/>
        <v>0</v>
      </c>
      <c r="P633" s="2">
        <f t="shared" si="482"/>
        <v>0</v>
      </c>
      <c r="Q633" s="2">
        <f t="shared" si="482"/>
        <v>0</v>
      </c>
      <c r="R633" s="2">
        <f t="shared" si="482"/>
        <v>0</v>
      </c>
      <c r="S633" s="2">
        <f t="shared" si="482"/>
        <v>0</v>
      </c>
      <c r="T633" s="2">
        <f t="shared" si="482"/>
        <v>0</v>
      </c>
      <c r="U633" s="2">
        <f t="shared" si="482"/>
        <v>0</v>
      </c>
      <c r="V633" s="2">
        <f t="shared" si="482"/>
        <v>0</v>
      </c>
      <c r="W633" s="54">
        <f t="shared" si="455"/>
        <v>0</v>
      </c>
      <c r="X633" s="2">
        <f t="shared" si="456"/>
        <v>0</v>
      </c>
      <c r="Y633" s="2">
        <f t="shared" si="457"/>
        <v>0</v>
      </c>
      <c r="Z633" s="52"/>
      <c r="AA633" s="52"/>
      <c r="AB633" s="66"/>
      <c r="AC633" s="66"/>
      <c r="AD633" s="52"/>
      <c r="AE633" s="52"/>
      <c r="AF633" s="52"/>
      <c r="AG633" s="52"/>
      <c r="AY633" s="119"/>
      <c r="AZ633" s="115"/>
      <c r="BA633" s="115"/>
      <c r="BM633" s="118"/>
      <c r="BN633" s="118"/>
      <c r="BO633" s="118"/>
    </row>
    <row r="634" spans="1:67" x14ac:dyDescent="0.35">
      <c r="A634" s="19" t="str">
        <f>VLOOKUP(C634,Master!A:D,4,0)</f>
        <v>SF</v>
      </c>
      <c r="B634" s="14" t="str">
        <f>VLOOKUP(C634,Master!A:C,3,0)</f>
        <v>Wastage/Scrap</v>
      </c>
      <c r="C634" s="14" t="s">
        <v>820</v>
      </c>
      <c r="D634" s="2">
        <f t="shared" si="475"/>
        <v>17957.960000000006</v>
      </c>
      <c r="E634" s="2">
        <f t="shared" si="475"/>
        <v>0</v>
      </c>
      <c r="F634" s="2">
        <f t="shared" si="475"/>
        <v>0</v>
      </c>
      <c r="G634" s="2">
        <f t="shared" ref="G634:V634" si="483">+G31+G80+G129+G178+G227+G277+G326+G375+G424+G473+G522+G574</f>
        <v>0</v>
      </c>
      <c r="H634" s="2">
        <f t="shared" si="483"/>
        <v>48959.97</v>
      </c>
      <c r="I634" s="2">
        <f t="shared" si="483"/>
        <v>0</v>
      </c>
      <c r="J634" s="2">
        <f t="shared" si="483"/>
        <v>0</v>
      </c>
      <c r="K634" s="2">
        <f t="shared" si="483"/>
        <v>16000</v>
      </c>
      <c r="L634" s="2">
        <f t="shared" si="483"/>
        <v>0</v>
      </c>
      <c r="M634" s="2">
        <f t="shared" si="483"/>
        <v>0</v>
      </c>
      <c r="N634" s="2">
        <f t="shared" si="483"/>
        <v>48959.97</v>
      </c>
      <c r="O634" s="2">
        <f t="shared" si="483"/>
        <v>153828.79999999999</v>
      </c>
      <c r="P634" s="2">
        <f t="shared" si="483"/>
        <v>155786.76</v>
      </c>
      <c r="Q634" s="2">
        <f t="shared" si="483"/>
        <v>0</v>
      </c>
      <c r="R634" s="2">
        <f t="shared" si="483"/>
        <v>0</v>
      </c>
      <c r="S634" s="2">
        <f t="shared" si="483"/>
        <v>48959.97</v>
      </c>
      <c r="T634" s="2">
        <f t="shared" si="483"/>
        <v>0</v>
      </c>
      <c r="U634" s="2">
        <f t="shared" si="483"/>
        <v>104868.83</v>
      </c>
      <c r="V634" s="2">
        <f t="shared" si="483"/>
        <v>155786.76</v>
      </c>
      <c r="W634" s="54">
        <f t="shared" si="455"/>
        <v>0</v>
      </c>
      <c r="X634" s="2">
        <f t="shared" si="456"/>
        <v>0</v>
      </c>
      <c r="Y634" s="2">
        <f t="shared" si="457"/>
        <v>0</v>
      </c>
      <c r="Z634" s="52"/>
      <c r="AA634" s="52"/>
      <c r="AB634" s="66"/>
      <c r="AC634" s="66"/>
      <c r="AD634" s="52"/>
      <c r="AE634" s="52"/>
      <c r="AF634" s="52"/>
      <c r="AG634" s="52"/>
      <c r="AY634" s="119"/>
      <c r="AZ634" s="115"/>
      <c r="BA634" s="115"/>
      <c r="BM634" s="118"/>
      <c r="BN634" s="118"/>
      <c r="BO634" s="118"/>
    </row>
    <row r="635" spans="1:67" x14ac:dyDescent="0.35">
      <c r="A635" s="19" t="str">
        <f>VLOOKUP(C635,Master!A:D,4,0)</f>
        <v>FG</v>
      </c>
      <c r="B635" s="14" t="str">
        <f>VLOOKUP(C635,Master!A:C,3,0)</f>
        <v>FIBC WIP</v>
      </c>
      <c r="C635" s="14" t="s">
        <v>892</v>
      </c>
      <c r="D635" s="2">
        <f t="shared" si="475"/>
        <v>40456.999999999942</v>
      </c>
      <c r="E635" s="2">
        <f t="shared" si="475"/>
        <v>0</v>
      </c>
      <c r="F635" s="2">
        <f t="shared" si="475"/>
        <v>0</v>
      </c>
      <c r="G635" s="2">
        <f t="shared" ref="G635:V635" si="484">+G32+G81+G130+G179+G228+G278+G327+G376+G425+G474+G523+G575</f>
        <v>0</v>
      </c>
      <c r="H635" s="2">
        <f t="shared" si="484"/>
        <v>0</v>
      </c>
      <c r="I635" s="2">
        <f t="shared" si="484"/>
        <v>0</v>
      </c>
      <c r="J635" s="2">
        <f t="shared" si="484"/>
        <v>0</v>
      </c>
      <c r="K635" s="2">
        <f t="shared" si="484"/>
        <v>0</v>
      </c>
      <c r="L635" s="2">
        <f t="shared" si="484"/>
        <v>0</v>
      </c>
      <c r="M635" s="2">
        <f t="shared" si="484"/>
        <v>0</v>
      </c>
      <c r="N635" s="2">
        <f t="shared" si="484"/>
        <v>0</v>
      </c>
      <c r="O635" s="2">
        <f t="shared" si="484"/>
        <v>1054541.0000000002</v>
      </c>
      <c r="P635" s="2">
        <f t="shared" si="484"/>
        <v>1052976.0011120001</v>
      </c>
      <c r="Q635" s="2">
        <f t="shared" si="484"/>
        <v>0</v>
      </c>
      <c r="R635" s="2">
        <f t="shared" si="484"/>
        <v>0</v>
      </c>
      <c r="S635" s="2">
        <f t="shared" si="484"/>
        <v>0</v>
      </c>
      <c r="T635" s="2">
        <f t="shared" si="484"/>
        <v>0</v>
      </c>
      <c r="U635" s="2">
        <f t="shared" si="484"/>
        <v>1054541.0000000002</v>
      </c>
      <c r="V635" s="2">
        <f t="shared" si="484"/>
        <v>1052976.0011120001</v>
      </c>
      <c r="W635" s="54">
        <f t="shared" si="455"/>
        <v>42021.998888000147</v>
      </c>
      <c r="X635" s="2">
        <f t="shared" si="456"/>
        <v>0</v>
      </c>
      <c r="Y635" s="2">
        <f t="shared" si="457"/>
        <v>0</v>
      </c>
      <c r="Z635" s="52"/>
      <c r="AA635" s="52"/>
      <c r="AB635" s="66"/>
      <c r="AC635" s="66"/>
      <c r="AD635" s="52"/>
      <c r="AE635" s="52"/>
      <c r="AF635" s="52"/>
      <c r="AG635" s="52"/>
      <c r="AY635" s="119"/>
      <c r="AZ635" s="115"/>
      <c r="BA635" s="115"/>
      <c r="BM635" s="118"/>
      <c r="BN635" s="118"/>
      <c r="BO635" s="118"/>
    </row>
    <row r="636" spans="1:67" x14ac:dyDescent="0.35">
      <c r="A636" s="19" t="str">
        <f>VLOOKUP(C636,Master!A:D,4,0)</f>
        <v>FG</v>
      </c>
      <c r="B636" s="14" t="str">
        <f>VLOOKUP(C636,Master!A:C,3,0)</f>
        <v>Label Div</v>
      </c>
      <c r="C636" s="14" t="s">
        <v>895</v>
      </c>
      <c r="D636" s="2">
        <f t="shared" si="475"/>
        <v>0</v>
      </c>
      <c r="E636" s="2">
        <f t="shared" si="475"/>
        <v>0</v>
      </c>
      <c r="F636" s="2">
        <f t="shared" si="475"/>
        <v>0</v>
      </c>
      <c r="G636" s="2">
        <f t="shared" ref="G636:V636" si="485">+G33+G82+G131+G180+G229+G279+G328+G377+G426+G475+G524+G576</f>
        <v>0</v>
      </c>
      <c r="H636" s="2">
        <f t="shared" si="485"/>
        <v>0</v>
      </c>
      <c r="I636" s="2">
        <f t="shared" si="485"/>
        <v>0</v>
      </c>
      <c r="J636" s="2">
        <f t="shared" si="485"/>
        <v>0</v>
      </c>
      <c r="K636" s="2">
        <f t="shared" si="485"/>
        <v>0</v>
      </c>
      <c r="L636" s="2">
        <f t="shared" si="485"/>
        <v>0</v>
      </c>
      <c r="M636" s="2">
        <f t="shared" si="485"/>
        <v>0</v>
      </c>
      <c r="N636" s="2">
        <f t="shared" si="485"/>
        <v>0</v>
      </c>
      <c r="O636" s="2">
        <f t="shared" si="485"/>
        <v>0</v>
      </c>
      <c r="P636" s="2">
        <f t="shared" si="485"/>
        <v>0</v>
      </c>
      <c r="Q636" s="2">
        <f t="shared" si="485"/>
        <v>0</v>
      </c>
      <c r="R636" s="2">
        <f t="shared" si="485"/>
        <v>0</v>
      </c>
      <c r="S636" s="2">
        <f t="shared" si="485"/>
        <v>0</v>
      </c>
      <c r="T636" s="2">
        <f t="shared" si="485"/>
        <v>0</v>
      </c>
      <c r="U636" s="2">
        <f t="shared" si="485"/>
        <v>0</v>
      </c>
      <c r="V636" s="2">
        <f t="shared" si="485"/>
        <v>0</v>
      </c>
      <c r="W636" s="54">
        <f t="shared" si="455"/>
        <v>0</v>
      </c>
      <c r="X636" s="2">
        <f t="shared" si="456"/>
        <v>0</v>
      </c>
      <c r="Y636" s="2">
        <f t="shared" si="457"/>
        <v>0</v>
      </c>
      <c r="Z636" s="52"/>
      <c r="AA636" s="52"/>
      <c r="AB636" s="66"/>
      <c r="AC636" s="66"/>
      <c r="AD636" s="52"/>
      <c r="AE636" s="52"/>
      <c r="AF636" s="52"/>
      <c r="AG636" s="52"/>
      <c r="AY636" s="119"/>
      <c r="AZ636" s="115"/>
      <c r="BA636" s="115"/>
      <c r="BM636" s="118"/>
      <c r="BN636" s="118"/>
      <c r="BO636" s="118"/>
    </row>
    <row r="637" spans="1:67" x14ac:dyDescent="0.35">
      <c r="A637" s="19" t="str">
        <f>VLOOKUP(C637,Master!A:D,4,0)</f>
        <v>FG</v>
      </c>
      <c r="B637" s="14" t="str">
        <f>VLOOKUP(C637,Master!A:C,3,0)</f>
        <v>FIBC Bags</v>
      </c>
      <c r="C637" s="14" t="s">
        <v>897</v>
      </c>
      <c r="D637" s="2">
        <f t="shared" si="475"/>
        <v>0</v>
      </c>
      <c r="E637" s="2">
        <f t="shared" si="475"/>
        <v>0</v>
      </c>
      <c r="F637" s="2">
        <f t="shared" si="475"/>
        <v>0</v>
      </c>
      <c r="G637" s="2">
        <f t="shared" ref="G637:V637" si="486">+G34+G83+G132+G181+G230+G280+G329+G378+G427+G476+G525+G577</f>
        <v>0</v>
      </c>
      <c r="H637" s="2">
        <f t="shared" si="486"/>
        <v>0</v>
      </c>
      <c r="I637" s="2">
        <f t="shared" si="486"/>
        <v>0</v>
      </c>
      <c r="J637" s="2">
        <f t="shared" si="486"/>
        <v>0</v>
      </c>
      <c r="K637" s="2">
        <f t="shared" si="486"/>
        <v>18982</v>
      </c>
      <c r="L637" s="2">
        <f t="shared" si="486"/>
        <v>0</v>
      </c>
      <c r="M637" s="2">
        <f t="shared" si="486"/>
        <v>0</v>
      </c>
      <c r="N637" s="2">
        <f t="shared" si="486"/>
        <v>1215232.6599999999</v>
      </c>
      <c r="O637" s="2">
        <f t="shared" si="486"/>
        <v>1234214.6600000001</v>
      </c>
      <c r="P637" s="2">
        <f t="shared" si="486"/>
        <v>0</v>
      </c>
      <c r="Q637" s="2">
        <f t="shared" si="486"/>
        <v>0</v>
      </c>
      <c r="R637" s="2">
        <f t="shared" si="486"/>
        <v>0</v>
      </c>
      <c r="S637" s="2">
        <f t="shared" si="486"/>
        <v>1215232.6599999999</v>
      </c>
      <c r="T637" s="2">
        <f t="shared" si="486"/>
        <v>0</v>
      </c>
      <c r="U637" s="2">
        <f t="shared" si="486"/>
        <v>18982.000000000175</v>
      </c>
      <c r="V637" s="2">
        <f t="shared" si="486"/>
        <v>0</v>
      </c>
      <c r="W637" s="54">
        <f t="shared" si="455"/>
        <v>1.7462298274040222E-10</v>
      </c>
      <c r="X637" s="2">
        <f t="shared" si="456"/>
        <v>0</v>
      </c>
      <c r="Y637" s="2">
        <f t="shared" si="457"/>
        <v>0</v>
      </c>
      <c r="Z637" s="52"/>
      <c r="AA637" s="52"/>
      <c r="AB637" s="66"/>
      <c r="AC637" s="66"/>
      <c r="AD637" s="52"/>
      <c r="AE637" s="52"/>
      <c r="AF637" s="52"/>
      <c r="AG637" s="52"/>
      <c r="AY637" s="119"/>
      <c r="AZ637" s="115"/>
      <c r="BA637" s="115"/>
      <c r="BM637" s="118"/>
      <c r="BN637" s="118"/>
      <c r="BO637" s="118"/>
    </row>
    <row r="638" spans="1:67" x14ac:dyDescent="0.35">
      <c r="A638" s="19" t="str">
        <f>VLOOKUP(C638,Master!A:D,4,0)</f>
        <v>FG</v>
      </c>
      <c r="B638" s="14" t="str">
        <f>VLOOKUP(C638,Master!A:C,3,0)</f>
        <v>Small Bags</v>
      </c>
      <c r="C638" s="14" t="s">
        <v>900</v>
      </c>
      <c r="D638" s="2">
        <f t="shared" si="475"/>
        <v>0</v>
      </c>
      <c r="E638" s="2">
        <f t="shared" si="475"/>
        <v>0</v>
      </c>
      <c r="F638" s="2">
        <f t="shared" si="475"/>
        <v>0</v>
      </c>
      <c r="G638" s="2">
        <f t="shared" ref="G638:V638" si="487">+G35+G84+G133+G182+G231+G281+G330+G379+G428+G477+G526+G578</f>
        <v>0</v>
      </c>
      <c r="H638" s="2">
        <f t="shared" si="487"/>
        <v>0</v>
      </c>
      <c r="I638" s="2">
        <f t="shared" si="487"/>
        <v>0</v>
      </c>
      <c r="J638" s="2">
        <f t="shared" si="487"/>
        <v>0</v>
      </c>
      <c r="K638" s="2">
        <f t="shared" si="487"/>
        <v>0</v>
      </c>
      <c r="L638" s="2">
        <f t="shared" si="487"/>
        <v>0</v>
      </c>
      <c r="M638" s="2">
        <f t="shared" si="487"/>
        <v>0</v>
      </c>
      <c r="N638" s="2">
        <f t="shared" si="487"/>
        <v>0</v>
      </c>
      <c r="O638" s="2">
        <f t="shared" si="487"/>
        <v>0</v>
      </c>
      <c r="P638" s="2">
        <f t="shared" si="487"/>
        <v>0</v>
      </c>
      <c r="Q638" s="2">
        <f t="shared" si="487"/>
        <v>0</v>
      </c>
      <c r="R638" s="2">
        <f t="shared" si="487"/>
        <v>0</v>
      </c>
      <c r="S638" s="2">
        <f t="shared" si="487"/>
        <v>0</v>
      </c>
      <c r="T638" s="2">
        <f t="shared" si="487"/>
        <v>0</v>
      </c>
      <c r="U638" s="2">
        <f t="shared" si="487"/>
        <v>0</v>
      </c>
      <c r="V638" s="2">
        <f t="shared" si="487"/>
        <v>0</v>
      </c>
      <c r="W638" s="54">
        <f t="shared" si="455"/>
        <v>0</v>
      </c>
      <c r="X638" s="2">
        <f t="shared" si="456"/>
        <v>0</v>
      </c>
      <c r="Y638" s="2">
        <f t="shared" si="457"/>
        <v>0</v>
      </c>
      <c r="Z638" s="52"/>
      <c r="AA638" s="52"/>
      <c r="AB638" s="66"/>
      <c r="AC638" s="66"/>
      <c r="AD638" s="52"/>
      <c r="AE638" s="52"/>
      <c r="AF638" s="52"/>
      <c r="AG638" s="52"/>
      <c r="AY638" s="119"/>
      <c r="AZ638" s="115"/>
      <c r="BA638" s="115"/>
      <c r="BM638" s="118"/>
      <c r="BN638" s="118"/>
      <c r="BO638" s="118"/>
    </row>
    <row r="639" spans="1:67" x14ac:dyDescent="0.35">
      <c r="A639" s="19" t="str">
        <f>VLOOKUP(C639,Master!A:D,4,0)</f>
        <v>FG</v>
      </c>
      <c r="B639" s="14" t="str">
        <f>VLOOKUP(C639,Master!A:C,3,0)</f>
        <v>Tarps</v>
      </c>
      <c r="C639" s="14" t="s">
        <v>903</v>
      </c>
      <c r="D639" s="2">
        <f t="shared" si="475"/>
        <v>0</v>
      </c>
      <c r="E639" s="2">
        <f t="shared" si="475"/>
        <v>0</v>
      </c>
      <c r="F639" s="2">
        <f t="shared" si="475"/>
        <v>0</v>
      </c>
      <c r="G639" s="2">
        <f t="shared" ref="G639:V639" si="488">+G36+G85+G134+G183+G232+G282+G331+G380+G429+G478+G527+G579</f>
        <v>0</v>
      </c>
      <c r="H639" s="2">
        <f t="shared" si="488"/>
        <v>0</v>
      </c>
      <c r="I639" s="2">
        <f t="shared" si="488"/>
        <v>0</v>
      </c>
      <c r="J639" s="2">
        <f t="shared" si="488"/>
        <v>0</v>
      </c>
      <c r="K639" s="2">
        <f t="shared" si="488"/>
        <v>0</v>
      </c>
      <c r="L639" s="2">
        <f t="shared" si="488"/>
        <v>0</v>
      </c>
      <c r="M639" s="2">
        <f t="shared" si="488"/>
        <v>0</v>
      </c>
      <c r="N639" s="2">
        <f t="shared" si="488"/>
        <v>0</v>
      </c>
      <c r="O639" s="2">
        <f t="shared" si="488"/>
        <v>0</v>
      </c>
      <c r="P639" s="2">
        <f t="shared" si="488"/>
        <v>0</v>
      </c>
      <c r="Q639" s="2">
        <f t="shared" si="488"/>
        <v>0</v>
      </c>
      <c r="R639" s="2">
        <f t="shared" si="488"/>
        <v>0</v>
      </c>
      <c r="S639" s="2">
        <f t="shared" si="488"/>
        <v>0</v>
      </c>
      <c r="T639" s="2">
        <f t="shared" si="488"/>
        <v>0</v>
      </c>
      <c r="U639" s="2">
        <f t="shared" si="488"/>
        <v>0</v>
      </c>
      <c r="V639" s="2">
        <f t="shared" si="488"/>
        <v>0</v>
      </c>
      <c r="W639" s="54">
        <f t="shared" si="455"/>
        <v>0</v>
      </c>
      <c r="X639" s="2">
        <f t="shared" si="456"/>
        <v>0</v>
      </c>
      <c r="Y639" s="2">
        <f t="shared" si="457"/>
        <v>0</v>
      </c>
      <c r="Z639" s="52"/>
      <c r="AA639" s="52"/>
      <c r="AB639" s="66"/>
      <c r="AC639" s="66"/>
      <c r="AD639" s="52"/>
      <c r="AE639" s="52"/>
      <c r="AF639" s="52"/>
      <c r="AG639" s="52"/>
      <c r="AY639" s="119"/>
      <c r="AZ639" s="115"/>
      <c r="BA639" s="115"/>
      <c r="BM639" s="118"/>
      <c r="BN639" s="118"/>
      <c r="BO639" s="118"/>
    </row>
    <row r="640" spans="1:67" x14ac:dyDescent="0.35">
      <c r="A640" s="19" t="str">
        <f>VLOOKUP(C640,Master!A:D,4,0)</f>
        <v>FG</v>
      </c>
      <c r="B640" s="14" t="str">
        <f>VLOOKUP(C640,Master!A:C,3,0)</f>
        <v>Trading Items</v>
      </c>
      <c r="C640" s="14" t="s">
        <v>905</v>
      </c>
      <c r="D640" s="2">
        <f t="shared" si="475"/>
        <v>0</v>
      </c>
      <c r="E640" s="2">
        <f t="shared" si="475"/>
        <v>0</v>
      </c>
      <c r="F640" s="2">
        <f t="shared" si="475"/>
        <v>0</v>
      </c>
      <c r="G640" s="2">
        <f t="shared" ref="G640:V640" si="489">+G37+G86+G135+G184+G233+G283+G332+G381+G430+G479+G528+G580</f>
        <v>0</v>
      </c>
      <c r="H640" s="2">
        <f t="shared" si="489"/>
        <v>0</v>
      </c>
      <c r="I640" s="2">
        <f t="shared" si="489"/>
        <v>0</v>
      </c>
      <c r="J640" s="2">
        <f t="shared" si="489"/>
        <v>0</v>
      </c>
      <c r="K640" s="2">
        <f t="shared" si="489"/>
        <v>0</v>
      </c>
      <c r="L640" s="2">
        <f t="shared" si="489"/>
        <v>0</v>
      </c>
      <c r="M640" s="2">
        <f t="shared" si="489"/>
        <v>0</v>
      </c>
      <c r="N640" s="2">
        <f t="shared" si="489"/>
        <v>0</v>
      </c>
      <c r="O640" s="2">
        <f t="shared" si="489"/>
        <v>0</v>
      </c>
      <c r="P640" s="2">
        <f t="shared" si="489"/>
        <v>0</v>
      </c>
      <c r="Q640" s="2">
        <f t="shared" si="489"/>
        <v>0</v>
      </c>
      <c r="R640" s="2">
        <f t="shared" si="489"/>
        <v>0</v>
      </c>
      <c r="S640" s="2">
        <f t="shared" si="489"/>
        <v>0</v>
      </c>
      <c r="T640" s="2">
        <f t="shared" si="489"/>
        <v>0</v>
      </c>
      <c r="U640" s="2">
        <f t="shared" si="489"/>
        <v>0</v>
      </c>
      <c r="V640" s="2">
        <f t="shared" si="489"/>
        <v>0</v>
      </c>
      <c r="W640" s="54">
        <f t="shared" si="455"/>
        <v>0</v>
      </c>
      <c r="X640" s="2">
        <f t="shared" si="456"/>
        <v>0</v>
      </c>
      <c r="Y640" s="2">
        <f t="shared" si="457"/>
        <v>0</v>
      </c>
      <c r="Z640" s="52"/>
      <c r="AA640" s="52"/>
      <c r="AB640" s="66"/>
      <c r="AC640" s="66"/>
      <c r="AD640" s="52"/>
      <c r="AE640" s="52"/>
      <c r="AF640" s="52"/>
      <c r="AG640" s="52"/>
      <c r="AY640" s="119"/>
      <c r="AZ640" s="115"/>
      <c r="BA640" s="115"/>
      <c r="BM640" s="118"/>
      <c r="BN640" s="118"/>
      <c r="BO640" s="118"/>
    </row>
    <row r="641" spans="1:67" x14ac:dyDescent="0.35">
      <c r="A641" s="19" t="str">
        <f>VLOOKUP(C641,Master!A:D,4,0)</f>
        <v>FG</v>
      </c>
      <c r="B641" s="14" t="str">
        <f>VLOOKUP(C641,Master!A:C,3,0)</f>
        <v>Small Bags</v>
      </c>
      <c r="C641" s="14" t="s">
        <v>907</v>
      </c>
      <c r="D641" s="2">
        <f t="shared" si="475"/>
        <v>0</v>
      </c>
      <c r="E641" s="2">
        <f t="shared" si="475"/>
        <v>0</v>
      </c>
      <c r="F641" s="2">
        <f t="shared" si="475"/>
        <v>0</v>
      </c>
      <c r="G641" s="2">
        <f t="shared" ref="G641:V641" si="490">+G38+G87+G136+G185+G234+G284+G333+G382+G431+G480+G529+G581</f>
        <v>0</v>
      </c>
      <c r="H641" s="2">
        <f t="shared" si="490"/>
        <v>0</v>
      </c>
      <c r="I641" s="2">
        <f t="shared" si="490"/>
        <v>0</v>
      </c>
      <c r="J641" s="2">
        <f t="shared" si="490"/>
        <v>0</v>
      </c>
      <c r="K641" s="2">
        <f t="shared" si="490"/>
        <v>0</v>
      </c>
      <c r="L641" s="2">
        <f t="shared" si="490"/>
        <v>0</v>
      </c>
      <c r="M641" s="2">
        <f t="shared" si="490"/>
        <v>0</v>
      </c>
      <c r="N641" s="2">
        <f t="shared" si="490"/>
        <v>0</v>
      </c>
      <c r="O641" s="2">
        <f t="shared" si="490"/>
        <v>0</v>
      </c>
      <c r="P641" s="2">
        <f t="shared" si="490"/>
        <v>0</v>
      </c>
      <c r="Q641" s="2">
        <f t="shared" si="490"/>
        <v>0</v>
      </c>
      <c r="R641" s="2">
        <f t="shared" si="490"/>
        <v>0</v>
      </c>
      <c r="S641" s="2">
        <f t="shared" si="490"/>
        <v>0</v>
      </c>
      <c r="T641" s="2">
        <f t="shared" si="490"/>
        <v>0</v>
      </c>
      <c r="U641" s="2">
        <f t="shared" si="490"/>
        <v>0</v>
      </c>
      <c r="V641" s="2">
        <f t="shared" si="490"/>
        <v>0</v>
      </c>
      <c r="W641" s="54">
        <f t="shared" si="455"/>
        <v>0</v>
      </c>
      <c r="X641" s="2">
        <f t="shared" si="456"/>
        <v>0</v>
      </c>
      <c r="Y641" s="2">
        <f t="shared" si="457"/>
        <v>0</v>
      </c>
      <c r="Z641" s="52"/>
      <c r="AA641" s="52"/>
      <c r="AB641" s="66"/>
      <c r="AC641" s="66"/>
      <c r="AD641" s="52"/>
      <c r="AE641" s="52"/>
      <c r="AF641" s="52"/>
      <c r="AG641" s="52"/>
      <c r="AY641" s="119"/>
      <c r="AZ641" s="115"/>
      <c r="BA641" s="115"/>
      <c r="BM641" s="118"/>
      <c r="BN641" s="118"/>
      <c r="BO641" s="118"/>
    </row>
    <row r="642" spans="1:67" x14ac:dyDescent="0.35">
      <c r="A642" s="19" t="str">
        <f>VLOOKUP(C642,Master!A:D,4,0)</f>
        <v>FG</v>
      </c>
      <c r="B642" s="14" t="str">
        <f>VLOOKUP(C642,Master!A:C,3,0)</f>
        <v>Small Bags WIP</v>
      </c>
      <c r="C642" s="14" t="s">
        <v>908</v>
      </c>
      <c r="D642" s="2">
        <f t="shared" si="475"/>
        <v>0</v>
      </c>
      <c r="E642" s="2">
        <f t="shared" si="475"/>
        <v>0</v>
      </c>
      <c r="F642" s="2">
        <f t="shared" si="475"/>
        <v>0</v>
      </c>
      <c r="G642" s="2">
        <f t="shared" ref="G642:V642" si="491">+G39+G88+G137+G186+G235+G285+G334+G383+G432+G481+G530+G582</f>
        <v>0</v>
      </c>
      <c r="H642" s="2">
        <f t="shared" si="491"/>
        <v>0</v>
      </c>
      <c r="I642" s="2">
        <f t="shared" si="491"/>
        <v>0</v>
      </c>
      <c r="J642" s="2">
        <f t="shared" si="491"/>
        <v>0</v>
      </c>
      <c r="K642" s="2">
        <f t="shared" si="491"/>
        <v>0</v>
      </c>
      <c r="L642" s="2">
        <f t="shared" si="491"/>
        <v>0</v>
      </c>
      <c r="M642" s="2">
        <f t="shared" si="491"/>
        <v>0</v>
      </c>
      <c r="N642" s="2">
        <f t="shared" si="491"/>
        <v>0</v>
      </c>
      <c r="O642" s="2">
        <f t="shared" si="491"/>
        <v>0</v>
      </c>
      <c r="P642" s="2">
        <f t="shared" si="491"/>
        <v>0</v>
      </c>
      <c r="Q642" s="2">
        <f t="shared" si="491"/>
        <v>0</v>
      </c>
      <c r="R642" s="2">
        <f t="shared" si="491"/>
        <v>0</v>
      </c>
      <c r="S642" s="2">
        <f t="shared" si="491"/>
        <v>0</v>
      </c>
      <c r="T642" s="2">
        <f t="shared" si="491"/>
        <v>0</v>
      </c>
      <c r="U642" s="2">
        <f t="shared" si="491"/>
        <v>0</v>
      </c>
      <c r="V642" s="2">
        <f t="shared" si="491"/>
        <v>0</v>
      </c>
      <c r="W642" s="54">
        <f t="shared" si="455"/>
        <v>0</v>
      </c>
      <c r="X642" s="2">
        <f t="shared" si="456"/>
        <v>0</v>
      </c>
      <c r="Y642" s="2">
        <f t="shared" si="457"/>
        <v>0</v>
      </c>
      <c r="Z642" s="52"/>
      <c r="AA642" s="52"/>
      <c r="AB642" s="66"/>
      <c r="AC642" s="66"/>
      <c r="AD642" s="52"/>
      <c r="AE642" s="52"/>
      <c r="AF642" s="52"/>
      <c r="AG642" s="52"/>
      <c r="AY642" s="119"/>
      <c r="AZ642" s="115"/>
      <c r="BA642" s="115"/>
      <c r="BM642" s="118"/>
      <c r="BN642" s="118"/>
      <c r="BO642" s="118"/>
    </row>
    <row r="643" spans="1:67" ht="15" thickBot="1" x14ac:dyDescent="0.4">
      <c r="A643" s="20" t="str">
        <f>VLOOKUP(C643,Master!A:D,4,0)</f>
        <v>FG</v>
      </c>
      <c r="B643" s="21" t="str">
        <f>VLOOKUP(C643,Master!A:C,3,0)</f>
        <v>Flexitank</v>
      </c>
      <c r="C643" s="21" t="s">
        <v>718</v>
      </c>
      <c r="D643" s="2">
        <f t="shared" si="475"/>
        <v>0</v>
      </c>
      <c r="E643" s="2">
        <f t="shared" si="475"/>
        <v>0</v>
      </c>
      <c r="F643" s="2">
        <f t="shared" si="475"/>
        <v>0</v>
      </c>
      <c r="G643" s="2">
        <f t="shared" ref="G643:V643" si="492">+G40+G89+G138+G187+G236+G286+G335+G384+G433+G482+G531+G583</f>
        <v>0</v>
      </c>
      <c r="H643" s="2">
        <f t="shared" si="492"/>
        <v>0</v>
      </c>
      <c r="I643" s="2">
        <f t="shared" si="492"/>
        <v>0</v>
      </c>
      <c r="J643" s="2">
        <f t="shared" si="492"/>
        <v>0</v>
      </c>
      <c r="K643" s="2">
        <f t="shared" si="492"/>
        <v>0</v>
      </c>
      <c r="L643" s="2">
        <f t="shared" si="492"/>
        <v>0</v>
      </c>
      <c r="M643" s="2">
        <f t="shared" si="492"/>
        <v>0</v>
      </c>
      <c r="N643" s="2">
        <f t="shared" si="492"/>
        <v>0</v>
      </c>
      <c r="O643" s="2">
        <f t="shared" si="492"/>
        <v>0</v>
      </c>
      <c r="P643" s="2">
        <f t="shared" si="492"/>
        <v>0</v>
      </c>
      <c r="Q643" s="2">
        <f t="shared" si="492"/>
        <v>0</v>
      </c>
      <c r="R643" s="2">
        <f t="shared" si="492"/>
        <v>0</v>
      </c>
      <c r="S643" s="2">
        <f t="shared" si="492"/>
        <v>0</v>
      </c>
      <c r="T643" s="2">
        <f t="shared" si="492"/>
        <v>0</v>
      </c>
      <c r="U643" s="2">
        <f t="shared" si="492"/>
        <v>0</v>
      </c>
      <c r="V643" s="2">
        <f t="shared" si="492"/>
        <v>0</v>
      </c>
      <c r="W643" s="54">
        <f t="shared" si="455"/>
        <v>0</v>
      </c>
      <c r="X643" s="2">
        <f t="shared" si="456"/>
        <v>0</v>
      </c>
      <c r="Y643" s="2">
        <f t="shared" si="457"/>
        <v>0</v>
      </c>
      <c r="Z643" s="52"/>
      <c r="AA643" s="52"/>
      <c r="AB643" s="66"/>
      <c r="AC643" s="66"/>
      <c r="AD643" s="52"/>
      <c r="AE643" s="52"/>
      <c r="AF643" s="52"/>
      <c r="AG643" s="52"/>
      <c r="AY643" s="119"/>
      <c r="AZ643" s="115"/>
      <c r="BA643" s="115"/>
      <c r="BM643" s="118"/>
      <c r="BN643" s="118"/>
      <c r="BO643" s="118"/>
    </row>
    <row r="644" spans="1:67" ht="15" thickBot="1" x14ac:dyDescent="0.4">
      <c r="A644" s="555" t="s">
        <v>928</v>
      </c>
      <c r="B644" s="556"/>
      <c r="C644" s="557"/>
      <c r="D644" s="74">
        <f>SUM(D607:D643)</f>
        <v>130736.75888800008</v>
      </c>
      <c r="E644" s="74">
        <f t="shared" ref="E644:Y644" si="493">SUM(E607:E643)</f>
        <v>657884.24</v>
      </c>
      <c r="F644" s="74">
        <f t="shared" si="493"/>
        <v>0</v>
      </c>
      <c r="G644" s="74">
        <f t="shared" si="493"/>
        <v>0</v>
      </c>
      <c r="H644" s="74">
        <f t="shared" si="493"/>
        <v>402688.56000000006</v>
      </c>
      <c r="I644" s="74">
        <f t="shared" si="493"/>
        <v>0</v>
      </c>
      <c r="J644" s="74">
        <f t="shared" si="493"/>
        <v>1055968.5199999998</v>
      </c>
      <c r="K644" s="74">
        <f t="shared" si="493"/>
        <v>452913.8</v>
      </c>
      <c r="L644" s="74">
        <f t="shared" si="493"/>
        <v>0</v>
      </c>
      <c r="M644" s="74">
        <f t="shared" si="493"/>
        <v>0</v>
      </c>
      <c r="N644" s="74">
        <f t="shared" si="493"/>
        <v>1264192.6299999999</v>
      </c>
      <c r="O644" s="74">
        <f t="shared" si="493"/>
        <v>4852124.26</v>
      </c>
      <c r="P644" s="74">
        <f t="shared" si="493"/>
        <v>4852124.26</v>
      </c>
      <c r="Q644" s="74">
        <f t="shared" si="493"/>
        <v>0</v>
      </c>
      <c r="R644" s="74">
        <f t="shared" si="493"/>
        <v>0</v>
      </c>
      <c r="S644" s="74">
        <f t="shared" si="493"/>
        <v>1264192.6299999999</v>
      </c>
      <c r="T644" s="74">
        <f t="shared" si="493"/>
        <v>1264192.6300000001</v>
      </c>
      <c r="U644" s="74">
        <f t="shared" si="493"/>
        <v>3587931.63</v>
      </c>
      <c r="V644" s="74">
        <f t="shared" si="493"/>
        <v>3587931.63</v>
      </c>
      <c r="W644" s="74">
        <f>SUM(W607:W643)</f>
        <v>80511.518888000355</v>
      </c>
      <c r="X644" s="74">
        <f t="shared" si="493"/>
        <v>449660.12999999983</v>
      </c>
      <c r="Y644" s="75">
        <f t="shared" si="493"/>
        <v>0</v>
      </c>
      <c r="Z644" s="52"/>
      <c r="AA644" s="52"/>
      <c r="AB644" s="52"/>
      <c r="AC644" s="52"/>
      <c r="AD644" s="52"/>
      <c r="AE644" s="52"/>
      <c r="AF644" s="52"/>
      <c r="AG644" s="52"/>
      <c r="AY644" s="249"/>
      <c r="AZ644" s="115"/>
      <c r="BA644" s="115"/>
      <c r="BM644" s="118"/>
    </row>
    <row r="645" spans="1:67" x14ac:dyDescent="0.35">
      <c r="D645" s="47"/>
      <c r="E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64">
        <f>W584-W644</f>
        <v>-2.6193447411060333E-10</v>
      </c>
      <c r="X645" s="64">
        <f>X584-X644</f>
        <v>0</v>
      </c>
      <c r="AY645" s="119"/>
      <c r="AZ645" s="115"/>
      <c r="BA645" s="115"/>
    </row>
    <row r="646" spans="1:67" x14ac:dyDescent="0.35">
      <c r="A646" s="29"/>
      <c r="D646" s="47"/>
      <c r="E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AA646" s="47"/>
      <c r="AH646" s="118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  <c r="AT646" s="118"/>
      <c r="AU646" s="118"/>
      <c r="AV646" s="118"/>
      <c r="AW646" s="118"/>
      <c r="AX646" s="118"/>
      <c r="AY646" s="119"/>
      <c r="AZ646" s="119"/>
      <c r="BA646" s="119"/>
      <c r="BB646" s="129"/>
      <c r="BC646" s="129"/>
      <c r="BD646" s="129"/>
      <c r="BE646" s="129"/>
      <c r="BF646" s="129"/>
      <c r="BG646" s="129"/>
      <c r="BH646" s="129"/>
      <c r="BI646" s="129"/>
      <c r="BJ646" s="129"/>
      <c r="BK646" s="118"/>
    </row>
    <row r="647" spans="1:67" x14ac:dyDescent="0.35">
      <c r="AH647" s="118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  <c r="AT647" s="118"/>
      <c r="AU647" s="118"/>
      <c r="AV647" s="118"/>
      <c r="AW647" s="118"/>
      <c r="AX647" s="118"/>
      <c r="AY647" s="250"/>
      <c r="AZ647" s="129"/>
      <c r="BA647" s="129"/>
      <c r="BB647" s="129"/>
      <c r="BC647" s="129"/>
      <c r="BD647" s="129"/>
      <c r="BE647" s="129"/>
      <c r="BF647" s="129"/>
      <c r="BG647" s="129"/>
      <c r="BH647" s="129"/>
      <c r="BI647" s="129"/>
      <c r="BJ647" s="129"/>
      <c r="BK647" s="118"/>
    </row>
    <row r="648" spans="1:67" x14ac:dyDescent="0.35">
      <c r="AH648" s="118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  <c r="AT648" s="118"/>
      <c r="AU648" s="118"/>
      <c r="AV648" s="118"/>
      <c r="AW648" s="118"/>
      <c r="AX648" s="118"/>
      <c r="AY648" s="250"/>
      <c r="AZ648" s="129"/>
      <c r="BA648" s="129"/>
      <c r="BB648" s="129"/>
      <c r="BC648" s="129"/>
      <c r="BD648" s="129"/>
      <c r="BE648" s="129"/>
      <c r="BF648" s="129"/>
      <c r="BG648" s="129"/>
      <c r="BH648" s="129"/>
      <c r="BI648" s="129"/>
      <c r="BJ648" s="129"/>
      <c r="BK648" s="118"/>
    </row>
    <row r="649" spans="1:67" x14ac:dyDescent="0.35">
      <c r="V649" s="47"/>
      <c r="AH649" s="118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  <c r="AT649" s="118"/>
      <c r="AU649" s="118"/>
      <c r="AV649" s="118"/>
      <c r="AW649" s="118"/>
      <c r="AX649" s="118"/>
      <c r="AY649" s="250"/>
      <c r="AZ649" s="129"/>
      <c r="BA649" s="129"/>
      <c r="BB649" s="129"/>
      <c r="BC649" s="129"/>
      <c r="BD649" s="129"/>
      <c r="BE649" s="129"/>
      <c r="BF649" s="129"/>
      <c r="BG649" s="129"/>
      <c r="BH649" s="129"/>
      <c r="BI649" s="129"/>
      <c r="BJ649" s="129"/>
      <c r="BK649" s="118"/>
    </row>
  </sheetData>
  <autoFilter ref="A3:AF646"/>
  <mergeCells count="113">
    <mergeCell ref="A90:C90"/>
    <mergeCell ref="A91:C91"/>
    <mergeCell ref="AG51:AH51"/>
    <mergeCell ref="W100:Y100"/>
    <mergeCell ref="Z100:AB100"/>
    <mergeCell ref="AC100:AE100"/>
    <mergeCell ref="AG100:AH100"/>
    <mergeCell ref="D51:F51"/>
    <mergeCell ref="G51:V51"/>
    <mergeCell ref="W51:Y51"/>
    <mergeCell ref="Z51:AB51"/>
    <mergeCell ref="AC51:AE51"/>
    <mergeCell ref="A92:C92"/>
    <mergeCell ref="D100:F100"/>
    <mergeCell ref="G100:V100"/>
    <mergeCell ref="A43:C43"/>
    <mergeCell ref="A42:C42"/>
    <mergeCell ref="A41:C41"/>
    <mergeCell ref="G2:V2"/>
    <mergeCell ref="D2:F2"/>
    <mergeCell ref="AG2:AH2"/>
    <mergeCell ref="W2:Y2"/>
    <mergeCell ref="Z2:AB2"/>
    <mergeCell ref="AC2:AE2"/>
    <mergeCell ref="AC149:AE149"/>
    <mergeCell ref="A139:C139"/>
    <mergeCell ref="A140:C140"/>
    <mergeCell ref="A141:C141"/>
    <mergeCell ref="D149:F149"/>
    <mergeCell ref="G149:V149"/>
    <mergeCell ref="W346:Y346"/>
    <mergeCell ref="Z346:AB346"/>
    <mergeCell ref="AC346:AE346"/>
    <mergeCell ref="W198:Y198"/>
    <mergeCell ref="A190:C190"/>
    <mergeCell ref="D198:F198"/>
    <mergeCell ref="G198:V198"/>
    <mergeCell ref="A644:C644"/>
    <mergeCell ref="D605:F605"/>
    <mergeCell ref="G605:V605"/>
    <mergeCell ref="W605:Y605"/>
    <mergeCell ref="W149:Y149"/>
    <mergeCell ref="Z149:AB149"/>
    <mergeCell ref="A434:C434"/>
    <mergeCell ref="A435:C435"/>
    <mergeCell ref="A586:C586"/>
    <mergeCell ref="A605:C605"/>
    <mergeCell ref="W545:Y545"/>
    <mergeCell ref="Z545:AB545"/>
    <mergeCell ref="AG149:AH149"/>
    <mergeCell ref="Z198:AB198"/>
    <mergeCell ref="AG248:AH248"/>
    <mergeCell ref="A287:C287"/>
    <mergeCell ref="A288:C288"/>
    <mergeCell ref="A289:C289"/>
    <mergeCell ref="D297:F297"/>
    <mergeCell ref="G297:V297"/>
    <mergeCell ref="W297:Y297"/>
    <mergeCell ref="Z297:AB297"/>
    <mergeCell ref="AC297:AE297"/>
    <mergeCell ref="AG297:AH297"/>
    <mergeCell ref="D248:F248"/>
    <mergeCell ref="G248:V248"/>
    <mergeCell ref="W248:Y248"/>
    <mergeCell ref="Z248:AB248"/>
    <mergeCell ref="AC248:AE248"/>
    <mergeCell ref="AC198:AE198"/>
    <mergeCell ref="AG198:AH198"/>
    <mergeCell ref="A237:C237"/>
    <mergeCell ref="A238:C238"/>
    <mergeCell ref="A239:C239"/>
    <mergeCell ref="A188:C188"/>
    <mergeCell ref="A189:C189"/>
    <mergeCell ref="AG346:AH346"/>
    <mergeCell ref="A385:C385"/>
    <mergeCell ref="A336:C336"/>
    <mergeCell ref="A337:C337"/>
    <mergeCell ref="A338:C338"/>
    <mergeCell ref="D346:F346"/>
    <mergeCell ref="G346:V346"/>
    <mergeCell ref="Z395:AB395"/>
    <mergeCell ref="AC395:AE395"/>
    <mergeCell ref="AG395:AH395"/>
    <mergeCell ref="A386:C386"/>
    <mergeCell ref="A387:C387"/>
    <mergeCell ref="D395:F395"/>
    <mergeCell ref="G395:V395"/>
    <mergeCell ref="W395:Y395"/>
    <mergeCell ref="AG444:AH444"/>
    <mergeCell ref="A483:C483"/>
    <mergeCell ref="A484:C484"/>
    <mergeCell ref="A485:C485"/>
    <mergeCell ref="A436:C436"/>
    <mergeCell ref="D444:F444"/>
    <mergeCell ref="G444:V444"/>
    <mergeCell ref="W444:Y444"/>
    <mergeCell ref="Z444:AB444"/>
    <mergeCell ref="AC444:AE444"/>
    <mergeCell ref="AG545:AH545"/>
    <mergeCell ref="A585:C585"/>
    <mergeCell ref="A584:C584"/>
    <mergeCell ref="D545:F545"/>
    <mergeCell ref="G545:V545"/>
    <mergeCell ref="AG493:AH493"/>
    <mergeCell ref="A532:C532"/>
    <mergeCell ref="A533:C533"/>
    <mergeCell ref="A534:C534"/>
    <mergeCell ref="D493:F493"/>
    <mergeCell ref="G493:V493"/>
    <mergeCell ref="W493:Y493"/>
    <mergeCell ref="Z493:AB493"/>
    <mergeCell ref="AC493:AE493"/>
    <mergeCell ref="AC545:AE545"/>
  </mergeCells>
  <conditionalFormatting sqref="X4:Y5">
    <cfRule type="expression" dxfId="105" priority="115">
      <formula>(X4&lt;0)</formula>
    </cfRule>
  </conditionalFormatting>
  <conditionalFormatting sqref="Z4">
    <cfRule type="expression" dxfId="104" priority="114">
      <formula>(Z4&lt;0)</formula>
    </cfRule>
  </conditionalFormatting>
  <conditionalFormatting sqref="W5">
    <cfRule type="expression" dxfId="103" priority="110">
      <formula>(W5&lt;0)</formula>
    </cfRule>
  </conditionalFormatting>
  <conditionalFormatting sqref="X607:Y608">
    <cfRule type="expression" dxfId="102" priority="108">
      <formula>(X607&lt;0)</formula>
    </cfRule>
  </conditionalFormatting>
  <conditionalFormatting sqref="W608">
    <cfRule type="expression" dxfId="101" priority="105">
      <formula>(W608&lt;0)</formula>
    </cfRule>
  </conditionalFormatting>
  <conditionalFormatting sqref="X53:Y54">
    <cfRule type="expression" dxfId="100" priority="92">
      <formula>(X53&lt;0)</formula>
    </cfRule>
  </conditionalFormatting>
  <conditionalFormatting sqref="Z53">
    <cfRule type="expression" dxfId="99" priority="91">
      <formula>(Z53&lt;0)</formula>
    </cfRule>
  </conditionalFormatting>
  <conditionalFormatting sqref="X102:Y103">
    <cfRule type="expression" dxfId="98" priority="87">
      <formula>(X102&lt;0)</formula>
    </cfRule>
  </conditionalFormatting>
  <conditionalFormatting sqref="Z102">
    <cfRule type="expression" dxfId="97" priority="86">
      <formula>(Z102&lt;0)</formula>
    </cfRule>
  </conditionalFormatting>
  <conditionalFormatting sqref="W103:W138">
    <cfRule type="expression" dxfId="96" priority="84">
      <formula>(W103&lt;0)</formula>
    </cfRule>
  </conditionalFormatting>
  <conditionalFormatting sqref="X151:Y152">
    <cfRule type="expression" dxfId="95" priority="82">
      <formula>(X151&lt;0)</formula>
    </cfRule>
  </conditionalFormatting>
  <conditionalFormatting sqref="Z151">
    <cfRule type="expression" dxfId="94" priority="81">
      <formula>(Z151&lt;0)</formula>
    </cfRule>
  </conditionalFormatting>
  <conditionalFormatting sqref="X200:Y201">
    <cfRule type="expression" dxfId="93" priority="77">
      <formula>(X200&lt;0)</formula>
    </cfRule>
  </conditionalFormatting>
  <conditionalFormatting sqref="Z200">
    <cfRule type="expression" dxfId="92" priority="76">
      <formula>(Z200&lt;0)</formula>
    </cfRule>
  </conditionalFormatting>
  <conditionalFormatting sqref="W201">
    <cfRule type="expression" dxfId="91" priority="74">
      <formula>(W201&lt;0)</formula>
    </cfRule>
  </conditionalFormatting>
  <conditionalFormatting sqref="X250:Y251">
    <cfRule type="expression" dxfId="90" priority="72">
      <formula>(X250&lt;0)</formula>
    </cfRule>
  </conditionalFormatting>
  <conditionalFormatting sqref="Z250">
    <cfRule type="expression" dxfId="89" priority="71">
      <formula>(Z250&lt;0)</formula>
    </cfRule>
  </conditionalFormatting>
  <conditionalFormatting sqref="W251">
    <cfRule type="expression" dxfId="88" priority="69">
      <formula>(W251&lt;0)</formula>
    </cfRule>
  </conditionalFormatting>
  <conditionalFormatting sqref="X299:Y300">
    <cfRule type="expression" dxfId="87" priority="67">
      <formula>(X299&lt;0)</formula>
    </cfRule>
  </conditionalFormatting>
  <conditionalFormatting sqref="Z299">
    <cfRule type="expression" dxfId="86" priority="66">
      <formula>(Z299&lt;0)</formula>
    </cfRule>
  </conditionalFormatting>
  <conditionalFormatting sqref="W300">
    <cfRule type="expression" dxfId="85" priority="64">
      <formula>(W300&lt;0)</formula>
    </cfRule>
  </conditionalFormatting>
  <conditionalFormatting sqref="X348:Y384">
    <cfRule type="expression" dxfId="84" priority="62">
      <formula>(X348&lt;0)</formula>
    </cfRule>
  </conditionalFormatting>
  <conditionalFormatting sqref="Z348">
    <cfRule type="expression" dxfId="83" priority="61">
      <formula>(Z348&lt;0)</formula>
    </cfRule>
  </conditionalFormatting>
  <conditionalFormatting sqref="W380:W382">
    <cfRule type="expression" dxfId="82" priority="60">
      <formula>(W380&lt;0)</formula>
    </cfRule>
  </conditionalFormatting>
  <conditionalFormatting sqref="W349:W384">
    <cfRule type="expression" dxfId="81" priority="59">
      <formula>(W349&lt;0)</formula>
    </cfRule>
  </conditionalFormatting>
  <conditionalFormatting sqref="W377:W379">
    <cfRule type="expression" dxfId="80" priority="58">
      <formula>(W377&lt;0)</formula>
    </cfRule>
  </conditionalFormatting>
  <conditionalFormatting sqref="X397:Y398">
    <cfRule type="expression" dxfId="79" priority="57">
      <formula>(X397&lt;0)</formula>
    </cfRule>
  </conditionalFormatting>
  <conditionalFormatting sqref="Z397">
    <cfRule type="expression" dxfId="78" priority="56">
      <formula>(Z397&lt;0)</formula>
    </cfRule>
  </conditionalFormatting>
  <conditionalFormatting sqref="W398">
    <cfRule type="expression" dxfId="77" priority="54">
      <formula>(W398&lt;0)</formula>
    </cfRule>
  </conditionalFormatting>
  <conditionalFormatting sqref="X446:Y447">
    <cfRule type="expression" dxfId="76" priority="52">
      <formula>(X446&lt;0)</formula>
    </cfRule>
  </conditionalFormatting>
  <conditionalFormatting sqref="Z446">
    <cfRule type="expression" dxfId="75" priority="51">
      <formula>(Z446&lt;0)</formula>
    </cfRule>
  </conditionalFormatting>
  <conditionalFormatting sqref="X495:Y496">
    <cfRule type="expression" dxfId="74" priority="47">
      <formula>(X495&lt;0)</formula>
    </cfRule>
  </conditionalFormatting>
  <conditionalFormatting sqref="Z495">
    <cfRule type="expression" dxfId="73" priority="46">
      <formula>(Z495&lt;0)</formula>
    </cfRule>
  </conditionalFormatting>
  <conditionalFormatting sqref="W496">
    <cfRule type="expression" dxfId="72" priority="44">
      <formula>(W496&lt;0)</formula>
    </cfRule>
  </conditionalFormatting>
  <conditionalFormatting sqref="X547:Y548">
    <cfRule type="expression" dxfId="71" priority="42">
      <formula>(X547&lt;0)</formula>
    </cfRule>
  </conditionalFormatting>
  <conditionalFormatting sqref="Z547">
    <cfRule type="expression" dxfId="70" priority="41">
      <formula>(Z547&lt;0)</formula>
    </cfRule>
  </conditionalFormatting>
  <conditionalFormatting sqref="W548">
    <cfRule type="expression" dxfId="69" priority="39">
      <formula>(W548&lt;0)</formula>
    </cfRule>
  </conditionalFormatting>
  <conditionalFormatting sqref="W54">
    <cfRule type="expression" dxfId="68" priority="37">
      <formula>(W54&lt;0)</formula>
    </cfRule>
  </conditionalFormatting>
  <conditionalFormatting sqref="AA200">
    <cfRule type="expression" dxfId="67" priority="35">
      <formula>(AA200&lt;0)</formula>
    </cfRule>
  </conditionalFormatting>
  <conditionalFormatting sqref="W447">
    <cfRule type="expression" dxfId="66" priority="33">
      <formula>(W447&lt;0)</formula>
    </cfRule>
  </conditionalFormatting>
  <conditionalFormatting sqref="W548">
    <cfRule type="expression" dxfId="65" priority="32">
      <formula>(W548&lt;0)</formula>
    </cfRule>
  </conditionalFormatting>
  <conditionalFormatting sqref="X6:Y40">
    <cfRule type="expression" dxfId="64" priority="28">
      <formula>(X6&lt;0)</formula>
    </cfRule>
  </conditionalFormatting>
  <conditionalFormatting sqref="W6:W40">
    <cfRule type="expression" dxfId="63" priority="27">
      <formula>(W6&lt;0)</formula>
    </cfRule>
  </conditionalFormatting>
  <conditionalFormatting sqref="X55:Y89">
    <cfRule type="expression" dxfId="62" priority="26">
      <formula>(X55&lt;0)</formula>
    </cfRule>
  </conditionalFormatting>
  <conditionalFormatting sqref="W55:W89">
    <cfRule type="expression" dxfId="61" priority="25">
      <formula>(W55&lt;0)</formula>
    </cfRule>
  </conditionalFormatting>
  <conditionalFormatting sqref="X104:Y138">
    <cfRule type="expression" dxfId="60" priority="24">
      <formula>(X104&lt;0)</formula>
    </cfRule>
  </conditionalFormatting>
  <conditionalFormatting sqref="W104:W138">
    <cfRule type="expression" dxfId="59" priority="23">
      <formula>(W104&lt;0)</formula>
    </cfRule>
  </conditionalFormatting>
  <conditionalFormatting sqref="X153:Y187">
    <cfRule type="expression" dxfId="58" priority="22">
      <formula>(X153&lt;0)</formula>
    </cfRule>
  </conditionalFormatting>
  <conditionalFormatting sqref="W153:W187">
    <cfRule type="expression" dxfId="57" priority="21">
      <formula>(W153&lt;0)</formula>
    </cfRule>
  </conditionalFormatting>
  <conditionalFormatting sqref="X202:Y236">
    <cfRule type="expression" dxfId="56" priority="20">
      <formula>(X202&lt;0)</formula>
    </cfRule>
  </conditionalFormatting>
  <conditionalFormatting sqref="W202:W236">
    <cfRule type="expression" dxfId="55" priority="19">
      <formula>(W202&lt;0)</formula>
    </cfRule>
  </conditionalFormatting>
  <conditionalFormatting sqref="X252:Y286">
    <cfRule type="expression" dxfId="54" priority="18">
      <formula>(X252&lt;0)</formula>
    </cfRule>
  </conditionalFormatting>
  <conditionalFormatting sqref="W252:W286">
    <cfRule type="expression" dxfId="53" priority="17">
      <formula>(W252&lt;0)</formula>
    </cfRule>
  </conditionalFormatting>
  <conditionalFormatting sqref="X301:Y335">
    <cfRule type="expression" dxfId="52" priority="16">
      <formula>(X301&lt;0)</formula>
    </cfRule>
  </conditionalFormatting>
  <conditionalFormatting sqref="W301:W335">
    <cfRule type="expression" dxfId="51" priority="15">
      <formula>(W301&lt;0)</formula>
    </cfRule>
  </conditionalFormatting>
  <conditionalFormatting sqref="X399:Y433">
    <cfRule type="expression" dxfId="50" priority="14">
      <formula>(X399&lt;0)</formula>
    </cfRule>
  </conditionalFormatting>
  <conditionalFormatting sqref="W399:W433">
    <cfRule type="expression" dxfId="49" priority="13">
      <formula>(W399&lt;0)</formula>
    </cfRule>
  </conditionalFormatting>
  <conditionalFormatting sqref="X448:Y482">
    <cfRule type="expression" dxfId="48" priority="12">
      <formula>(X448&lt;0)</formula>
    </cfRule>
  </conditionalFormatting>
  <conditionalFormatting sqref="W448:W482">
    <cfRule type="expression" dxfId="47" priority="11">
      <formula>(W448&lt;0)</formula>
    </cfRule>
  </conditionalFormatting>
  <conditionalFormatting sqref="X497:Y531">
    <cfRule type="expression" dxfId="46" priority="10">
      <formula>(X497&lt;0)</formula>
    </cfRule>
  </conditionalFormatting>
  <conditionalFormatting sqref="W497:W531">
    <cfRule type="expression" dxfId="45" priority="9">
      <formula>(W497&lt;0)</formula>
    </cfRule>
  </conditionalFormatting>
  <conditionalFormatting sqref="X549:Y583">
    <cfRule type="expression" dxfId="44" priority="8">
      <formula>(X549&lt;0)</formula>
    </cfRule>
  </conditionalFormatting>
  <conditionalFormatting sqref="W549:W583">
    <cfRule type="expression" dxfId="43" priority="7">
      <formula>(W549&lt;0)</formula>
    </cfRule>
  </conditionalFormatting>
  <conditionalFormatting sqref="W549:W583">
    <cfRule type="expression" dxfId="42" priority="6">
      <formula>(W549&lt;0)</formula>
    </cfRule>
  </conditionalFormatting>
  <conditionalFormatting sqref="X609:Y643">
    <cfRule type="expression" dxfId="41" priority="5">
      <formula>(X609&lt;0)</formula>
    </cfRule>
  </conditionalFormatting>
  <conditionalFormatting sqref="W609:W643">
    <cfRule type="expression" dxfId="40" priority="4">
      <formula>(W609&lt;0)</formula>
    </cfRule>
  </conditionalFormatting>
  <conditionalFormatting sqref="Z83">
    <cfRule type="expression" dxfId="39" priority="3">
      <formula>(Z83&lt;0)</formula>
    </cfRule>
  </conditionalFormatting>
  <conditionalFormatting sqref="W152">
    <cfRule type="expression" dxfId="38" priority="2">
      <formula>(W152&lt;0)</formula>
    </cfRule>
  </conditionalFormatting>
  <conditionalFormatting sqref="AB200">
    <cfRule type="expression" dxfId="37" priority="1">
      <formula>(AB200&lt;0)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B19" sqref="B19:C19"/>
    </sheetView>
  </sheetViews>
  <sheetFormatPr defaultRowHeight="12.5" x14ac:dyDescent="0.25"/>
  <cols>
    <col min="1" max="1" width="28.1796875" bestFit="1" customWidth="1"/>
    <col min="6" max="7" width="9.54296875" bestFit="1" customWidth="1"/>
    <col min="8" max="8" width="10.26953125" customWidth="1"/>
  </cols>
  <sheetData>
    <row r="2" spans="1:8" ht="13" thickBot="1" x14ac:dyDescent="0.3">
      <c r="B2" t="s">
        <v>1035</v>
      </c>
      <c r="F2" t="s">
        <v>1036</v>
      </c>
      <c r="H2" t="s">
        <v>1037</v>
      </c>
    </row>
    <row r="3" spans="1:8" ht="15" thickBot="1" x14ac:dyDescent="0.3">
      <c r="A3" s="10" t="s">
        <v>23</v>
      </c>
      <c r="B3" t="s">
        <v>1033</v>
      </c>
      <c r="C3" t="s">
        <v>1034</v>
      </c>
    </row>
    <row r="4" spans="1:8" ht="14.5" x14ac:dyDescent="0.25">
      <c r="A4" s="16" t="s">
        <v>32</v>
      </c>
      <c r="B4">
        <v>5172</v>
      </c>
      <c r="D4" s="67">
        <f>+B4+C4</f>
        <v>5172</v>
      </c>
      <c r="F4">
        <v>6325</v>
      </c>
      <c r="G4">
        <f>+D4-F4</f>
        <v>-1153</v>
      </c>
      <c r="H4">
        <v>0</v>
      </c>
    </row>
    <row r="5" spans="1:8" ht="14.5" x14ac:dyDescent="0.25">
      <c r="A5" s="14" t="s">
        <v>37</v>
      </c>
      <c r="B5">
        <v>76937</v>
      </c>
      <c r="D5" s="67">
        <f t="shared" ref="D5:D17" si="0">+B5+C5</f>
        <v>76937</v>
      </c>
      <c r="F5">
        <f>162178.34+4500</f>
        <v>166678.34</v>
      </c>
      <c r="G5">
        <f t="shared" ref="G5:G18" si="1">+D5-F5</f>
        <v>-89741.34</v>
      </c>
      <c r="H5">
        <v>0</v>
      </c>
    </row>
    <row r="6" spans="1:8" ht="14.5" x14ac:dyDescent="0.25">
      <c r="A6" s="14" t="s">
        <v>85</v>
      </c>
      <c r="B6">
        <v>4613</v>
      </c>
      <c r="D6" s="67">
        <f t="shared" si="0"/>
        <v>4613</v>
      </c>
      <c r="F6">
        <v>10202</v>
      </c>
      <c r="G6">
        <f t="shared" si="1"/>
        <v>-5589</v>
      </c>
      <c r="H6">
        <v>0</v>
      </c>
    </row>
    <row r="7" spans="1:8" ht="14.5" x14ac:dyDescent="0.25">
      <c r="A7" s="14" t="s">
        <v>629</v>
      </c>
      <c r="B7" s="82">
        <v>43813.919999999998</v>
      </c>
      <c r="D7" s="67">
        <f t="shared" si="0"/>
        <v>43813.919999999998</v>
      </c>
      <c r="F7">
        <v>18694.3</v>
      </c>
      <c r="G7">
        <f t="shared" si="1"/>
        <v>25119.62</v>
      </c>
      <c r="H7">
        <v>15119.280000000006</v>
      </c>
    </row>
    <row r="8" spans="1:8" ht="14.5" x14ac:dyDescent="0.25">
      <c r="A8" s="14" t="s">
        <v>639</v>
      </c>
      <c r="B8">
        <v>65408</v>
      </c>
      <c r="D8" s="67">
        <f t="shared" si="0"/>
        <v>65408</v>
      </c>
      <c r="F8" s="84">
        <v>11978.400000000001</v>
      </c>
      <c r="G8">
        <f t="shared" si="1"/>
        <v>53429.599999999999</v>
      </c>
      <c r="H8">
        <v>13429.600000000006</v>
      </c>
    </row>
    <row r="9" spans="1:8" ht="14.5" x14ac:dyDescent="0.25">
      <c r="A9" s="14" t="s">
        <v>652</v>
      </c>
      <c r="B9">
        <v>78964</v>
      </c>
      <c r="D9" s="67">
        <f t="shared" si="0"/>
        <v>78964</v>
      </c>
      <c r="F9">
        <v>22509</v>
      </c>
      <c r="G9">
        <f t="shared" si="1"/>
        <v>56455</v>
      </c>
      <c r="H9">
        <v>26455</v>
      </c>
    </row>
    <row r="10" spans="1:8" ht="14.5" x14ac:dyDescent="0.25">
      <c r="A10" s="14" t="s">
        <v>688</v>
      </c>
      <c r="B10">
        <v>56144</v>
      </c>
      <c r="D10" s="67">
        <f t="shared" si="0"/>
        <v>56144</v>
      </c>
      <c r="G10">
        <f t="shared" si="1"/>
        <v>56144</v>
      </c>
      <c r="H10">
        <v>56144</v>
      </c>
    </row>
    <row r="11" spans="1:8" ht="14.5" x14ac:dyDescent="0.35">
      <c r="A11" s="14" t="s">
        <v>710</v>
      </c>
      <c r="B11" s="73">
        <v>28984</v>
      </c>
      <c r="D11" s="67">
        <f t="shared" si="0"/>
        <v>28984</v>
      </c>
      <c r="F11">
        <v>5791.74</v>
      </c>
      <c r="G11">
        <f t="shared" si="1"/>
        <v>23192.260000000002</v>
      </c>
      <c r="H11">
        <v>16709.30000000001</v>
      </c>
    </row>
    <row r="12" spans="1:8" ht="14.5" x14ac:dyDescent="0.35">
      <c r="A12" s="14" t="s">
        <v>729</v>
      </c>
      <c r="B12" s="73">
        <v>7178.6</v>
      </c>
      <c r="D12" s="67">
        <f t="shared" si="0"/>
        <v>7178.6</v>
      </c>
      <c r="F12">
        <v>7178.56</v>
      </c>
      <c r="G12">
        <f t="shared" si="1"/>
        <v>3.999999999996362E-2</v>
      </c>
      <c r="H12">
        <v>0</v>
      </c>
    </row>
    <row r="13" spans="1:8" ht="14.5" x14ac:dyDescent="0.25">
      <c r="A13" s="14" t="s">
        <v>773</v>
      </c>
      <c r="B13">
        <v>35300</v>
      </c>
      <c r="D13" s="67">
        <f t="shared" si="0"/>
        <v>35300</v>
      </c>
      <c r="F13" s="84">
        <v>5595.4</v>
      </c>
      <c r="G13">
        <f t="shared" si="1"/>
        <v>29704.6</v>
      </c>
      <c r="H13">
        <v>19704.600000000006</v>
      </c>
    </row>
    <row r="14" spans="1:8" ht="14.5" x14ac:dyDescent="0.25">
      <c r="A14" s="14" t="s">
        <v>820</v>
      </c>
      <c r="B14">
        <v>27372</v>
      </c>
      <c r="D14" s="67">
        <f t="shared" si="0"/>
        <v>27372</v>
      </c>
      <c r="G14">
        <f t="shared" si="1"/>
        <v>27372</v>
      </c>
      <c r="H14">
        <v>27372</v>
      </c>
    </row>
    <row r="15" spans="1:8" ht="14.5" x14ac:dyDescent="0.35">
      <c r="A15" s="14" t="s">
        <v>892</v>
      </c>
      <c r="B15">
        <v>63870.5</v>
      </c>
      <c r="D15" s="67">
        <f t="shared" si="0"/>
        <v>63870.5</v>
      </c>
      <c r="G15">
        <f t="shared" si="1"/>
        <v>63870.5</v>
      </c>
      <c r="H15" s="2">
        <v>63870.5</v>
      </c>
    </row>
    <row r="16" spans="1:8" ht="14.5" x14ac:dyDescent="0.25">
      <c r="A16" s="14" t="s">
        <v>897</v>
      </c>
      <c r="B16">
        <f>247069.9-C16-B17</f>
        <v>208673.9</v>
      </c>
      <c r="C16">
        <v>35271</v>
      </c>
      <c r="D16" s="67">
        <f t="shared" si="0"/>
        <v>243944.9</v>
      </c>
      <c r="G16">
        <f t="shared" si="1"/>
        <v>243944.9</v>
      </c>
      <c r="H16">
        <v>186365.56999999992</v>
      </c>
    </row>
    <row r="17" spans="1:9" ht="14.5" x14ac:dyDescent="0.25">
      <c r="A17" s="14" t="s">
        <v>907</v>
      </c>
      <c r="B17">
        <v>3125</v>
      </c>
      <c r="D17" s="67">
        <f t="shared" si="0"/>
        <v>3125</v>
      </c>
      <c r="G17">
        <f t="shared" si="1"/>
        <v>3125</v>
      </c>
      <c r="H17">
        <v>3125</v>
      </c>
    </row>
    <row r="18" spans="1:9" x14ac:dyDescent="0.25">
      <c r="G18">
        <f t="shared" si="1"/>
        <v>0</v>
      </c>
    </row>
    <row r="19" spans="1:9" ht="14.5" x14ac:dyDescent="0.25">
      <c r="A19" s="83" t="s">
        <v>928</v>
      </c>
      <c r="B19">
        <f>SUM(B4:B18)</f>
        <v>705555.91999999993</v>
      </c>
      <c r="C19">
        <f>SUM(C4:C18)</f>
        <v>35271</v>
      </c>
      <c r="D19">
        <f>SUM(D4:D18)</f>
        <v>740826.91999999993</v>
      </c>
      <c r="F19" s="68">
        <f>SUM(F4:F18)</f>
        <v>254952.73999999996</v>
      </c>
      <c r="G19" s="68">
        <f>SUM(G4:G18)</f>
        <v>485874.18</v>
      </c>
      <c r="H19" s="68">
        <f>SUM(H4:H18)</f>
        <v>428294.85</v>
      </c>
      <c r="I19" s="68"/>
    </row>
  </sheetData>
  <conditionalFormatting sqref="H15">
    <cfRule type="expression" dxfId="36" priority="1">
      <formula>(H15&lt;0)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3"/>
  <sheetViews>
    <sheetView workbookViewId="0"/>
  </sheetViews>
  <sheetFormatPr defaultRowHeight="12.5" x14ac:dyDescent="0.25"/>
  <cols>
    <col min="1" max="1" width="25.1796875" customWidth="1"/>
    <col min="2" max="2" width="14.90625" customWidth="1"/>
    <col min="3" max="3" width="14.1796875" customWidth="1"/>
    <col min="4" max="4" width="18.54296875" style="41" bestFit="1" customWidth="1"/>
    <col min="5" max="5" width="33" bestFit="1" customWidth="1"/>
    <col min="6" max="6" width="18.54296875" bestFit="1" customWidth="1"/>
    <col min="7" max="7" width="14.26953125" bestFit="1" customWidth="1"/>
    <col min="8" max="8" width="11" bestFit="1" customWidth="1"/>
    <col min="9" max="9" width="13.81640625" bestFit="1" customWidth="1"/>
    <col min="10" max="10" width="12.81640625" bestFit="1" customWidth="1"/>
    <col min="11" max="11" width="24" bestFit="1" customWidth="1"/>
    <col min="12" max="12" width="27.54296875" bestFit="1" customWidth="1"/>
    <col min="13" max="13" width="11" bestFit="1" customWidth="1"/>
    <col min="14" max="14" width="12" bestFit="1" customWidth="1"/>
    <col min="15" max="15" width="18.81640625" bestFit="1" customWidth="1"/>
    <col min="16" max="16" width="13.453125" bestFit="1" customWidth="1"/>
    <col min="17" max="17" width="12.453125" bestFit="1" customWidth="1"/>
    <col min="18" max="18" width="12" bestFit="1" customWidth="1"/>
    <col min="19" max="19" width="12.453125" bestFit="1" customWidth="1"/>
    <col min="20" max="21" width="12" bestFit="1" customWidth="1"/>
    <col min="22" max="22" width="11.54296875" bestFit="1" customWidth="1"/>
    <col min="23" max="23" width="13.26953125" bestFit="1" customWidth="1"/>
    <col min="24" max="24" width="11.54296875" bestFit="1" customWidth="1"/>
    <col min="25" max="25" width="7" bestFit="1" customWidth="1"/>
    <col min="26" max="26" width="17" bestFit="1" customWidth="1"/>
    <col min="27" max="27" width="6.81640625" bestFit="1" customWidth="1"/>
    <col min="28" max="29" width="11.81640625" bestFit="1" customWidth="1"/>
    <col min="30" max="30" width="10.81640625" bestFit="1" customWidth="1"/>
    <col min="31" max="31" width="9.453125" bestFit="1" customWidth="1"/>
  </cols>
  <sheetData>
    <row r="1" spans="1:5" x14ac:dyDescent="0.25">
      <c r="A1" s="38" t="s">
        <v>965</v>
      </c>
      <c r="B1" t="s">
        <v>967</v>
      </c>
      <c r="C1" t="s">
        <v>968</v>
      </c>
    </row>
    <row r="2" spans="1:5" x14ac:dyDescent="0.25">
      <c r="A2" s="39" t="s">
        <v>3067</v>
      </c>
      <c r="B2" s="40">
        <v>4752</v>
      </c>
      <c r="C2" s="40">
        <v>1241120</v>
      </c>
      <c r="D2" s="42">
        <f t="shared" ref="D2:D6" si="0">C2/B2</f>
        <v>261.17845117845116</v>
      </c>
      <c r="E2" s="42"/>
    </row>
    <row r="3" spans="1:5" x14ac:dyDescent="0.25">
      <c r="A3" s="39" t="s">
        <v>710</v>
      </c>
      <c r="B3" s="40">
        <v>1566.9</v>
      </c>
      <c r="C3" s="40">
        <v>159824</v>
      </c>
      <c r="D3" s="42">
        <f t="shared" si="0"/>
        <v>102.00012764056416</v>
      </c>
      <c r="E3" s="42"/>
    </row>
    <row r="4" spans="1:5" x14ac:dyDescent="0.25">
      <c r="A4" s="39" t="s">
        <v>1073</v>
      </c>
      <c r="B4" s="40">
        <v>76072.399999999994</v>
      </c>
      <c r="C4" s="40">
        <v>10649973</v>
      </c>
      <c r="D4" s="42">
        <f t="shared" si="0"/>
        <v>139.99785730435744</v>
      </c>
      <c r="E4" s="42"/>
    </row>
    <row r="5" spans="1:5" x14ac:dyDescent="0.25">
      <c r="A5" s="39" t="s">
        <v>3104</v>
      </c>
      <c r="B5" s="40">
        <v>69750</v>
      </c>
      <c r="C5" s="40">
        <v>3627000</v>
      </c>
      <c r="D5" s="42">
        <f t="shared" si="0"/>
        <v>52</v>
      </c>
    </row>
    <row r="6" spans="1:5" x14ac:dyDescent="0.25">
      <c r="A6" s="39" t="s">
        <v>3098</v>
      </c>
      <c r="B6" s="483">
        <v>15864.2</v>
      </c>
      <c r="C6" s="483">
        <v>15025</v>
      </c>
      <c r="D6" s="42">
        <f t="shared" si="0"/>
        <v>0.94710101990645601</v>
      </c>
    </row>
    <row r="7" spans="1:5" x14ac:dyDescent="0.25">
      <c r="A7" s="39" t="s">
        <v>966</v>
      </c>
      <c r="B7" s="40">
        <v>168005.5</v>
      </c>
      <c r="C7" s="40">
        <v>15692942</v>
      </c>
      <c r="D7" s="42"/>
    </row>
    <row r="8" spans="1:5" x14ac:dyDescent="0.25">
      <c r="D8" s="42"/>
    </row>
    <row r="9" spans="1:5" x14ac:dyDescent="0.25">
      <c r="D9" s="42"/>
    </row>
    <row r="10" spans="1:5" x14ac:dyDescent="0.25">
      <c r="D10" s="42"/>
    </row>
    <row r="11" spans="1:5" x14ac:dyDescent="0.25">
      <c r="D11" s="42"/>
    </row>
    <row r="12" spans="1:5" x14ac:dyDescent="0.25">
      <c r="D12" s="42"/>
    </row>
    <row r="13" spans="1:5" x14ac:dyDescent="0.25">
      <c r="D13" s="42"/>
    </row>
    <row r="14" spans="1:5" x14ac:dyDescent="0.25">
      <c r="D14" s="42"/>
    </row>
    <row r="24" spans="1:32" x14ac:dyDescent="0.25">
      <c r="A24" s="34" t="s">
        <v>935</v>
      </c>
      <c r="B24" s="34" t="s">
        <v>936</v>
      </c>
      <c r="C24" s="34" t="s">
        <v>937</v>
      </c>
      <c r="D24" s="34" t="s">
        <v>938</v>
      </c>
      <c r="E24" s="34" t="s">
        <v>939</v>
      </c>
      <c r="F24" s="34" t="s">
        <v>940</v>
      </c>
      <c r="G24" s="34" t="s">
        <v>941</v>
      </c>
      <c r="H24" s="34" t="s">
        <v>942</v>
      </c>
      <c r="I24" s="34" t="s">
        <v>943</v>
      </c>
      <c r="J24" s="34" t="s">
        <v>944</v>
      </c>
      <c r="K24" s="34" t="s">
        <v>945</v>
      </c>
      <c r="L24" s="34" t="s">
        <v>25</v>
      </c>
      <c r="M24" s="34" t="s">
        <v>946</v>
      </c>
      <c r="N24" s="34" t="s">
        <v>947</v>
      </c>
      <c r="O24" s="34" t="s">
        <v>948</v>
      </c>
      <c r="P24" s="34" t="s">
        <v>949</v>
      </c>
      <c r="Q24" s="34" t="s">
        <v>950</v>
      </c>
      <c r="R24" s="34" t="s">
        <v>951</v>
      </c>
      <c r="S24" s="34" t="s">
        <v>952</v>
      </c>
      <c r="T24" s="34" t="s">
        <v>953</v>
      </c>
      <c r="U24" s="34" t="s">
        <v>954</v>
      </c>
      <c r="V24" s="34" t="s">
        <v>955</v>
      </c>
      <c r="W24" s="34" t="s">
        <v>956</v>
      </c>
      <c r="X24" s="34" t="s">
        <v>957</v>
      </c>
      <c r="Y24" s="34" t="s">
        <v>958</v>
      </c>
      <c r="Z24" s="34" t="s">
        <v>959</v>
      </c>
      <c r="AA24" s="34" t="s">
        <v>960</v>
      </c>
      <c r="AB24" s="34" t="s">
        <v>961</v>
      </c>
      <c r="AC24" s="34" t="s">
        <v>962</v>
      </c>
      <c r="AD24" s="34" t="s">
        <v>963</v>
      </c>
      <c r="AE24" s="34" t="s">
        <v>964</v>
      </c>
    </row>
    <row r="25" spans="1:32" x14ac:dyDescent="0.25">
      <c r="A25" s="77">
        <v>46060</v>
      </c>
      <c r="B25" s="43" t="s">
        <v>1053</v>
      </c>
      <c r="C25" s="43" t="s">
        <v>2869</v>
      </c>
      <c r="D25" s="43" t="s">
        <v>3034</v>
      </c>
      <c r="E25" s="43" t="s">
        <v>2864</v>
      </c>
      <c r="F25" s="43" t="s">
        <v>3034</v>
      </c>
      <c r="G25" s="77">
        <v>46060</v>
      </c>
      <c r="H25" s="43" t="s">
        <v>628</v>
      </c>
      <c r="I25" s="43" t="s">
        <v>638</v>
      </c>
      <c r="J25" s="43" t="s">
        <v>639</v>
      </c>
      <c r="K25" s="43" t="s">
        <v>1073</v>
      </c>
      <c r="L25" s="43" t="s">
        <v>679</v>
      </c>
      <c r="M25" s="101">
        <v>2670</v>
      </c>
      <c r="N25" s="43">
        <v>373789</v>
      </c>
      <c r="O25" s="43" t="s">
        <v>1075</v>
      </c>
      <c r="P25" s="43">
        <v>373415.21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 t="s">
        <v>2865</v>
      </c>
      <c r="AA25" s="43" t="s">
        <v>2866</v>
      </c>
      <c r="AB25" s="43">
        <v>39269080</v>
      </c>
      <c r="AC25" s="43" t="s">
        <v>2867</v>
      </c>
      <c r="AD25" s="43">
        <v>1</v>
      </c>
      <c r="AE25" s="43">
        <v>2670</v>
      </c>
      <c r="AF25" s="43" t="s">
        <v>2868</v>
      </c>
    </row>
    <row r="26" spans="1:32" x14ac:dyDescent="0.25">
      <c r="A26" s="77">
        <v>46088</v>
      </c>
      <c r="B26" s="43" t="s">
        <v>1053</v>
      </c>
      <c r="C26" s="43" t="s">
        <v>2869</v>
      </c>
      <c r="D26" s="43" t="s">
        <v>3035</v>
      </c>
      <c r="E26" s="43" t="s">
        <v>2864</v>
      </c>
      <c r="F26" s="43" t="s">
        <v>3035</v>
      </c>
      <c r="G26" s="77">
        <v>46088</v>
      </c>
      <c r="H26" s="43" t="s">
        <v>628</v>
      </c>
      <c r="I26" s="43" t="s">
        <v>638</v>
      </c>
      <c r="J26" s="43" t="s">
        <v>639</v>
      </c>
      <c r="K26" s="43" t="s">
        <v>1073</v>
      </c>
      <c r="L26" s="43" t="s">
        <v>679</v>
      </c>
      <c r="M26" s="101">
        <v>2543</v>
      </c>
      <c r="N26" s="43">
        <v>356009</v>
      </c>
      <c r="O26" s="43" t="s">
        <v>1075</v>
      </c>
      <c r="P26" s="43">
        <v>355652.99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 t="s">
        <v>2865</v>
      </c>
      <c r="AA26" s="43" t="s">
        <v>2866</v>
      </c>
      <c r="AB26" s="43">
        <v>392690</v>
      </c>
      <c r="AC26" s="43" t="s">
        <v>2867</v>
      </c>
      <c r="AD26" s="43">
        <v>1</v>
      </c>
      <c r="AE26" s="43">
        <v>2543</v>
      </c>
      <c r="AF26" s="43" t="s">
        <v>2868</v>
      </c>
    </row>
    <row r="27" spans="1:32" x14ac:dyDescent="0.25">
      <c r="A27" s="77">
        <v>46180</v>
      </c>
      <c r="B27" s="43" t="s">
        <v>1053</v>
      </c>
      <c r="C27" s="43" t="s">
        <v>2869</v>
      </c>
      <c r="D27" s="43" t="s">
        <v>3036</v>
      </c>
      <c r="E27" s="43" t="s">
        <v>2864</v>
      </c>
      <c r="F27" s="43" t="s">
        <v>3036</v>
      </c>
      <c r="G27" s="77">
        <v>46180</v>
      </c>
      <c r="H27" s="43" t="s">
        <v>628</v>
      </c>
      <c r="I27" s="43" t="s">
        <v>638</v>
      </c>
      <c r="J27" s="43" t="s">
        <v>639</v>
      </c>
      <c r="K27" s="43" t="s">
        <v>1073</v>
      </c>
      <c r="L27" s="43" t="s">
        <v>679</v>
      </c>
      <c r="M27" s="101">
        <v>6681</v>
      </c>
      <c r="N27" s="43">
        <v>935311</v>
      </c>
      <c r="O27" s="43" t="s">
        <v>1075</v>
      </c>
      <c r="P27" s="43">
        <v>934375.69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 t="s">
        <v>2865</v>
      </c>
      <c r="AA27" s="43" t="s">
        <v>2866</v>
      </c>
      <c r="AB27" s="43">
        <v>39269080</v>
      </c>
      <c r="AC27" s="43" t="s">
        <v>2867</v>
      </c>
      <c r="AD27" s="43">
        <v>1</v>
      </c>
      <c r="AE27" s="43">
        <v>6681</v>
      </c>
      <c r="AF27" s="43" t="s">
        <v>2868</v>
      </c>
    </row>
    <row r="28" spans="1:32" x14ac:dyDescent="0.25">
      <c r="A28" s="77">
        <v>46241</v>
      </c>
      <c r="B28" s="43" t="s">
        <v>1053</v>
      </c>
      <c r="C28" s="43" t="s">
        <v>3095</v>
      </c>
      <c r="D28" s="43" t="s">
        <v>3096</v>
      </c>
      <c r="E28" s="43" t="s">
        <v>3097</v>
      </c>
      <c r="F28" s="43" t="s">
        <v>3096</v>
      </c>
      <c r="G28" s="77">
        <v>46241</v>
      </c>
      <c r="H28" s="43" t="s">
        <v>3098</v>
      </c>
      <c r="I28" s="43" t="s">
        <v>820</v>
      </c>
      <c r="J28" s="43" t="s">
        <v>3099</v>
      </c>
      <c r="K28" s="43" t="s">
        <v>3098</v>
      </c>
      <c r="L28" s="43" t="s">
        <v>3100</v>
      </c>
      <c r="M28" s="101">
        <v>3040</v>
      </c>
      <c r="N28" s="101">
        <v>1520</v>
      </c>
      <c r="O28" s="43" t="s">
        <v>3101</v>
      </c>
      <c r="P28" s="43">
        <v>1560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39.82</v>
      </c>
      <c r="Z28" s="43" t="s">
        <v>2865</v>
      </c>
      <c r="AA28" s="43" t="s">
        <v>2866</v>
      </c>
      <c r="AB28" s="43">
        <v>68114010</v>
      </c>
      <c r="AC28" s="43" t="s">
        <v>2867</v>
      </c>
      <c r="AD28" s="43">
        <v>1</v>
      </c>
      <c r="AE28" s="43">
        <v>3040</v>
      </c>
      <c r="AF28" s="43" t="s">
        <v>2868</v>
      </c>
    </row>
    <row r="29" spans="1:32" x14ac:dyDescent="0.25">
      <c r="A29" s="77">
        <v>46241</v>
      </c>
      <c r="B29" s="43" t="s">
        <v>1053</v>
      </c>
      <c r="C29" s="43" t="s">
        <v>2869</v>
      </c>
      <c r="D29" s="43" t="s">
        <v>3102</v>
      </c>
      <c r="E29" s="43" t="s">
        <v>2864</v>
      </c>
      <c r="F29" s="43" t="s">
        <v>3102</v>
      </c>
      <c r="G29" s="77">
        <v>46241</v>
      </c>
      <c r="H29" s="43" t="s">
        <v>628</v>
      </c>
      <c r="I29" s="43" t="s">
        <v>638</v>
      </c>
      <c r="J29" s="43" t="s">
        <v>639</v>
      </c>
      <c r="K29" s="43" t="s">
        <v>1073</v>
      </c>
      <c r="L29" s="43" t="s">
        <v>679</v>
      </c>
      <c r="M29" s="101">
        <v>4172</v>
      </c>
      <c r="N29" s="43">
        <v>584062</v>
      </c>
      <c r="O29" s="43" t="s">
        <v>1075</v>
      </c>
      <c r="P29" s="43">
        <v>583477.93999999994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 t="s">
        <v>2865</v>
      </c>
      <c r="AA29" s="43" t="s">
        <v>2866</v>
      </c>
      <c r="AB29" s="43">
        <v>39269080</v>
      </c>
      <c r="AC29" s="43" t="s">
        <v>2867</v>
      </c>
      <c r="AD29" s="43">
        <v>1</v>
      </c>
      <c r="AE29" s="43">
        <v>4172</v>
      </c>
      <c r="AF29" s="43" t="s">
        <v>2868</v>
      </c>
    </row>
    <row r="30" spans="1:32" x14ac:dyDescent="0.25">
      <c r="A30" s="77">
        <v>46272</v>
      </c>
      <c r="B30" s="43" t="s">
        <v>1053</v>
      </c>
      <c r="C30" s="43" t="s">
        <v>3095</v>
      </c>
      <c r="D30" s="43" t="s">
        <v>3103</v>
      </c>
      <c r="E30" s="43" t="s">
        <v>2864</v>
      </c>
      <c r="F30" s="43" t="s">
        <v>3103</v>
      </c>
      <c r="G30" s="77">
        <v>46272</v>
      </c>
      <c r="H30" s="43" t="s">
        <v>628</v>
      </c>
      <c r="I30" s="43" t="s">
        <v>1074</v>
      </c>
      <c r="J30" s="43" t="s">
        <v>1074</v>
      </c>
      <c r="K30" s="43" t="s">
        <v>3104</v>
      </c>
      <c r="L30" s="43" t="s">
        <v>1074</v>
      </c>
      <c r="M30" s="101">
        <v>15000</v>
      </c>
      <c r="N30" s="43">
        <v>780000</v>
      </c>
      <c r="O30" s="43" t="s">
        <v>1089</v>
      </c>
      <c r="P30" s="43">
        <v>779220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 t="s">
        <v>2865</v>
      </c>
      <c r="AA30" s="43" t="s">
        <v>2866</v>
      </c>
      <c r="AB30" s="43">
        <v>39021000</v>
      </c>
      <c r="AC30" s="43" t="s">
        <v>2867</v>
      </c>
      <c r="AD30" s="43">
        <v>1</v>
      </c>
      <c r="AE30" s="43">
        <v>15000</v>
      </c>
      <c r="AF30" s="43" t="s">
        <v>2868</v>
      </c>
    </row>
    <row r="31" spans="1:32" x14ac:dyDescent="0.25">
      <c r="A31" s="77">
        <v>46272</v>
      </c>
      <c r="B31" s="43" t="s">
        <v>1053</v>
      </c>
      <c r="C31" s="43" t="s">
        <v>2869</v>
      </c>
      <c r="D31" s="43" t="s">
        <v>3105</v>
      </c>
      <c r="E31" s="43" t="s">
        <v>2864</v>
      </c>
      <c r="F31" s="43" t="s">
        <v>3105</v>
      </c>
      <c r="G31" s="77">
        <v>46272</v>
      </c>
      <c r="H31" s="43" t="s">
        <v>628</v>
      </c>
      <c r="I31" s="43" t="s">
        <v>638</v>
      </c>
      <c r="J31" s="43" t="s">
        <v>639</v>
      </c>
      <c r="K31" s="43" t="s">
        <v>1073</v>
      </c>
      <c r="L31" s="43" t="s">
        <v>679</v>
      </c>
      <c r="M31" s="43">
        <v>646</v>
      </c>
      <c r="N31" s="101">
        <v>90437</v>
      </c>
      <c r="O31" s="43" t="s">
        <v>1075</v>
      </c>
      <c r="P31" s="43">
        <v>90346.559999999998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 t="s">
        <v>2865</v>
      </c>
      <c r="AA31" s="43" t="s">
        <v>2866</v>
      </c>
      <c r="AB31" s="43">
        <v>39269080</v>
      </c>
      <c r="AC31" s="43" t="s">
        <v>2867</v>
      </c>
      <c r="AD31" s="43">
        <v>1</v>
      </c>
      <c r="AE31" s="43">
        <v>646</v>
      </c>
      <c r="AF31" s="43" t="s">
        <v>2868</v>
      </c>
    </row>
    <row r="32" spans="1:32" x14ac:dyDescent="0.25">
      <c r="A32" s="77">
        <v>46302</v>
      </c>
      <c r="B32" s="43" t="s">
        <v>3115</v>
      </c>
      <c r="C32" s="43" t="s">
        <v>2869</v>
      </c>
      <c r="D32" s="43" t="s">
        <v>3116</v>
      </c>
      <c r="E32" s="43" t="s">
        <v>3117</v>
      </c>
      <c r="F32" s="43" t="s">
        <v>3116</v>
      </c>
      <c r="G32" s="77">
        <v>46302</v>
      </c>
      <c r="H32" s="43" t="s">
        <v>893</v>
      </c>
      <c r="I32" s="43" t="s">
        <v>897</v>
      </c>
      <c r="J32" s="43" t="s">
        <v>897</v>
      </c>
      <c r="K32" s="43" t="s">
        <v>3067</v>
      </c>
      <c r="L32" s="43" t="s">
        <v>896</v>
      </c>
      <c r="M32" s="43">
        <v>226</v>
      </c>
      <c r="N32" s="101">
        <v>69200</v>
      </c>
      <c r="O32" s="43" t="s">
        <v>1077</v>
      </c>
      <c r="P32" s="43">
        <v>69200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 t="s">
        <v>3118</v>
      </c>
      <c r="AA32" s="43" t="s">
        <v>2866</v>
      </c>
      <c r="AB32" s="43">
        <v>63053200</v>
      </c>
      <c r="AC32" s="43" t="s">
        <v>2867</v>
      </c>
      <c r="AD32" s="43">
        <v>1</v>
      </c>
      <c r="AE32" s="43">
        <v>226</v>
      </c>
      <c r="AF32" s="43" t="s">
        <v>2868</v>
      </c>
    </row>
    <row r="33" spans="1:32" x14ac:dyDescent="0.25">
      <c r="A33" s="77">
        <v>46302</v>
      </c>
      <c r="B33" s="43" t="s">
        <v>1053</v>
      </c>
      <c r="C33" s="43" t="s">
        <v>3095</v>
      </c>
      <c r="D33" s="43" t="s">
        <v>3119</v>
      </c>
      <c r="E33" s="43" t="s">
        <v>2864</v>
      </c>
      <c r="F33" s="43" t="s">
        <v>3119</v>
      </c>
      <c r="G33" s="77">
        <v>46302</v>
      </c>
      <c r="H33" s="43" t="s">
        <v>628</v>
      </c>
      <c r="I33" s="43" t="s">
        <v>1074</v>
      </c>
      <c r="J33" s="43" t="s">
        <v>1074</v>
      </c>
      <c r="K33" s="43" t="s">
        <v>3104</v>
      </c>
      <c r="L33" s="43" t="s">
        <v>1074</v>
      </c>
      <c r="M33" s="101">
        <v>22500</v>
      </c>
      <c r="N33" s="43">
        <v>1170000</v>
      </c>
      <c r="O33" s="43" t="s">
        <v>1089</v>
      </c>
      <c r="P33" s="43">
        <v>1168830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 t="s">
        <v>2865</v>
      </c>
      <c r="AA33" s="43" t="s">
        <v>2866</v>
      </c>
      <c r="AB33" s="43">
        <v>39029080</v>
      </c>
      <c r="AC33" s="43" t="s">
        <v>2867</v>
      </c>
      <c r="AD33" s="43">
        <v>1</v>
      </c>
      <c r="AE33" s="43">
        <v>22500</v>
      </c>
      <c r="AF33" s="43" t="s">
        <v>2868</v>
      </c>
    </row>
    <row r="34" spans="1:32" x14ac:dyDescent="0.25">
      <c r="A34" s="77">
        <v>46302</v>
      </c>
      <c r="B34" s="43" t="s">
        <v>1053</v>
      </c>
      <c r="C34" s="43" t="s">
        <v>3095</v>
      </c>
      <c r="D34" s="43" t="s">
        <v>3120</v>
      </c>
      <c r="E34" s="43" t="s">
        <v>2864</v>
      </c>
      <c r="F34" s="43" t="s">
        <v>3120</v>
      </c>
      <c r="G34" s="77">
        <v>46302</v>
      </c>
      <c r="H34" s="43" t="s">
        <v>628</v>
      </c>
      <c r="I34" s="43" t="s">
        <v>1074</v>
      </c>
      <c r="J34" s="43" t="s">
        <v>1074</v>
      </c>
      <c r="K34" s="43" t="s">
        <v>3104</v>
      </c>
      <c r="L34" s="43" t="s">
        <v>1074</v>
      </c>
      <c r="M34" s="101">
        <v>2250</v>
      </c>
      <c r="N34" s="43">
        <v>117000</v>
      </c>
      <c r="O34" s="43" t="s">
        <v>1089</v>
      </c>
      <c r="P34" s="43">
        <v>116883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 t="s">
        <v>2865</v>
      </c>
      <c r="AA34" s="43" t="s">
        <v>2866</v>
      </c>
      <c r="AB34" s="43">
        <v>39011090</v>
      </c>
      <c r="AC34" s="43" t="s">
        <v>2867</v>
      </c>
      <c r="AD34" s="43">
        <v>1</v>
      </c>
      <c r="AE34" s="43">
        <v>2250</v>
      </c>
      <c r="AF34" s="43" t="s">
        <v>2868</v>
      </c>
    </row>
    <row r="35" spans="1:32" x14ac:dyDescent="0.25">
      <c r="A35" s="77">
        <v>46333</v>
      </c>
      <c r="B35" s="43" t="s">
        <v>1053</v>
      </c>
      <c r="C35" s="43" t="s">
        <v>2869</v>
      </c>
      <c r="D35" s="43" t="s">
        <v>3126</v>
      </c>
      <c r="E35" s="43" t="s">
        <v>2864</v>
      </c>
      <c r="F35" s="43" t="s">
        <v>3126</v>
      </c>
      <c r="G35" s="77">
        <v>46333</v>
      </c>
      <c r="H35" s="43" t="s">
        <v>628</v>
      </c>
      <c r="I35" s="43" t="s">
        <v>638</v>
      </c>
      <c r="J35" s="43" t="s">
        <v>639</v>
      </c>
      <c r="K35" s="43" t="s">
        <v>1073</v>
      </c>
      <c r="L35" s="43" t="s">
        <v>679</v>
      </c>
      <c r="M35" s="101">
        <v>4518</v>
      </c>
      <c r="N35" s="43">
        <v>632501</v>
      </c>
      <c r="O35" s="43" t="s">
        <v>1075</v>
      </c>
      <c r="P35" s="43">
        <v>631868.5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 t="s">
        <v>2865</v>
      </c>
      <c r="AA35" s="43" t="s">
        <v>2866</v>
      </c>
      <c r="AB35" s="43">
        <v>39269080</v>
      </c>
      <c r="AC35" s="43" t="s">
        <v>2867</v>
      </c>
      <c r="AD35" s="43">
        <v>1</v>
      </c>
      <c r="AE35" s="43">
        <v>4518</v>
      </c>
      <c r="AF35" s="43" t="s">
        <v>2868</v>
      </c>
    </row>
    <row r="36" spans="1:32" x14ac:dyDescent="0.25">
      <c r="A36" s="43" t="s">
        <v>3127</v>
      </c>
      <c r="B36" s="43" t="s">
        <v>1053</v>
      </c>
      <c r="C36" s="43" t="s">
        <v>2869</v>
      </c>
      <c r="D36" s="43" t="s">
        <v>3128</v>
      </c>
      <c r="E36" s="43" t="s">
        <v>2864</v>
      </c>
      <c r="F36" s="43" t="s">
        <v>3128</v>
      </c>
      <c r="G36" s="43" t="s">
        <v>3127</v>
      </c>
      <c r="H36" s="43" t="s">
        <v>628</v>
      </c>
      <c r="I36" s="43" t="s">
        <v>638</v>
      </c>
      <c r="J36" s="43" t="s">
        <v>639</v>
      </c>
      <c r="K36" s="43" t="s">
        <v>1073</v>
      </c>
      <c r="L36" s="43" t="s">
        <v>679</v>
      </c>
      <c r="M36" s="101">
        <v>5080</v>
      </c>
      <c r="N36" s="43">
        <v>711178</v>
      </c>
      <c r="O36" s="43" t="s">
        <v>1075</v>
      </c>
      <c r="P36" s="43">
        <v>710466.82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 t="s">
        <v>2865</v>
      </c>
      <c r="AA36" s="43" t="s">
        <v>2866</v>
      </c>
      <c r="AB36" s="43">
        <v>39269080</v>
      </c>
      <c r="AC36" s="43" t="s">
        <v>2867</v>
      </c>
      <c r="AD36" s="43">
        <v>1</v>
      </c>
      <c r="AE36" s="43">
        <v>5080</v>
      </c>
      <c r="AF36" s="43" t="s">
        <v>2868</v>
      </c>
    </row>
    <row r="37" spans="1:32" x14ac:dyDescent="0.25">
      <c r="A37" s="43" t="s">
        <v>3173</v>
      </c>
      <c r="B37" s="43" t="s">
        <v>1053</v>
      </c>
      <c r="C37" s="43" t="s">
        <v>2869</v>
      </c>
      <c r="D37" s="43" t="s">
        <v>3180</v>
      </c>
      <c r="E37" s="43" t="s">
        <v>2864</v>
      </c>
      <c r="F37" s="43" t="s">
        <v>3180</v>
      </c>
      <c r="G37" s="43" t="s">
        <v>3173</v>
      </c>
      <c r="H37" s="43" t="s">
        <v>628</v>
      </c>
      <c r="I37" s="43" t="s">
        <v>638</v>
      </c>
      <c r="J37" s="43" t="s">
        <v>639</v>
      </c>
      <c r="K37" s="43" t="s">
        <v>1073</v>
      </c>
      <c r="L37" s="43" t="s">
        <v>679</v>
      </c>
      <c r="M37" s="101">
        <v>2434</v>
      </c>
      <c r="N37" s="43">
        <v>340750</v>
      </c>
      <c r="O37" s="43" t="s">
        <v>1075</v>
      </c>
      <c r="P37" s="43">
        <v>340409.25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 t="s">
        <v>2865</v>
      </c>
      <c r="AA37" s="43" t="s">
        <v>2866</v>
      </c>
      <c r="AB37" s="43">
        <v>39269080</v>
      </c>
      <c r="AC37" s="43" t="s">
        <v>2867</v>
      </c>
      <c r="AD37" s="43">
        <v>1</v>
      </c>
      <c r="AE37" s="43">
        <v>2434</v>
      </c>
      <c r="AF37" s="43" t="s">
        <v>2868</v>
      </c>
    </row>
    <row r="38" spans="1:32" x14ac:dyDescent="0.25">
      <c r="A38" s="43" t="s">
        <v>3183</v>
      </c>
      <c r="B38" s="43" t="s">
        <v>1053</v>
      </c>
      <c r="C38" s="43" t="s">
        <v>2869</v>
      </c>
      <c r="D38" s="43" t="s">
        <v>3184</v>
      </c>
      <c r="E38" s="43" t="s">
        <v>2864</v>
      </c>
      <c r="F38" s="43" t="s">
        <v>3184</v>
      </c>
      <c r="G38" s="43" t="s">
        <v>3183</v>
      </c>
      <c r="H38" s="43" t="s">
        <v>628</v>
      </c>
      <c r="I38" s="43" t="s">
        <v>638</v>
      </c>
      <c r="J38" s="43" t="s">
        <v>639</v>
      </c>
      <c r="K38" s="43" t="s">
        <v>1073</v>
      </c>
      <c r="L38" s="43" t="s">
        <v>679</v>
      </c>
      <c r="M38" s="101">
        <v>5328</v>
      </c>
      <c r="N38" s="43">
        <v>745897</v>
      </c>
      <c r="O38" s="43" t="s">
        <v>1075</v>
      </c>
      <c r="P38" s="43">
        <v>745151.1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 t="s">
        <v>2865</v>
      </c>
      <c r="AA38" s="43" t="s">
        <v>2866</v>
      </c>
      <c r="AB38" s="43">
        <v>39269080</v>
      </c>
      <c r="AC38" s="43" t="s">
        <v>2867</v>
      </c>
      <c r="AD38" s="43">
        <v>1</v>
      </c>
      <c r="AE38" s="43">
        <v>5328</v>
      </c>
      <c r="AF38" s="43" t="s">
        <v>2868</v>
      </c>
    </row>
    <row r="39" spans="1:32" x14ac:dyDescent="0.25">
      <c r="A39" s="43" t="s">
        <v>3183</v>
      </c>
      <c r="B39" s="43" t="s">
        <v>1053</v>
      </c>
      <c r="C39" s="43" t="s">
        <v>2869</v>
      </c>
      <c r="D39" s="43" t="s">
        <v>3185</v>
      </c>
      <c r="E39" s="43" t="s">
        <v>2864</v>
      </c>
      <c r="F39" s="43" t="s">
        <v>3185</v>
      </c>
      <c r="G39" s="43" t="s">
        <v>3183</v>
      </c>
      <c r="H39" s="43" t="s">
        <v>628</v>
      </c>
      <c r="I39" s="43" t="s">
        <v>709</v>
      </c>
      <c r="J39" s="43" t="s">
        <v>710</v>
      </c>
      <c r="K39" s="43" t="s">
        <v>710</v>
      </c>
      <c r="L39" s="43" t="s">
        <v>709</v>
      </c>
      <c r="M39" s="43">
        <v>553.4</v>
      </c>
      <c r="N39" s="101">
        <v>56447</v>
      </c>
      <c r="O39" s="43" t="s">
        <v>1071</v>
      </c>
      <c r="P39" s="43">
        <v>56390.55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 t="s">
        <v>2865</v>
      </c>
      <c r="AA39" s="43" t="s">
        <v>2866</v>
      </c>
      <c r="AB39" s="43">
        <v>39269080</v>
      </c>
      <c r="AC39" s="43" t="s">
        <v>2867</v>
      </c>
      <c r="AD39" s="43">
        <v>1</v>
      </c>
      <c r="AE39" s="43">
        <v>553.4</v>
      </c>
      <c r="AF39" s="43" t="s">
        <v>2868</v>
      </c>
    </row>
    <row r="40" spans="1:32" x14ac:dyDescent="0.25">
      <c r="A40" s="43" t="s">
        <v>3186</v>
      </c>
      <c r="B40" s="43" t="s">
        <v>1053</v>
      </c>
      <c r="C40" s="43" t="s">
        <v>2869</v>
      </c>
      <c r="D40" s="43" t="s">
        <v>3187</v>
      </c>
      <c r="E40" s="43" t="s">
        <v>2864</v>
      </c>
      <c r="F40" s="43" t="s">
        <v>3187</v>
      </c>
      <c r="G40" s="43" t="s">
        <v>3186</v>
      </c>
      <c r="H40" s="43" t="s">
        <v>628</v>
      </c>
      <c r="I40" s="43" t="s">
        <v>1074</v>
      </c>
      <c r="J40" s="43" t="s">
        <v>1074</v>
      </c>
      <c r="K40" s="43" t="s">
        <v>3104</v>
      </c>
      <c r="L40" s="43" t="s">
        <v>1074</v>
      </c>
      <c r="M40" s="101">
        <v>30000</v>
      </c>
      <c r="N40" s="43">
        <v>1560000</v>
      </c>
      <c r="O40" s="43" t="s">
        <v>3188</v>
      </c>
      <c r="P40" s="43">
        <v>1558440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 t="s">
        <v>2865</v>
      </c>
      <c r="AA40" s="43" t="s">
        <v>2866</v>
      </c>
      <c r="AB40" s="43">
        <v>39021000</v>
      </c>
      <c r="AC40" s="43" t="s">
        <v>2867</v>
      </c>
      <c r="AD40" s="43">
        <v>1</v>
      </c>
      <c r="AE40" s="43">
        <v>30000</v>
      </c>
      <c r="AF40" s="43" t="s">
        <v>2868</v>
      </c>
    </row>
    <row r="41" spans="1:32" x14ac:dyDescent="0.25">
      <c r="A41" s="43" t="s">
        <v>3221</v>
      </c>
      <c r="B41" s="43" t="s">
        <v>1053</v>
      </c>
      <c r="C41" s="43" t="s">
        <v>3095</v>
      </c>
      <c r="D41" s="43" t="s">
        <v>3231</v>
      </c>
      <c r="E41" s="43" t="s">
        <v>3097</v>
      </c>
      <c r="F41" s="43" t="s">
        <v>3231</v>
      </c>
      <c r="G41" s="43" t="s">
        <v>3221</v>
      </c>
      <c r="H41" s="43" t="s">
        <v>3098</v>
      </c>
      <c r="I41" s="43" t="s">
        <v>820</v>
      </c>
      <c r="J41" s="43" t="s">
        <v>3099</v>
      </c>
      <c r="K41" s="43" t="s">
        <v>3098</v>
      </c>
      <c r="L41" s="43" t="s">
        <v>3100</v>
      </c>
      <c r="M41" s="43">
        <v>14.2</v>
      </c>
      <c r="N41" s="101">
        <v>7100</v>
      </c>
      <c r="O41" s="43" t="s">
        <v>3101</v>
      </c>
      <c r="P41" s="43">
        <v>7286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185.99</v>
      </c>
      <c r="Z41" s="43" t="s">
        <v>2865</v>
      </c>
      <c r="AA41" s="43" t="s">
        <v>2866</v>
      </c>
      <c r="AB41" s="43">
        <v>68114010</v>
      </c>
      <c r="AC41" s="43" t="s">
        <v>2867</v>
      </c>
      <c r="AD41" s="43">
        <v>1</v>
      </c>
      <c r="AE41" s="43">
        <v>14.2</v>
      </c>
      <c r="AF41" s="43" t="s">
        <v>2868</v>
      </c>
    </row>
    <row r="42" spans="1:32" x14ac:dyDescent="0.25">
      <c r="A42" s="43" t="s">
        <v>3221</v>
      </c>
      <c r="B42" s="43" t="s">
        <v>1053</v>
      </c>
      <c r="C42" s="43" t="s">
        <v>2869</v>
      </c>
      <c r="D42" s="43" t="s">
        <v>3232</v>
      </c>
      <c r="E42" s="43" t="s">
        <v>2864</v>
      </c>
      <c r="F42" s="43" t="s">
        <v>3232</v>
      </c>
      <c r="G42" s="43" t="s">
        <v>3221</v>
      </c>
      <c r="H42" s="43" t="s">
        <v>628</v>
      </c>
      <c r="I42" s="43" t="s">
        <v>638</v>
      </c>
      <c r="J42" s="43" t="s">
        <v>639</v>
      </c>
      <c r="K42" s="43" t="s">
        <v>1073</v>
      </c>
      <c r="L42" s="43" t="s">
        <v>679</v>
      </c>
      <c r="M42" s="101">
        <v>4542</v>
      </c>
      <c r="N42" s="43">
        <v>635860</v>
      </c>
      <c r="O42" s="43" t="s">
        <v>1075</v>
      </c>
      <c r="P42" s="43">
        <v>635224.14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 t="s">
        <v>2865</v>
      </c>
      <c r="AA42" s="43" t="s">
        <v>2866</v>
      </c>
      <c r="AB42" s="43">
        <v>39269080</v>
      </c>
      <c r="AC42" s="43" t="s">
        <v>2867</v>
      </c>
      <c r="AD42" s="43">
        <v>1</v>
      </c>
      <c r="AE42" s="43">
        <v>4542</v>
      </c>
      <c r="AF42" s="43" t="s">
        <v>2868</v>
      </c>
    </row>
    <row r="43" spans="1:32" x14ac:dyDescent="0.25">
      <c r="A43" s="43" t="s">
        <v>3221</v>
      </c>
      <c r="B43" s="43" t="s">
        <v>1053</v>
      </c>
      <c r="C43" s="43" t="s">
        <v>2869</v>
      </c>
      <c r="D43" s="43" t="s">
        <v>3233</v>
      </c>
      <c r="E43" s="43" t="s">
        <v>2864</v>
      </c>
      <c r="F43" s="43" t="s">
        <v>3233</v>
      </c>
      <c r="G43" s="43" t="s">
        <v>3221</v>
      </c>
      <c r="H43" s="43" t="s">
        <v>628</v>
      </c>
      <c r="I43" s="43" t="s">
        <v>709</v>
      </c>
      <c r="J43" s="43" t="s">
        <v>710</v>
      </c>
      <c r="K43" s="43" t="s">
        <v>710</v>
      </c>
      <c r="L43" s="43" t="s">
        <v>709</v>
      </c>
      <c r="M43" s="43">
        <v>519.5</v>
      </c>
      <c r="N43" s="101">
        <v>52989</v>
      </c>
      <c r="O43" s="43" t="s">
        <v>1071</v>
      </c>
      <c r="P43" s="43">
        <v>52936.01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 t="s">
        <v>2865</v>
      </c>
      <c r="AA43" s="43" t="s">
        <v>2866</v>
      </c>
      <c r="AB43" s="43">
        <v>39269080</v>
      </c>
      <c r="AC43" s="43" t="s">
        <v>2867</v>
      </c>
      <c r="AD43" s="43">
        <v>1</v>
      </c>
      <c r="AE43" s="43">
        <v>519.5</v>
      </c>
      <c r="AF43" s="43" t="s">
        <v>2868</v>
      </c>
    </row>
    <row r="44" spans="1:32" x14ac:dyDescent="0.25">
      <c r="A44" s="43" t="s">
        <v>3242</v>
      </c>
      <c r="B44" s="43" t="s">
        <v>1053</v>
      </c>
      <c r="C44" s="43" t="s">
        <v>2869</v>
      </c>
      <c r="D44" s="43" t="s">
        <v>3254</v>
      </c>
      <c r="E44" s="43" t="s">
        <v>2864</v>
      </c>
      <c r="F44" s="43" t="s">
        <v>3254</v>
      </c>
      <c r="G44" s="43" t="s">
        <v>3242</v>
      </c>
      <c r="H44" s="43" t="s">
        <v>628</v>
      </c>
      <c r="I44" s="43" t="s">
        <v>638</v>
      </c>
      <c r="J44" s="43" t="s">
        <v>639</v>
      </c>
      <c r="K44" s="43" t="s">
        <v>1073</v>
      </c>
      <c r="L44" s="43" t="s">
        <v>679</v>
      </c>
      <c r="M44" s="101">
        <v>7157</v>
      </c>
      <c r="N44" s="43">
        <v>1001981</v>
      </c>
      <c r="O44" s="43" t="s">
        <v>1075</v>
      </c>
      <c r="P44" s="43">
        <v>1000979.02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 t="s">
        <v>2865</v>
      </c>
      <c r="AA44" s="43" t="s">
        <v>2866</v>
      </c>
      <c r="AB44" s="43">
        <v>39269080</v>
      </c>
      <c r="AC44" s="43" t="s">
        <v>2867</v>
      </c>
      <c r="AD44" s="43">
        <v>1</v>
      </c>
      <c r="AE44" s="43">
        <v>7157</v>
      </c>
      <c r="AF44" s="43" t="s">
        <v>2868</v>
      </c>
    </row>
    <row r="45" spans="1:32" x14ac:dyDescent="0.25">
      <c r="A45" s="43" t="s">
        <v>3242</v>
      </c>
      <c r="B45" s="43" t="s">
        <v>1053</v>
      </c>
      <c r="C45" s="43" t="s">
        <v>2869</v>
      </c>
      <c r="D45" s="43" t="s">
        <v>3255</v>
      </c>
      <c r="E45" s="43" t="s">
        <v>2864</v>
      </c>
      <c r="F45" s="43" t="s">
        <v>3255</v>
      </c>
      <c r="G45" s="43" t="s">
        <v>3242</v>
      </c>
      <c r="H45" s="43" t="s">
        <v>628</v>
      </c>
      <c r="I45" s="43" t="s">
        <v>709</v>
      </c>
      <c r="J45" s="43" t="s">
        <v>710</v>
      </c>
      <c r="K45" s="43" t="s">
        <v>710</v>
      </c>
      <c r="L45" s="43" t="s">
        <v>709</v>
      </c>
      <c r="M45" s="43">
        <v>494</v>
      </c>
      <c r="N45" s="101">
        <v>50388</v>
      </c>
      <c r="O45" s="43" t="s">
        <v>1071</v>
      </c>
      <c r="P45" s="43">
        <v>50337.61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 t="s">
        <v>2865</v>
      </c>
      <c r="AA45" s="43" t="s">
        <v>2866</v>
      </c>
      <c r="AB45" s="43">
        <v>39269080</v>
      </c>
      <c r="AC45" s="43" t="s">
        <v>2867</v>
      </c>
      <c r="AD45" s="43">
        <v>1</v>
      </c>
      <c r="AE45" s="43">
        <v>494</v>
      </c>
      <c r="AF45" s="43" t="s">
        <v>2868</v>
      </c>
    </row>
    <row r="46" spans="1:32" x14ac:dyDescent="0.25">
      <c r="A46" s="43" t="s">
        <v>3256</v>
      </c>
      <c r="B46" s="43" t="s">
        <v>1053</v>
      </c>
      <c r="C46" s="43" t="s">
        <v>2869</v>
      </c>
      <c r="D46" s="43" t="s">
        <v>3257</v>
      </c>
      <c r="E46" s="43" t="s">
        <v>2864</v>
      </c>
      <c r="F46" s="43" t="s">
        <v>3257</v>
      </c>
      <c r="G46" s="43" t="s">
        <v>3256</v>
      </c>
      <c r="H46" s="43" t="s">
        <v>628</v>
      </c>
      <c r="I46" s="43" t="s">
        <v>638</v>
      </c>
      <c r="J46" s="43" t="s">
        <v>639</v>
      </c>
      <c r="K46" s="43" t="s">
        <v>1073</v>
      </c>
      <c r="L46" s="43" t="s">
        <v>679</v>
      </c>
      <c r="M46" s="101">
        <v>3223</v>
      </c>
      <c r="N46" s="43">
        <v>451220</v>
      </c>
      <c r="O46" s="43" t="s">
        <v>1075</v>
      </c>
      <c r="P46" s="43">
        <v>450768.78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 t="s">
        <v>2865</v>
      </c>
      <c r="AA46" s="43" t="s">
        <v>2866</v>
      </c>
      <c r="AB46" s="43">
        <v>39269080</v>
      </c>
      <c r="AC46" s="43" t="s">
        <v>2867</v>
      </c>
      <c r="AD46" s="43">
        <v>1</v>
      </c>
      <c r="AE46" s="43">
        <v>3223</v>
      </c>
      <c r="AF46" s="43" t="s">
        <v>2868</v>
      </c>
    </row>
    <row r="47" spans="1:32" x14ac:dyDescent="0.25">
      <c r="A47" s="43" t="s">
        <v>3267</v>
      </c>
      <c r="B47" s="43" t="s">
        <v>3281</v>
      </c>
      <c r="C47" s="43" t="s">
        <v>2869</v>
      </c>
      <c r="D47" s="43" t="s">
        <v>3282</v>
      </c>
      <c r="E47" s="43" t="s">
        <v>3117</v>
      </c>
      <c r="F47" s="43" t="s">
        <v>3282</v>
      </c>
      <c r="G47" s="43" t="s">
        <v>3267</v>
      </c>
      <c r="H47" s="43" t="s">
        <v>893</v>
      </c>
      <c r="I47" s="43" t="s">
        <v>897</v>
      </c>
      <c r="J47" s="43" t="s">
        <v>897</v>
      </c>
      <c r="K47" s="43" t="s">
        <v>3067</v>
      </c>
      <c r="L47" s="43" t="s">
        <v>896</v>
      </c>
      <c r="M47" s="101">
        <v>4300</v>
      </c>
      <c r="N47" s="43">
        <v>1102720</v>
      </c>
      <c r="O47" s="43" t="s">
        <v>3283</v>
      </c>
      <c r="P47" s="43">
        <v>1102720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 t="s">
        <v>3284</v>
      </c>
      <c r="AA47" s="43" t="s">
        <v>2866</v>
      </c>
      <c r="AB47" s="43">
        <v>63053200</v>
      </c>
      <c r="AC47" s="43" t="s">
        <v>2867</v>
      </c>
      <c r="AD47" s="43">
        <v>1</v>
      </c>
      <c r="AE47" s="43">
        <v>4300</v>
      </c>
      <c r="AF47" s="43" t="s">
        <v>2868</v>
      </c>
    </row>
    <row r="48" spans="1:32" x14ac:dyDescent="0.25">
      <c r="A48" s="43" t="s">
        <v>3275</v>
      </c>
      <c r="B48" s="43" t="s">
        <v>1053</v>
      </c>
      <c r="C48" s="43" t="s">
        <v>2869</v>
      </c>
      <c r="D48" s="43" t="s">
        <v>3301</v>
      </c>
      <c r="E48" s="43" t="s">
        <v>2864</v>
      </c>
      <c r="F48" s="43" t="s">
        <v>3301</v>
      </c>
      <c r="G48" s="43" t="s">
        <v>3275</v>
      </c>
      <c r="H48" s="43" t="s">
        <v>628</v>
      </c>
      <c r="I48" s="43" t="s">
        <v>638</v>
      </c>
      <c r="J48" s="43" t="s">
        <v>639</v>
      </c>
      <c r="K48" s="43" t="s">
        <v>1073</v>
      </c>
      <c r="L48" s="43" t="s">
        <v>679</v>
      </c>
      <c r="M48" s="101">
        <v>3497</v>
      </c>
      <c r="N48" s="43">
        <v>489580</v>
      </c>
      <c r="O48" s="43" t="s">
        <v>1075</v>
      </c>
      <c r="P48" s="43">
        <v>489090.42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 t="s">
        <v>2865</v>
      </c>
      <c r="AA48" s="43" t="s">
        <v>2866</v>
      </c>
      <c r="AB48" s="43">
        <v>39269080</v>
      </c>
      <c r="AC48" s="43" t="s">
        <v>2867</v>
      </c>
      <c r="AD48" s="43">
        <v>1</v>
      </c>
      <c r="AE48" s="43">
        <v>3497</v>
      </c>
      <c r="AF48" s="43" t="s">
        <v>2868</v>
      </c>
    </row>
    <row r="49" spans="1:32" x14ac:dyDescent="0.25">
      <c r="A49" s="43" t="s">
        <v>3312</v>
      </c>
      <c r="B49" s="43" t="s">
        <v>1053</v>
      </c>
      <c r="C49" s="43" t="s">
        <v>2869</v>
      </c>
      <c r="D49" s="43" t="s">
        <v>3334</v>
      </c>
      <c r="E49" s="43" t="s">
        <v>2864</v>
      </c>
      <c r="F49" s="43" t="s">
        <v>3334</v>
      </c>
      <c r="G49" s="43" t="s">
        <v>3312</v>
      </c>
      <c r="H49" s="43" t="s">
        <v>628</v>
      </c>
      <c r="I49" s="43" t="s">
        <v>638</v>
      </c>
      <c r="J49" s="43" t="s">
        <v>639</v>
      </c>
      <c r="K49" s="43" t="s">
        <v>1073</v>
      </c>
      <c r="L49" s="43" t="s">
        <v>679</v>
      </c>
      <c r="M49" s="101">
        <v>4426</v>
      </c>
      <c r="N49" s="43">
        <v>619640</v>
      </c>
      <c r="O49" s="43" t="s">
        <v>1075</v>
      </c>
      <c r="P49" s="43">
        <v>619020.36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 t="s">
        <v>2865</v>
      </c>
      <c r="AA49" s="43" t="s">
        <v>2866</v>
      </c>
      <c r="AB49" s="43">
        <v>39269080</v>
      </c>
      <c r="AC49" s="43" t="s">
        <v>2867</v>
      </c>
      <c r="AD49" s="43">
        <v>1</v>
      </c>
      <c r="AE49" s="43">
        <v>4426</v>
      </c>
      <c r="AF49" s="43" t="s">
        <v>2868</v>
      </c>
    </row>
    <row r="50" spans="1:32" x14ac:dyDescent="0.25">
      <c r="A50" s="43" t="s">
        <v>3335</v>
      </c>
      <c r="B50" s="43" t="s">
        <v>1053</v>
      </c>
      <c r="C50" s="43" t="s">
        <v>2869</v>
      </c>
      <c r="D50" s="43" t="s">
        <v>3336</v>
      </c>
      <c r="E50" s="43" t="s">
        <v>2864</v>
      </c>
      <c r="F50" s="43" t="s">
        <v>3336</v>
      </c>
      <c r="G50" s="43" t="s">
        <v>3335</v>
      </c>
      <c r="H50" s="43" t="s">
        <v>628</v>
      </c>
      <c r="I50" s="43" t="s">
        <v>638</v>
      </c>
      <c r="J50" s="43" t="s">
        <v>639</v>
      </c>
      <c r="K50" s="43" t="s">
        <v>1073</v>
      </c>
      <c r="L50" s="43" t="s">
        <v>679</v>
      </c>
      <c r="M50" s="101">
        <v>9304</v>
      </c>
      <c r="N50" s="43">
        <v>1302561</v>
      </c>
      <c r="O50" s="43" t="s">
        <v>1075</v>
      </c>
      <c r="P50" s="43">
        <v>1301258.44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 t="s">
        <v>2865</v>
      </c>
      <c r="AA50" s="43" t="s">
        <v>2866</v>
      </c>
      <c r="AB50" s="43">
        <v>39269080</v>
      </c>
      <c r="AC50" s="43" t="s">
        <v>2867</v>
      </c>
      <c r="AD50" s="43">
        <v>1</v>
      </c>
      <c r="AE50" s="43">
        <v>9304</v>
      </c>
      <c r="AF50" s="43" t="s">
        <v>2868</v>
      </c>
    </row>
    <row r="51" spans="1:32" x14ac:dyDescent="0.25">
      <c r="A51" s="43" t="s">
        <v>3351</v>
      </c>
      <c r="B51" s="43" t="s">
        <v>3115</v>
      </c>
      <c r="C51" s="43" t="s">
        <v>2869</v>
      </c>
      <c r="D51" s="43" t="s">
        <v>3364</v>
      </c>
      <c r="E51" s="43" t="s">
        <v>3117</v>
      </c>
      <c r="F51" s="43" t="s">
        <v>3364</v>
      </c>
      <c r="G51" s="43" t="s">
        <v>3351</v>
      </c>
      <c r="H51" s="43" t="s">
        <v>893</v>
      </c>
      <c r="I51" s="43" t="s">
        <v>897</v>
      </c>
      <c r="J51" s="43" t="s">
        <v>897</v>
      </c>
      <c r="K51" s="43" t="s">
        <v>3067</v>
      </c>
      <c r="L51" s="43" t="s">
        <v>896</v>
      </c>
      <c r="M51" s="43">
        <v>226</v>
      </c>
      <c r="N51" s="101">
        <v>69200</v>
      </c>
      <c r="O51" s="43" t="s">
        <v>1077</v>
      </c>
      <c r="P51" s="43">
        <v>69200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 t="s">
        <v>3118</v>
      </c>
      <c r="AA51" s="43" t="s">
        <v>2866</v>
      </c>
      <c r="AB51" s="43">
        <v>63053200</v>
      </c>
      <c r="AC51" s="43" t="s">
        <v>2867</v>
      </c>
      <c r="AD51" s="43">
        <v>1</v>
      </c>
      <c r="AE51" s="43">
        <v>226</v>
      </c>
      <c r="AF51" s="43" t="s">
        <v>2868</v>
      </c>
    </row>
    <row r="52" spans="1:32" x14ac:dyDescent="0.25">
      <c r="A52" s="43" t="s">
        <v>3366</v>
      </c>
      <c r="B52" s="43" t="s">
        <v>1053</v>
      </c>
      <c r="C52" s="43" t="s">
        <v>3095</v>
      </c>
      <c r="D52" s="43" t="s">
        <v>3373</v>
      </c>
      <c r="E52" s="43" t="s">
        <v>3097</v>
      </c>
      <c r="F52" s="43" t="s">
        <v>3373</v>
      </c>
      <c r="G52" s="43" t="s">
        <v>3366</v>
      </c>
      <c r="H52" s="43" t="s">
        <v>3098</v>
      </c>
      <c r="I52" s="43" t="s">
        <v>820</v>
      </c>
      <c r="J52" s="43" t="s">
        <v>3099</v>
      </c>
      <c r="K52" s="43" t="s">
        <v>3098</v>
      </c>
      <c r="L52" s="43" t="s">
        <v>3100</v>
      </c>
      <c r="M52" s="101">
        <v>12810</v>
      </c>
      <c r="N52" s="101">
        <v>6405</v>
      </c>
      <c r="O52" s="43" t="s">
        <v>3101</v>
      </c>
      <c r="P52" s="43">
        <v>6572.79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167.79</v>
      </c>
      <c r="Z52" s="43" t="s">
        <v>2865</v>
      </c>
      <c r="AA52" s="43" t="s">
        <v>2866</v>
      </c>
      <c r="AB52" s="43">
        <v>68114010</v>
      </c>
      <c r="AC52" s="43" t="s">
        <v>2867</v>
      </c>
      <c r="AD52" s="43">
        <v>1</v>
      </c>
      <c r="AE52" s="43">
        <v>12810</v>
      </c>
      <c r="AF52" s="43" t="s">
        <v>2868</v>
      </c>
    </row>
    <row r="53" spans="1:32" x14ac:dyDescent="0.25">
      <c r="A53" s="43" t="s">
        <v>3366</v>
      </c>
      <c r="B53" s="43" t="s">
        <v>1053</v>
      </c>
      <c r="C53" s="43" t="s">
        <v>2869</v>
      </c>
      <c r="D53" s="43" t="s">
        <v>3374</v>
      </c>
      <c r="E53" s="43" t="s">
        <v>2864</v>
      </c>
      <c r="F53" s="43" t="s">
        <v>3374</v>
      </c>
      <c r="G53" s="43" t="s">
        <v>3366</v>
      </c>
      <c r="H53" s="43" t="s">
        <v>628</v>
      </c>
      <c r="I53" s="43" t="s">
        <v>638</v>
      </c>
      <c r="J53" s="43" t="s">
        <v>639</v>
      </c>
      <c r="K53" s="43" t="s">
        <v>1073</v>
      </c>
      <c r="L53" s="43" t="s">
        <v>679</v>
      </c>
      <c r="M53" s="101">
        <v>9851.4</v>
      </c>
      <c r="N53" s="43">
        <v>1379197</v>
      </c>
      <c r="O53" s="43" t="s">
        <v>1075</v>
      </c>
      <c r="P53" s="43">
        <v>1377817.8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 t="s">
        <v>2865</v>
      </c>
      <c r="AA53" s="43" t="s">
        <v>2866</v>
      </c>
      <c r="AB53" s="43">
        <v>39269080</v>
      </c>
      <c r="AC53" s="43" t="s">
        <v>2867</v>
      </c>
      <c r="AD53" s="43">
        <v>1</v>
      </c>
      <c r="AE53" s="43">
        <v>9851.4</v>
      </c>
      <c r="AF53" s="43" t="s">
        <v>2868</v>
      </c>
    </row>
    <row r="54" spans="1:32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101"/>
      <c r="N54" s="101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</row>
    <row r="55" spans="1:32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101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</row>
    <row r="293" spans="33:33" ht="14.5" x14ac:dyDescent="0.35">
      <c r="AG293" s="100"/>
    </row>
  </sheetData>
  <autoFilter ref="A24:AE53"/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workbookViewId="0">
      <selection activeCell="C5" sqref="C5"/>
    </sheetView>
  </sheetViews>
  <sheetFormatPr defaultRowHeight="12.5" x14ac:dyDescent="0.25"/>
  <cols>
    <col min="1" max="1" width="23.6328125" customWidth="1"/>
    <col min="2" max="2" width="18.36328125" customWidth="1"/>
    <col min="3" max="3" width="19.54296875" customWidth="1"/>
    <col min="4" max="4" width="14.1796875" customWidth="1"/>
    <col min="5" max="5" width="13.26953125" bestFit="1" customWidth="1"/>
    <col min="6" max="6" width="28.453125" bestFit="1" customWidth="1"/>
    <col min="7" max="7" width="28.453125" style="39" customWidth="1"/>
    <col min="8" max="8" width="17.08984375" bestFit="1" customWidth="1"/>
    <col min="9" max="9" width="11" bestFit="1" customWidth="1"/>
    <col min="10" max="10" width="13.81640625" bestFit="1" customWidth="1"/>
    <col min="11" max="11" width="12.81640625" bestFit="1" customWidth="1"/>
    <col min="12" max="12" width="22.54296875" bestFit="1" customWidth="1"/>
    <col min="13" max="13" width="29.1796875" bestFit="1" customWidth="1"/>
    <col min="14" max="14" width="11" bestFit="1" customWidth="1"/>
    <col min="15" max="15" width="12" bestFit="1" customWidth="1"/>
    <col min="16" max="16" width="29.1796875" bestFit="1" customWidth="1"/>
    <col min="17" max="17" width="13.453125" bestFit="1" customWidth="1"/>
    <col min="18" max="18" width="12.453125" bestFit="1" customWidth="1"/>
    <col min="19" max="19" width="12" bestFit="1" customWidth="1"/>
    <col min="20" max="20" width="12.453125" bestFit="1" customWidth="1"/>
    <col min="21" max="22" width="12" bestFit="1" customWidth="1"/>
    <col min="23" max="23" width="11.54296875" bestFit="1" customWidth="1"/>
    <col min="24" max="24" width="13.26953125" bestFit="1" customWidth="1"/>
    <col min="25" max="25" width="11.54296875" bestFit="1" customWidth="1"/>
    <col min="26" max="26" width="6.54296875" bestFit="1" customWidth="1"/>
    <col min="27" max="27" width="17" bestFit="1" customWidth="1"/>
    <col min="28" max="28" width="6.81640625" bestFit="1" customWidth="1"/>
    <col min="29" max="30" width="11.81640625" bestFit="1" customWidth="1"/>
    <col min="31" max="31" width="10.81640625" bestFit="1" customWidth="1"/>
    <col min="32" max="32" width="9.453125" bestFit="1" customWidth="1"/>
  </cols>
  <sheetData>
    <row r="1" spans="1:33" x14ac:dyDescent="0.25">
      <c r="A1" s="38" t="s">
        <v>965</v>
      </c>
      <c r="B1" t="s">
        <v>1030</v>
      </c>
      <c r="C1" t="s">
        <v>2361</v>
      </c>
    </row>
    <row r="2" spans="1:33" x14ac:dyDescent="0.25">
      <c r="A2" s="39" t="s">
        <v>1059</v>
      </c>
      <c r="B2" s="40">
        <v>182900</v>
      </c>
      <c r="C2" s="40">
        <v>21226637</v>
      </c>
      <c r="D2" s="68">
        <f t="shared" ref="D2:D8" si="0">C2/B2</f>
        <v>116.05597047566977</v>
      </c>
    </row>
    <row r="3" spans="1:33" x14ac:dyDescent="0.25">
      <c r="A3" s="39" t="s">
        <v>818</v>
      </c>
      <c r="B3" s="40">
        <v>12102.53</v>
      </c>
      <c r="C3" s="40">
        <v>1466330</v>
      </c>
      <c r="D3" s="68">
        <f t="shared" si="0"/>
        <v>121.15896428267477</v>
      </c>
    </row>
    <row r="4" spans="1:33" x14ac:dyDescent="0.25">
      <c r="A4" s="39" t="s">
        <v>819</v>
      </c>
      <c r="B4" s="40">
        <v>10643</v>
      </c>
      <c r="C4" s="40">
        <v>106430</v>
      </c>
      <c r="D4" s="68">
        <f t="shared" si="0"/>
        <v>10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3" x14ac:dyDescent="0.25">
      <c r="A5" s="39" t="s">
        <v>356</v>
      </c>
      <c r="B5" s="40">
        <v>925</v>
      </c>
      <c r="C5" s="40">
        <v>175875</v>
      </c>
      <c r="D5" s="68">
        <f t="shared" si="0"/>
        <v>190.13513513513513</v>
      </c>
      <c r="E5" s="36"/>
      <c r="F5" s="36"/>
      <c r="G5" s="36"/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</row>
    <row r="6" spans="1:33" x14ac:dyDescent="0.25">
      <c r="A6" s="39" t="s">
        <v>1073</v>
      </c>
      <c r="B6" s="40">
        <v>3006.7</v>
      </c>
      <c r="C6" s="40">
        <v>485155</v>
      </c>
      <c r="D6" s="68">
        <f t="shared" si="0"/>
        <v>161.357967206572</v>
      </c>
      <c r="E6" s="36"/>
      <c r="F6" s="36"/>
      <c r="G6" s="36"/>
      <c r="H6" s="35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</row>
    <row r="7" spans="1:33" x14ac:dyDescent="0.25">
      <c r="A7" s="39" t="s">
        <v>728</v>
      </c>
      <c r="B7" s="40">
        <v>136</v>
      </c>
      <c r="C7" s="40">
        <v>36856</v>
      </c>
      <c r="D7" s="68">
        <f t="shared" si="0"/>
        <v>271</v>
      </c>
      <c r="E7" s="36"/>
      <c r="F7" s="36"/>
      <c r="G7" s="36"/>
      <c r="H7" s="35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</row>
    <row r="8" spans="1:33" x14ac:dyDescent="0.25">
      <c r="A8" s="39" t="s">
        <v>46</v>
      </c>
      <c r="B8" s="40">
        <v>1000</v>
      </c>
      <c r="C8" s="40">
        <v>145000</v>
      </c>
      <c r="D8" s="68">
        <f t="shared" si="0"/>
        <v>145</v>
      </c>
      <c r="E8" s="36"/>
      <c r="F8" s="36"/>
      <c r="G8" s="36"/>
      <c r="H8" s="35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spans="1:33" x14ac:dyDescent="0.25">
      <c r="A9" s="39" t="s">
        <v>966</v>
      </c>
      <c r="B9" s="40">
        <v>210713.23</v>
      </c>
      <c r="C9" s="40">
        <v>23642283</v>
      </c>
      <c r="D9" s="68"/>
      <c r="E9" s="36"/>
      <c r="F9" s="36"/>
      <c r="G9" s="36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x14ac:dyDescent="0.25">
      <c r="D10" s="68"/>
      <c r="E10" s="36"/>
      <c r="F10" s="36"/>
      <c r="G10" s="36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 x14ac:dyDescent="0.25">
      <c r="D11" s="68"/>
      <c r="E11" s="36"/>
      <c r="F11" s="36"/>
      <c r="G11" s="36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x14ac:dyDescent="0.25">
      <c r="D12" s="68"/>
      <c r="E12" s="36"/>
      <c r="F12" s="36"/>
      <c r="G12" s="36"/>
      <c r="H12" s="35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1:33" x14ac:dyDescent="0.25"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101"/>
      <c r="O13" s="101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pans="1:33" x14ac:dyDescent="0.25"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101"/>
      <c r="O14" s="101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3" x14ac:dyDescent="0.25"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101"/>
      <c r="O15" s="101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pans="1:33" x14ac:dyDescent="0.25"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101"/>
      <c r="O16" s="101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pans="1:68" x14ac:dyDescent="0.25"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101"/>
      <c r="O17" s="101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pans="1:68" x14ac:dyDescent="0.25"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101"/>
      <c r="O18" s="101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pans="1:68" x14ac:dyDescent="0.25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101"/>
      <c r="O19" s="101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pans="1:68" x14ac:dyDescent="0.25">
      <c r="B20" s="43"/>
      <c r="C20" s="43"/>
      <c r="D20" s="43"/>
      <c r="E20" s="43"/>
      <c r="F20" s="43"/>
      <c r="G20" s="43"/>
      <c r="H20" s="77"/>
      <c r="I20" s="43"/>
      <c r="J20" s="43"/>
      <c r="K20" s="43"/>
      <c r="L20" s="43"/>
      <c r="M20" s="43"/>
      <c r="N20" s="43"/>
      <c r="O20" s="101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spans="1:68" x14ac:dyDescent="0.25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101"/>
      <c r="O21" s="101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spans="1:68" x14ac:dyDescent="0.25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101"/>
      <c r="O22" s="101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pans="1:68" x14ac:dyDescent="0.2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101"/>
      <c r="O23" s="101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 spans="1:68" x14ac:dyDescent="0.25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01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68" x14ac:dyDescent="0.25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101"/>
      <c r="O25" s="101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68" x14ac:dyDescent="0.25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101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68" ht="13" x14ac:dyDescent="0.25">
      <c r="A27" s="235"/>
      <c r="B27" s="235" t="s">
        <v>973</v>
      </c>
      <c r="C27" s="235" t="s">
        <v>935</v>
      </c>
      <c r="D27" s="235" t="s">
        <v>974</v>
      </c>
      <c r="E27" s="235" t="s">
        <v>975</v>
      </c>
      <c r="F27" s="235" t="s">
        <v>976</v>
      </c>
      <c r="G27" s="235" t="s">
        <v>977</v>
      </c>
      <c r="H27" s="235" t="s">
        <v>978</v>
      </c>
      <c r="I27" s="235" t="s">
        <v>979</v>
      </c>
      <c r="J27" s="235" t="s">
        <v>980</v>
      </c>
      <c r="K27" s="235" t="s">
        <v>960</v>
      </c>
      <c r="L27" s="235" t="s">
        <v>981</v>
      </c>
      <c r="M27" s="235" t="s">
        <v>969</v>
      </c>
      <c r="N27" s="235" t="s">
        <v>982</v>
      </c>
      <c r="O27" s="235" t="s">
        <v>983</v>
      </c>
      <c r="P27" s="235" t="s">
        <v>984</v>
      </c>
      <c r="Q27" s="235" t="s">
        <v>985</v>
      </c>
      <c r="R27" s="235" t="s">
        <v>971</v>
      </c>
      <c r="S27" s="235" t="s">
        <v>986</v>
      </c>
      <c r="T27" s="235" t="s">
        <v>987</v>
      </c>
      <c r="U27" s="235" t="s">
        <v>988</v>
      </c>
      <c r="V27" s="235" t="s">
        <v>989</v>
      </c>
      <c r="W27" s="235" t="s">
        <v>934</v>
      </c>
      <c r="X27" s="235" t="s">
        <v>947</v>
      </c>
      <c r="Y27" s="235" t="s">
        <v>990</v>
      </c>
      <c r="Z27" s="235" t="s">
        <v>991</v>
      </c>
      <c r="AA27" s="235" t="s">
        <v>992</v>
      </c>
      <c r="AB27" s="235" t="s">
        <v>993</v>
      </c>
      <c r="AC27" s="235" t="s">
        <v>994</v>
      </c>
      <c r="AD27" s="235" t="s">
        <v>995</v>
      </c>
      <c r="AE27" s="235" t="s">
        <v>996</v>
      </c>
      <c r="AF27" s="235" t="s">
        <v>997</v>
      </c>
      <c r="AG27" s="235" t="s">
        <v>998</v>
      </c>
      <c r="AH27" s="235" t="s">
        <v>999</v>
      </c>
      <c r="AI27" s="235" t="s">
        <v>1000</v>
      </c>
      <c r="AJ27" s="235" t="s">
        <v>1001</v>
      </c>
      <c r="AK27" s="235" t="s">
        <v>1002</v>
      </c>
      <c r="AL27" s="235" t="s">
        <v>1003</v>
      </c>
      <c r="AM27" s="235" t="s">
        <v>1004</v>
      </c>
      <c r="AN27" s="235" t="s">
        <v>1005</v>
      </c>
      <c r="AO27" s="235" t="s">
        <v>1006</v>
      </c>
      <c r="AP27" s="235" t="s">
        <v>1007</v>
      </c>
      <c r="AQ27" s="235" t="s">
        <v>1008</v>
      </c>
      <c r="AR27" s="235" t="s">
        <v>1009</v>
      </c>
      <c r="AS27" s="235" t="s">
        <v>1010</v>
      </c>
      <c r="AT27" s="235" t="s">
        <v>1011</v>
      </c>
      <c r="AU27" s="235" t="s">
        <v>972</v>
      </c>
      <c r="AV27" s="235" t="s">
        <v>26</v>
      </c>
      <c r="AW27" s="235" t="s">
        <v>28</v>
      </c>
      <c r="AX27" s="235" t="s">
        <v>1012</v>
      </c>
      <c r="AY27" s="235" t="s">
        <v>1013</v>
      </c>
      <c r="AZ27" s="235" t="s">
        <v>1014</v>
      </c>
      <c r="BA27" s="235" t="s">
        <v>1015</v>
      </c>
      <c r="BB27" s="235" t="s">
        <v>1016</v>
      </c>
      <c r="BC27" s="235" t="s">
        <v>1017</v>
      </c>
      <c r="BD27" s="235" t="s">
        <v>1018</v>
      </c>
      <c r="BE27" s="235" t="s">
        <v>1019</v>
      </c>
      <c r="BF27" s="235" t="s">
        <v>1020</v>
      </c>
      <c r="BG27" s="235" t="s">
        <v>1021</v>
      </c>
      <c r="BH27" s="235" t="s">
        <v>1022</v>
      </c>
      <c r="BI27" s="235" t="s">
        <v>1023</v>
      </c>
      <c r="BJ27" s="235" t="s">
        <v>1024</v>
      </c>
      <c r="BK27" s="235" t="s">
        <v>1025</v>
      </c>
      <c r="BL27" s="235" t="s">
        <v>1026</v>
      </c>
      <c r="BM27" s="235" t="s">
        <v>1027</v>
      </c>
      <c r="BN27" s="235" t="s">
        <v>1028</v>
      </c>
      <c r="BO27" s="235" t="s">
        <v>1029</v>
      </c>
      <c r="BP27" s="235" t="s">
        <v>2360</v>
      </c>
    </row>
    <row r="28" spans="1:68" x14ac:dyDescent="0.25">
      <c r="A28" s="76"/>
      <c r="B28" s="43" t="s">
        <v>1052</v>
      </c>
      <c r="C28" s="77">
        <v>46060</v>
      </c>
      <c r="D28" s="43" t="s">
        <v>3037</v>
      </c>
      <c r="E28" s="43" t="s">
        <v>2825</v>
      </c>
      <c r="F28" s="43" t="s">
        <v>818</v>
      </c>
      <c r="G28" s="43"/>
      <c r="H28" s="43" t="s">
        <v>3038</v>
      </c>
      <c r="I28" s="43">
        <v>6000</v>
      </c>
      <c r="J28" s="43">
        <v>6000</v>
      </c>
      <c r="K28" s="43" t="s">
        <v>1055</v>
      </c>
      <c r="L28" s="43">
        <v>6000</v>
      </c>
      <c r="M28" s="43">
        <v>0</v>
      </c>
      <c r="N28" s="43">
        <v>6000</v>
      </c>
      <c r="O28" s="43" t="s">
        <v>3039</v>
      </c>
      <c r="P28" s="43" t="s">
        <v>2925</v>
      </c>
      <c r="Q28" s="43" t="s">
        <v>2925</v>
      </c>
      <c r="R28" s="43" t="s">
        <v>3040</v>
      </c>
      <c r="S28" s="77">
        <v>46029</v>
      </c>
      <c r="T28" s="43" t="s">
        <v>2926</v>
      </c>
      <c r="U28" s="43" t="s">
        <v>2927</v>
      </c>
      <c r="V28" s="43" t="s">
        <v>3041</v>
      </c>
      <c r="W28" s="43">
        <v>120.1</v>
      </c>
      <c r="X28" s="43">
        <v>120.1</v>
      </c>
      <c r="Y28" s="43" t="s">
        <v>3040</v>
      </c>
      <c r="Z28" s="77">
        <v>46029</v>
      </c>
      <c r="AA28" s="43"/>
      <c r="AB28" s="43"/>
      <c r="AC28" s="43"/>
      <c r="AD28" s="43" t="s">
        <v>2928</v>
      </c>
      <c r="AE28" s="43" t="s">
        <v>2874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 t="s">
        <v>2871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/>
      <c r="AR28" s="43">
        <v>0</v>
      </c>
      <c r="AS28" s="43">
        <v>0</v>
      </c>
      <c r="AT28" s="43">
        <v>720600</v>
      </c>
      <c r="AU28" s="43" t="s">
        <v>628</v>
      </c>
      <c r="AV28" s="43" t="s">
        <v>627</v>
      </c>
      <c r="AW28" s="43" t="s">
        <v>629</v>
      </c>
      <c r="AX28" s="43" t="s">
        <v>31</v>
      </c>
      <c r="AY28" s="43" t="s">
        <v>2872</v>
      </c>
      <c r="AZ28" s="43">
        <v>0</v>
      </c>
      <c r="BA28" s="43">
        <v>720600</v>
      </c>
      <c r="BB28" s="43">
        <v>524</v>
      </c>
      <c r="BC28" s="77">
        <v>46060</v>
      </c>
      <c r="BD28" s="43" t="s">
        <v>2865</v>
      </c>
      <c r="BE28" s="43" t="s">
        <v>2873</v>
      </c>
      <c r="BF28" s="43" t="s">
        <v>2873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720600</v>
      </c>
      <c r="BN28" s="43">
        <v>682138252973</v>
      </c>
      <c r="BO28" s="77">
        <v>46204</v>
      </c>
      <c r="BP28" s="43">
        <v>0</v>
      </c>
    </row>
    <row r="29" spans="1:68" x14ac:dyDescent="0.25">
      <c r="A29" s="76"/>
      <c r="B29" s="43" t="s">
        <v>1052</v>
      </c>
      <c r="C29" s="77">
        <v>46241</v>
      </c>
      <c r="D29" s="43" t="s">
        <v>3070</v>
      </c>
      <c r="E29" s="43" t="s">
        <v>3071</v>
      </c>
      <c r="F29" s="39" t="s">
        <v>1073</v>
      </c>
      <c r="G29" s="43" t="s">
        <v>3072</v>
      </c>
      <c r="H29" s="43" t="s">
        <v>3073</v>
      </c>
      <c r="I29" s="43">
        <v>2000</v>
      </c>
      <c r="J29" s="43">
        <v>2000.1</v>
      </c>
      <c r="K29" s="43" t="s">
        <v>1055</v>
      </c>
      <c r="L29" s="43">
        <v>2000.1</v>
      </c>
      <c r="M29" s="43">
        <v>-9.9999999999909106E-2</v>
      </c>
      <c r="N29" s="43">
        <v>2000.1</v>
      </c>
      <c r="O29" s="43" t="s">
        <v>3074</v>
      </c>
      <c r="P29" s="43" t="s">
        <v>3075</v>
      </c>
      <c r="Q29" s="43" t="s">
        <v>3075</v>
      </c>
      <c r="R29" s="43">
        <v>13526</v>
      </c>
      <c r="S29" s="77">
        <v>46029</v>
      </c>
      <c r="T29" s="43" t="s">
        <v>2926</v>
      </c>
      <c r="U29" s="43" t="s">
        <v>2927</v>
      </c>
      <c r="V29" s="43" t="s">
        <v>3076</v>
      </c>
      <c r="W29" s="43">
        <v>150</v>
      </c>
      <c r="X29" s="43">
        <v>160.99945002749899</v>
      </c>
      <c r="Y29" s="43">
        <v>13526</v>
      </c>
      <c r="Z29" s="77">
        <v>46029</v>
      </c>
      <c r="AA29" s="43"/>
      <c r="AB29" s="43"/>
      <c r="AC29" s="43"/>
      <c r="AD29" s="43" t="s">
        <v>2928</v>
      </c>
      <c r="AE29" s="43" t="s">
        <v>2874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 t="s">
        <v>2871</v>
      </c>
      <c r="AL29" s="43">
        <v>0</v>
      </c>
      <c r="AM29" s="43">
        <v>0</v>
      </c>
      <c r="AN29" s="43">
        <v>22000</v>
      </c>
      <c r="AO29" s="43">
        <v>0</v>
      </c>
      <c r="AP29" s="43">
        <v>0</v>
      </c>
      <c r="AQ29" s="43"/>
      <c r="AR29" s="43">
        <v>0</v>
      </c>
      <c r="AS29" s="43">
        <v>0</v>
      </c>
      <c r="AT29" s="43">
        <v>322015</v>
      </c>
      <c r="AU29" s="43" t="s">
        <v>31</v>
      </c>
      <c r="AV29" s="43" t="s">
        <v>69</v>
      </c>
      <c r="AW29" s="43" t="s">
        <v>69</v>
      </c>
      <c r="AX29" s="43" t="s">
        <v>3077</v>
      </c>
      <c r="AY29" s="43" t="s">
        <v>2872</v>
      </c>
      <c r="AZ29" s="43">
        <v>0</v>
      </c>
      <c r="BA29" s="43">
        <v>322015</v>
      </c>
      <c r="BB29" s="43">
        <v>555</v>
      </c>
      <c r="BC29" s="77">
        <v>46210</v>
      </c>
      <c r="BD29" s="43" t="s">
        <v>3078</v>
      </c>
      <c r="BE29" s="43" t="s">
        <v>2873</v>
      </c>
      <c r="BF29" s="43" t="s">
        <v>3079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322015</v>
      </c>
      <c r="BN29" s="43">
        <v>721647716182</v>
      </c>
      <c r="BO29" s="77">
        <v>46204</v>
      </c>
      <c r="BP29" s="43">
        <v>2000.1</v>
      </c>
    </row>
    <row r="30" spans="1:68" x14ac:dyDescent="0.25">
      <c r="A30" s="76"/>
      <c r="B30" s="43" t="s">
        <v>1052</v>
      </c>
      <c r="C30" s="43" t="s">
        <v>3127</v>
      </c>
      <c r="D30" s="43" t="s">
        <v>3129</v>
      </c>
      <c r="E30" s="43" t="s">
        <v>3130</v>
      </c>
      <c r="F30" s="39" t="s">
        <v>356</v>
      </c>
      <c r="G30" s="43"/>
      <c r="H30" s="43" t="s">
        <v>3131</v>
      </c>
      <c r="I30" s="43">
        <v>50</v>
      </c>
      <c r="J30" s="43">
        <v>50</v>
      </c>
      <c r="K30" s="43" t="s">
        <v>1055</v>
      </c>
      <c r="L30" s="43">
        <v>50</v>
      </c>
      <c r="M30" s="43">
        <v>0</v>
      </c>
      <c r="N30" s="43">
        <v>50</v>
      </c>
      <c r="O30" s="43" t="s">
        <v>3132</v>
      </c>
      <c r="P30" s="43" t="s">
        <v>3086</v>
      </c>
      <c r="Q30" s="43" t="s">
        <v>3086</v>
      </c>
      <c r="R30" s="43" t="s">
        <v>3133</v>
      </c>
      <c r="S30" s="77">
        <v>46363</v>
      </c>
      <c r="T30" s="43" t="s">
        <v>2926</v>
      </c>
      <c r="U30" s="43" t="s">
        <v>2927</v>
      </c>
      <c r="V30" s="43" t="s">
        <v>3134</v>
      </c>
      <c r="W30" s="43">
        <v>216</v>
      </c>
      <c r="X30" s="43">
        <v>216</v>
      </c>
      <c r="Y30" s="43" t="s">
        <v>3133</v>
      </c>
      <c r="Z30" s="77">
        <v>46363</v>
      </c>
      <c r="AA30" s="43"/>
      <c r="AB30" s="43"/>
      <c r="AC30" s="43"/>
      <c r="AD30" s="43" t="s">
        <v>2874</v>
      </c>
      <c r="AE30" s="43" t="s">
        <v>2874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 t="s">
        <v>2871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/>
      <c r="AR30" s="43">
        <v>0</v>
      </c>
      <c r="AS30" s="43">
        <v>0</v>
      </c>
      <c r="AT30" s="43">
        <v>660474</v>
      </c>
      <c r="AU30" s="43" t="s">
        <v>31</v>
      </c>
      <c r="AV30" s="43" t="s">
        <v>1032</v>
      </c>
      <c r="AW30" s="43" t="s">
        <v>32</v>
      </c>
      <c r="AX30" s="43" t="s">
        <v>31</v>
      </c>
      <c r="AY30" s="43" t="s">
        <v>2872</v>
      </c>
      <c r="AZ30" s="43">
        <v>0</v>
      </c>
      <c r="BA30" s="43">
        <v>10800</v>
      </c>
      <c r="BB30" s="43">
        <v>591</v>
      </c>
      <c r="BC30" s="43" t="s">
        <v>3135</v>
      </c>
      <c r="BD30" s="43" t="s">
        <v>2865</v>
      </c>
      <c r="BE30" s="43" t="s">
        <v>2873</v>
      </c>
      <c r="BF30" s="43" t="s">
        <v>2873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660474</v>
      </c>
      <c r="BN30" s="43">
        <v>642143935223</v>
      </c>
      <c r="BO30" s="77">
        <v>46215</v>
      </c>
      <c r="BP30" s="43">
        <v>50</v>
      </c>
    </row>
    <row r="31" spans="1:68" x14ac:dyDescent="0.25">
      <c r="A31" s="76"/>
      <c r="B31" s="43" t="s">
        <v>1052</v>
      </c>
      <c r="C31" s="43" t="s">
        <v>3127</v>
      </c>
      <c r="D31" s="43" t="s">
        <v>3129</v>
      </c>
      <c r="E31" s="43" t="s">
        <v>2752</v>
      </c>
      <c r="F31" s="39" t="s">
        <v>356</v>
      </c>
      <c r="G31" s="43"/>
      <c r="H31" s="43" t="s">
        <v>3131</v>
      </c>
      <c r="I31" s="43">
        <v>50</v>
      </c>
      <c r="J31" s="43">
        <v>50</v>
      </c>
      <c r="K31" s="43" t="s">
        <v>1055</v>
      </c>
      <c r="L31" s="43">
        <v>50</v>
      </c>
      <c r="M31" s="43">
        <v>0</v>
      </c>
      <c r="N31" s="43">
        <v>50</v>
      </c>
      <c r="O31" s="43" t="s">
        <v>3132</v>
      </c>
      <c r="P31" s="43" t="s">
        <v>3086</v>
      </c>
      <c r="Q31" s="43" t="s">
        <v>3086</v>
      </c>
      <c r="R31" s="43" t="s">
        <v>3133</v>
      </c>
      <c r="S31" s="77">
        <v>46363</v>
      </c>
      <c r="T31" s="43" t="s">
        <v>2926</v>
      </c>
      <c r="U31" s="43" t="s">
        <v>2927</v>
      </c>
      <c r="V31" s="43" t="s">
        <v>3134</v>
      </c>
      <c r="W31" s="43">
        <v>236</v>
      </c>
      <c r="X31" s="43">
        <v>236</v>
      </c>
      <c r="Y31" s="43" t="s">
        <v>3133</v>
      </c>
      <c r="Z31" s="77">
        <v>46363</v>
      </c>
      <c r="AA31" s="43"/>
      <c r="AB31" s="43"/>
      <c r="AC31" s="43"/>
      <c r="AD31" s="43" t="s">
        <v>2874</v>
      </c>
      <c r="AE31" s="43" t="s">
        <v>2874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 t="s">
        <v>2871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/>
      <c r="AR31" s="43">
        <v>0</v>
      </c>
      <c r="AS31" s="43">
        <v>0</v>
      </c>
      <c r="AT31" s="43">
        <v>660474</v>
      </c>
      <c r="AU31" s="43" t="s">
        <v>31</v>
      </c>
      <c r="AV31" s="43" t="s">
        <v>1032</v>
      </c>
      <c r="AW31" s="43" t="s">
        <v>32</v>
      </c>
      <c r="AX31" s="43" t="s">
        <v>31</v>
      </c>
      <c r="AY31" s="43" t="s">
        <v>2872</v>
      </c>
      <c r="AZ31" s="43">
        <v>0</v>
      </c>
      <c r="BA31" s="43">
        <v>11800</v>
      </c>
      <c r="BB31" s="43">
        <v>591</v>
      </c>
      <c r="BC31" s="43" t="s">
        <v>3135</v>
      </c>
      <c r="BD31" s="43" t="s">
        <v>2865</v>
      </c>
      <c r="BE31" s="43" t="s">
        <v>2873</v>
      </c>
      <c r="BF31" s="43" t="s">
        <v>2873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642143935223</v>
      </c>
      <c r="BO31" s="77">
        <v>46215</v>
      </c>
      <c r="BP31" s="43">
        <v>50</v>
      </c>
    </row>
    <row r="32" spans="1:68" x14ac:dyDescent="0.25">
      <c r="A32" s="76"/>
      <c r="B32" s="43" t="s">
        <v>1052</v>
      </c>
      <c r="C32" s="43" t="s">
        <v>3127</v>
      </c>
      <c r="D32" s="43" t="s">
        <v>3129</v>
      </c>
      <c r="E32" s="43" t="s">
        <v>2996</v>
      </c>
      <c r="F32" s="39" t="s">
        <v>356</v>
      </c>
      <c r="G32" s="43"/>
      <c r="H32" s="43" t="s">
        <v>3131</v>
      </c>
      <c r="I32" s="43">
        <v>200</v>
      </c>
      <c r="J32" s="43">
        <v>200</v>
      </c>
      <c r="K32" s="43" t="s">
        <v>1055</v>
      </c>
      <c r="L32" s="43">
        <v>200</v>
      </c>
      <c r="M32" s="43">
        <v>0</v>
      </c>
      <c r="N32" s="43">
        <v>200</v>
      </c>
      <c r="O32" s="43" t="s">
        <v>3132</v>
      </c>
      <c r="P32" s="43" t="s">
        <v>3086</v>
      </c>
      <c r="Q32" s="43" t="s">
        <v>3086</v>
      </c>
      <c r="R32" s="43" t="s">
        <v>3133</v>
      </c>
      <c r="S32" s="77">
        <v>46363</v>
      </c>
      <c r="T32" s="43" t="s">
        <v>2926</v>
      </c>
      <c r="U32" s="43" t="s">
        <v>2927</v>
      </c>
      <c r="V32" s="43" t="s">
        <v>3134</v>
      </c>
      <c r="W32" s="43">
        <v>264</v>
      </c>
      <c r="X32" s="43">
        <v>264</v>
      </c>
      <c r="Y32" s="43" t="s">
        <v>3133</v>
      </c>
      <c r="Z32" s="77">
        <v>46363</v>
      </c>
      <c r="AA32" s="43"/>
      <c r="AB32" s="43"/>
      <c r="AC32" s="43"/>
      <c r="AD32" s="43" t="s">
        <v>2874</v>
      </c>
      <c r="AE32" s="43" t="s">
        <v>2874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 t="s">
        <v>2871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/>
      <c r="AR32" s="43">
        <v>0</v>
      </c>
      <c r="AS32" s="43">
        <v>0</v>
      </c>
      <c r="AT32" s="43">
        <v>660474</v>
      </c>
      <c r="AU32" s="43" t="s">
        <v>31</v>
      </c>
      <c r="AV32" s="43" t="s">
        <v>1032</v>
      </c>
      <c r="AW32" s="43" t="s">
        <v>32</v>
      </c>
      <c r="AX32" s="43" t="s">
        <v>31</v>
      </c>
      <c r="AY32" s="43" t="s">
        <v>2872</v>
      </c>
      <c r="AZ32" s="43">
        <v>0</v>
      </c>
      <c r="BA32" s="43">
        <v>52800</v>
      </c>
      <c r="BB32" s="43">
        <v>591</v>
      </c>
      <c r="BC32" s="43" t="s">
        <v>3135</v>
      </c>
      <c r="BD32" s="43" t="s">
        <v>2865</v>
      </c>
      <c r="BE32" s="43" t="s">
        <v>2873</v>
      </c>
      <c r="BF32" s="43" t="s">
        <v>2873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642143935223</v>
      </c>
      <c r="BO32" s="77">
        <v>46215</v>
      </c>
      <c r="BP32" s="43">
        <v>200</v>
      </c>
    </row>
    <row r="33" spans="1:68" x14ac:dyDescent="0.25">
      <c r="A33" s="76"/>
      <c r="B33" s="43" t="s">
        <v>1052</v>
      </c>
      <c r="C33" s="43" t="s">
        <v>3127</v>
      </c>
      <c r="D33" s="43" t="s">
        <v>3129</v>
      </c>
      <c r="E33" s="43" t="s">
        <v>3136</v>
      </c>
      <c r="F33" s="39" t="s">
        <v>1059</v>
      </c>
      <c r="G33" s="43"/>
      <c r="H33" s="43" t="s">
        <v>3131</v>
      </c>
      <c r="I33" s="43">
        <v>4000</v>
      </c>
      <c r="J33" s="43">
        <v>4000</v>
      </c>
      <c r="K33" s="43" t="s">
        <v>1055</v>
      </c>
      <c r="L33" s="43">
        <v>4000</v>
      </c>
      <c r="M33" s="43">
        <v>0</v>
      </c>
      <c r="N33" s="43">
        <v>4000</v>
      </c>
      <c r="O33" s="43" t="s">
        <v>3132</v>
      </c>
      <c r="P33" s="43" t="s">
        <v>3086</v>
      </c>
      <c r="Q33" s="43" t="s">
        <v>3086</v>
      </c>
      <c r="R33" s="43" t="s">
        <v>3133</v>
      </c>
      <c r="S33" s="77">
        <v>46363</v>
      </c>
      <c r="T33" s="43" t="s">
        <v>2926</v>
      </c>
      <c r="U33" s="43" t="s">
        <v>2927</v>
      </c>
      <c r="V33" s="43" t="s">
        <v>3134</v>
      </c>
      <c r="W33" s="43">
        <v>136.33099999999999</v>
      </c>
      <c r="X33" s="43">
        <v>136.33099999999999</v>
      </c>
      <c r="Y33" s="43" t="s">
        <v>3133</v>
      </c>
      <c r="Z33" s="77">
        <v>46363</v>
      </c>
      <c r="AA33" s="43"/>
      <c r="AB33" s="43"/>
      <c r="AC33" s="43"/>
      <c r="AD33" s="43" t="s">
        <v>2874</v>
      </c>
      <c r="AE33" s="43" t="s">
        <v>2874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 t="s">
        <v>2871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/>
      <c r="AR33" s="43">
        <v>0</v>
      </c>
      <c r="AS33" s="43">
        <v>0</v>
      </c>
      <c r="AT33" s="43">
        <v>660474</v>
      </c>
      <c r="AU33" s="43" t="s">
        <v>31</v>
      </c>
      <c r="AV33" s="43" t="s">
        <v>1032</v>
      </c>
      <c r="AW33" s="43" t="s">
        <v>1059</v>
      </c>
      <c r="AX33" s="43" t="s">
        <v>31</v>
      </c>
      <c r="AY33" s="43" t="s">
        <v>3137</v>
      </c>
      <c r="AZ33" s="43">
        <v>0</v>
      </c>
      <c r="BA33" s="43">
        <v>545324</v>
      </c>
      <c r="BB33" s="43">
        <v>591</v>
      </c>
      <c r="BC33" s="43" t="s">
        <v>3135</v>
      </c>
      <c r="BD33" s="43" t="s">
        <v>2865</v>
      </c>
      <c r="BE33" s="43" t="s">
        <v>2873</v>
      </c>
      <c r="BF33" s="43" t="s">
        <v>2873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642143935223</v>
      </c>
      <c r="BO33" s="77">
        <v>46215</v>
      </c>
      <c r="BP33" s="43">
        <v>4000</v>
      </c>
    </row>
    <row r="34" spans="1:68" x14ac:dyDescent="0.25">
      <c r="A34" s="76"/>
      <c r="B34" s="43" t="s">
        <v>1052</v>
      </c>
      <c r="C34" s="43" t="s">
        <v>3127</v>
      </c>
      <c r="D34" s="43" t="s">
        <v>3129</v>
      </c>
      <c r="E34" s="43" t="s">
        <v>3085</v>
      </c>
      <c r="F34" s="39" t="s">
        <v>356</v>
      </c>
      <c r="G34" s="43"/>
      <c r="H34" s="43" t="s">
        <v>3131</v>
      </c>
      <c r="I34" s="43">
        <v>250</v>
      </c>
      <c r="J34" s="43">
        <v>250</v>
      </c>
      <c r="K34" s="43" t="s">
        <v>1055</v>
      </c>
      <c r="L34" s="43">
        <v>250</v>
      </c>
      <c r="M34" s="43">
        <v>0</v>
      </c>
      <c r="N34" s="43">
        <v>250</v>
      </c>
      <c r="O34" s="43" t="s">
        <v>3132</v>
      </c>
      <c r="P34" s="43" t="s">
        <v>3086</v>
      </c>
      <c r="Q34" s="43" t="s">
        <v>3086</v>
      </c>
      <c r="R34" s="43" t="s">
        <v>3133</v>
      </c>
      <c r="S34" s="77">
        <v>46363</v>
      </c>
      <c r="T34" s="43" t="s">
        <v>2926</v>
      </c>
      <c r="U34" s="43" t="s">
        <v>2927</v>
      </c>
      <c r="V34" s="43" t="s">
        <v>3134</v>
      </c>
      <c r="W34" s="43">
        <v>159</v>
      </c>
      <c r="X34" s="43">
        <v>159</v>
      </c>
      <c r="Y34" s="43" t="s">
        <v>3133</v>
      </c>
      <c r="Z34" s="77">
        <v>46363</v>
      </c>
      <c r="AA34" s="43"/>
      <c r="AB34" s="43"/>
      <c r="AC34" s="43"/>
      <c r="AD34" s="43" t="s">
        <v>2874</v>
      </c>
      <c r="AE34" s="43" t="s">
        <v>2874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 t="s">
        <v>2871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/>
      <c r="AR34" s="43">
        <v>0</v>
      </c>
      <c r="AS34" s="43">
        <v>0</v>
      </c>
      <c r="AT34" s="43">
        <v>660474</v>
      </c>
      <c r="AU34" s="43" t="s">
        <v>31</v>
      </c>
      <c r="AV34" s="43" t="s">
        <v>1032</v>
      </c>
      <c r="AW34" s="43" t="s">
        <v>32</v>
      </c>
      <c r="AX34" s="43" t="s">
        <v>31</v>
      </c>
      <c r="AY34" s="43"/>
      <c r="AZ34" s="43">
        <v>0</v>
      </c>
      <c r="BA34" s="43">
        <v>39750</v>
      </c>
      <c r="BB34" s="43">
        <v>591</v>
      </c>
      <c r="BC34" s="43" t="s">
        <v>3135</v>
      </c>
      <c r="BD34" s="43" t="s">
        <v>2865</v>
      </c>
      <c r="BE34" s="43" t="s">
        <v>2873</v>
      </c>
      <c r="BF34" s="43" t="s">
        <v>2873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642143935223</v>
      </c>
      <c r="BO34" s="77">
        <v>46215</v>
      </c>
      <c r="BP34" s="43">
        <v>250</v>
      </c>
    </row>
    <row r="35" spans="1:68" x14ac:dyDescent="0.25">
      <c r="A35" s="76"/>
      <c r="B35" s="43" t="s">
        <v>1052</v>
      </c>
      <c r="C35" s="43" t="s">
        <v>3127</v>
      </c>
      <c r="D35" s="43" t="s">
        <v>3138</v>
      </c>
      <c r="E35" s="43" t="s">
        <v>2655</v>
      </c>
      <c r="F35" s="39" t="s">
        <v>1059</v>
      </c>
      <c r="G35" s="43"/>
      <c r="H35" s="43" t="s">
        <v>3131</v>
      </c>
      <c r="I35" s="43">
        <v>14000</v>
      </c>
      <c r="J35" s="43">
        <v>14000</v>
      </c>
      <c r="K35" s="43" t="s">
        <v>1055</v>
      </c>
      <c r="L35" s="43">
        <v>14000</v>
      </c>
      <c r="M35" s="43">
        <v>0</v>
      </c>
      <c r="N35" s="43">
        <v>14000</v>
      </c>
      <c r="O35" s="43" t="s">
        <v>3132</v>
      </c>
      <c r="P35" s="43" t="s">
        <v>3086</v>
      </c>
      <c r="Q35" s="43" t="s">
        <v>3086</v>
      </c>
      <c r="R35" s="43" t="s">
        <v>3139</v>
      </c>
      <c r="S35" s="77">
        <v>46363</v>
      </c>
      <c r="T35" s="43" t="s">
        <v>2926</v>
      </c>
      <c r="U35" s="43" t="s">
        <v>2927</v>
      </c>
      <c r="V35" s="43" t="s">
        <v>3140</v>
      </c>
      <c r="W35" s="43">
        <v>115</v>
      </c>
      <c r="X35" s="43">
        <v>115</v>
      </c>
      <c r="Y35" s="43" t="s">
        <v>3139</v>
      </c>
      <c r="Z35" s="77">
        <v>46363</v>
      </c>
      <c r="AA35" s="43"/>
      <c r="AB35" s="43"/>
      <c r="AC35" s="43"/>
      <c r="AD35" s="43" t="s">
        <v>2874</v>
      </c>
      <c r="AE35" s="43" t="s">
        <v>2874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 t="s">
        <v>2871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/>
      <c r="AR35" s="43">
        <v>0</v>
      </c>
      <c r="AS35" s="43">
        <v>0</v>
      </c>
      <c r="AT35" s="43">
        <v>1610000</v>
      </c>
      <c r="AU35" s="43" t="s">
        <v>31</v>
      </c>
      <c r="AV35" s="43" t="s">
        <v>1032</v>
      </c>
      <c r="AW35" s="43" t="s">
        <v>1059</v>
      </c>
      <c r="AX35" s="43" t="s">
        <v>31</v>
      </c>
      <c r="AY35" s="43" t="s">
        <v>3137</v>
      </c>
      <c r="AZ35" s="43">
        <v>0</v>
      </c>
      <c r="BA35" s="43">
        <v>1610000</v>
      </c>
      <c r="BB35" s="43">
        <v>597</v>
      </c>
      <c r="BC35" s="43" t="s">
        <v>3135</v>
      </c>
      <c r="BD35" s="43" t="s">
        <v>2865</v>
      </c>
      <c r="BE35" s="43" t="s">
        <v>2873</v>
      </c>
      <c r="BF35" s="43" t="s">
        <v>2873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1610000</v>
      </c>
      <c r="BN35" s="43">
        <v>602144460805</v>
      </c>
      <c r="BO35" s="77">
        <v>46215</v>
      </c>
      <c r="BP35" s="43">
        <v>14000</v>
      </c>
    </row>
    <row r="36" spans="1:68" x14ac:dyDescent="0.25">
      <c r="A36" s="76"/>
      <c r="B36" s="43" t="s">
        <v>1052</v>
      </c>
      <c r="C36" s="43" t="s">
        <v>3153</v>
      </c>
      <c r="D36" s="43" t="s">
        <v>3155</v>
      </c>
      <c r="E36" s="43" t="s">
        <v>3156</v>
      </c>
      <c r="F36" s="39" t="s">
        <v>1059</v>
      </c>
      <c r="G36" s="43"/>
      <c r="H36" s="43" t="s">
        <v>3157</v>
      </c>
      <c r="I36" s="43">
        <v>15500</v>
      </c>
      <c r="J36" s="43">
        <v>15500</v>
      </c>
      <c r="K36" s="43" t="s">
        <v>1055</v>
      </c>
      <c r="L36" s="43">
        <v>15500</v>
      </c>
      <c r="M36" s="43">
        <v>0</v>
      </c>
      <c r="N36" s="43">
        <v>15500</v>
      </c>
      <c r="O36" s="43" t="s">
        <v>3158</v>
      </c>
      <c r="P36" s="43" t="s">
        <v>3086</v>
      </c>
      <c r="Q36" s="43" t="s">
        <v>3086</v>
      </c>
      <c r="R36" s="43" t="s">
        <v>3159</v>
      </c>
      <c r="S36" s="43" t="s">
        <v>3127</v>
      </c>
      <c r="T36" s="43" t="s">
        <v>2926</v>
      </c>
      <c r="U36" s="43" t="s">
        <v>2927</v>
      </c>
      <c r="V36" s="43" t="s">
        <v>3160</v>
      </c>
      <c r="W36" s="43">
        <v>82.8</v>
      </c>
      <c r="X36" s="43">
        <v>82.8</v>
      </c>
      <c r="Y36" s="43" t="s">
        <v>3159</v>
      </c>
      <c r="Z36" s="43" t="s">
        <v>3127</v>
      </c>
      <c r="AA36" s="43"/>
      <c r="AB36" s="43"/>
      <c r="AC36" s="43"/>
      <c r="AD36" s="43" t="s">
        <v>2874</v>
      </c>
      <c r="AE36" s="43" t="s">
        <v>2874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 t="s">
        <v>2871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/>
      <c r="AR36" s="43">
        <v>0</v>
      </c>
      <c r="AS36" s="43">
        <v>0</v>
      </c>
      <c r="AT36" s="43">
        <v>1896200</v>
      </c>
      <c r="AU36" s="43" t="s">
        <v>31</v>
      </c>
      <c r="AV36" s="43" t="s">
        <v>1032</v>
      </c>
      <c r="AW36" s="43" t="s">
        <v>1059</v>
      </c>
      <c r="AX36" s="43" t="s">
        <v>31</v>
      </c>
      <c r="AY36" s="43"/>
      <c r="AZ36" s="43">
        <v>0</v>
      </c>
      <c r="BA36" s="43">
        <v>1283400</v>
      </c>
      <c r="BB36" s="43">
        <v>599</v>
      </c>
      <c r="BC36" s="43" t="s">
        <v>3127</v>
      </c>
      <c r="BD36" s="43" t="s">
        <v>2865</v>
      </c>
      <c r="BE36" s="43" t="s">
        <v>2873</v>
      </c>
      <c r="BF36" s="43" t="s">
        <v>2873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1896200</v>
      </c>
      <c r="BN36" s="43">
        <v>672144908278</v>
      </c>
      <c r="BO36" s="77">
        <v>46217</v>
      </c>
      <c r="BP36" s="43">
        <v>15500</v>
      </c>
    </row>
    <row r="37" spans="1:68" x14ac:dyDescent="0.25">
      <c r="A37" s="76"/>
      <c r="B37" s="43" t="s">
        <v>1052</v>
      </c>
      <c r="C37" s="43" t="s">
        <v>3153</v>
      </c>
      <c r="D37" s="43" t="s">
        <v>3155</v>
      </c>
      <c r="E37" s="43" t="s">
        <v>3161</v>
      </c>
      <c r="F37" s="39" t="s">
        <v>1059</v>
      </c>
      <c r="G37" s="43"/>
      <c r="H37" s="43" t="s">
        <v>3157</v>
      </c>
      <c r="I37" s="43">
        <v>8000</v>
      </c>
      <c r="J37" s="43">
        <v>8000</v>
      </c>
      <c r="K37" s="43" t="s">
        <v>1055</v>
      </c>
      <c r="L37" s="43">
        <v>8000</v>
      </c>
      <c r="M37" s="43">
        <v>0</v>
      </c>
      <c r="N37" s="43">
        <v>8000</v>
      </c>
      <c r="O37" s="43" t="s">
        <v>3158</v>
      </c>
      <c r="P37" s="43" t="s">
        <v>3086</v>
      </c>
      <c r="Q37" s="43" t="s">
        <v>3086</v>
      </c>
      <c r="R37" s="43" t="s">
        <v>3159</v>
      </c>
      <c r="S37" s="43" t="s">
        <v>3127</v>
      </c>
      <c r="T37" s="43" t="s">
        <v>2926</v>
      </c>
      <c r="U37" s="43" t="s">
        <v>2927</v>
      </c>
      <c r="V37" s="43" t="s">
        <v>3160</v>
      </c>
      <c r="W37" s="43">
        <v>76.599999999999994</v>
      </c>
      <c r="X37" s="43">
        <v>76.599999999999994</v>
      </c>
      <c r="Y37" s="43" t="s">
        <v>3159</v>
      </c>
      <c r="Z37" s="43" t="s">
        <v>3127</v>
      </c>
      <c r="AA37" s="43"/>
      <c r="AB37" s="43"/>
      <c r="AC37" s="43"/>
      <c r="AD37" s="43" t="s">
        <v>2874</v>
      </c>
      <c r="AE37" s="43" t="s">
        <v>2874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 t="s">
        <v>2871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/>
      <c r="AR37" s="43">
        <v>0</v>
      </c>
      <c r="AS37" s="43">
        <v>0</v>
      </c>
      <c r="AT37" s="43">
        <v>1896200</v>
      </c>
      <c r="AU37" s="43" t="s">
        <v>31</v>
      </c>
      <c r="AV37" s="43" t="s">
        <v>1032</v>
      </c>
      <c r="AW37" s="43" t="s">
        <v>1059</v>
      </c>
      <c r="AX37" s="43" t="s">
        <v>31</v>
      </c>
      <c r="AY37" s="43" t="s">
        <v>2969</v>
      </c>
      <c r="AZ37" s="43">
        <v>0</v>
      </c>
      <c r="BA37" s="43">
        <v>612800</v>
      </c>
      <c r="BB37" s="43">
        <v>599</v>
      </c>
      <c r="BC37" s="43" t="s">
        <v>3127</v>
      </c>
      <c r="BD37" s="43" t="s">
        <v>2865</v>
      </c>
      <c r="BE37" s="43" t="s">
        <v>2873</v>
      </c>
      <c r="BF37" s="43" t="s">
        <v>2873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672144908278</v>
      </c>
      <c r="BO37" s="77">
        <v>46217</v>
      </c>
      <c r="BP37" s="43">
        <v>8000</v>
      </c>
    </row>
    <row r="38" spans="1:68" x14ac:dyDescent="0.25">
      <c r="A38" s="76"/>
      <c r="B38" s="43" t="s">
        <v>1052</v>
      </c>
      <c r="C38" s="43" t="s">
        <v>3153</v>
      </c>
      <c r="D38" s="43" t="s">
        <v>3162</v>
      </c>
      <c r="E38" s="43" t="s">
        <v>3163</v>
      </c>
      <c r="F38" s="43" t="s">
        <v>1073</v>
      </c>
      <c r="G38" s="43" t="s">
        <v>3164</v>
      </c>
      <c r="H38" s="43" t="s">
        <v>3165</v>
      </c>
      <c r="I38" s="43">
        <v>1000</v>
      </c>
      <c r="J38" s="43">
        <v>1006.6</v>
      </c>
      <c r="K38" s="43" t="s">
        <v>1055</v>
      </c>
      <c r="L38" s="43">
        <v>1006.6</v>
      </c>
      <c r="M38" s="43">
        <v>-6.6000000000000201</v>
      </c>
      <c r="N38" s="43">
        <v>1006.6</v>
      </c>
      <c r="O38" s="43" t="s">
        <v>3166</v>
      </c>
      <c r="P38" s="43" t="s">
        <v>3075</v>
      </c>
      <c r="Q38" s="43" t="s">
        <v>3075</v>
      </c>
      <c r="R38" s="43">
        <v>13552</v>
      </c>
      <c r="S38" s="77">
        <v>46272</v>
      </c>
      <c r="T38" s="43" t="s">
        <v>2926</v>
      </c>
      <c r="U38" s="43" t="s">
        <v>2927</v>
      </c>
      <c r="V38" s="43" t="s">
        <v>3167</v>
      </c>
      <c r="W38" s="43">
        <v>150</v>
      </c>
      <c r="X38" s="43">
        <v>162.07033578382701</v>
      </c>
      <c r="Y38" s="43">
        <v>13552</v>
      </c>
      <c r="Z38" s="77">
        <v>46272</v>
      </c>
      <c r="AA38" s="43"/>
      <c r="AB38" s="43"/>
      <c r="AC38" s="43"/>
      <c r="AD38" s="43" t="s">
        <v>2928</v>
      </c>
      <c r="AE38" s="43" t="s">
        <v>3168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 t="s">
        <v>2871</v>
      </c>
      <c r="AL38" s="43">
        <v>0</v>
      </c>
      <c r="AM38" s="43">
        <v>0</v>
      </c>
      <c r="AN38" s="43">
        <v>12150</v>
      </c>
      <c r="AO38" s="43">
        <v>0</v>
      </c>
      <c r="AP38" s="43">
        <v>0</v>
      </c>
      <c r="AQ38" s="43"/>
      <c r="AR38" s="43">
        <v>0</v>
      </c>
      <c r="AS38" s="43">
        <v>0</v>
      </c>
      <c r="AT38" s="43">
        <v>163140</v>
      </c>
      <c r="AU38" s="43" t="s">
        <v>31</v>
      </c>
      <c r="AV38" s="43" t="s">
        <v>69</v>
      </c>
      <c r="AW38" s="43" t="s">
        <v>69</v>
      </c>
      <c r="AX38" s="43" t="s">
        <v>31</v>
      </c>
      <c r="AY38" s="43" t="s">
        <v>2872</v>
      </c>
      <c r="AZ38" s="43">
        <v>0</v>
      </c>
      <c r="BA38" s="43">
        <v>163140</v>
      </c>
      <c r="BB38" s="43">
        <v>593</v>
      </c>
      <c r="BC38" s="43" t="s">
        <v>3135</v>
      </c>
      <c r="BD38" s="43" t="s">
        <v>3078</v>
      </c>
      <c r="BE38" s="43" t="s">
        <v>2873</v>
      </c>
      <c r="BF38" s="43" t="s">
        <v>3079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163140</v>
      </c>
      <c r="BN38" s="43">
        <v>701649864777</v>
      </c>
      <c r="BO38" s="77">
        <v>46212</v>
      </c>
      <c r="BP38" s="43">
        <v>1006.6</v>
      </c>
    </row>
    <row r="39" spans="1:68" x14ac:dyDescent="0.25">
      <c r="A39" s="76"/>
      <c r="B39" s="43" t="s">
        <v>1052</v>
      </c>
      <c r="C39" s="43" t="s">
        <v>3186</v>
      </c>
      <c r="D39" s="43" t="s">
        <v>3189</v>
      </c>
      <c r="E39" s="43" t="s">
        <v>3190</v>
      </c>
      <c r="F39" s="43" t="s">
        <v>46</v>
      </c>
      <c r="G39" s="43"/>
      <c r="H39" s="43" t="s">
        <v>3191</v>
      </c>
      <c r="I39" s="43">
        <v>1000</v>
      </c>
      <c r="J39" s="43">
        <v>1000</v>
      </c>
      <c r="K39" s="43" t="s">
        <v>1055</v>
      </c>
      <c r="L39" s="43">
        <v>1000</v>
      </c>
      <c r="M39" s="43">
        <v>0</v>
      </c>
      <c r="N39" s="43">
        <v>1000</v>
      </c>
      <c r="O39" s="43" t="s">
        <v>3175</v>
      </c>
      <c r="P39" s="43" t="s">
        <v>3086</v>
      </c>
      <c r="Q39" s="43" t="s">
        <v>3086</v>
      </c>
      <c r="R39" s="43" t="s">
        <v>3192</v>
      </c>
      <c r="S39" s="43" t="s">
        <v>3183</v>
      </c>
      <c r="T39" s="43" t="s">
        <v>2926</v>
      </c>
      <c r="U39" s="43" t="s">
        <v>2927</v>
      </c>
      <c r="V39" s="43" t="s">
        <v>3193</v>
      </c>
      <c r="W39" s="43">
        <v>145</v>
      </c>
      <c r="X39" s="43">
        <v>145</v>
      </c>
      <c r="Y39" s="43" t="s">
        <v>3192</v>
      </c>
      <c r="Z39" s="43" t="s">
        <v>3183</v>
      </c>
      <c r="AA39" s="43"/>
      <c r="AB39" s="43"/>
      <c r="AC39" s="43"/>
      <c r="AD39" s="43" t="s">
        <v>2874</v>
      </c>
      <c r="AE39" s="43" t="s">
        <v>2874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 t="s">
        <v>2871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/>
      <c r="AR39" s="43">
        <v>0</v>
      </c>
      <c r="AS39" s="43">
        <v>0</v>
      </c>
      <c r="AT39" s="43">
        <v>145000</v>
      </c>
      <c r="AU39" s="43" t="s">
        <v>31</v>
      </c>
      <c r="AV39" s="43" t="s">
        <v>1032</v>
      </c>
      <c r="AW39" s="43" t="s">
        <v>1072</v>
      </c>
      <c r="AX39" s="43" t="s">
        <v>31</v>
      </c>
      <c r="AY39" s="43"/>
      <c r="AZ39" s="43">
        <v>0</v>
      </c>
      <c r="BA39" s="43">
        <v>145000</v>
      </c>
      <c r="BB39" s="43">
        <v>622</v>
      </c>
      <c r="BC39" s="43" t="s">
        <v>3183</v>
      </c>
      <c r="BD39" s="43" t="s">
        <v>2865</v>
      </c>
      <c r="BE39" s="43" t="s">
        <v>2873</v>
      </c>
      <c r="BF39" s="43" t="s">
        <v>2873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145000</v>
      </c>
      <c r="BN39" s="43">
        <v>682146825150</v>
      </c>
      <c r="BO39" s="77">
        <v>46220</v>
      </c>
      <c r="BP39" s="43">
        <v>1000</v>
      </c>
    </row>
    <row r="40" spans="1:68" x14ac:dyDescent="0.25">
      <c r="A40" s="76"/>
      <c r="B40" s="43" t="s">
        <v>1052</v>
      </c>
      <c r="C40" s="43" t="s">
        <v>3186</v>
      </c>
      <c r="D40" s="43" t="s">
        <v>3194</v>
      </c>
      <c r="E40" s="43" t="s">
        <v>3195</v>
      </c>
      <c r="F40" s="39" t="s">
        <v>1059</v>
      </c>
      <c r="G40" s="43"/>
      <c r="H40" s="43" t="s">
        <v>3196</v>
      </c>
      <c r="I40" s="43">
        <v>135000</v>
      </c>
      <c r="J40" s="43">
        <v>135000</v>
      </c>
      <c r="K40" s="43" t="s">
        <v>1055</v>
      </c>
      <c r="L40" s="43">
        <v>135000</v>
      </c>
      <c r="M40" s="43">
        <v>0</v>
      </c>
      <c r="N40" s="43">
        <v>135000</v>
      </c>
      <c r="O40" s="43" t="s">
        <v>3197</v>
      </c>
      <c r="P40" s="43" t="s">
        <v>3198</v>
      </c>
      <c r="Q40" s="43" t="s">
        <v>3198</v>
      </c>
      <c r="R40" s="43" t="s">
        <v>3199</v>
      </c>
      <c r="S40" s="43" t="s">
        <v>3200</v>
      </c>
      <c r="T40" s="43" t="s">
        <v>2926</v>
      </c>
      <c r="U40" s="43" t="s">
        <v>3201</v>
      </c>
      <c r="V40" s="43" t="s">
        <v>3202</v>
      </c>
      <c r="W40" s="43">
        <v>121.55</v>
      </c>
      <c r="X40" s="43">
        <v>121.55</v>
      </c>
      <c r="Y40" s="43" t="s">
        <v>3199</v>
      </c>
      <c r="Z40" s="43" t="s">
        <v>3200</v>
      </c>
      <c r="AA40" s="43"/>
      <c r="AB40" s="43"/>
      <c r="AC40" s="43"/>
      <c r="AD40" s="43" t="s">
        <v>3203</v>
      </c>
      <c r="AE40" s="43" t="s">
        <v>2874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 t="s">
        <v>2871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/>
      <c r="AR40" s="43">
        <v>0</v>
      </c>
      <c r="AS40" s="43">
        <v>0</v>
      </c>
      <c r="AT40" s="43">
        <v>16409250</v>
      </c>
      <c r="AU40" s="43" t="s">
        <v>31</v>
      </c>
      <c r="AV40" s="43" t="s">
        <v>1032</v>
      </c>
      <c r="AW40" s="43" t="s">
        <v>1059</v>
      </c>
      <c r="AX40" s="43" t="s">
        <v>31</v>
      </c>
      <c r="AY40" s="43"/>
      <c r="AZ40" s="43">
        <v>0</v>
      </c>
      <c r="BA40" s="43">
        <v>16409250</v>
      </c>
      <c r="BB40" s="43">
        <v>620</v>
      </c>
      <c r="BC40" s="43" t="s">
        <v>3183</v>
      </c>
      <c r="BD40" s="43" t="s">
        <v>3204</v>
      </c>
      <c r="BE40" s="43" t="s">
        <v>2873</v>
      </c>
      <c r="BF40" s="43"/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16409250</v>
      </c>
      <c r="BN40" s="43" t="s">
        <v>2874</v>
      </c>
      <c r="BO40" s="44">
        <v>46220.431944444441</v>
      </c>
      <c r="BP40" s="43">
        <v>135000</v>
      </c>
    </row>
    <row r="41" spans="1:68" x14ac:dyDescent="0.25">
      <c r="A41" s="76"/>
      <c r="B41" s="43" t="s">
        <v>1052</v>
      </c>
      <c r="C41" s="43" t="s">
        <v>3186</v>
      </c>
      <c r="D41" s="43" t="s">
        <v>3205</v>
      </c>
      <c r="E41" s="43" t="s">
        <v>3047</v>
      </c>
      <c r="F41" s="43" t="s">
        <v>818</v>
      </c>
      <c r="G41" s="43"/>
      <c r="H41" s="43" t="s">
        <v>3206</v>
      </c>
      <c r="I41" s="43">
        <v>1077.01</v>
      </c>
      <c r="J41" s="43">
        <v>1077.01</v>
      </c>
      <c r="K41" s="43" t="s">
        <v>1055</v>
      </c>
      <c r="L41" s="43">
        <v>1077.01</v>
      </c>
      <c r="M41" s="43">
        <v>0</v>
      </c>
      <c r="N41" s="43">
        <v>1077.01</v>
      </c>
      <c r="O41" s="43" t="s">
        <v>3207</v>
      </c>
      <c r="P41" s="43" t="s">
        <v>2925</v>
      </c>
      <c r="Q41" s="43" t="s">
        <v>2925</v>
      </c>
      <c r="R41" s="43" t="s">
        <v>3208</v>
      </c>
      <c r="S41" s="43" t="s">
        <v>3186</v>
      </c>
      <c r="T41" s="43" t="s">
        <v>2926</v>
      </c>
      <c r="U41" s="43" t="s">
        <v>2927</v>
      </c>
      <c r="V41" s="43" t="s">
        <v>3209</v>
      </c>
      <c r="W41" s="43">
        <v>132</v>
      </c>
      <c r="X41" s="43">
        <v>131.999951853906</v>
      </c>
      <c r="Y41" s="43" t="s">
        <v>3208</v>
      </c>
      <c r="Z41" s="43" t="s">
        <v>3186</v>
      </c>
      <c r="AA41" s="43"/>
      <c r="AB41" s="43"/>
      <c r="AC41" s="43"/>
      <c r="AD41" s="43" t="s">
        <v>2928</v>
      </c>
      <c r="AE41" s="43" t="s">
        <v>2874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 t="s">
        <v>2871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/>
      <c r="AR41" s="43">
        <v>0</v>
      </c>
      <c r="AS41" s="43">
        <v>0</v>
      </c>
      <c r="AT41" s="43">
        <v>745730</v>
      </c>
      <c r="AU41" s="43" t="s">
        <v>628</v>
      </c>
      <c r="AV41" s="43" t="s">
        <v>627</v>
      </c>
      <c r="AW41" s="43" t="s">
        <v>3051</v>
      </c>
      <c r="AX41" s="43" t="s">
        <v>31</v>
      </c>
      <c r="AY41" s="43" t="s">
        <v>2872</v>
      </c>
      <c r="AZ41" s="43">
        <v>0</v>
      </c>
      <c r="BA41" s="43">
        <v>142165.26999999999</v>
      </c>
      <c r="BB41" s="43">
        <v>629</v>
      </c>
      <c r="BC41" s="43" t="s">
        <v>3186</v>
      </c>
      <c r="BD41" s="43" t="s">
        <v>2865</v>
      </c>
      <c r="BE41" s="43" t="s">
        <v>2873</v>
      </c>
      <c r="BF41" s="43" t="s">
        <v>2873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745730</v>
      </c>
      <c r="BN41" s="43">
        <v>692147548655</v>
      </c>
      <c r="BO41" s="77">
        <v>46221</v>
      </c>
      <c r="BP41" s="43">
        <v>1077.01</v>
      </c>
    </row>
    <row r="42" spans="1:68" x14ac:dyDescent="0.25">
      <c r="A42" s="76"/>
      <c r="B42" s="43" t="s">
        <v>1052</v>
      </c>
      <c r="C42" s="43" t="s">
        <v>3186</v>
      </c>
      <c r="D42" s="43" t="s">
        <v>3205</v>
      </c>
      <c r="E42" s="43" t="s">
        <v>2825</v>
      </c>
      <c r="F42" s="43" t="s">
        <v>818</v>
      </c>
      <c r="G42" s="43"/>
      <c r="H42" s="43" t="s">
        <v>3206</v>
      </c>
      <c r="I42" s="43">
        <v>5025.5200000000004</v>
      </c>
      <c r="J42" s="43">
        <v>5025.5200000000004</v>
      </c>
      <c r="K42" s="43" t="s">
        <v>1055</v>
      </c>
      <c r="L42" s="43">
        <v>5025.5200000000004</v>
      </c>
      <c r="M42" s="43">
        <v>0</v>
      </c>
      <c r="N42" s="43">
        <v>5025.5200000000004</v>
      </c>
      <c r="O42" s="43" t="s">
        <v>3207</v>
      </c>
      <c r="P42" s="43" t="s">
        <v>2925</v>
      </c>
      <c r="Q42" s="43" t="s">
        <v>2925</v>
      </c>
      <c r="R42" s="43" t="s">
        <v>3208</v>
      </c>
      <c r="S42" s="43" t="s">
        <v>3186</v>
      </c>
      <c r="T42" s="43" t="s">
        <v>2926</v>
      </c>
      <c r="U42" s="43" t="s">
        <v>2927</v>
      </c>
      <c r="V42" s="43" t="s">
        <v>3209</v>
      </c>
      <c r="W42" s="43">
        <v>120.1</v>
      </c>
      <c r="X42" s="43">
        <v>120.09995619434901</v>
      </c>
      <c r="Y42" s="43" t="s">
        <v>3208</v>
      </c>
      <c r="Z42" s="43" t="s">
        <v>3186</v>
      </c>
      <c r="AA42" s="43"/>
      <c r="AB42" s="43"/>
      <c r="AC42" s="43"/>
      <c r="AD42" s="43" t="s">
        <v>2928</v>
      </c>
      <c r="AE42" s="43" t="s">
        <v>2874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 t="s">
        <v>2871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/>
      <c r="AR42" s="43">
        <v>0</v>
      </c>
      <c r="AS42" s="43">
        <v>0</v>
      </c>
      <c r="AT42" s="43">
        <v>745730</v>
      </c>
      <c r="AU42" s="43" t="s">
        <v>628</v>
      </c>
      <c r="AV42" s="43" t="s">
        <v>627</v>
      </c>
      <c r="AW42" s="43" t="s">
        <v>629</v>
      </c>
      <c r="AX42" s="43" t="s">
        <v>31</v>
      </c>
      <c r="AY42" s="43" t="s">
        <v>2872</v>
      </c>
      <c r="AZ42" s="43">
        <v>0</v>
      </c>
      <c r="BA42" s="43">
        <v>603564.73</v>
      </c>
      <c r="BB42" s="43">
        <v>629</v>
      </c>
      <c r="BC42" s="43" t="s">
        <v>3186</v>
      </c>
      <c r="BD42" s="43" t="s">
        <v>2865</v>
      </c>
      <c r="BE42" s="43" t="s">
        <v>2873</v>
      </c>
      <c r="BF42" s="43" t="s">
        <v>2873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692147548655</v>
      </c>
      <c r="BO42" s="77">
        <v>46221</v>
      </c>
      <c r="BP42" s="43">
        <v>5025.5200000000004</v>
      </c>
    </row>
    <row r="43" spans="1:68" x14ac:dyDescent="0.25">
      <c r="A43" s="76"/>
      <c r="B43" s="43" t="s">
        <v>1052</v>
      </c>
      <c r="C43" s="43" t="s">
        <v>3242</v>
      </c>
      <c r="D43" s="43" t="s">
        <v>3243</v>
      </c>
      <c r="E43" s="43" t="s">
        <v>3085</v>
      </c>
      <c r="F43" s="39" t="s">
        <v>356</v>
      </c>
      <c r="G43" s="43"/>
      <c r="H43" s="43" t="s">
        <v>3244</v>
      </c>
      <c r="I43" s="43">
        <v>275</v>
      </c>
      <c r="J43" s="43">
        <v>275</v>
      </c>
      <c r="K43" s="43" t="s">
        <v>1055</v>
      </c>
      <c r="L43" s="43">
        <v>275</v>
      </c>
      <c r="M43" s="43">
        <v>0</v>
      </c>
      <c r="N43" s="43">
        <v>275</v>
      </c>
      <c r="O43" s="43" t="s">
        <v>3132</v>
      </c>
      <c r="P43" s="43" t="s">
        <v>3086</v>
      </c>
      <c r="Q43" s="43" t="s">
        <v>3086</v>
      </c>
      <c r="R43" s="43" t="s">
        <v>3245</v>
      </c>
      <c r="S43" s="43" t="s">
        <v>3234</v>
      </c>
      <c r="T43" s="43" t="s">
        <v>2926</v>
      </c>
      <c r="U43" s="43" t="s">
        <v>2927</v>
      </c>
      <c r="V43" s="43" t="s">
        <v>3246</v>
      </c>
      <c r="W43" s="43">
        <v>155</v>
      </c>
      <c r="X43" s="43">
        <v>155</v>
      </c>
      <c r="Y43" s="43" t="s">
        <v>3245</v>
      </c>
      <c r="Z43" s="43" t="s">
        <v>3234</v>
      </c>
      <c r="AA43" s="43"/>
      <c r="AB43" s="43"/>
      <c r="AC43" s="43"/>
      <c r="AD43" s="43" t="s">
        <v>2874</v>
      </c>
      <c r="AE43" s="43"/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 t="s">
        <v>2871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/>
      <c r="AR43" s="43">
        <v>0</v>
      </c>
      <c r="AS43" s="43">
        <v>0</v>
      </c>
      <c r="AT43" s="43">
        <v>635725</v>
      </c>
      <c r="AU43" s="43" t="s">
        <v>31</v>
      </c>
      <c r="AV43" s="43" t="s">
        <v>1032</v>
      </c>
      <c r="AW43" s="43" t="s">
        <v>32</v>
      </c>
      <c r="AX43" s="43" t="s">
        <v>31</v>
      </c>
      <c r="AY43" s="43"/>
      <c r="AZ43" s="43">
        <v>0</v>
      </c>
      <c r="BA43" s="43">
        <v>42625</v>
      </c>
      <c r="BB43" s="43">
        <v>651</v>
      </c>
      <c r="BC43" s="43" t="s">
        <v>3234</v>
      </c>
      <c r="BD43" s="43" t="s">
        <v>2865</v>
      </c>
      <c r="BE43" s="43" t="s">
        <v>2873</v>
      </c>
      <c r="BF43" s="43" t="s">
        <v>2873</v>
      </c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3">
        <v>0</v>
      </c>
      <c r="BM43" s="43">
        <v>635725</v>
      </c>
      <c r="BN43" s="43" t="s">
        <v>2874</v>
      </c>
      <c r="BO43" s="77">
        <v>46224</v>
      </c>
      <c r="BP43" s="43">
        <v>275</v>
      </c>
    </row>
    <row r="44" spans="1:68" x14ac:dyDescent="0.25">
      <c r="A44" s="76"/>
      <c r="B44" s="43" t="s">
        <v>1052</v>
      </c>
      <c r="C44" s="43" t="s">
        <v>3242</v>
      </c>
      <c r="D44" s="43" t="s">
        <v>3243</v>
      </c>
      <c r="E44" s="43" t="s">
        <v>3248</v>
      </c>
      <c r="F44" s="39" t="s">
        <v>356</v>
      </c>
      <c r="G44" s="43"/>
      <c r="H44" s="43" t="s">
        <v>3244</v>
      </c>
      <c r="I44" s="43">
        <v>100</v>
      </c>
      <c r="J44" s="43">
        <v>100</v>
      </c>
      <c r="K44" s="43" t="s">
        <v>1055</v>
      </c>
      <c r="L44" s="43">
        <v>100</v>
      </c>
      <c r="M44" s="43">
        <v>0</v>
      </c>
      <c r="N44" s="43">
        <v>100</v>
      </c>
      <c r="O44" s="43" t="s">
        <v>3132</v>
      </c>
      <c r="P44" s="43" t="s">
        <v>3086</v>
      </c>
      <c r="Q44" s="43" t="s">
        <v>3086</v>
      </c>
      <c r="R44" s="43" t="s">
        <v>3245</v>
      </c>
      <c r="S44" s="43" t="s">
        <v>3234</v>
      </c>
      <c r="T44" s="43" t="s">
        <v>2926</v>
      </c>
      <c r="U44" s="43" t="s">
        <v>2927</v>
      </c>
      <c r="V44" s="43" t="s">
        <v>3246</v>
      </c>
      <c r="W44" s="43">
        <v>181</v>
      </c>
      <c r="X44" s="43">
        <v>181</v>
      </c>
      <c r="Y44" s="43" t="s">
        <v>3245</v>
      </c>
      <c r="Z44" s="43" t="s">
        <v>3234</v>
      </c>
      <c r="AA44" s="43"/>
      <c r="AB44" s="43"/>
      <c r="AC44" s="43"/>
      <c r="AD44" s="43" t="s">
        <v>2874</v>
      </c>
      <c r="AE44" s="43"/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 t="s">
        <v>2871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/>
      <c r="AR44" s="43">
        <v>0</v>
      </c>
      <c r="AS44" s="43">
        <v>0</v>
      </c>
      <c r="AT44" s="43">
        <v>635725</v>
      </c>
      <c r="AU44" s="43" t="s">
        <v>31</v>
      </c>
      <c r="AV44" s="43" t="s">
        <v>1032</v>
      </c>
      <c r="AW44" s="43" t="s">
        <v>32</v>
      </c>
      <c r="AX44" s="43" t="s">
        <v>31</v>
      </c>
      <c r="AY44" s="43" t="s">
        <v>2872</v>
      </c>
      <c r="AZ44" s="43">
        <v>0</v>
      </c>
      <c r="BA44" s="43">
        <v>18100</v>
      </c>
      <c r="BB44" s="43">
        <v>651</v>
      </c>
      <c r="BC44" s="43" t="s">
        <v>3234</v>
      </c>
      <c r="BD44" s="43" t="s">
        <v>2865</v>
      </c>
      <c r="BE44" s="43" t="s">
        <v>2873</v>
      </c>
      <c r="BF44" s="43" t="s">
        <v>2873</v>
      </c>
      <c r="BG44" s="43">
        <v>0</v>
      </c>
      <c r="BH44" s="43">
        <v>0</v>
      </c>
      <c r="BI44" s="43">
        <v>0</v>
      </c>
      <c r="BJ44" s="43">
        <v>0</v>
      </c>
      <c r="BK44" s="43">
        <v>0</v>
      </c>
      <c r="BL44" s="43">
        <v>0</v>
      </c>
      <c r="BM44" s="43">
        <v>0</v>
      </c>
      <c r="BN44" s="43" t="s">
        <v>2874</v>
      </c>
      <c r="BO44" s="77">
        <v>46224</v>
      </c>
      <c r="BP44" s="43">
        <v>100</v>
      </c>
    </row>
    <row r="45" spans="1:68" x14ac:dyDescent="0.25">
      <c r="A45" s="76"/>
      <c r="B45" s="43" t="s">
        <v>1052</v>
      </c>
      <c r="C45" s="43" t="s">
        <v>3242</v>
      </c>
      <c r="D45" s="43" t="s">
        <v>3243</v>
      </c>
      <c r="E45" s="43" t="s">
        <v>3247</v>
      </c>
      <c r="F45" s="43" t="s">
        <v>1059</v>
      </c>
      <c r="G45" s="43"/>
      <c r="H45" s="43" t="s">
        <v>3244</v>
      </c>
      <c r="I45" s="43">
        <v>5000</v>
      </c>
      <c r="J45" s="43">
        <v>5000</v>
      </c>
      <c r="K45" s="43" t="s">
        <v>1055</v>
      </c>
      <c r="L45" s="43">
        <v>5000</v>
      </c>
      <c r="M45" s="43">
        <v>0</v>
      </c>
      <c r="N45" s="43">
        <v>5000</v>
      </c>
      <c r="O45" s="43" t="s">
        <v>3132</v>
      </c>
      <c r="P45" s="43" t="s">
        <v>3086</v>
      </c>
      <c r="Q45" s="43" t="s">
        <v>3086</v>
      </c>
      <c r="R45" s="43" t="s">
        <v>3245</v>
      </c>
      <c r="S45" s="43" t="s">
        <v>3234</v>
      </c>
      <c r="T45" s="43" t="s">
        <v>2926</v>
      </c>
      <c r="U45" s="43" t="s">
        <v>2927</v>
      </c>
      <c r="V45" s="43" t="s">
        <v>3246</v>
      </c>
      <c r="W45" s="43">
        <v>115</v>
      </c>
      <c r="X45" s="43">
        <v>115</v>
      </c>
      <c r="Y45" s="43" t="s">
        <v>3245</v>
      </c>
      <c r="Z45" s="43" t="s">
        <v>3234</v>
      </c>
      <c r="AA45" s="43"/>
      <c r="AB45" s="43"/>
      <c r="AC45" s="43"/>
      <c r="AD45" s="43" t="s">
        <v>2874</v>
      </c>
      <c r="AE45" s="43"/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 t="s">
        <v>2871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/>
      <c r="AR45" s="43">
        <v>0</v>
      </c>
      <c r="AS45" s="43">
        <v>0</v>
      </c>
      <c r="AT45" s="43">
        <v>635725</v>
      </c>
      <c r="AU45" s="43" t="s">
        <v>31</v>
      </c>
      <c r="AV45" s="43" t="s">
        <v>1032</v>
      </c>
      <c r="AW45" s="43" t="s">
        <v>1059</v>
      </c>
      <c r="AX45" s="43" t="s">
        <v>31</v>
      </c>
      <c r="AY45" s="43" t="s">
        <v>2872</v>
      </c>
      <c r="AZ45" s="43">
        <v>0</v>
      </c>
      <c r="BA45" s="43">
        <v>575000</v>
      </c>
      <c r="BB45" s="43">
        <v>651</v>
      </c>
      <c r="BC45" s="43" t="s">
        <v>3234</v>
      </c>
      <c r="BD45" s="43" t="s">
        <v>2865</v>
      </c>
      <c r="BE45" s="43" t="s">
        <v>2873</v>
      </c>
      <c r="BF45" s="43" t="s">
        <v>2873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 t="s">
        <v>2874</v>
      </c>
      <c r="BO45" s="77">
        <v>46224</v>
      </c>
      <c r="BP45" s="43">
        <v>5000</v>
      </c>
    </row>
    <row r="46" spans="1:68" x14ac:dyDescent="0.25">
      <c r="A46" s="76"/>
      <c r="B46" s="43" t="s">
        <v>1052</v>
      </c>
      <c r="C46" s="43" t="s">
        <v>3256</v>
      </c>
      <c r="D46" s="43" t="s">
        <v>3263</v>
      </c>
      <c r="E46" s="43" t="s">
        <v>3247</v>
      </c>
      <c r="F46" s="43" t="s">
        <v>1059</v>
      </c>
      <c r="G46" s="43"/>
      <c r="H46" s="43" t="s">
        <v>3264</v>
      </c>
      <c r="I46" s="43">
        <v>400</v>
      </c>
      <c r="J46" s="43">
        <v>400</v>
      </c>
      <c r="K46" s="43" t="s">
        <v>1055</v>
      </c>
      <c r="L46" s="43">
        <v>400</v>
      </c>
      <c r="M46" s="43">
        <v>0</v>
      </c>
      <c r="N46" s="43">
        <v>400</v>
      </c>
      <c r="O46" s="43" t="s">
        <v>3107</v>
      </c>
      <c r="P46" s="43" t="s">
        <v>3086</v>
      </c>
      <c r="Q46" s="43" t="s">
        <v>3086</v>
      </c>
      <c r="R46" s="43" t="s">
        <v>3265</v>
      </c>
      <c r="S46" s="43" t="s">
        <v>3242</v>
      </c>
      <c r="T46" s="43" t="s">
        <v>2926</v>
      </c>
      <c r="U46" s="43" t="s">
        <v>2927</v>
      </c>
      <c r="V46" s="43" t="s">
        <v>3266</v>
      </c>
      <c r="W46" s="43">
        <v>136.33099999999999</v>
      </c>
      <c r="X46" s="43">
        <v>136.33000000000001</v>
      </c>
      <c r="Y46" s="43" t="s">
        <v>3265</v>
      </c>
      <c r="Z46" s="43" t="s">
        <v>3242</v>
      </c>
      <c r="AA46" s="43"/>
      <c r="AB46" s="43"/>
      <c r="AC46" s="43"/>
      <c r="AD46" s="43" t="s">
        <v>2874</v>
      </c>
      <c r="AE46" s="43"/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 t="s">
        <v>2871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/>
      <c r="AR46" s="43">
        <v>0</v>
      </c>
      <c r="AS46" s="43">
        <v>0</v>
      </c>
      <c r="AT46" s="43">
        <v>54532</v>
      </c>
      <c r="AU46" s="43" t="s">
        <v>31</v>
      </c>
      <c r="AV46" s="43" t="s">
        <v>1032</v>
      </c>
      <c r="AW46" s="43" t="s">
        <v>1059</v>
      </c>
      <c r="AX46" s="43" t="s">
        <v>31</v>
      </c>
      <c r="AY46" s="43" t="s">
        <v>2872</v>
      </c>
      <c r="AZ46" s="43">
        <v>0</v>
      </c>
      <c r="BA46" s="43">
        <v>54532</v>
      </c>
      <c r="BB46" s="43" t="s">
        <v>2874</v>
      </c>
      <c r="BC46" s="43" t="s">
        <v>3242</v>
      </c>
      <c r="BD46" s="43" t="s">
        <v>2865</v>
      </c>
      <c r="BE46" s="43" t="s">
        <v>2873</v>
      </c>
      <c r="BF46" s="43" t="s">
        <v>2873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54532</v>
      </c>
      <c r="BN46" s="43" t="s">
        <v>2874</v>
      </c>
      <c r="BO46" s="77">
        <v>46225</v>
      </c>
      <c r="BP46" s="43">
        <v>400</v>
      </c>
    </row>
    <row r="47" spans="1:68" x14ac:dyDescent="0.25">
      <c r="A47" s="76"/>
      <c r="B47" s="43" t="s">
        <v>1052</v>
      </c>
      <c r="C47" s="43" t="s">
        <v>3267</v>
      </c>
      <c r="D47" s="43" t="s">
        <v>3268</v>
      </c>
      <c r="E47" s="43" t="s">
        <v>3247</v>
      </c>
      <c r="F47" s="43" t="s">
        <v>1059</v>
      </c>
      <c r="G47" s="43"/>
      <c r="H47" s="43" t="s">
        <v>3269</v>
      </c>
      <c r="I47" s="43">
        <v>1000</v>
      </c>
      <c r="J47" s="43">
        <v>1000</v>
      </c>
      <c r="K47" s="43" t="s">
        <v>1055</v>
      </c>
      <c r="L47" s="43">
        <v>1000</v>
      </c>
      <c r="M47" s="43">
        <v>0</v>
      </c>
      <c r="N47" s="43">
        <v>1000</v>
      </c>
      <c r="O47" s="43" t="s">
        <v>3270</v>
      </c>
      <c r="P47" s="43" t="s">
        <v>3086</v>
      </c>
      <c r="Q47" s="43" t="s">
        <v>3086</v>
      </c>
      <c r="R47" s="43" t="s">
        <v>3271</v>
      </c>
      <c r="S47" s="43" t="s">
        <v>3256</v>
      </c>
      <c r="T47" s="43" t="s">
        <v>2926</v>
      </c>
      <c r="U47" s="43" t="s">
        <v>2927</v>
      </c>
      <c r="V47" s="43" t="s">
        <v>3272</v>
      </c>
      <c r="W47" s="43">
        <v>136.33099999999999</v>
      </c>
      <c r="X47" s="43">
        <v>136.33099999999999</v>
      </c>
      <c r="Y47" s="43" t="s">
        <v>3271</v>
      </c>
      <c r="Z47" s="43" t="s">
        <v>3256</v>
      </c>
      <c r="AA47" s="43"/>
      <c r="AB47" s="43"/>
      <c r="AC47" s="43"/>
      <c r="AD47" s="43" t="s">
        <v>2874</v>
      </c>
      <c r="AE47" s="43"/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 t="s">
        <v>2871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/>
      <c r="AR47" s="43">
        <v>0</v>
      </c>
      <c r="AS47" s="43">
        <v>0</v>
      </c>
      <c r="AT47" s="43">
        <v>136331</v>
      </c>
      <c r="AU47" s="43" t="s">
        <v>31</v>
      </c>
      <c r="AV47" s="43" t="s">
        <v>1032</v>
      </c>
      <c r="AW47" s="43" t="s">
        <v>1059</v>
      </c>
      <c r="AX47" s="43" t="s">
        <v>31</v>
      </c>
      <c r="AY47" s="43" t="s">
        <v>2872</v>
      </c>
      <c r="AZ47" s="43">
        <v>0</v>
      </c>
      <c r="BA47" s="43">
        <v>136331</v>
      </c>
      <c r="BB47" s="43">
        <v>661</v>
      </c>
      <c r="BC47" s="43" t="s">
        <v>3256</v>
      </c>
      <c r="BD47" s="43" t="s">
        <v>2865</v>
      </c>
      <c r="BE47" s="43" t="s">
        <v>2873</v>
      </c>
      <c r="BF47" s="43" t="s">
        <v>2873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136331</v>
      </c>
      <c r="BN47" s="43" t="s">
        <v>2874</v>
      </c>
      <c r="BO47" s="77">
        <v>46226</v>
      </c>
      <c r="BP47" s="43">
        <v>1000</v>
      </c>
    </row>
    <row r="48" spans="1:68" x14ac:dyDescent="0.25">
      <c r="A48" s="76"/>
      <c r="B48" s="43" t="s">
        <v>1052</v>
      </c>
      <c r="C48" s="43" t="s">
        <v>3302</v>
      </c>
      <c r="D48" s="43" t="s">
        <v>3303</v>
      </c>
      <c r="E48" s="43" t="s">
        <v>3304</v>
      </c>
      <c r="F48" s="43" t="s">
        <v>819</v>
      </c>
      <c r="G48" s="43"/>
      <c r="H48" s="43" t="s">
        <v>3305</v>
      </c>
      <c r="I48" s="43">
        <v>10643</v>
      </c>
      <c r="J48" s="43">
        <v>10643</v>
      </c>
      <c r="K48" s="43" t="s">
        <v>1055</v>
      </c>
      <c r="L48" s="43">
        <v>10643</v>
      </c>
      <c r="M48" s="43">
        <v>0</v>
      </c>
      <c r="N48" s="43">
        <v>10643</v>
      </c>
      <c r="O48" s="43" t="s">
        <v>3306</v>
      </c>
      <c r="P48" s="43" t="s">
        <v>2876</v>
      </c>
      <c r="Q48" s="43" t="s">
        <v>2876</v>
      </c>
      <c r="R48" s="43" t="s">
        <v>3307</v>
      </c>
      <c r="S48" s="43" t="s">
        <v>3275</v>
      </c>
      <c r="T48" s="43" t="s">
        <v>2926</v>
      </c>
      <c r="U48" s="43" t="s">
        <v>2927</v>
      </c>
      <c r="V48" s="43" t="s">
        <v>3308</v>
      </c>
      <c r="W48" s="43">
        <v>10</v>
      </c>
      <c r="X48" s="43">
        <v>10</v>
      </c>
      <c r="Y48" s="43" t="s">
        <v>3307</v>
      </c>
      <c r="Z48" s="43" t="s">
        <v>3275</v>
      </c>
      <c r="AA48" s="43"/>
      <c r="AB48" s="43"/>
      <c r="AC48" s="43"/>
      <c r="AD48" s="43" t="s">
        <v>2874</v>
      </c>
      <c r="AE48" s="43"/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3" t="s">
        <v>2871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/>
      <c r="AR48" s="43">
        <v>0</v>
      </c>
      <c r="AS48" s="43">
        <v>0</v>
      </c>
      <c r="AT48" s="43">
        <v>106430</v>
      </c>
      <c r="AU48" s="43" t="s">
        <v>628</v>
      </c>
      <c r="AV48" s="43" t="s">
        <v>820</v>
      </c>
      <c r="AW48" s="43" t="s">
        <v>820</v>
      </c>
      <c r="AX48" s="43" t="s">
        <v>31</v>
      </c>
      <c r="AY48" s="43" t="s">
        <v>2872</v>
      </c>
      <c r="AZ48" s="43">
        <v>0</v>
      </c>
      <c r="BA48" s="43">
        <v>106430</v>
      </c>
      <c r="BB48" s="43">
        <v>671</v>
      </c>
      <c r="BC48" s="43" t="s">
        <v>3275</v>
      </c>
      <c r="BD48" s="43" t="s">
        <v>2870</v>
      </c>
      <c r="BE48" s="43" t="s">
        <v>2873</v>
      </c>
      <c r="BF48" s="43" t="s">
        <v>2873</v>
      </c>
      <c r="BG48" s="43">
        <v>0</v>
      </c>
      <c r="BH48" s="43">
        <v>0</v>
      </c>
      <c r="BI48" s="43">
        <v>0</v>
      </c>
      <c r="BJ48" s="43">
        <v>0</v>
      </c>
      <c r="BK48" s="43">
        <v>0</v>
      </c>
      <c r="BL48" s="43">
        <v>0</v>
      </c>
      <c r="BM48" s="43">
        <v>106430</v>
      </c>
      <c r="BN48" s="43" t="s">
        <v>2874</v>
      </c>
      <c r="BO48" s="77">
        <v>46228</v>
      </c>
      <c r="BP48" s="43">
        <v>0</v>
      </c>
    </row>
    <row r="49" spans="1:68" x14ac:dyDescent="0.25">
      <c r="A49" s="76"/>
      <c r="B49" s="43" t="s">
        <v>1052</v>
      </c>
      <c r="C49" s="43" t="s">
        <v>3366</v>
      </c>
      <c r="D49" s="43" t="s">
        <v>3377</v>
      </c>
      <c r="E49" s="43" t="s">
        <v>3378</v>
      </c>
      <c r="F49" s="39" t="s">
        <v>728</v>
      </c>
      <c r="G49" s="43"/>
      <c r="H49" s="43" t="s">
        <v>3379</v>
      </c>
      <c r="I49" s="43">
        <v>136</v>
      </c>
      <c r="J49" s="43">
        <v>136</v>
      </c>
      <c r="K49" s="43" t="s">
        <v>1055</v>
      </c>
      <c r="L49" s="43">
        <v>136</v>
      </c>
      <c r="M49" s="43">
        <v>0</v>
      </c>
      <c r="N49" s="43">
        <v>136</v>
      </c>
      <c r="O49" s="43" t="s">
        <v>3175</v>
      </c>
      <c r="P49" s="43" t="s">
        <v>3380</v>
      </c>
      <c r="Q49" s="43" t="s">
        <v>3380</v>
      </c>
      <c r="R49" s="43" t="s">
        <v>3381</v>
      </c>
      <c r="S49" s="43" t="s">
        <v>3275</v>
      </c>
      <c r="T49" s="43" t="s">
        <v>2926</v>
      </c>
      <c r="U49" s="43" t="s">
        <v>2927</v>
      </c>
      <c r="V49" s="43" t="s">
        <v>3382</v>
      </c>
      <c r="W49" s="43">
        <v>271</v>
      </c>
      <c r="X49" s="43">
        <v>271</v>
      </c>
      <c r="Y49" s="43" t="s">
        <v>3381</v>
      </c>
      <c r="Z49" s="43" t="s">
        <v>3275</v>
      </c>
      <c r="AA49" s="43"/>
      <c r="AB49" s="43"/>
      <c r="AC49" s="43"/>
      <c r="AD49" s="43" t="s">
        <v>2874</v>
      </c>
      <c r="AE49" s="43"/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 t="s">
        <v>2871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/>
      <c r="AR49" s="43">
        <v>0</v>
      </c>
      <c r="AS49" s="43">
        <v>0</v>
      </c>
      <c r="AT49" s="43">
        <v>36856</v>
      </c>
      <c r="AU49" s="43" t="s">
        <v>628</v>
      </c>
      <c r="AV49" s="43" t="s">
        <v>706</v>
      </c>
      <c r="AW49" s="43" t="s">
        <v>729</v>
      </c>
      <c r="AX49" s="43" t="s">
        <v>31</v>
      </c>
      <c r="AY49" s="43" t="s">
        <v>2872</v>
      </c>
      <c r="AZ49" s="43">
        <v>0</v>
      </c>
      <c r="BA49" s="43">
        <v>36856</v>
      </c>
      <c r="BB49" s="43">
        <v>668</v>
      </c>
      <c r="BC49" s="43" t="s">
        <v>3383</v>
      </c>
      <c r="BD49" s="43" t="s">
        <v>3384</v>
      </c>
      <c r="BE49" s="43" t="s">
        <v>2873</v>
      </c>
      <c r="BF49" s="43" t="s">
        <v>2873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36856</v>
      </c>
      <c r="BN49" s="43" t="s">
        <v>2874</v>
      </c>
      <c r="BO49" s="77">
        <v>46228</v>
      </c>
      <c r="BP49" s="43">
        <v>0</v>
      </c>
    </row>
  </sheetData>
  <autoFilter ref="B27:BP47"/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3"/>
  <sheetViews>
    <sheetView workbookViewId="0">
      <selection activeCell="D8" sqref="D8"/>
    </sheetView>
  </sheetViews>
  <sheetFormatPr defaultColWidth="9.1796875" defaultRowHeight="12.5" x14ac:dyDescent="0.25"/>
  <cols>
    <col min="1" max="1" width="25.1796875" style="84" customWidth="1"/>
    <col min="2" max="2" width="14.90625" style="84" customWidth="1"/>
    <col min="3" max="3" width="14.1796875" style="84" customWidth="1"/>
    <col min="4" max="4" width="13.26953125" style="84" bestFit="1" customWidth="1"/>
    <col min="5" max="5" width="15" style="84" bestFit="1" customWidth="1"/>
    <col min="6" max="6" width="12.453125" style="84" bestFit="1" customWidth="1"/>
    <col min="7" max="7" width="14.26953125" style="84" bestFit="1" customWidth="1"/>
    <col min="8" max="8" width="11" style="84" bestFit="1" customWidth="1"/>
    <col min="9" max="9" width="13.81640625" style="84" bestFit="1" customWidth="1"/>
    <col min="10" max="10" width="12.81640625" style="84" bestFit="1" customWidth="1"/>
    <col min="11" max="11" width="24" style="84" bestFit="1" customWidth="1"/>
    <col min="12" max="12" width="27.54296875" style="84" bestFit="1" customWidth="1"/>
    <col min="13" max="13" width="11" style="84" bestFit="1" customWidth="1"/>
    <col min="14" max="14" width="12.453125" style="84" bestFit="1" customWidth="1"/>
    <col min="15" max="15" width="30.54296875" style="84" bestFit="1" customWidth="1"/>
    <col min="16" max="16" width="13.453125" style="84" bestFit="1" customWidth="1"/>
    <col min="17" max="17" width="12.453125" style="84" bestFit="1" customWidth="1"/>
    <col min="18" max="18" width="12" style="84" bestFit="1" customWidth="1"/>
    <col min="19" max="19" width="12.453125" style="84" bestFit="1" customWidth="1"/>
    <col min="20" max="21" width="12" style="84" bestFit="1" customWidth="1"/>
    <col min="22" max="22" width="11.54296875" style="84" bestFit="1" customWidth="1"/>
    <col min="23" max="23" width="13.26953125" style="84" bestFit="1" customWidth="1"/>
    <col min="24" max="24" width="11.54296875" style="84" bestFit="1" customWidth="1"/>
    <col min="25" max="25" width="6.54296875" style="84" bestFit="1" customWidth="1"/>
    <col min="26" max="26" width="17" style="84" bestFit="1" customWidth="1"/>
    <col min="27" max="27" width="6.81640625" style="84" bestFit="1" customWidth="1"/>
    <col min="28" max="29" width="11.81640625" style="84" bestFit="1" customWidth="1"/>
    <col min="30" max="30" width="10.81640625" style="84" bestFit="1" customWidth="1"/>
    <col min="31" max="31" width="9.453125" style="84" bestFit="1" customWidth="1"/>
    <col min="32" max="16384" width="9.1796875" style="84"/>
  </cols>
  <sheetData>
    <row r="1" spans="1:13" x14ac:dyDescent="0.25">
      <c r="A1" s="84" t="s">
        <v>965</v>
      </c>
      <c r="B1" s="84" t="s">
        <v>967</v>
      </c>
      <c r="C1" s="84" t="s">
        <v>968</v>
      </c>
    </row>
    <row r="2" spans="1:13" x14ac:dyDescent="0.25">
      <c r="A2" s="85" t="s">
        <v>3067</v>
      </c>
      <c r="B2" s="477">
        <v>417716.33999999985</v>
      </c>
      <c r="C2" s="86">
        <v>43947989.849999994</v>
      </c>
      <c r="D2" s="87">
        <f>C2/B2</f>
        <v>105.21012860066716</v>
      </c>
    </row>
    <row r="3" spans="1:13" x14ac:dyDescent="0.25">
      <c r="A3" s="85" t="s">
        <v>1076</v>
      </c>
      <c r="B3" s="86">
        <v>10643</v>
      </c>
      <c r="C3" s="86">
        <v>0</v>
      </c>
      <c r="D3" s="87">
        <f>C3/B3</f>
        <v>0</v>
      </c>
    </row>
    <row r="4" spans="1:13" x14ac:dyDescent="0.25">
      <c r="A4" s="85" t="s">
        <v>966</v>
      </c>
      <c r="B4" s="86">
        <v>428359.33999999985</v>
      </c>
      <c r="C4" s="86">
        <v>43947989.849999994</v>
      </c>
      <c r="D4" s="87"/>
      <c r="E4" s="89"/>
      <c r="F4" s="89"/>
      <c r="G4" s="89"/>
      <c r="H4" s="89"/>
      <c r="I4" s="89"/>
      <c r="J4" s="89"/>
      <c r="K4" s="89"/>
      <c r="L4" s="89"/>
      <c r="M4" s="90"/>
    </row>
    <row r="5" spans="1:13" x14ac:dyDescent="0.25">
      <c r="A5"/>
      <c r="B5"/>
      <c r="C5"/>
      <c r="D5" s="87"/>
      <c r="E5" s="89"/>
      <c r="F5" s="89"/>
      <c r="G5" s="89"/>
      <c r="H5" s="89"/>
      <c r="I5" s="89"/>
      <c r="J5" s="89"/>
      <c r="K5" s="89"/>
      <c r="L5" s="89"/>
      <c r="M5" s="90"/>
    </row>
    <row r="6" spans="1:13" x14ac:dyDescent="0.25">
      <c r="A6"/>
      <c r="B6"/>
      <c r="C6"/>
      <c r="D6" s="88"/>
      <c r="E6" s="89"/>
      <c r="F6" s="89"/>
      <c r="G6" s="89"/>
      <c r="H6" s="89"/>
      <c r="I6" s="89"/>
      <c r="J6" s="89"/>
      <c r="K6" s="89"/>
      <c r="L6" s="89"/>
      <c r="M6" s="90"/>
    </row>
    <row r="7" spans="1:13" x14ac:dyDescent="0.25">
      <c r="D7" s="87"/>
      <c r="E7" s="89"/>
      <c r="F7" s="89"/>
      <c r="G7" s="89"/>
      <c r="H7" s="89"/>
      <c r="I7" s="89"/>
      <c r="J7" s="89"/>
      <c r="K7" s="89"/>
      <c r="L7" s="89"/>
      <c r="M7" s="90"/>
    </row>
    <row r="8" spans="1:13" x14ac:dyDescent="0.25">
      <c r="D8" s="89"/>
      <c r="E8" s="89"/>
      <c r="F8" s="89"/>
      <c r="G8" s="89"/>
      <c r="H8" s="89"/>
      <c r="I8" s="89"/>
      <c r="J8" s="89"/>
      <c r="K8" s="89"/>
      <c r="L8" s="89"/>
      <c r="M8" s="90"/>
    </row>
    <row r="9" spans="1:13" x14ac:dyDescent="0.25">
      <c r="D9" s="89"/>
      <c r="E9" s="89"/>
      <c r="F9" s="89"/>
      <c r="G9" s="89"/>
      <c r="H9" s="89"/>
      <c r="I9" s="89"/>
      <c r="J9" s="89"/>
      <c r="K9" s="89"/>
      <c r="L9" s="89"/>
      <c r="M9" s="90"/>
    </row>
    <row r="10" spans="1:13" x14ac:dyDescent="0.25">
      <c r="D10" s="89"/>
      <c r="E10" s="89"/>
      <c r="F10" s="89"/>
      <c r="G10" s="89"/>
      <c r="H10" s="89"/>
      <c r="I10" s="89"/>
      <c r="J10" s="89"/>
      <c r="K10" s="89"/>
      <c r="L10" s="89"/>
      <c r="M10" s="90"/>
    </row>
    <row r="11" spans="1:13" x14ac:dyDescent="0.25">
      <c r="D11" s="89"/>
      <c r="E11" s="89"/>
      <c r="F11" s="89"/>
      <c r="G11" s="89"/>
      <c r="H11" s="89"/>
      <c r="I11" s="89"/>
      <c r="J11" s="89"/>
      <c r="K11" s="89"/>
      <c r="L11" s="89"/>
      <c r="M11" s="90"/>
    </row>
    <row r="12" spans="1:13" x14ac:dyDescent="0.25">
      <c r="D12" s="89"/>
      <c r="E12" s="89"/>
      <c r="F12" s="89"/>
      <c r="G12" s="89"/>
      <c r="H12" s="89"/>
      <c r="I12" s="89"/>
      <c r="J12" s="89"/>
      <c r="K12" s="89"/>
      <c r="L12" s="89"/>
      <c r="M12" s="90"/>
    </row>
    <row r="13" spans="1:13" x14ac:dyDescent="0.25">
      <c r="D13" s="89"/>
      <c r="E13" s="89"/>
      <c r="F13" s="89"/>
      <c r="G13" s="89"/>
      <c r="H13" s="89"/>
      <c r="I13" s="89"/>
      <c r="J13" s="89"/>
      <c r="K13" s="89"/>
      <c r="L13" s="89"/>
      <c r="M13" s="90"/>
    </row>
    <row r="14" spans="1:13" x14ac:dyDescent="0.25">
      <c r="D14" s="89"/>
      <c r="E14" s="89"/>
      <c r="F14" s="89"/>
      <c r="G14" s="89"/>
      <c r="H14" s="89"/>
      <c r="I14" s="89"/>
      <c r="J14" s="89"/>
      <c r="K14" s="89"/>
      <c r="L14" s="89"/>
      <c r="M14" s="90"/>
    </row>
    <row r="15" spans="1:13" x14ac:dyDescent="0.25">
      <c r="D15" s="89"/>
      <c r="E15" s="89"/>
      <c r="F15" s="89"/>
      <c r="G15" s="89"/>
      <c r="H15" s="89"/>
      <c r="I15" s="89"/>
      <c r="J15" s="89"/>
      <c r="K15" s="89"/>
      <c r="L15" s="89"/>
      <c r="M15" s="90"/>
    </row>
    <row r="16" spans="1:13" x14ac:dyDescent="0.25">
      <c r="D16" s="89"/>
      <c r="E16" s="89"/>
      <c r="F16" s="89"/>
      <c r="G16" s="89"/>
      <c r="H16" s="89"/>
      <c r="I16" s="89"/>
      <c r="J16" s="89"/>
      <c r="K16" s="89"/>
      <c r="L16" s="89"/>
      <c r="M16" s="90"/>
    </row>
    <row r="17" spans="1:32" x14ac:dyDescent="0.25">
      <c r="D17" s="89"/>
      <c r="E17" s="89"/>
      <c r="F17" s="89"/>
      <c r="G17" s="89"/>
      <c r="H17" s="89"/>
      <c r="I17" s="89"/>
      <c r="J17" s="89"/>
      <c r="K17" s="89"/>
      <c r="L17" s="89"/>
      <c r="M17" s="90"/>
    </row>
    <row r="18" spans="1:32" x14ac:dyDescent="0.25">
      <c r="D18" s="89"/>
      <c r="E18" s="89"/>
      <c r="F18" s="89"/>
      <c r="G18" s="89"/>
      <c r="H18" s="89"/>
      <c r="I18" s="89"/>
      <c r="J18" s="89"/>
      <c r="K18" s="89"/>
      <c r="L18" s="89"/>
      <c r="M18" s="90"/>
    </row>
    <row r="19" spans="1:32" x14ac:dyDescent="0.25"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90"/>
    </row>
    <row r="20" spans="1:32" x14ac:dyDescent="0.25"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/>
    </row>
    <row r="21" spans="1:32" x14ac:dyDescent="0.25">
      <c r="A21" s="91" t="s">
        <v>935</v>
      </c>
      <c r="B21" s="91" t="s">
        <v>936</v>
      </c>
      <c r="C21" s="91" t="s">
        <v>937</v>
      </c>
      <c r="D21" s="91" t="s">
        <v>938</v>
      </c>
      <c r="E21" s="91" t="s">
        <v>939</v>
      </c>
      <c r="F21" s="91" t="s">
        <v>940</v>
      </c>
      <c r="G21" s="91" t="s">
        <v>941</v>
      </c>
      <c r="H21" s="91" t="s">
        <v>942</v>
      </c>
      <c r="I21" s="91" t="s">
        <v>943</v>
      </c>
      <c r="J21" s="91" t="s">
        <v>944</v>
      </c>
      <c r="K21" s="91" t="s">
        <v>945</v>
      </c>
      <c r="L21" s="91" t="s">
        <v>25</v>
      </c>
      <c r="M21" s="91" t="s">
        <v>946</v>
      </c>
      <c r="N21" s="91" t="s">
        <v>947</v>
      </c>
      <c r="O21" s="91" t="s">
        <v>948</v>
      </c>
      <c r="P21" s="91" t="s">
        <v>949</v>
      </c>
      <c r="Q21" s="91" t="s">
        <v>950</v>
      </c>
      <c r="R21" s="91" t="s">
        <v>951</v>
      </c>
      <c r="S21" s="91" t="s">
        <v>952</v>
      </c>
      <c r="T21" s="91" t="s">
        <v>953</v>
      </c>
      <c r="U21" s="91" t="s">
        <v>954</v>
      </c>
      <c r="V21" s="91" t="s">
        <v>955</v>
      </c>
      <c r="W21" s="91" t="s">
        <v>956</v>
      </c>
      <c r="X21" s="91" t="s">
        <v>957</v>
      </c>
      <c r="Y21" s="91" t="s">
        <v>958</v>
      </c>
      <c r="Z21" s="91" t="s">
        <v>959</v>
      </c>
      <c r="AA21" s="91" t="s">
        <v>960</v>
      </c>
      <c r="AB21" s="91" t="s">
        <v>961</v>
      </c>
      <c r="AC21" s="91" t="s">
        <v>962</v>
      </c>
      <c r="AD21" s="91" t="s">
        <v>963</v>
      </c>
      <c r="AE21" s="91" t="s">
        <v>964</v>
      </c>
    </row>
    <row r="22" spans="1:32" x14ac:dyDescent="0.25">
      <c r="A22" s="77">
        <v>46241</v>
      </c>
      <c r="B22" s="43" t="s">
        <v>1060</v>
      </c>
      <c r="C22" s="43" t="s">
        <v>3065</v>
      </c>
      <c r="D22" s="43" t="s">
        <v>3069</v>
      </c>
      <c r="E22" s="43" t="s">
        <v>3066</v>
      </c>
      <c r="F22" s="43" t="s">
        <v>3069</v>
      </c>
      <c r="G22" s="77">
        <v>46241</v>
      </c>
      <c r="H22" s="43" t="s">
        <v>893</v>
      </c>
      <c r="I22" s="43" t="s">
        <v>897</v>
      </c>
      <c r="J22" s="43" t="s">
        <v>897</v>
      </c>
      <c r="K22" s="43" t="s">
        <v>3067</v>
      </c>
      <c r="L22" s="43" t="s">
        <v>896</v>
      </c>
      <c r="M22" s="101">
        <v>1230</v>
      </c>
      <c r="N22" s="43">
        <v>114943.5</v>
      </c>
      <c r="O22" s="43" t="s">
        <v>3068</v>
      </c>
      <c r="P22" s="43">
        <v>7832867.9800000004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 t="s">
        <v>2870</v>
      </c>
      <c r="AA22" s="43" t="s">
        <v>2866</v>
      </c>
      <c r="AB22" s="43">
        <v>998852</v>
      </c>
      <c r="AC22" s="43" t="s">
        <v>2867</v>
      </c>
      <c r="AD22" s="43">
        <v>1</v>
      </c>
      <c r="AE22" s="43">
        <v>1230</v>
      </c>
      <c r="AF22" s="43" t="s">
        <v>2868</v>
      </c>
    </row>
    <row r="23" spans="1:32" x14ac:dyDescent="0.25">
      <c r="A23" s="77">
        <v>46241</v>
      </c>
      <c r="B23" s="43" t="s">
        <v>1060</v>
      </c>
      <c r="C23" s="43" t="s">
        <v>3065</v>
      </c>
      <c r="D23" s="43" t="s">
        <v>3069</v>
      </c>
      <c r="E23" s="43" t="s">
        <v>3066</v>
      </c>
      <c r="F23" s="43" t="s">
        <v>3069</v>
      </c>
      <c r="G23" s="77">
        <v>46241</v>
      </c>
      <c r="H23" s="43" t="s">
        <v>893</v>
      </c>
      <c r="I23" s="43" t="s">
        <v>897</v>
      </c>
      <c r="J23" s="43" t="s">
        <v>897</v>
      </c>
      <c r="K23" s="43" t="s">
        <v>3067</v>
      </c>
      <c r="L23" s="43" t="s">
        <v>896</v>
      </c>
      <c r="M23" s="101">
        <v>4214</v>
      </c>
      <c r="N23" s="43">
        <v>393798.3</v>
      </c>
      <c r="O23" s="43" t="s">
        <v>3068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 t="s">
        <v>2870</v>
      </c>
      <c r="AA23" s="43" t="s">
        <v>2866</v>
      </c>
      <c r="AB23" s="43">
        <v>998852</v>
      </c>
      <c r="AC23" s="43" t="s">
        <v>2867</v>
      </c>
      <c r="AD23" s="43">
        <v>1</v>
      </c>
      <c r="AE23" s="43">
        <v>4214</v>
      </c>
      <c r="AF23" s="43" t="s">
        <v>2868</v>
      </c>
    </row>
    <row r="24" spans="1:32" x14ac:dyDescent="0.25">
      <c r="A24" s="77">
        <v>46241</v>
      </c>
      <c r="B24" s="43" t="s">
        <v>1060</v>
      </c>
      <c r="C24" s="43" t="s">
        <v>3065</v>
      </c>
      <c r="D24" s="43" t="s">
        <v>3069</v>
      </c>
      <c r="E24" s="43" t="s">
        <v>3066</v>
      </c>
      <c r="F24" s="43" t="s">
        <v>3069</v>
      </c>
      <c r="G24" s="77">
        <v>46241</v>
      </c>
      <c r="H24" s="43" t="s">
        <v>893</v>
      </c>
      <c r="I24" s="43" t="s">
        <v>897</v>
      </c>
      <c r="J24" s="43" t="s">
        <v>897</v>
      </c>
      <c r="K24" s="43" t="s">
        <v>3067</v>
      </c>
      <c r="L24" s="43" t="s">
        <v>896</v>
      </c>
      <c r="M24" s="101">
        <v>1220</v>
      </c>
      <c r="N24" s="43">
        <v>114009</v>
      </c>
      <c r="O24" s="43" t="s">
        <v>3068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 t="s">
        <v>2870</v>
      </c>
      <c r="AA24" s="43" t="s">
        <v>2866</v>
      </c>
      <c r="AB24" s="43">
        <v>998852</v>
      </c>
      <c r="AC24" s="43" t="s">
        <v>2867</v>
      </c>
      <c r="AD24" s="43">
        <v>1</v>
      </c>
      <c r="AE24" s="43">
        <v>1220</v>
      </c>
      <c r="AF24" s="43" t="s">
        <v>2868</v>
      </c>
    </row>
    <row r="25" spans="1:32" x14ac:dyDescent="0.25">
      <c r="A25" s="77">
        <v>46241</v>
      </c>
      <c r="B25" s="43" t="s">
        <v>1060</v>
      </c>
      <c r="C25" s="43" t="s">
        <v>3065</v>
      </c>
      <c r="D25" s="43" t="s">
        <v>3069</v>
      </c>
      <c r="E25" s="43" t="s">
        <v>3066</v>
      </c>
      <c r="F25" s="43" t="s">
        <v>3069</v>
      </c>
      <c r="G25" s="77">
        <v>46241</v>
      </c>
      <c r="H25" s="43" t="s">
        <v>893</v>
      </c>
      <c r="I25" s="43" t="s">
        <v>897</v>
      </c>
      <c r="J25" s="43" t="s">
        <v>897</v>
      </c>
      <c r="K25" s="43" t="s">
        <v>3067</v>
      </c>
      <c r="L25" s="43" t="s">
        <v>896</v>
      </c>
      <c r="M25" s="43">
        <v>977.9</v>
      </c>
      <c r="N25" s="101">
        <v>91384.76</v>
      </c>
      <c r="O25" s="43" t="s">
        <v>3068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 t="s">
        <v>2870</v>
      </c>
      <c r="AA25" s="43" t="s">
        <v>2866</v>
      </c>
      <c r="AB25" s="43">
        <v>998852</v>
      </c>
      <c r="AC25" s="43" t="s">
        <v>2867</v>
      </c>
      <c r="AD25" s="43">
        <v>1</v>
      </c>
      <c r="AE25" s="43">
        <v>977.9</v>
      </c>
      <c r="AF25" s="43" t="s">
        <v>2868</v>
      </c>
    </row>
    <row r="26" spans="1:32" x14ac:dyDescent="0.25">
      <c r="A26" s="77">
        <v>46241</v>
      </c>
      <c r="B26" s="43" t="s">
        <v>1060</v>
      </c>
      <c r="C26" s="43" t="s">
        <v>3065</v>
      </c>
      <c r="D26" s="43" t="s">
        <v>3069</v>
      </c>
      <c r="E26" s="43" t="s">
        <v>3066</v>
      </c>
      <c r="F26" s="43" t="s">
        <v>3069</v>
      </c>
      <c r="G26" s="77">
        <v>46241</v>
      </c>
      <c r="H26" s="43" t="s">
        <v>893</v>
      </c>
      <c r="I26" s="43" t="s">
        <v>897</v>
      </c>
      <c r="J26" s="43" t="s">
        <v>897</v>
      </c>
      <c r="K26" s="43" t="s">
        <v>3067</v>
      </c>
      <c r="L26" s="43" t="s">
        <v>896</v>
      </c>
      <c r="M26" s="43">
        <v>937</v>
      </c>
      <c r="N26" s="101">
        <v>87562.65</v>
      </c>
      <c r="O26" s="43" t="s">
        <v>3068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 t="s">
        <v>2870</v>
      </c>
      <c r="AA26" s="43" t="s">
        <v>2866</v>
      </c>
      <c r="AB26" s="43">
        <v>998852</v>
      </c>
      <c r="AC26" s="43" t="s">
        <v>2867</v>
      </c>
      <c r="AD26" s="43">
        <v>1</v>
      </c>
      <c r="AE26" s="43">
        <v>937</v>
      </c>
      <c r="AF26" s="43" t="s">
        <v>2868</v>
      </c>
    </row>
    <row r="27" spans="1:32" x14ac:dyDescent="0.25">
      <c r="A27" s="77">
        <v>46241</v>
      </c>
      <c r="B27" s="43" t="s">
        <v>1060</v>
      </c>
      <c r="C27" s="43" t="s">
        <v>3065</v>
      </c>
      <c r="D27" s="43" t="s">
        <v>3069</v>
      </c>
      <c r="E27" s="43" t="s">
        <v>3066</v>
      </c>
      <c r="F27" s="43" t="s">
        <v>3069</v>
      </c>
      <c r="G27" s="77">
        <v>46241</v>
      </c>
      <c r="H27" s="43" t="s">
        <v>893</v>
      </c>
      <c r="I27" s="43" t="s">
        <v>897</v>
      </c>
      <c r="J27" s="43" t="s">
        <v>897</v>
      </c>
      <c r="K27" s="43" t="s">
        <v>3067</v>
      </c>
      <c r="L27" s="43" t="s">
        <v>896</v>
      </c>
      <c r="M27" s="101">
        <v>6725.8</v>
      </c>
      <c r="N27" s="43">
        <v>628526.01</v>
      </c>
      <c r="O27" s="43" t="s">
        <v>3068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 t="s">
        <v>2870</v>
      </c>
      <c r="AA27" s="43" t="s">
        <v>2866</v>
      </c>
      <c r="AB27" s="43">
        <v>998852</v>
      </c>
      <c r="AC27" s="43" t="s">
        <v>2867</v>
      </c>
      <c r="AD27" s="43">
        <v>1</v>
      </c>
      <c r="AE27" s="43">
        <v>6725.8</v>
      </c>
      <c r="AF27" s="43" t="s">
        <v>2868</v>
      </c>
    </row>
    <row r="28" spans="1:32" x14ac:dyDescent="0.25">
      <c r="A28" s="77">
        <v>46241</v>
      </c>
      <c r="B28" s="43" t="s">
        <v>1060</v>
      </c>
      <c r="C28" s="43" t="s">
        <v>3065</v>
      </c>
      <c r="D28" s="43" t="s">
        <v>3069</v>
      </c>
      <c r="E28" s="43" t="s">
        <v>3066</v>
      </c>
      <c r="F28" s="43" t="s">
        <v>3069</v>
      </c>
      <c r="G28" s="77">
        <v>46241</v>
      </c>
      <c r="H28" s="43" t="s">
        <v>893</v>
      </c>
      <c r="I28" s="43" t="s">
        <v>897</v>
      </c>
      <c r="J28" s="43" t="s">
        <v>897</v>
      </c>
      <c r="K28" s="43" t="s">
        <v>3067</v>
      </c>
      <c r="L28" s="43" t="s">
        <v>896</v>
      </c>
      <c r="M28" s="101">
        <v>1212</v>
      </c>
      <c r="N28" s="43">
        <v>113261.4</v>
      </c>
      <c r="O28" s="43" t="s">
        <v>3068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 t="s">
        <v>2870</v>
      </c>
      <c r="AA28" s="43" t="s">
        <v>2866</v>
      </c>
      <c r="AB28" s="43">
        <v>998852</v>
      </c>
      <c r="AC28" s="43" t="s">
        <v>2867</v>
      </c>
      <c r="AD28" s="43">
        <v>1</v>
      </c>
      <c r="AE28" s="43">
        <v>1212</v>
      </c>
      <c r="AF28" s="43" t="s">
        <v>2868</v>
      </c>
    </row>
    <row r="29" spans="1:32" x14ac:dyDescent="0.25">
      <c r="A29" s="77">
        <v>46241</v>
      </c>
      <c r="B29" s="43" t="s">
        <v>1060</v>
      </c>
      <c r="C29" s="43" t="s">
        <v>3065</v>
      </c>
      <c r="D29" s="43" t="s">
        <v>3069</v>
      </c>
      <c r="E29" s="43" t="s">
        <v>3066</v>
      </c>
      <c r="F29" s="43" t="s">
        <v>3069</v>
      </c>
      <c r="G29" s="77">
        <v>46241</v>
      </c>
      <c r="H29" s="43" t="s">
        <v>893</v>
      </c>
      <c r="I29" s="43" t="s">
        <v>897</v>
      </c>
      <c r="J29" s="43" t="s">
        <v>897</v>
      </c>
      <c r="K29" s="43" t="s">
        <v>3067</v>
      </c>
      <c r="L29" s="43" t="s">
        <v>896</v>
      </c>
      <c r="M29" s="101">
        <v>2713</v>
      </c>
      <c r="N29" s="43">
        <v>253529.85</v>
      </c>
      <c r="O29" s="43" t="s">
        <v>3068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 t="s">
        <v>2870</v>
      </c>
      <c r="AA29" s="43" t="s">
        <v>2866</v>
      </c>
      <c r="AB29" s="43">
        <v>998852</v>
      </c>
      <c r="AC29" s="43" t="s">
        <v>2867</v>
      </c>
      <c r="AD29" s="43">
        <v>1</v>
      </c>
      <c r="AE29" s="43">
        <v>2713</v>
      </c>
      <c r="AF29" s="43" t="s">
        <v>2868</v>
      </c>
    </row>
    <row r="30" spans="1:32" x14ac:dyDescent="0.25">
      <c r="A30" s="77">
        <v>46241</v>
      </c>
      <c r="B30" s="43" t="s">
        <v>1060</v>
      </c>
      <c r="C30" s="43" t="s">
        <v>3065</v>
      </c>
      <c r="D30" s="43" t="s">
        <v>3069</v>
      </c>
      <c r="E30" s="43" t="s">
        <v>3066</v>
      </c>
      <c r="F30" s="43" t="s">
        <v>3069</v>
      </c>
      <c r="G30" s="77">
        <v>46241</v>
      </c>
      <c r="H30" s="43" t="s">
        <v>893</v>
      </c>
      <c r="I30" s="43" t="s">
        <v>897</v>
      </c>
      <c r="J30" s="43" t="s">
        <v>897</v>
      </c>
      <c r="K30" s="43" t="s">
        <v>3067</v>
      </c>
      <c r="L30" s="43" t="s">
        <v>896</v>
      </c>
      <c r="M30" s="43">
        <v>535</v>
      </c>
      <c r="N30" s="101">
        <v>49995.75</v>
      </c>
      <c r="O30" s="43" t="s">
        <v>3068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 t="s">
        <v>2870</v>
      </c>
      <c r="AA30" s="43" t="s">
        <v>2866</v>
      </c>
      <c r="AB30" s="43">
        <v>998852</v>
      </c>
      <c r="AC30" s="43" t="s">
        <v>2867</v>
      </c>
      <c r="AD30" s="43">
        <v>1</v>
      </c>
      <c r="AE30" s="43">
        <v>535</v>
      </c>
      <c r="AF30" s="43" t="s">
        <v>2868</v>
      </c>
    </row>
    <row r="31" spans="1:32" x14ac:dyDescent="0.25">
      <c r="A31" s="77">
        <v>46241</v>
      </c>
      <c r="B31" s="43" t="s">
        <v>1060</v>
      </c>
      <c r="C31" s="43" t="s">
        <v>3065</v>
      </c>
      <c r="D31" s="43" t="s">
        <v>3069</v>
      </c>
      <c r="E31" s="43" t="s">
        <v>3066</v>
      </c>
      <c r="F31" s="43" t="s">
        <v>3069</v>
      </c>
      <c r="G31" s="77">
        <v>46241</v>
      </c>
      <c r="H31" s="43" t="s">
        <v>893</v>
      </c>
      <c r="I31" s="43" t="s">
        <v>897</v>
      </c>
      <c r="J31" s="43" t="s">
        <v>897</v>
      </c>
      <c r="K31" s="43" t="s">
        <v>3067</v>
      </c>
      <c r="L31" s="43" t="s">
        <v>896</v>
      </c>
      <c r="M31" s="101">
        <v>1775</v>
      </c>
      <c r="N31" s="43">
        <v>165873.75</v>
      </c>
      <c r="O31" s="43" t="s">
        <v>3068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 t="s">
        <v>2870</v>
      </c>
      <c r="AA31" s="43" t="s">
        <v>2866</v>
      </c>
      <c r="AB31" s="43">
        <v>998852</v>
      </c>
      <c r="AC31" s="43" t="s">
        <v>2867</v>
      </c>
      <c r="AD31" s="43">
        <v>1</v>
      </c>
      <c r="AE31" s="43">
        <v>1775</v>
      </c>
      <c r="AF31" s="43" t="s">
        <v>2868</v>
      </c>
    </row>
    <row r="32" spans="1:32" x14ac:dyDescent="0.25">
      <c r="A32" s="77">
        <v>46241</v>
      </c>
      <c r="B32" s="43" t="s">
        <v>1060</v>
      </c>
      <c r="C32" s="43" t="s">
        <v>3065</v>
      </c>
      <c r="D32" s="43" t="s">
        <v>3069</v>
      </c>
      <c r="E32" s="43" t="s">
        <v>3066</v>
      </c>
      <c r="F32" s="43" t="s">
        <v>3069</v>
      </c>
      <c r="G32" s="77">
        <v>46241</v>
      </c>
      <c r="H32" s="43" t="s">
        <v>893</v>
      </c>
      <c r="I32" s="43" t="s">
        <v>897</v>
      </c>
      <c r="J32" s="43" t="s">
        <v>897</v>
      </c>
      <c r="K32" s="43" t="s">
        <v>3067</v>
      </c>
      <c r="L32" s="43" t="s">
        <v>896</v>
      </c>
      <c r="M32" s="101">
        <v>6687.3</v>
      </c>
      <c r="N32" s="43">
        <v>624928.18999999994</v>
      </c>
      <c r="O32" s="43" t="s">
        <v>3068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 t="s">
        <v>2870</v>
      </c>
      <c r="AA32" s="43" t="s">
        <v>2866</v>
      </c>
      <c r="AB32" s="43">
        <v>998852</v>
      </c>
      <c r="AC32" s="43" t="s">
        <v>2867</v>
      </c>
      <c r="AD32" s="43">
        <v>1</v>
      </c>
      <c r="AE32" s="43">
        <v>6687.3</v>
      </c>
      <c r="AF32" s="43" t="s">
        <v>2868</v>
      </c>
    </row>
    <row r="33" spans="1:32" x14ac:dyDescent="0.25">
      <c r="A33" s="77">
        <v>46241</v>
      </c>
      <c r="B33" s="43" t="s">
        <v>1060</v>
      </c>
      <c r="C33" s="43" t="s">
        <v>3065</v>
      </c>
      <c r="D33" s="43" t="s">
        <v>3069</v>
      </c>
      <c r="E33" s="43" t="s">
        <v>3066</v>
      </c>
      <c r="F33" s="43" t="s">
        <v>3069</v>
      </c>
      <c r="G33" s="77">
        <v>46241</v>
      </c>
      <c r="H33" s="43" t="s">
        <v>893</v>
      </c>
      <c r="I33" s="43" t="s">
        <v>897</v>
      </c>
      <c r="J33" s="43" t="s">
        <v>897</v>
      </c>
      <c r="K33" s="43" t="s">
        <v>3067</v>
      </c>
      <c r="L33" s="43" t="s">
        <v>896</v>
      </c>
      <c r="M33" s="101">
        <v>9918</v>
      </c>
      <c r="N33" s="43">
        <v>926837.1</v>
      </c>
      <c r="O33" s="43" t="s">
        <v>3068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 t="s">
        <v>2870</v>
      </c>
      <c r="AA33" s="43" t="s">
        <v>2866</v>
      </c>
      <c r="AB33" s="43">
        <v>998852</v>
      </c>
      <c r="AC33" s="43" t="s">
        <v>2867</v>
      </c>
      <c r="AD33" s="43">
        <v>1</v>
      </c>
      <c r="AE33" s="43">
        <v>9918</v>
      </c>
      <c r="AF33" s="43" t="s">
        <v>2868</v>
      </c>
    </row>
    <row r="34" spans="1:32" x14ac:dyDescent="0.25">
      <c r="A34" s="77">
        <v>46241</v>
      </c>
      <c r="B34" s="43" t="s">
        <v>1060</v>
      </c>
      <c r="C34" s="43" t="s">
        <v>3065</v>
      </c>
      <c r="D34" s="43" t="s">
        <v>3069</v>
      </c>
      <c r="E34" s="43" t="s">
        <v>3066</v>
      </c>
      <c r="F34" s="43" t="s">
        <v>3069</v>
      </c>
      <c r="G34" s="77">
        <v>46241</v>
      </c>
      <c r="H34" s="43" t="s">
        <v>893</v>
      </c>
      <c r="I34" s="43" t="s">
        <v>897</v>
      </c>
      <c r="J34" s="43" t="s">
        <v>897</v>
      </c>
      <c r="K34" s="43" t="s">
        <v>3067</v>
      </c>
      <c r="L34" s="43" t="s">
        <v>896</v>
      </c>
      <c r="M34" s="43">
        <v>248</v>
      </c>
      <c r="N34" s="101">
        <v>23175.599999999999</v>
      </c>
      <c r="O34" s="43" t="s">
        <v>3068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 t="s">
        <v>2870</v>
      </c>
      <c r="AA34" s="43" t="s">
        <v>2866</v>
      </c>
      <c r="AB34" s="43">
        <v>998852</v>
      </c>
      <c r="AC34" s="43" t="s">
        <v>2867</v>
      </c>
      <c r="AD34" s="43">
        <v>1</v>
      </c>
      <c r="AE34" s="43">
        <v>248</v>
      </c>
      <c r="AF34" s="43" t="s">
        <v>2868</v>
      </c>
    </row>
    <row r="35" spans="1:32" x14ac:dyDescent="0.25">
      <c r="A35" s="77">
        <v>46241</v>
      </c>
      <c r="B35" s="43" t="s">
        <v>1060</v>
      </c>
      <c r="C35" s="43" t="s">
        <v>3065</v>
      </c>
      <c r="D35" s="43" t="s">
        <v>3069</v>
      </c>
      <c r="E35" s="43" t="s">
        <v>3066</v>
      </c>
      <c r="F35" s="43" t="s">
        <v>3069</v>
      </c>
      <c r="G35" s="77">
        <v>46241</v>
      </c>
      <c r="H35" s="43" t="s">
        <v>893</v>
      </c>
      <c r="I35" s="43" t="s">
        <v>897</v>
      </c>
      <c r="J35" s="43" t="s">
        <v>897</v>
      </c>
      <c r="K35" s="43" t="s">
        <v>3067</v>
      </c>
      <c r="L35" s="43" t="s">
        <v>896</v>
      </c>
      <c r="M35" s="101">
        <v>2588.5</v>
      </c>
      <c r="N35" s="43">
        <v>241895.33</v>
      </c>
      <c r="O35" s="43" t="s">
        <v>3068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 t="s">
        <v>2870</v>
      </c>
      <c r="AA35" s="43" t="s">
        <v>2866</v>
      </c>
      <c r="AB35" s="43">
        <v>998852</v>
      </c>
      <c r="AC35" s="43" t="s">
        <v>2867</v>
      </c>
      <c r="AD35" s="43">
        <v>1</v>
      </c>
      <c r="AE35" s="43">
        <v>2588.5</v>
      </c>
      <c r="AF35" s="43" t="s">
        <v>2868</v>
      </c>
    </row>
    <row r="36" spans="1:32" x14ac:dyDescent="0.25">
      <c r="A36" s="77">
        <v>46241</v>
      </c>
      <c r="B36" s="43" t="s">
        <v>1060</v>
      </c>
      <c r="C36" s="43" t="s">
        <v>3065</v>
      </c>
      <c r="D36" s="43" t="s">
        <v>3069</v>
      </c>
      <c r="E36" s="43" t="s">
        <v>3066</v>
      </c>
      <c r="F36" s="43" t="s">
        <v>3069</v>
      </c>
      <c r="G36" s="77">
        <v>46241</v>
      </c>
      <c r="H36" s="43" t="s">
        <v>893</v>
      </c>
      <c r="I36" s="43" t="s">
        <v>897</v>
      </c>
      <c r="J36" s="43" t="s">
        <v>897</v>
      </c>
      <c r="K36" s="43" t="s">
        <v>3067</v>
      </c>
      <c r="L36" s="43" t="s">
        <v>896</v>
      </c>
      <c r="M36" s="101">
        <v>11558.9</v>
      </c>
      <c r="N36" s="43">
        <v>1080179.21</v>
      </c>
      <c r="O36" s="43" t="s">
        <v>3068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 t="s">
        <v>2870</v>
      </c>
      <c r="AA36" s="43" t="s">
        <v>2866</v>
      </c>
      <c r="AB36" s="43">
        <v>998852</v>
      </c>
      <c r="AC36" s="43" t="s">
        <v>2867</v>
      </c>
      <c r="AD36" s="43">
        <v>1</v>
      </c>
      <c r="AE36" s="43">
        <v>11558.9</v>
      </c>
      <c r="AF36" s="43" t="s">
        <v>2868</v>
      </c>
    </row>
    <row r="37" spans="1:32" x14ac:dyDescent="0.25">
      <c r="A37" s="77">
        <v>46241</v>
      </c>
      <c r="B37" s="43" t="s">
        <v>1060</v>
      </c>
      <c r="C37" s="43" t="s">
        <v>3065</v>
      </c>
      <c r="D37" s="43" t="s">
        <v>3069</v>
      </c>
      <c r="E37" s="43" t="s">
        <v>3066</v>
      </c>
      <c r="F37" s="43" t="s">
        <v>3069</v>
      </c>
      <c r="G37" s="77">
        <v>46241</v>
      </c>
      <c r="H37" s="43" t="s">
        <v>893</v>
      </c>
      <c r="I37" s="43" t="s">
        <v>897</v>
      </c>
      <c r="J37" s="43" t="s">
        <v>897</v>
      </c>
      <c r="K37" s="43" t="s">
        <v>3067</v>
      </c>
      <c r="L37" s="43" t="s">
        <v>896</v>
      </c>
      <c r="M37" s="101">
        <v>16507</v>
      </c>
      <c r="N37" s="43">
        <v>1542579.15</v>
      </c>
      <c r="O37" s="43" t="s">
        <v>3068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 t="s">
        <v>2870</v>
      </c>
      <c r="AA37" s="43" t="s">
        <v>2866</v>
      </c>
      <c r="AB37" s="43">
        <v>998852</v>
      </c>
      <c r="AC37" s="43" t="s">
        <v>2867</v>
      </c>
      <c r="AD37" s="43">
        <v>1</v>
      </c>
      <c r="AE37" s="43">
        <v>16507</v>
      </c>
      <c r="AF37" s="43" t="s">
        <v>2868</v>
      </c>
    </row>
    <row r="38" spans="1:32" x14ac:dyDescent="0.25">
      <c r="A38" s="77">
        <v>46241</v>
      </c>
      <c r="B38" s="43" t="s">
        <v>1060</v>
      </c>
      <c r="C38" s="43" t="s">
        <v>3065</v>
      </c>
      <c r="D38" s="43" t="s">
        <v>3069</v>
      </c>
      <c r="E38" s="43" t="s">
        <v>3066</v>
      </c>
      <c r="F38" s="43" t="s">
        <v>3069</v>
      </c>
      <c r="G38" s="77">
        <v>46241</v>
      </c>
      <c r="H38" s="43" t="s">
        <v>893</v>
      </c>
      <c r="I38" s="43" t="s">
        <v>897</v>
      </c>
      <c r="J38" s="43" t="s">
        <v>897</v>
      </c>
      <c r="K38" s="43" t="s">
        <v>3067</v>
      </c>
      <c r="L38" s="43" t="s">
        <v>896</v>
      </c>
      <c r="M38" s="101">
        <v>6359</v>
      </c>
      <c r="N38" s="43">
        <v>594248.55000000005</v>
      </c>
      <c r="O38" s="43" t="s">
        <v>3068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 t="s">
        <v>2870</v>
      </c>
      <c r="AA38" s="43" t="s">
        <v>2866</v>
      </c>
      <c r="AB38" s="43">
        <v>998852</v>
      </c>
      <c r="AC38" s="43" t="s">
        <v>2867</v>
      </c>
      <c r="AD38" s="43">
        <v>1</v>
      </c>
      <c r="AE38" s="43">
        <v>6359</v>
      </c>
      <c r="AF38" s="43" t="s">
        <v>2868</v>
      </c>
    </row>
    <row r="39" spans="1:32" x14ac:dyDescent="0.25">
      <c r="A39" s="77">
        <v>46241</v>
      </c>
      <c r="B39" s="43" t="s">
        <v>1060</v>
      </c>
      <c r="C39" s="43" t="s">
        <v>3065</v>
      </c>
      <c r="D39" s="43" t="s">
        <v>3069</v>
      </c>
      <c r="E39" s="43" t="s">
        <v>3066</v>
      </c>
      <c r="F39" s="43" t="s">
        <v>3069</v>
      </c>
      <c r="G39" s="77">
        <v>46241</v>
      </c>
      <c r="H39" s="43" t="s">
        <v>893</v>
      </c>
      <c r="I39" s="43" t="s">
        <v>897</v>
      </c>
      <c r="J39" s="43" t="s">
        <v>897</v>
      </c>
      <c r="K39" s="43" t="s">
        <v>3067</v>
      </c>
      <c r="L39" s="43" t="s">
        <v>896</v>
      </c>
      <c r="M39" s="101">
        <v>10123</v>
      </c>
      <c r="N39" s="43">
        <v>945994.35</v>
      </c>
      <c r="O39" s="43" t="s">
        <v>3068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 t="s">
        <v>2870</v>
      </c>
      <c r="AA39" s="43" t="s">
        <v>2866</v>
      </c>
      <c r="AB39" s="43">
        <v>998852</v>
      </c>
      <c r="AC39" s="43" t="s">
        <v>2867</v>
      </c>
      <c r="AD39" s="43">
        <v>1</v>
      </c>
      <c r="AE39" s="43">
        <v>10123</v>
      </c>
      <c r="AF39" s="43" t="s">
        <v>2868</v>
      </c>
    </row>
    <row r="40" spans="1:32" x14ac:dyDescent="0.25">
      <c r="A40" s="43" t="s">
        <v>3153</v>
      </c>
      <c r="B40" s="43" t="s">
        <v>1060</v>
      </c>
      <c r="C40" s="43" t="s">
        <v>3065</v>
      </c>
      <c r="D40" s="43" t="s">
        <v>3154</v>
      </c>
      <c r="E40" s="43" t="s">
        <v>3066</v>
      </c>
      <c r="F40" s="43" t="s">
        <v>3154</v>
      </c>
      <c r="G40" s="43" t="s">
        <v>3153</v>
      </c>
      <c r="H40" s="43" t="s">
        <v>893</v>
      </c>
      <c r="I40" s="43" t="s">
        <v>897</v>
      </c>
      <c r="J40" s="43" t="s">
        <v>897</v>
      </c>
      <c r="K40" s="43" t="s">
        <v>3067</v>
      </c>
      <c r="L40" s="43" t="s">
        <v>896</v>
      </c>
      <c r="M40" s="43">
        <v>619.4</v>
      </c>
      <c r="N40" s="101">
        <v>56582.19</v>
      </c>
      <c r="O40" s="43" t="s">
        <v>3068</v>
      </c>
      <c r="P40" s="43">
        <v>7693171.54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 t="s">
        <v>2870</v>
      </c>
      <c r="AA40" s="43" t="s">
        <v>2866</v>
      </c>
      <c r="AB40" s="43">
        <v>998852</v>
      </c>
      <c r="AC40" s="43" t="s">
        <v>2867</v>
      </c>
      <c r="AD40" s="43">
        <v>1</v>
      </c>
      <c r="AE40" s="43">
        <v>619.4</v>
      </c>
      <c r="AF40" s="43" t="s">
        <v>2868</v>
      </c>
    </row>
    <row r="41" spans="1:32" x14ac:dyDescent="0.25">
      <c r="A41" s="43" t="s">
        <v>3153</v>
      </c>
      <c r="B41" s="43" t="s">
        <v>1060</v>
      </c>
      <c r="C41" s="43" t="s">
        <v>3065</v>
      </c>
      <c r="D41" s="43" t="s">
        <v>3154</v>
      </c>
      <c r="E41" s="43" t="s">
        <v>3066</v>
      </c>
      <c r="F41" s="43" t="s">
        <v>3154</v>
      </c>
      <c r="G41" s="43" t="s">
        <v>3153</v>
      </c>
      <c r="H41" s="43" t="s">
        <v>893</v>
      </c>
      <c r="I41" s="43" t="s">
        <v>897</v>
      </c>
      <c r="J41" s="43" t="s">
        <v>897</v>
      </c>
      <c r="K41" s="43" t="s">
        <v>3067</v>
      </c>
      <c r="L41" s="43" t="s">
        <v>896</v>
      </c>
      <c r="M41" s="101">
        <v>4788.99</v>
      </c>
      <c r="N41" s="43">
        <v>437474.24</v>
      </c>
      <c r="O41" s="43" t="s">
        <v>3068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 t="s">
        <v>2870</v>
      </c>
      <c r="AA41" s="43" t="s">
        <v>2866</v>
      </c>
      <c r="AB41" s="43">
        <v>998852</v>
      </c>
      <c r="AC41" s="43" t="s">
        <v>2867</v>
      </c>
      <c r="AD41" s="43">
        <v>1</v>
      </c>
      <c r="AE41" s="43">
        <v>4788.99</v>
      </c>
      <c r="AF41" s="43" t="s">
        <v>2868</v>
      </c>
    </row>
    <row r="42" spans="1:32" x14ac:dyDescent="0.25">
      <c r="A42" s="43" t="s">
        <v>3153</v>
      </c>
      <c r="B42" s="43" t="s">
        <v>1060</v>
      </c>
      <c r="C42" s="43" t="s">
        <v>3065</v>
      </c>
      <c r="D42" s="43" t="s">
        <v>3154</v>
      </c>
      <c r="E42" s="43" t="s">
        <v>3066</v>
      </c>
      <c r="F42" s="43" t="s">
        <v>3154</v>
      </c>
      <c r="G42" s="43" t="s">
        <v>3153</v>
      </c>
      <c r="H42" s="43" t="s">
        <v>893</v>
      </c>
      <c r="I42" s="43" t="s">
        <v>897</v>
      </c>
      <c r="J42" s="43" t="s">
        <v>897</v>
      </c>
      <c r="K42" s="43" t="s">
        <v>3067</v>
      </c>
      <c r="L42" s="43" t="s">
        <v>896</v>
      </c>
      <c r="M42" s="101">
        <v>3283.25</v>
      </c>
      <c r="N42" s="43">
        <v>299924.89</v>
      </c>
      <c r="O42" s="43" t="s">
        <v>3068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 t="s">
        <v>2870</v>
      </c>
      <c r="AA42" s="43" t="s">
        <v>2866</v>
      </c>
      <c r="AB42" s="43">
        <v>998852</v>
      </c>
      <c r="AC42" s="43" t="s">
        <v>2867</v>
      </c>
      <c r="AD42" s="43">
        <v>1</v>
      </c>
      <c r="AE42" s="43">
        <v>3283.25</v>
      </c>
      <c r="AF42" s="43" t="s">
        <v>2868</v>
      </c>
    </row>
    <row r="43" spans="1:32" x14ac:dyDescent="0.25">
      <c r="A43" s="43" t="s">
        <v>3153</v>
      </c>
      <c r="B43" s="43" t="s">
        <v>1060</v>
      </c>
      <c r="C43" s="43" t="s">
        <v>3065</v>
      </c>
      <c r="D43" s="43" t="s">
        <v>3154</v>
      </c>
      <c r="E43" s="43" t="s">
        <v>3066</v>
      </c>
      <c r="F43" s="43" t="s">
        <v>3154</v>
      </c>
      <c r="G43" s="43" t="s">
        <v>3153</v>
      </c>
      <c r="H43" s="43" t="s">
        <v>893</v>
      </c>
      <c r="I43" s="43" t="s">
        <v>897</v>
      </c>
      <c r="J43" s="43" t="s">
        <v>897</v>
      </c>
      <c r="K43" s="43" t="s">
        <v>3067</v>
      </c>
      <c r="L43" s="43" t="s">
        <v>896</v>
      </c>
      <c r="M43" s="43">
        <v>800</v>
      </c>
      <c r="N43" s="101">
        <v>73080</v>
      </c>
      <c r="O43" s="43" t="s">
        <v>3068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 t="s">
        <v>2870</v>
      </c>
      <c r="AA43" s="43" t="s">
        <v>2866</v>
      </c>
      <c r="AB43" s="43">
        <v>998852</v>
      </c>
      <c r="AC43" s="43" t="s">
        <v>2867</v>
      </c>
      <c r="AD43" s="43">
        <v>1</v>
      </c>
      <c r="AE43" s="43">
        <v>800</v>
      </c>
      <c r="AF43" s="43" t="s">
        <v>2868</v>
      </c>
    </row>
    <row r="44" spans="1:32" x14ac:dyDescent="0.25">
      <c r="A44" s="43" t="s">
        <v>3153</v>
      </c>
      <c r="B44" s="43" t="s">
        <v>1060</v>
      </c>
      <c r="C44" s="43" t="s">
        <v>3065</v>
      </c>
      <c r="D44" s="43" t="s">
        <v>3154</v>
      </c>
      <c r="E44" s="43" t="s">
        <v>3066</v>
      </c>
      <c r="F44" s="43" t="s">
        <v>3154</v>
      </c>
      <c r="G44" s="43" t="s">
        <v>3153</v>
      </c>
      <c r="H44" s="43" t="s">
        <v>893</v>
      </c>
      <c r="I44" s="43" t="s">
        <v>897</v>
      </c>
      <c r="J44" s="43" t="s">
        <v>897</v>
      </c>
      <c r="K44" s="43" t="s">
        <v>3067</v>
      </c>
      <c r="L44" s="43" t="s">
        <v>896</v>
      </c>
      <c r="M44" s="43">
        <v>715</v>
      </c>
      <c r="N44" s="101">
        <v>65315.25</v>
      </c>
      <c r="O44" s="43" t="s">
        <v>3068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 t="s">
        <v>2870</v>
      </c>
      <c r="AA44" s="43" t="s">
        <v>2866</v>
      </c>
      <c r="AB44" s="43">
        <v>998852</v>
      </c>
      <c r="AC44" s="43" t="s">
        <v>2867</v>
      </c>
      <c r="AD44" s="43">
        <v>1</v>
      </c>
      <c r="AE44" s="43">
        <v>715</v>
      </c>
      <c r="AF44" s="43" t="s">
        <v>2868</v>
      </c>
    </row>
    <row r="45" spans="1:32" x14ac:dyDescent="0.25">
      <c r="A45" s="43" t="s">
        <v>3153</v>
      </c>
      <c r="B45" s="43" t="s">
        <v>1060</v>
      </c>
      <c r="C45" s="43" t="s">
        <v>3065</v>
      </c>
      <c r="D45" s="43" t="s">
        <v>3154</v>
      </c>
      <c r="E45" s="43" t="s">
        <v>3066</v>
      </c>
      <c r="F45" s="43" t="s">
        <v>3154</v>
      </c>
      <c r="G45" s="43" t="s">
        <v>3153</v>
      </c>
      <c r="H45" s="43" t="s">
        <v>893</v>
      </c>
      <c r="I45" s="43" t="s">
        <v>897</v>
      </c>
      <c r="J45" s="43" t="s">
        <v>897</v>
      </c>
      <c r="K45" s="43" t="s">
        <v>3067</v>
      </c>
      <c r="L45" s="43" t="s">
        <v>896</v>
      </c>
      <c r="M45" s="43">
        <v>529</v>
      </c>
      <c r="N45" s="101">
        <v>48324.15</v>
      </c>
      <c r="O45" s="43" t="s">
        <v>3068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 t="s">
        <v>2870</v>
      </c>
      <c r="AA45" s="43" t="s">
        <v>2866</v>
      </c>
      <c r="AB45" s="43">
        <v>998852</v>
      </c>
      <c r="AC45" s="43" t="s">
        <v>2867</v>
      </c>
      <c r="AD45" s="43">
        <v>1</v>
      </c>
      <c r="AE45" s="43">
        <v>529</v>
      </c>
      <c r="AF45" s="43" t="s">
        <v>2868</v>
      </c>
    </row>
    <row r="46" spans="1:32" x14ac:dyDescent="0.25">
      <c r="A46" s="43" t="s">
        <v>3153</v>
      </c>
      <c r="B46" s="43" t="s">
        <v>1060</v>
      </c>
      <c r="C46" s="43" t="s">
        <v>3065</v>
      </c>
      <c r="D46" s="43" t="s">
        <v>3154</v>
      </c>
      <c r="E46" s="43" t="s">
        <v>3066</v>
      </c>
      <c r="F46" s="43" t="s">
        <v>3154</v>
      </c>
      <c r="G46" s="43" t="s">
        <v>3153</v>
      </c>
      <c r="H46" s="43" t="s">
        <v>893</v>
      </c>
      <c r="I46" s="43" t="s">
        <v>897</v>
      </c>
      <c r="J46" s="43" t="s">
        <v>897</v>
      </c>
      <c r="K46" s="43" t="s">
        <v>3067</v>
      </c>
      <c r="L46" s="43" t="s">
        <v>896</v>
      </c>
      <c r="M46" s="43">
        <v>334.6</v>
      </c>
      <c r="N46" s="101">
        <v>30565.71</v>
      </c>
      <c r="O46" s="43" t="s">
        <v>3068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 t="s">
        <v>2870</v>
      </c>
      <c r="AA46" s="43" t="s">
        <v>2866</v>
      </c>
      <c r="AB46" s="43">
        <v>998852</v>
      </c>
      <c r="AC46" s="43" t="s">
        <v>2867</v>
      </c>
      <c r="AD46" s="43">
        <v>1</v>
      </c>
      <c r="AE46" s="43">
        <v>334.6</v>
      </c>
      <c r="AF46" s="43" t="s">
        <v>2868</v>
      </c>
    </row>
    <row r="47" spans="1:32" x14ac:dyDescent="0.25">
      <c r="A47" s="43" t="s">
        <v>3153</v>
      </c>
      <c r="B47" s="43" t="s">
        <v>1060</v>
      </c>
      <c r="C47" s="43" t="s">
        <v>3065</v>
      </c>
      <c r="D47" s="43" t="s">
        <v>3154</v>
      </c>
      <c r="E47" s="43" t="s">
        <v>3066</v>
      </c>
      <c r="F47" s="43" t="s">
        <v>3154</v>
      </c>
      <c r="G47" s="43" t="s">
        <v>3153</v>
      </c>
      <c r="H47" s="43" t="s">
        <v>893</v>
      </c>
      <c r="I47" s="43" t="s">
        <v>897</v>
      </c>
      <c r="J47" s="43" t="s">
        <v>897</v>
      </c>
      <c r="K47" s="43" t="s">
        <v>3067</v>
      </c>
      <c r="L47" s="43" t="s">
        <v>896</v>
      </c>
      <c r="M47" s="101">
        <v>7562</v>
      </c>
      <c r="N47" s="43">
        <v>690788.7</v>
      </c>
      <c r="O47" s="43" t="s">
        <v>3068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 t="s">
        <v>2870</v>
      </c>
      <c r="AA47" s="43" t="s">
        <v>2866</v>
      </c>
      <c r="AB47" s="43">
        <v>998852</v>
      </c>
      <c r="AC47" s="43" t="s">
        <v>2867</v>
      </c>
      <c r="AD47" s="43">
        <v>1</v>
      </c>
      <c r="AE47" s="43">
        <v>7562</v>
      </c>
      <c r="AF47" s="43" t="s">
        <v>2868</v>
      </c>
    </row>
    <row r="48" spans="1:32" x14ac:dyDescent="0.25">
      <c r="A48" s="43" t="s">
        <v>3153</v>
      </c>
      <c r="B48" s="43" t="s">
        <v>1060</v>
      </c>
      <c r="C48" s="43" t="s">
        <v>3065</v>
      </c>
      <c r="D48" s="43" t="s">
        <v>3154</v>
      </c>
      <c r="E48" s="43" t="s">
        <v>3066</v>
      </c>
      <c r="F48" s="43" t="s">
        <v>3154</v>
      </c>
      <c r="G48" s="43" t="s">
        <v>3153</v>
      </c>
      <c r="H48" s="43" t="s">
        <v>893</v>
      </c>
      <c r="I48" s="43" t="s">
        <v>897</v>
      </c>
      <c r="J48" s="43" t="s">
        <v>897</v>
      </c>
      <c r="K48" s="43" t="s">
        <v>3067</v>
      </c>
      <c r="L48" s="43" t="s">
        <v>896</v>
      </c>
      <c r="M48" s="101">
        <v>4709.8999999999996</v>
      </c>
      <c r="N48" s="43">
        <v>430249.37</v>
      </c>
      <c r="O48" s="43" t="s">
        <v>3068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 t="s">
        <v>2870</v>
      </c>
      <c r="AA48" s="43" t="s">
        <v>2866</v>
      </c>
      <c r="AB48" s="43">
        <v>998852</v>
      </c>
      <c r="AC48" s="43" t="s">
        <v>2867</v>
      </c>
      <c r="AD48" s="43">
        <v>1</v>
      </c>
      <c r="AE48" s="43">
        <v>4709.8999999999996</v>
      </c>
      <c r="AF48" s="43" t="s">
        <v>2868</v>
      </c>
    </row>
    <row r="49" spans="1:32" x14ac:dyDescent="0.25">
      <c r="A49" s="43" t="s">
        <v>3153</v>
      </c>
      <c r="B49" s="43" t="s">
        <v>1060</v>
      </c>
      <c r="C49" s="43" t="s">
        <v>3065</v>
      </c>
      <c r="D49" s="43" t="s">
        <v>3154</v>
      </c>
      <c r="E49" s="43" t="s">
        <v>3066</v>
      </c>
      <c r="F49" s="43" t="s">
        <v>3154</v>
      </c>
      <c r="G49" s="43" t="s">
        <v>3153</v>
      </c>
      <c r="H49" s="43" t="s">
        <v>893</v>
      </c>
      <c r="I49" s="43" t="s">
        <v>897</v>
      </c>
      <c r="J49" s="43" t="s">
        <v>897</v>
      </c>
      <c r="K49" s="43" t="s">
        <v>3067</v>
      </c>
      <c r="L49" s="43" t="s">
        <v>896</v>
      </c>
      <c r="M49" s="101">
        <v>1100.8</v>
      </c>
      <c r="N49" s="43">
        <v>100558.08</v>
      </c>
      <c r="O49" s="43" t="s">
        <v>3068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 t="s">
        <v>2870</v>
      </c>
      <c r="AA49" s="43" t="s">
        <v>2866</v>
      </c>
      <c r="AB49" s="43">
        <v>998852</v>
      </c>
      <c r="AC49" s="43" t="s">
        <v>2867</v>
      </c>
      <c r="AD49" s="43">
        <v>1</v>
      </c>
      <c r="AE49" s="43">
        <v>1100.8</v>
      </c>
      <c r="AF49" s="43" t="s">
        <v>2868</v>
      </c>
    </row>
    <row r="50" spans="1:32" x14ac:dyDescent="0.25">
      <c r="A50" s="43" t="s">
        <v>3153</v>
      </c>
      <c r="B50" s="43" t="s">
        <v>1060</v>
      </c>
      <c r="C50" s="43" t="s">
        <v>3065</v>
      </c>
      <c r="D50" s="43" t="s">
        <v>3154</v>
      </c>
      <c r="E50" s="43" t="s">
        <v>3066</v>
      </c>
      <c r="F50" s="43" t="s">
        <v>3154</v>
      </c>
      <c r="G50" s="43" t="s">
        <v>3153</v>
      </c>
      <c r="H50" s="43" t="s">
        <v>893</v>
      </c>
      <c r="I50" s="43" t="s">
        <v>897</v>
      </c>
      <c r="J50" s="43" t="s">
        <v>897</v>
      </c>
      <c r="K50" s="43" t="s">
        <v>3067</v>
      </c>
      <c r="L50" s="43" t="s">
        <v>896</v>
      </c>
      <c r="M50" s="101">
        <v>4003</v>
      </c>
      <c r="N50" s="43">
        <v>365674.05</v>
      </c>
      <c r="O50" s="43" t="s">
        <v>3068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43">
        <v>0</v>
      </c>
      <c r="W50" s="43">
        <v>0</v>
      </c>
      <c r="X50" s="43">
        <v>0</v>
      </c>
      <c r="Y50" s="43">
        <v>0</v>
      </c>
      <c r="Z50" s="43" t="s">
        <v>2870</v>
      </c>
      <c r="AA50" s="43" t="s">
        <v>2866</v>
      </c>
      <c r="AB50" s="43">
        <v>998852</v>
      </c>
      <c r="AC50" s="43" t="s">
        <v>2867</v>
      </c>
      <c r="AD50" s="43">
        <v>1</v>
      </c>
      <c r="AE50" s="43">
        <v>4003</v>
      </c>
      <c r="AF50" s="43" t="s">
        <v>2868</v>
      </c>
    </row>
    <row r="51" spans="1:32" x14ac:dyDescent="0.25">
      <c r="A51" s="43" t="s">
        <v>3153</v>
      </c>
      <c r="B51" s="43" t="s">
        <v>1060</v>
      </c>
      <c r="C51" s="43" t="s">
        <v>3065</v>
      </c>
      <c r="D51" s="43" t="s">
        <v>3154</v>
      </c>
      <c r="E51" s="43" t="s">
        <v>3066</v>
      </c>
      <c r="F51" s="43" t="s">
        <v>3154</v>
      </c>
      <c r="G51" s="43" t="s">
        <v>3153</v>
      </c>
      <c r="H51" s="43" t="s">
        <v>893</v>
      </c>
      <c r="I51" s="43" t="s">
        <v>897</v>
      </c>
      <c r="J51" s="43" t="s">
        <v>897</v>
      </c>
      <c r="K51" s="43" t="s">
        <v>3067</v>
      </c>
      <c r="L51" s="43" t="s">
        <v>896</v>
      </c>
      <c r="M51" s="101">
        <v>6986</v>
      </c>
      <c r="N51" s="43">
        <v>638171.1</v>
      </c>
      <c r="O51" s="43" t="s">
        <v>3068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 t="s">
        <v>2870</v>
      </c>
      <c r="AA51" s="43" t="s">
        <v>2866</v>
      </c>
      <c r="AB51" s="43">
        <v>998852</v>
      </c>
      <c r="AC51" s="43" t="s">
        <v>2867</v>
      </c>
      <c r="AD51" s="43">
        <v>1</v>
      </c>
      <c r="AE51" s="43">
        <v>6986</v>
      </c>
      <c r="AF51" s="43" t="s">
        <v>2868</v>
      </c>
    </row>
    <row r="52" spans="1:32" x14ac:dyDescent="0.25">
      <c r="A52" s="43" t="s">
        <v>3153</v>
      </c>
      <c r="B52" s="43" t="s">
        <v>1060</v>
      </c>
      <c r="C52" s="43" t="s">
        <v>3065</v>
      </c>
      <c r="D52" s="43" t="s">
        <v>3154</v>
      </c>
      <c r="E52" s="43" t="s">
        <v>3066</v>
      </c>
      <c r="F52" s="43" t="s">
        <v>3154</v>
      </c>
      <c r="G52" s="43" t="s">
        <v>3153</v>
      </c>
      <c r="H52" s="43" t="s">
        <v>893</v>
      </c>
      <c r="I52" s="43" t="s">
        <v>897</v>
      </c>
      <c r="J52" s="43" t="s">
        <v>897</v>
      </c>
      <c r="K52" s="43" t="s">
        <v>3067</v>
      </c>
      <c r="L52" s="43" t="s">
        <v>896</v>
      </c>
      <c r="M52" s="101">
        <v>1363.1</v>
      </c>
      <c r="N52" s="43">
        <v>124519.19</v>
      </c>
      <c r="O52" s="43" t="s">
        <v>3068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 t="s">
        <v>2870</v>
      </c>
      <c r="AA52" s="43" t="s">
        <v>2866</v>
      </c>
      <c r="AB52" s="43">
        <v>998852</v>
      </c>
      <c r="AC52" s="43" t="s">
        <v>2867</v>
      </c>
      <c r="AD52" s="43">
        <v>1</v>
      </c>
      <c r="AE52" s="43">
        <v>1363.1</v>
      </c>
      <c r="AF52" s="43" t="s">
        <v>2868</v>
      </c>
    </row>
    <row r="53" spans="1:32" x14ac:dyDescent="0.25">
      <c r="A53" s="43" t="s">
        <v>3153</v>
      </c>
      <c r="B53" s="43" t="s">
        <v>1060</v>
      </c>
      <c r="C53" s="43" t="s">
        <v>3065</v>
      </c>
      <c r="D53" s="43" t="s">
        <v>3154</v>
      </c>
      <c r="E53" s="43" t="s">
        <v>3066</v>
      </c>
      <c r="F53" s="43" t="s">
        <v>3154</v>
      </c>
      <c r="G53" s="43" t="s">
        <v>3153</v>
      </c>
      <c r="H53" s="43" t="s">
        <v>893</v>
      </c>
      <c r="I53" s="43" t="s">
        <v>897</v>
      </c>
      <c r="J53" s="43" t="s">
        <v>897</v>
      </c>
      <c r="K53" s="43" t="s">
        <v>3067</v>
      </c>
      <c r="L53" s="43" t="s">
        <v>896</v>
      </c>
      <c r="M53" s="101">
        <v>3067</v>
      </c>
      <c r="N53" s="43">
        <v>280170.45</v>
      </c>
      <c r="O53" s="43" t="s">
        <v>3068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 t="s">
        <v>2870</v>
      </c>
      <c r="AA53" s="43" t="s">
        <v>2866</v>
      </c>
      <c r="AB53" s="43">
        <v>998852</v>
      </c>
      <c r="AC53" s="43" t="s">
        <v>2867</v>
      </c>
      <c r="AD53" s="43">
        <v>1</v>
      </c>
      <c r="AE53" s="43">
        <v>3067</v>
      </c>
      <c r="AF53" s="43" t="s">
        <v>2868</v>
      </c>
    </row>
    <row r="54" spans="1:32" x14ac:dyDescent="0.25">
      <c r="A54" s="43" t="s">
        <v>3153</v>
      </c>
      <c r="B54" s="43" t="s">
        <v>1060</v>
      </c>
      <c r="C54" s="43" t="s">
        <v>3065</v>
      </c>
      <c r="D54" s="43" t="s">
        <v>3154</v>
      </c>
      <c r="E54" s="43" t="s">
        <v>3066</v>
      </c>
      <c r="F54" s="43" t="s">
        <v>3154</v>
      </c>
      <c r="G54" s="43" t="s">
        <v>3153</v>
      </c>
      <c r="H54" s="43" t="s">
        <v>893</v>
      </c>
      <c r="I54" s="43" t="s">
        <v>897</v>
      </c>
      <c r="J54" s="43" t="s">
        <v>897</v>
      </c>
      <c r="K54" s="43" t="s">
        <v>3067</v>
      </c>
      <c r="L54" s="43" t="s">
        <v>896</v>
      </c>
      <c r="M54" s="101">
        <v>3757</v>
      </c>
      <c r="N54" s="43">
        <v>343201.95</v>
      </c>
      <c r="O54" s="43" t="s">
        <v>3068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0</v>
      </c>
      <c r="W54" s="43">
        <v>0</v>
      </c>
      <c r="X54" s="43">
        <v>0</v>
      </c>
      <c r="Y54" s="43">
        <v>0</v>
      </c>
      <c r="Z54" s="43" t="s">
        <v>2870</v>
      </c>
      <c r="AA54" s="43" t="s">
        <v>2866</v>
      </c>
      <c r="AB54" s="43">
        <v>998852</v>
      </c>
      <c r="AC54" s="43" t="s">
        <v>2867</v>
      </c>
      <c r="AD54" s="43">
        <v>1</v>
      </c>
      <c r="AE54" s="43">
        <v>3757</v>
      </c>
      <c r="AF54" s="43" t="s">
        <v>2868</v>
      </c>
    </row>
    <row r="55" spans="1:32" x14ac:dyDescent="0.25">
      <c r="A55" s="43" t="s">
        <v>3153</v>
      </c>
      <c r="B55" s="43" t="s">
        <v>1060</v>
      </c>
      <c r="C55" s="43" t="s">
        <v>3065</v>
      </c>
      <c r="D55" s="43" t="s">
        <v>3154</v>
      </c>
      <c r="E55" s="43" t="s">
        <v>3066</v>
      </c>
      <c r="F55" s="43" t="s">
        <v>3154</v>
      </c>
      <c r="G55" s="43" t="s">
        <v>3153</v>
      </c>
      <c r="H55" s="43" t="s">
        <v>893</v>
      </c>
      <c r="I55" s="43" t="s">
        <v>897</v>
      </c>
      <c r="J55" s="43" t="s">
        <v>897</v>
      </c>
      <c r="K55" s="43" t="s">
        <v>3067</v>
      </c>
      <c r="L55" s="43" t="s">
        <v>896</v>
      </c>
      <c r="M55" s="101">
        <v>1434</v>
      </c>
      <c r="N55" s="43">
        <v>130995.9</v>
      </c>
      <c r="O55" s="43" t="s">
        <v>3068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 t="s">
        <v>2870</v>
      </c>
      <c r="AA55" s="43" t="s">
        <v>2866</v>
      </c>
      <c r="AB55" s="43">
        <v>998852</v>
      </c>
      <c r="AC55" s="43" t="s">
        <v>2867</v>
      </c>
      <c r="AD55" s="43">
        <v>1</v>
      </c>
      <c r="AE55" s="43">
        <v>1434</v>
      </c>
      <c r="AF55" s="43" t="s">
        <v>2868</v>
      </c>
    </row>
    <row r="56" spans="1:32" x14ac:dyDescent="0.25">
      <c r="A56" s="43" t="s">
        <v>3153</v>
      </c>
      <c r="B56" s="43" t="s">
        <v>1060</v>
      </c>
      <c r="C56" s="43" t="s">
        <v>3065</v>
      </c>
      <c r="D56" s="43" t="s">
        <v>3154</v>
      </c>
      <c r="E56" s="43" t="s">
        <v>3066</v>
      </c>
      <c r="F56" s="43" t="s">
        <v>3154</v>
      </c>
      <c r="G56" s="43" t="s">
        <v>3153</v>
      </c>
      <c r="H56" s="43" t="s">
        <v>893</v>
      </c>
      <c r="I56" s="43" t="s">
        <v>897</v>
      </c>
      <c r="J56" s="43" t="s">
        <v>897</v>
      </c>
      <c r="K56" s="43" t="s">
        <v>3067</v>
      </c>
      <c r="L56" s="43" t="s">
        <v>896</v>
      </c>
      <c r="M56" s="101">
        <v>1013</v>
      </c>
      <c r="N56" s="101">
        <v>92537.55</v>
      </c>
      <c r="O56" s="43" t="s">
        <v>3068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 t="s">
        <v>2870</v>
      </c>
      <c r="AA56" s="43" t="s">
        <v>2866</v>
      </c>
      <c r="AB56" s="43">
        <v>998852</v>
      </c>
      <c r="AC56" s="43" t="s">
        <v>2867</v>
      </c>
      <c r="AD56" s="43">
        <v>1</v>
      </c>
      <c r="AE56" s="43">
        <v>1013</v>
      </c>
      <c r="AF56" s="43" t="s">
        <v>2868</v>
      </c>
    </row>
    <row r="57" spans="1:32" x14ac:dyDescent="0.25">
      <c r="A57" s="43" t="s">
        <v>3153</v>
      </c>
      <c r="B57" s="43" t="s">
        <v>1060</v>
      </c>
      <c r="C57" s="43" t="s">
        <v>3065</v>
      </c>
      <c r="D57" s="43" t="s">
        <v>3154</v>
      </c>
      <c r="E57" s="43" t="s">
        <v>3066</v>
      </c>
      <c r="F57" s="43" t="s">
        <v>3154</v>
      </c>
      <c r="G57" s="43" t="s">
        <v>3153</v>
      </c>
      <c r="H57" s="43" t="s">
        <v>893</v>
      </c>
      <c r="I57" s="43" t="s">
        <v>897</v>
      </c>
      <c r="J57" s="43" t="s">
        <v>897</v>
      </c>
      <c r="K57" s="43" t="s">
        <v>3067</v>
      </c>
      <c r="L57" s="43" t="s">
        <v>896</v>
      </c>
      <c r="M57" s="101">
        <v>1000</v>
      </c>
      <c r="N57" s="101">
        <v>91350</v>
      </c>
      <c r="O57" s="43" t="s">
        <v>3068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 t="s">
        <v>2870</v>
      </c>
      <c r="AA57" s="43" t="s">
        <v>2866</v>
      </c>
      <c r="AB57" s="43">
        <v>998852</v>
      </c>
      <c r="AC57" s="43" t="s">
        <v>2867</v>
      </c>
      <c r="AD57" s="43">
        <v>1</v>
      </c>
      <c r="AE57" s="43">
        <v>1000</v>
      </c>
      <c r="AF57" s="43" t="s">
        <v>2868</v>
      </c>
    </row>
    <row r="58" spans="1:32" x14ac:dyDescent="0.25">
      <c r="A58" s="43" t="s">
        <v>3153</v>
      </c>
      <c r="B58" s="43" t="s">
        <v>1060</v>
      </c>
      <c r="C58" s="43" t="s">
        <v>3065</v>
      </c>
      <c r="D58" s="43" t="s">
        <v>3154</v>
      </c>
      <c r="E58" s="43" t="s">
        <v>3066</v>
      </c>
      <c r="F58" s="43" t="s">
        <v>3154</v>
      </c>
      <c r="G58" s="43" t="s">
        <v>3153</v>
      </c>
      <c r="H58" s="43" t="s">
        <v>893</v>
      </c>
      <c r="I58" s="43" t="s">
        <v>897</v>
      </c>
      <c r="J58" s="43" t="s">
        <v>897</v>
      </c>
      <c r="K58" s="43" t="s">
        <v>3067</v>
      </c>
      <c r="L58" s="43" t="s">
        <v>896</v>
      </c>
      <c r="M58" s="43">
        <v>800</v>
      </c>
      <c r="N58" s="101">
        <v>73080</v>
      </c>
      <c r="O58" s="43" t="s">
        <v>3068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43">
        <v>0</v>
      </c>
      <c r="Z58" s="43" t="s">
        <v>2870</v>
      </c>
      <c r="AA58" s="43" t="s">
        <v>2866</v>
      </c>
      <c r="AB58" s="43">
        <v>998852</v>
      </c>
      <c r="AC58" s="43" t="s">
        <v>2867</v>
      </c>
      <c r="AD58" s="43">
        <v>1</v>
      </c>
      <c r="AE58" s="43">
        <v>800</v>
      </c>
      <c r="AF58" s="43" t="s">
        <v>2868</v>
      </c>
    </row>
    <row r="59" spans="1:32" x14ac:dyDescent="0.25">
      <c r="A59" s="43" t="s">
        <v>3153</v>
      </c>
      <c r="B59" s="43" t="s">
        <v>1060</v>
      </c>
      <c r="C59" s="43" t="s">
        <v>3065</v>
      </c>
      <c r="D59" s="43" t="s">
        <v>3154</v>
      </c>
      <c r="E59" s="43" t="s">
        <v>3066</v>
      </c>
      <c r="F59" s="43" t="s">
        <v>3154</v>
      </c>
      <c r="G59" s="43" t="s">
        <v>3153</v>
      </c>
      <c r="H59" s="43" t="s">
        <v>893</v>
      </c>
      <c r="I59" s="43" t="s">
        <v>897</v>
      </c>
      <c r="J59" s="43" t="s">
        <v>897</v>
      </c>
      <c r="K59" s="43" t="s">
        <v>3067</v>
      </c>
      <c r="L59" s="43" t="s">
        <v>896</v>
      </c>
      <c r="M59" s="101">
        <v>2000</v>
      </c>
      <c r="N59" s="43">
        <v>182700</v>
      </c>
      <c r="O59" s="43" t="s">
        <v>3068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0</v>
      </c>
      <c r="Y59" s="43">
        <v>0</v>
      </c>
      <c r="Z59" s="43" t="s">
        <v>2870</v>
      </c>
      <c r="AA59" s="43" t="s">
        <v>2866</v>
      </c>
      <c r="AB59" s="43">
        <v>998852</v>
      </c>
      <c r="AC59" s="43" t="s">
        <v>2867</v>
      </c>
      <c r="AD59" s="43">
        <v>1</v>
      </c>
      <c r="AE59" s="43">
        <v>2000</v>
      </c>
      <c r="AF59" s="43" t="s">
        <v>2868</v>
      </c>
    </row>
    <row r="60" spans="1:32" x14ac:dyDescent="0.25">
      <c r="A60" s="43" t="s">
        <v>3153</v>
      </c>
      <c r="B60" s="43" t="s">
        <v>1060</v>
      </c>
      <c r="C60" s="43" t="s">
        <v>3065</v>
      </c>
      <c r="D60" s="43" t="s">
        <v>3154</v>
      </c>
      <c r="E60" s="43" t="s">
        <v>3066</v>
      </c>
      <c r="F60" s="43" t="s">
        <v>3154</v>
      </c>
      <c r="G60" s="43" t="s">
        <v>3153</v>
      </c>
      <c r="H60" s="43" t="s">
        <v>893</v>
      </c>
      <c r="I60" s="43" t="s">
        <v>897</v>
      </c>
      <c r="J60" s="43" t="s">
        <v>897</v>
      </c>
      <c r="K60" s="43" t="s">
        <v>3067</v>
      </c>
      <c r="L60" s="43" t="s">
        <v>896</v>
      </c>
      <c r="M60" s="101">
        <v>3166.3</v>
      </c>
      <c r="N60" s="43">
        <v>289241.51</v>
      </c>
      <c r="O60" s="43" t="s">
        <v>3068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3">
        <v>0</v>
      </c>
      <c r="Y60" s="43">
        <v>0</v>
      </c>
      <c r="Z60" s="43" t="s">
        <v>2870</v>
      </c>
      <c r="AA60" s="43" t="s">
        <v>2866</v>
      </c>
      <c r="AB60" s="43">
        <v>998852</v>
      </c>
      <c r="AC60" s="43" t="s">
        <v>2867</v>
      </c>
      <c r="AD60" s="43">
        <v>1</v>
      </c>
      <c r="AE60" s="43">
        <v>3166.3</v>
      </c>
      <c r="AF60" s="43" t="s">
        <v>2868</v>
      </c>
    </row>
    <row r="61" spans="1:32" x14ac:dyDescent="0.25">
      <c r="A61" s="43" t="s">
        <v>3153</v>
      </c>
      <c r="B61" s="43" t="s">
        <v>1060</v>
      </c>
      <c r="C61" s="43" t="s">
        <v>3065</v>
      </c>
      <c r="D61" s="43" t="s">
        <v>3154</v>
      </c>
      <c r="E61" s="43" t="s">
        <v>3066</v>
      </c>
      <c r="F61" s="43" t="s">
        <v>3154</v>
      </c>
      <c r="G61" s="43" t="s">
        <v>3153</v>
      </c>
      <c r="H61" s="43" t="s">
        <v>893</v>
      </c>
      <c r="I61" s="43" t="s">
        <v>897</v>
      </c>
      <c r="J61" s="43" t="s">
        <v>897</v>
      </c>
      <c r="K61" s="43" t="s">
        <v>3067</v>
      </c>
      <c r="L61" s="43" t="s">
        <v>896</v>
      </c>
      <c r="M61" s="101">
        <v>2383.6999999999998</v>
      </c>
      <c r="N61" s="43">
        <v>217751</v>
      </c>
      <c r="O61" s="43" t="s">
        <v>3068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</v>
      </c>
      <c r="Y61" s="43">
        <v>0</v>
      </c>
      <c r="Z61" s="43" t="s">
        <v>2870</v>
      </c>
      <c r="AA61" s="43" t="s">
        <v>2866</v>
      </c>
      <c r="AB61" s="43">
        <v>998852</v>
      </c>
      <c r="AC61" s="43" t="s">
        <v>2867</v>
      </c>
      <c r="AD61" s="43">
        <v>1</v>
      </c>
      <c r="AE61" s="43">
        <v>2383.6999999999998</v>
      </c>
      <c r="AF61" s="43" t="s">
        <v>2868</v>
      </c>
    </row>
    <row r="62" spans="1:32" x14ac:dyDescent="0.25">
      <c r="A62" s="43" t="s">
        <v>3153</v>
      </c>
      <c r="B62" s="43" t="s">
        <v>1060</v>
      </c>
      <c r="C62" s="43" t="s">
        <v>3065</v>
      </c>
      <c r="D62" s="43" t="s">
        <v>3154</v>
      </c>
      <c r="E62" s="43" t="s">
        <v>3066</v>
      </c>
      <c r="F62" s="43" t="s">
        <v>3154</v>
      </c>
      <c r="G62" s="43" t="s">
        <v>3153</v>
      </c>
      <c r="H62" s="43" t="s">
        <v>893</v>
      </c>
      <c r="I62" s="43" t="s">
        <v>897</v>
      </c>
      <c r="J62" s="43" t="s">
        <v>897</v>
      </c>
      <c r="K62" s="43" t="s">
        <v>3067</v>
      </c>
      <c r="L62" s="43" t="s">
        <v>896</v>
      </c>
      <c r="M62" s="101">
        <v>6461.2</v>
      </c>
      <c r="N62" s="43">
        <v>590230.62</v>
      </c>
      <c r="O62" s="43" t="s">
        <v>3068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0</v>
      </c>
      <c r="Y62" s="43">
        <v>0</v>
      </c>
      <c r="Z62" s="43" t="s">
        <v>2870</v>
      </c>
      <c r="AA62" s="43" t="s">
        <v>2866</v>
      </c>
      <c r="AB62" s="43">
        <v>998852</v>
      </c>
      <c r="AC62" s="43" t="s">
        <v>2867</v>
      </c>
      <c r="AD62" s="43">
        <v>1</v>
      </c>
      <c r="AE62" s="43">
        <v>6461.2</v>
      </c>
      <c r="AF62" s="43" t="s">
        <v>2868</v>
      </c>
    </row>
    <row r="63" spans="1:32" x14ac:dyDescent="0.25">
      <c r="A63" s="43" t="s">
        <v>3153</v>
      </c>
      <c r="B63" s="43" t="s">
        <v>1060</v>
      </c>
      <c r="C63" s="43" t="s">
        <v>3065</v>
      </c>
      <c r="D63" s="43" t="s">
        <v>3154</v>
      </c>
      <c r="E63" s="43" t="s">
        <v>3066</v>
      </c>
      <c r="F63" s="43" t="s">
        <v>3154</v>
      </c>
      <c r="G63" s="43" t="s">
        <v>3153</v>
      </c>
      <c r="H63" s="43" t="s">
        <v>893</v>
      </c>
      <c r="I63" s="43" t="s">
        <v>897</v>
      </c>
      <c r="J63" s="43" t="s">
        <v>897</v>
      </c>
      <c r="K63" s="43" t="s">
        <v>3067</v>
      </c>
      <c r="L63" s="43" t="s">
        <v>896</v>
      </c>
      <c r="M63" s="101">
        <v>3783</v>
      </c>
      <c r="N63" s="43">
        <v>345577.05</v>
      </c>
      <c r="O63" s="43" t="s">
        <v>3068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43">
        <v>0</v>
      </c>
      <c r="Z63" s="43" t="s">
        <v>2870</v>
      </c>
      <c r="AA63" s="43" t="s">
        <v>2866</v>
      </c>
      <c r="AB63" s="43">
        <v>998852</v>
      </c>
      <c r="AC63" s="43" t="s">
        <v>2867</v>
      </c>
      <c r="AD63" s="43">
        <v>1</v>
      </c>
      <c r="AE63" s="43">
        <v>3783</v>
      </c>
      <c r="AF63" s="43" t="s">
        <v>2868</v>
      </c>
    </row>
    <row r="64" spans="1:32" x14ac:dyDescent="0.25">
      <c r="A64" s="43" t="s">
        <v>3153</v>
      </c>
      <c r="B64" s="43" t="s">
        <v>1060</v>
      </c>
      <c r="C64" s="43" t="s">
        <v>3065</v>
      </c>
      <c r="D64" s="43" t="s">
        <v>3154</v>
      </c>
      <c r="E64" s="43" t="s">
        <v>3066</v>
      </c>
      <c r="F64" s="43" t="s">
        <v>3154</v>
      </c>
      <c r="G64" s="43" t="s">
        <v>3153</v>
      </c>
      <c r="H64" s="43" t="s">
        <v>893</v>
      </c>
      <c r="I64" s="43" t="s">
        <v>897</v>
      </c>
      <c r="J64" s="43" t="s">
        <v>897</v>
      </c>
      <c r="K64" s="43" t="s">
        <v>3067</v>
      </c>
      <c r="L64" s="43" t="s">
        <v>896</v>
      </c>
      <c r="M64" s="43">
        <v>661.3</v>
      </c>
      <c r="N64" s="101">
        <v>60409.760000000002</v>
      </c>
      <c r="O64" s="43" t="s">
        <v>3068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</v>
      </c>
      <c r="Y64" s="43">
        <v>0</v>
      </c>
      <c r="Z64" s="43" t="s">
        <v>2870</v>
      </c>
      <c r="AA64" s="43" t="s">
        <v>2866</v>
      </c>
      <c r="AB64" s="43">
        <v>998852</v>
      </c>
      <c r="AC64" s="43" t="s">
        <v>2867</v>
      </c>
      <c r="AD64" s="43">
        <v>1</v>
      </c>
      <c r="AE64" s="43">
        <v>661.3</v>
      </c>
      <c r="AF64" s="43" t="s">
        <v>2868</v>
      </c>
    </row>
    <row r="65" spans="1:32" x14ac:dyDescent="0.25">
      <c r="A65" s="43" t="s">
        <v>3153</v>
      </c>
      <c r="B65" s="43" t="s">
        <v>1060</v>
      </c>
      <c r="C65" s="43" t="s">
        <v>3065</v>
      </c>
      <c r="D65" s="43" t="s">
        <v>3154</v>
      </c>
      <c r="E65" s="43" t="s">
        <v>3066</v>
      </c>
      <c r="F65" s="43" t="s">
        <v>3154</v>
      </c>
      <c r="G65" s="43" t="s">
        <v>3153</v>
      </c>
      <c r="H65" s="43" t="s">
        <v>893</v>
      </c>
      <c r="I65" s="43" t="s">
        <v>897</v>
      </c>
      <c r="J65" s="43" t="s">
        <v>897</v>
      </c>
      <c r="K65" s="43" t="s">
        <v>3067</v>
      </c>
      <c r="L65" s="43" t="s">
        <v>896</v>
      </c>
      <c r="M65" s="101">
        <v>9836.5</v>
      </c>
      <c r="N65" s="43">
        <v>898564.28</v>
      </c>
      <c r="O65" s="43" t="s">
        <v>3068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 t="s">
        <v>2870</v>
      </c>
      <c r="AA65" s="43" t="s">
        <v>2866</v>
      </c>
      <c r="AB65" s="43">
        <v>998852</v>
      </c>
      <c r="AC65" s="43" t="s">
        <v>2867</v>
      </c>
      <c r="AD65" s="43">
        <v>1</v>
      </c>
      <c r="AE65" s="43">
        <v>9836.5</v>
      </c>
      <c r="AF65" s="43" t="s">
        <v>2868</v>
      </c>
    </row>
    <row r="66" spans="1:32" x14ac:dyDescent="0.25">
      <c r="A66" s="43" t="s">
        <v>3153</v>
      </c>
      <c r="B66" s="43" t="s">
        <v>1060</v>
      </c>
      <c r="C66" s="43" t="s">
        <v>3065</v>
      </c>
      <c r="D66" s="43" t="s">
        <v>3154</v>
      </c>
      <c r="E66" s="43" t="s">
        <v>3066</v>
      </c>
      <c r="F66" s="43" t="s">
        <v>3154</v>
      </c>
      <c r="G66" s="43" t="s">
        <v>3153</v>
      </c>
      <c r="H66" s="43" t="s">
        <v>893</v>
      </c>
      <c r="I66" s="43" t="s">
        <v>897</v>
      </c>
      <c r="J66" s="43" t="s">
        <v>897</v>
      </c>
      <c r="K66" s="43" t="s">
        <v>3067</v>
      </c>
      <c r="L66" s="43" t="s">
        <v>896</v>
      </c>
      <c r="M66" s="43">
        <v>221</v>
      </c>
      <c r="N66" s="101">
        <v>20188.349999999999</v>
      </c>
      <c r="O66" s="43" t="s">
        <v>3068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 t="s">
        <v>2870</v>
      </c>
      <c r="AA66" s="43" t="s">
        <v>2866</v>
      </c>
      <c r="AB66" s="43">
        <v>998852</v>
      </c>
      <c r="AC66" s="43" t="s">
        <v>2867</v>
      </c>
      <c r="AD66" s="43">
        <v>1</v>
      </c>
      <c r="AE66" s="43">
        <v>221</v>
      </c>
      <c r="AF66" s="43" t="s">
        <v>2868</v>
      </c>
    </row>
    <row r="67" spans="1:32" x14ac:dyDescent="0.25">
      <c r="A67" s="43" t="s">
        <v>3153</v>
      </c>
      <c r="B67" s="43" t="s">
        <v>1060</v>
      </c>
      <c r="C67" s="43" t="s">
        <v>3065</v>
      </c>
      <c r="D67" s="43" t="s">
        <v>3154</v>
      </c>
      <c r="E67" s="43" t="s">
        <v>3066</v>
      </c>
      <c r="F67" s="43" t="s">
        <v>3154</v>
      </c>
      <c r="G67" s="43" t="s">
        <v>3153</v>
      </c>
      <c r="H67" s="43" t="s">
        <v>893</v>
      </c>
      <c r="I67" s="43" t="s">
        <v>897</v>
      </c>
      <c r="J67" s="43" t="s">
        <v>897</v>
      </c>
      <c r="K67" s="43" t="s">
        <v>3067</v>
      </c>
      <c r="L67" s="43" t="s">
        <v>896</v>
      </c>
      <c r="M67" s="101">
        <v>6384</v>
      </c>
      <c r="N67" s="43">
        <v>583178.4</v>
      </c>
      <c r="O67" s="43" t="s">
        <v>3068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0</v>
      </c>
      <c r="Z67" s="43" t="s">
        <v>2870</v>
      </c>
      <c r="AA67" s="43" t="s">
        <v>2866</v>
      </c>
      <c r="AB67" s="43">
        <v>998852</v>
      </c>
      <c r="AC67" s="43" t="s">
        <v>2867</v>
      </c>
      <c r="AD67" s="43">
        <v>1</v>
      </c>
      <c r="AE67" s="43">
        <v>6384</v>
      </c>
      <c r="AF67" s="43" t="s">
        <v>2868</v>
      </c>
    </row>
    <row r="68" spans="1:32" x14ac:dyDescent="0.25">
      <c r="A68" s="43" t="s">
        <v>3153</v>
      </c>
      <c r="B68" s="43" t="s">
        <v>1060</v>
      </c>
      <c r="C68" s="43" t="s">
        <v>3065</v>
      </c>
      <c r="D68" s="43" t="s">
        <v>3154</v>
      </c>
      <c r="E68" s="43" t="s">
        <v>3066</v>
      </c>
      <c r="F68" s="43" t="s">
        <v>3154</v>
      </c>
      <c r="G68" s="43" t="s">
        <v>3153</v>
      </c>
      <c r="H68" s="43" t="s">
        <v>893</v>
      </c>
      <c r="I68" s="43" t="s">
        <v>897</v>
      </c>
      <c r="J68" s="43" t="s">
        <v>897</v>
      </c>
      <c r="K68" s="43" t="s">
        <v>3067</v>
      </c>
      <c r="L68" s="43" t="s">
        <v>896</v>
      </c>
      <c r="M68" s="101">
        <v>1552</v>
      </c>
      <c r="N68" s="43">
        <v>141775.20000000001</v>
      </c>
      <c r="O68" s="43" t="s">
        <v>3068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 t="s">
        <v>2870</v>
      </c>
      <c r="AA68" s="43" t="s">
        <v>2866</v>
      </c>
      <c r="AB68" s="43">
        <v>998852</v>
      </c>
      <c r="AC68" s="43" t="s">
        <v>2867</v>
      </c>
      <c r="AD68" s="43">
        <v>1</v>
      </c>
      <c r="AE68" s="43">
        <v>1552</v>
      </c>
      <c r="AF68" s="43" t="s">
        <v>2868</v>
      </c>
    </row>
    <row r="69" spans="1:32" x14ac:dyDescent="0.25">
      <c r="A69" s="43" t="s">
        <v>3153</v>
      </c>
      <c r="B69" s="43" t="s">
        <v>1060</v>
      </c>
      <c r="C69" s="43" t="s">
        <v>3065</v>
      </c>
      <c r="D69" s="43" t="s">
        <v>3154</v>
      </c>
      <c r="E69" s="43" t="s">
        <v>3066</v>
      </c>
      <c r="F69" s="43" t="s">
        <v>3154</v>
      </c>
      <c r="G69" s="43" t="s">
        <v>3153</v>
      </c>
      <c r="H69" s="43" t="s">
        <v>893</v>
      </c>
      <c r="I69" s="43" t="s">
        <v>897</v>
      </c>
      <c r="J69" s="43" t="s">
        <v>897</v>
      </c>
      <c r="K69" s="43" t="s">
        <v>3067</v>
      </c>
      <c r="L69" s="43" t="s">
        <v>896</v>
      </c>
      <c r="M69" s="43">
        <v>194.7</v>
      </c>
      <c r="N69" s="101">
        <v>17785.849999999999</v>
      </c>
      <c r="O69" s="43" t="s">
        <v>3068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 t="s">
        <v>2870</v>
      </c>
      <c r="AA69" s="43" t="s">
        <v>2866</v>
      </c>
      <c r="AB69" s="43">
        <v>998852</v>
      </c>
      <c r="AC69" s="43" t="s">
        <v>2867</v>
      </c>
      <c r="AD69" s="43">
        <v>1</v>
      </c>
      <c r="AE69" s="43">
        <v>194.7</v>
      </c>
      <c r="AF69" s="43" t="s">
        <v>2868</v>
      </c>
    </row>
    <row r="70" spans="1:32" x14ac:dyDescent="0.25">
      <c r="A70" s="43" t="s">
        <v>3153</v>
      </c>
      <c r="B70" s="43" t="s">
        <v>1060</v>
      </c>
      <c r="C70" s="43" t="s">
        <v>3065</v>
      </c>
      <c r="D70" s="43" t="s">
        <v>3154</v>
      </c>
      <c r="E70" s="43" t="s">
        <v>3066</v>
      </c>
      <c r="F70" s="43" t="s">
        <v>3154</v>
      </c>
      <c r="G70" s="43" t="s">
        <v>3153</v>
      </c>
      <c r="H70" s="43" t="s">
        <v>893</v>
      </c>
      <c r="I70" s="43" t="s">
        <v>897</v>
      </c>
      <c r="J70" s="43" t="s">
        <v>897</v>
      </c>
      <c r="K70" s="43" t="s">
        <v>3067</v>
      </c>
      <c r="L70" s="43" t="s">
        <v>896</v>
      </c>
      <c r="M70" s="43">
        <v>177</v>
      </c>
      <c r="N70" s="101">
        <v>16168.95</v>
      </c>
      <c r="O70" s="43" t="s">
        <v>3068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43">
        <v>0</v>
      </c>
      <c r="Y70" s="43">
        <v>0</v>
      </c>
      <c r="Z70" s="43" t="s">
        <v>2870</v>
      </c>
      <c r="AA70" s="43" t="s">
        <v>2866</v>
      </c>
      <c r="AB70" s="43">
        <v>998852</v>
      </c>
      <c r="AC70" s="43" t="s">
        <v>2867</v>
      </c>
      <c r="AD70" s="43">
        <v>1</v>
      </c>
      <c r="AE70" s="43">
        <v>177</v>
      </c>
      <c r="AF70" s="43" t="s">
        <v>2868</v>
      </c>
    </row>
    <row r="71" spans="1:32" x14ac:dyDescent="0.25">
      <c r="A71" s="43" t="s">
        <v>3153</v>
      </c>
      <c r="B71" s="43" t="s">
        <v>1060</v>
      </c>
      <c r="C71" s="43" t="s">
        <v>3065</v>
      </c>
      <c r="D71" s="43" t="s">
        <v>3154</v>
      </c>
      <c r="E71" s="43" t="s">
        <v>3066</v>
      </c>
      <c r="F71" s="43" t="s">
        <v>3154</v>
      </c>
      <c r="G71" s="43" t="s">
        <v>3153</v>
      </c>
      <c r="H71" s="43" t="s">
        <v>893</v>
      </c>
      <c r="I71" s="43" t="s">
        <v>897</v>
      </c>
      <c r="J71" s="43" t="s">
        <v>897</v>
      </c>
      <c r="K71" s="43" t="s">
        <v>3067</v>
      </c>
      <c r="L71" s="43" t="s">
        <v>896</v>
      </c>
      <c r="M71" s="101">
        <v>1248.4000000000001</v>
      </c>
      <c r="N71" s="43">
        <v>114041.34</v>
      </c>
      <c r="O71" s="43" t="s">
        <v>3068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0</v>
      </c>
      <c r="Y71" s="43">
        <v>0</v>
      </c>
      <c r="Z71" s="43" t="s">
        <v>2870</v>
      </c>
      <c r="AA71" s="43" t="s">
        <v>2866</v>
      </c>
      <c r="AB71" s="43">
        <v>998852</v>
      </c>
      <c r="AC71" s="43" t="s">
        <v>2867</v>
      </c>
      <c r="AD71" s="43">
        <v>1</v>
      </c>
      <c r="AE71" s="43">
        <v>1248.4000000000001</v>
      </c>
      <c r="AF71" s="43" t="s">
        <v>2868</v>
      </c>
    </row>
    <row r="72" spans="1:32" x14ac:dyDescent="0.25">
      <c r="A72" s="43" t="s">
        <v>3173</v>
      </c>
      <c r="B72" s="43" t="s">
        <v>1060</v>
      </c>
      <c r="C72" s="43" t="s">
        <v>3065</v>
      </c>
      <c r="D72" s="43" t="s">
        <v>3181</v>
      </c>
      <c r="E72" s="43" t="s">
        <v>3066</v>
      </c>
      <c r="F72" s="43" t="s">
        <v>3181</v>
      </c>
      <c r="G72" s="43" t="s">
        <v>3173</v>
      </c>
      <c r="H72" s="43" t="s">
        <v>893</v>
      </c>
      <c r="I72" s="43" t="s">
        <v>897</v>
      </c>
      <c r="J72" s="43" t="s">
        <v>897</v>
      </c>
      <c r="K72" s="43" t="s">
        <v>3067</v>
      </c>
      <c r="L72" s="43" t="s">
        <v>896</v>
      </c>
      <c r="M72" s="101">
        <v>2733</v>
      </c>
      <c r="N72" s="43">
        <v>289260.71999999997</v>
      </c>
      <c r="O72" s="43" t="s">
        <v>3068</v>
      </c>
      <c r="P72" s="43">
        <v>4241272.76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43" t="s">
        <v>2870</v>
      </c>
      <c r="AA72" s="43" t="s">
        <v>2866</v>
      </c>
      <c r="AB72" s="43">
        <v>998852</v>
      </c>
      <c r="AC72" s="43" t="s">
        <v>2867</v>
      </c>
      <c r="AD72" s="43">
        <v>1</v>
      </c>
      <c r="AE72" s="43">
        <v>2733</v>
      </c>
      <c r="AF72" s="43" t="s">
        <v>2868</v>
      </c>
    </row>
    <row r="73" spans="1:32" x14ac:dyDescent="0.25">
      <c r="A73" s="43" t="s">
        <v>3173</v>
      </c>
      <c r="B73" s="43" t="s">
        <v>1060</v>
      </c>
      <c r="C73" s="43" t="s">
        <v>3065</v>
      </c>
      <c r="D73" s="43" t="s">
        <v>3181</v>
      </c>
      <c r="E73" s="43" t="s">
        <v>3066</v>
      </c>
      <c r="F73" s="43" t="s">
        <v>3181</v>
      </c>
      <c r="G73" s="43" t="s">
        <v>3173</v>
      </c>
      <c r="H73" s="43" t="s">
        <v>893</v>
      </c>
      <c r="I73" s="43" t="s">
        <v>897</v>
      </c>
      <c r="J73" s="43" t="s">
        <v>897</v>
      </c>
      <c r="K73" s="43" t="s">
        <v>3067</v>
      </c>
      <c r="L73" s="43" t="s">
        <v>896</v>
      </c>
      <c r="M73" s="101">
        <v>2880.3</v>
      </c>
      <c r="N73" s="43">
        <v>304850.95</v>
      </c>
      <c r="O73" s="43" t="s">
        <v>3068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 t="s">
        <v>2870</v>
      </c>
      <c r="AA73" s="43" t="s">
        <v>2866</v>
      </c>
      <c r="AB73" s="43">
        <v>998852</v>
      </c>
      <c r="AC73" s="43" t="s">
        <v>2867</v>
      </c>
      <c r="AD73" s="43">
        <v>1</v>
      </c>
      <c r="AE73" s="43">
        <v>2880.3</v>
      </c>
      <c r="AF73" s="43" t="s">
        <v>2868</v>
      </c>
    </row>
    <row r="74" spans="1:32" x14ac:dyDescent="0.25">
      <c r="A74" s="43" t="s">
        <v>3173</v>
      </c>
      <c r="B74" s="43" t="s">
        <v>1060</v>
      </c>
      <c r="C74" s="43" t="s">
        <v>3065</v>
      </c>
      <c r="D74" s="43" t="s">
        <v>3181</v>
      </c>
      <c r="E74" s="43" t="s">
        <v>3066</v>
      </c>
      <c r="F74" s="43" t="s">
        <v>3181</v>
      </c>
      <c r="G74" s="43" t="s">
        <v>3173</v>
      </c>
      <c r="H74" s="43" t="s">
        <v>893</v>
      </c>
      <c r="I74" s="43" t="s">
        <v>897</v>
      </c>
      <c r="J74" s="43" t="s">
        <v>897</v>
      </c>
      <c r="K74" s="43" t="s">
        <v>3067</v>
      </c>
      <c r="L74" s="43" t="s">
        <v>896</v>
      </c>
      <c r="M74" s="101">
        <v>1350</v>
      </c>
      <c r="N74" s="43">
        <v>142884</v>
      </c>
      <c r="O74" s="43" t="s">
        <v>3068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 t="s">
        <v>2870</v>
      </c>
      <c r="AA74" s="43" t="s">
        <v>2866</v>
      </c>
      <c r="AB74" s="43">
        <v>998852</v>
      </c>
      <c r="AC74" s="43" t="s">
        <v>2867</v>
      </c>
      <c r="AD74" s="43">
        <v>1</v>
      </c>
      <c r="AE74" s="43">
        <v>1350</v>
      </c>
      <c r="AF74" s="43" t="s">
        <v>2868</v>
      </c>
    </row>
    <row r="75" spans="1:32" x14ac:dyDescent="0.25">
      <c r="A75" s="43" t="s">
        <v>3173</v>
      </c>
      <c r="B75" s="43" t="s">
        <v>1060</v>
      </c>
      <c r="C75" s="43" t="s">
        <v>3065</v>
      </c>
      <c r="D75" s="43" t="s">
        <v>3181</v>
      </c>
      <c r="E75" s="43" t="s">
        <v>3066</v>
      </c>
      <c r="F75" s="43" t="s">
        <v>3181</v>
      </c>
      <c r="G75" s="43" t="s">
        <v>3173</v>
      </c>
      <c r="H75" s="43" t="s">
        <v>893</v>
      </c>
      <c r="I75" s="43" t="s">
        <v>897</v>
      </c>
      <c r="J75" s="43" t="s">
        <v>897</v>
      </c>
      <c r="K75" s="43" t="s">
        <v>3067</v>
      </c>
      <c r="L75" s="43" t="s">
        <v>896</v>
      </c>
      <c r="M75" s="43">
        <v>825</v>
      </c>
      <c r="N75" s="101">
        <v>87318</v>
      </c>
      <c r="O75" s="43" t="s">
        <v>3068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 t="s">
        <v>2870</v>
      </c>
      <c r="AA75" s="43" t="s">
        <v>2866</v>
      </c>
      <c r="AB75" s="43">
        <v>998852</v>
      </c>
      <c r="AC75" s="43" t="s">
        <v>2867</v>
      </c>
      <c r="AD75" s="43">
        <v>1</v>
      </c>
      <c r="AE75" s="43">
        <v>825</v>
      </c>
      <c r="AF75" s="43" t="s">
        <v>2868</v>
      </c>
    </row>
    <row r="76" spans="1:32" x14ac:dyDescent="0.25">
      <c r="A76" s="43" t="s">
        <v>3173</v>
      </c>
      <c r="B76" s="43" t="s">
        <v>1060</v>
      </c>
      <c r="C76" s="43" t="s">
        <v>3065</v>
      </c>
      <c r="D76" s="43" t="s">
        <v>3181</v>
      </c>
      <c r="E76" s="43" t="s">
        <v>3066</v>
      </c>
      <c r="F76" s="43" t="s">
        <v>3181</v>
      </c>
      <c r="G76" s="43" t="s">
        <v>3173</v>
      </c>
      <c r="H76" s="43" t="s">
        <v>893</v>
      </c>
      <c r="I76" s="43" t="s">
        <v>897</v>
      </c>
      <c r="J76" s="43" t="s">
        <v>897</v>
      </c>
      <c r="K76" s="43" t="s">
        <v>3067</v>
      </c>
      <c r="L76" s="43" t="s">
        <v>896</v>
      </c>
      <c r="M76" s="101">
        <v>4129.1000000000004</v>
      </c>
      <c r="N76" s="43">
        <v>437023.94</v>
      </c>
      <c r="O76" s="43" t="s">
        <v>3068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 t="s">
        <v>2870</v>
      </c>
      <c r="AA76" s="43" t="s">
        <v>2866</v>
      </c>
      <c r="AB76" s="43">
        <v>998852</v>
      </c>
      <c r="AC76" s="43" t="s">
        <v>2867</v>
      </c>
      <c r="AD76" s="43">
        <v>1</v>
      </c>
      <c r="AE76" s="43">
        <v>4129.1000000000004</v>
      </c>
      <c r="AF76" s="43" t="s">
        <v>2868</v>
      </c>
    </row>
    <row r="77" spans="1:32" x14ac:dyDescent="0.25">
      <c r="A77" s="43" t="s">
        <v>3173</v>
      </c>
      <c r="B77" s="43" t="s">
        <v>1060</v>
      </c>
      <c r="C77" s="43" t="s">
        <v>3065</v>
      </c>
      <c r="D77" s="43" t="s">
        <v>3181</v>
      </c>
      <c r="E77" s="43" t="s">
        <v>3066</v>
      </c>
      <c r="F77" s="43" t="s">
        <v>3181</v>
      </c>
      <c r="G77" s="43" t="s">
        <v>3173</v>
      </c>
      <c r="H77" s="43" t="s">
        <v>893</v>
      </c>
      <c r="I77" s="43" t="s">
        <v>897</v>
      </c>
      <c r="J77" s="43" t="s">
        <v>897</v>
      </c>
      <c r="K77" s="43" t="s">
        <v>3067</v>
      </c>
      <c r="L77" s="43" t="s">
        <v>896</v>
      </c>
      <c r="M77" s="101">
        <v>1125</v>
      </c>
      <c r="N77" s="43">
        <v>119070</v>
      </c>
      <c r="O77" s="43" t="s">
        <v>3068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 t="s">
        <v>2870</v>
      </c>
      <c r="AA77" s="43" t="s">
        <v>2866</v>
      </c>
      <c r="AB77" s="43">
        <v>998852</v>
      </c>
      <c r="AC77" s="43" t="s">
        <v>2867</v>
      </c>
      <c r="AD77" s="43">
        <v>1</v>
      </c>
      <c r="AE77" s="43">
        <v>1125</v>
      </c>
      <c r="AF77" s="43" t="s">
        <v>2868</v>
      </c>
    </row>
    <row r="78" spans="1:32" x14ac:dyDescent="0.25">
      <c r="A78" s="43" t="s">
        <v>3173</v>
      </c>
      <c r="B78" s="43" t="s">
        <v>1060</v>
      </c>
      <c r="C78" s="43" t="s">
        <v>3065</v>
      </c>
      <c r="D78" s="43" t="s">
        <v>3181</v>
      </c>
      <c r="E78" s="43" t="s">
        <v>3066</v>
      </c>
      <c r="F78" s="43" t="s">
        <v>3181</v>
      </c>
      <c r="G78" s="43" t="s">
        <v>3173</v>
      </c>
      <c r="H78" s="43" t="s">
        <v>893</v>
      </c>
      <c r="I78" s="43" t="s">
        <v>897</v>
      </c>
      <c r="J78" s="43" t="s">
        <v>897</v>
      </c>
      <c r="K78" s="43" t="s">
        <v>3067</v>
      </c>
      <c r="L78" s="43" t="s">
        <v>896</v>
      </c>
      <c r="M78" s="101">
        <v>2260</v>
      </c>
      <c r="N78" s="43">
        <v>239198.4</v>
      </c>
      <c r="O78" s="43" t="s">
        <v>3068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 t="s">
        <v>2870</v>
      </c>
      <c r="AA78" s="43" t="s">
        <v>2866</v>
      </c>
      <c r="AB78" s="43">
        <v>998852</v>
      </c>
      <c r="AC78" s="43" t="s">
        <v>2867</v>
      </c>
      <c r="AD78" s="43">
        <v>1</v>
      </c>
      <c r="AE78" s="43">
        <v>2260</v>
      </c>
      <c r="AF78" s="43" t="s">
        <v>2868</v>
      </c>
    </row>
    <row r="79" spans="1:32" x14ac:dyDescent="0.25">
      <c r="A79" s="43" t="s">
        <v>3173</v>
      </c>
      <c r="B79" s="43" t="s">
        <v>1060</v>
      </c>
      <c r="C79" s="43" t="s">
        <v>3065</v>
      </c>
      <c r="D79" s="43" t="s">
        <v>3181</v>
      </c>
      <c r="E79" s="43" t="s">
        <v>3066</v>
      </c>
      <c r="F79" s="43" t="s">
        <v>3181</v>
      </c>
      <c r="G79" s="43" t="s">
        <v>3173</v>
      </c>
      <c r="H79" s="43" t="s">
        <v>893</v>
      </c>
      <c r="I79" s="43" t="s">
        <v>897</v>
      </c>
      <c r="J79" s="43" t="s">
        <v>897</v>
      </c>
      <c r="K79" s="43" t="s">
        <v>3067</v>
      </c>
      <c r="L79" s="43" t="s">
        <v>896</v>
      </c>
      <c r="M79" s="101">
        <v>6230.2</v>
      </c>
      <c r="N79" s="43">
        <v>659404.37</v>
      </c>
      <c r="O79" s="43" t="s">
        <v>3068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3" t="s">
        <v>2870</v>
      </c>
      <c r="AA79" s="43" t="s">
        <v>2866</v>
      </c>
      <c r="AB79" s="43">
        <v>998852</v>
      </c>
      <c r="AC79" s="43" t="s">
        <v>2867</v>
      </c>
      <c r="AD79" s="43">
        <v>1</v>
      </c>
      <c r="AE79" s="43">
        <v>6230.2</v>
      </c>
      <c r="AF79" s="43" t="s">
        <v>2868</v>
      </c>
    </row>
    <row r="80" spans="1:32" x14ac:dyDescent="0.25">
      <c r="A80" s="43" t="s">
        <v>3173</v>
      </c>
      <c r="B80" s="43" t="s">
        <v>1060</v>
      </c>
      <c r="C80" s="43" t="s">
        <v>3065</v>
      </c>
      <c r="D80" s="43" t="s">
        <v>3181</v>
      </c>
      <c r="E80" s="43" t="s">
        <v>3066</v>
      </c>
      <c r="F80" s="43" t="s">
        <v>3181</v>
      </c>
      <c r="G80" s="43" t="s">
        <v>3173</v>
      </c>
      <c r="H80" s="43" t="s">
        <v>893</v>
      </c>
      <c r="I80" s="43" t="s">
        <v>897</v>
      </c>
      <c r="J80" s="43" t="s">
        <v>897</v>
      </c>
      <c r="K80" s="43" t="s">
        <v>3067</v>
      </c>
      <c r="L80" s="43" t="s">
        <v>896</v>
      </c>
      <c r="M80" s="101">
        <v>3032</v>
      </c>
      <c r="N80" s="43">
        <v>320906.88</v>
      </c>
      <c r="O80" s="43" t="s">
        <v>3068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 t="s">
        <v>2870</v>
      </c>
      <c r="AA80" s="43" t="s">
        <v>2866</v>
      </c>
      <c r="AB80" s="43">
        <v>998852</v>
      </c>
      <c r="AC80" s="43" t="s">
        <v>2867</v>
      </c>
      <c r="AD80" s="43">
        <v>1</v>
      </c>
      <c r="AE80" s="43">
        <v>3032</v>
      </c>
      <c r="AF80" s="43" t="s">
        <v>2868</v>
      </c>
    </row>
    <row r="81" spans="1:32" x14ac:dyDescent="0.25">
      <c r="A81" s="43" t="s">
        <v>3173</v>
      </c>
      <c r="B81" s="43" t="s">
        <v>1060</v>
      </c>
      <c r="C81" s="43" t="s">
        <v>3065</v>
      </c>
      <c r="D81" s="43" t="s">
        <v>3181</v>
      </c>
      <c r="E81" s="43" t="s">
        <v>3066</v>
      </c>
      <c r="F81" s="43" t="s">
        <v>3181</v>
      </c>
      <c r="G81" s="43" t="s">
        <v>3173</v>
      </c>
      <c r="H81" s="43" t="s">
        <v>893</v>
      </c>
      <c r="I81" s="43" t="s">
        <v>897</v>
      </c>
      <c r="J81" s="43" t="s">
        <v>897</v>
      </c>
      <c r="K81" s="43" t="s">
        <v>3067</v>
      </c>
      <c r="L81" s="43" t="s">
        <v>896</v>
      </c>
      <c r="M81" s="101">
        <v>2569</v>
      </c>
      <c r="N81" s="43">
        <v>271902.96000000002</v>
      </c>
      <c r="O81" s="43" t="s">
        <v>3068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 t="s">
        <v>2870</v>
      </c>
      <c r="AA81" s="43" t="s">
        <v>2866</v>
      </c>
      <c r="AB81" s="43">
        <v>998852</v>
      </c>
      <c r="AC81" s="43" t="s">
        <v>2867</v>
      </c>
      <c r="AD81" s="43">
        <v>1</v>
      </c>
      <c r="AE81" s="43">
        <v>2569</v>
      </c>
      <c r="AF81" s="43" t="s">
        <v>2868</v>
      </c>
    </row>
    <row r="82" spans="1:32" x14ac:dyDescent="0.25">
      <c r="A82" s="43" t="s">
        <v>3173</v>
      </c>
      <c r="B82" s="43" t="s">
        <v>1060</v>
      </c>
      <c r="C82" s="43" t="s">
        <v>3065</v>
      </c>
      <c r="D82" s="43" t="s">
        <v>3181</v>
      </c>
      <c r="E82" s="43" t="s">
        <v>3066</v>
      </c>
      <c r="F82" s="43" t="s">
        <v>3181</v>
      </c>
      <c r="G82" s="43" t="s">
        <v>3173</v>
      </c>
      <c r="H82" s="43" t="s">
        <v>893</v>
      </c>
      <c r="I82" s="43" t="s">
        <v>897</v>
      </c>
      <c r="J82" s="43" t="s">
        <v>897</v>
      </c>
      <c r="K82" s="43" t="s">
        <v>3067</v>
      </c>
      <c r="L82" s="43" t="s">
        <v>896</v>
      </c>
      <c r="M82" s="101">
        <v>5483</v>
      </c>
      <c r="N82" s="43">
        <v>580320.72</v>
      </c>
      <c r="O82" s="43" t="s">
        <v>3068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 t="s">
        <v>2870</v>
      </c>
      <c r="AA82" s="43" t="s">
        <v>2866</v>
      </c>
      <c r="AB82" s="43">
        <v>998852</v>
      </c>
      <c r="AC82" s="43" t="s">
        <v>2867</v>
      </c>
      <c r="AD82" s="43">
        <v>1</v>
      </c>
      <c r="AE82" s="43">
        <v>5483</v>
      </c>
      <c r="AF82" s="43" t="s">
        <v>2868</v>
      </c>
    </row>
    <row r="83" spans="1:32" x14ac:dyDescent="0.25">
      <c r="A83" s="43" t="s">
        <v>3173</v>
      </c>
      <c r="B83" s="43" t="s">
        <v>1060</v>
      </c>
      <c r="C83" s="43" t="s">
        <v>3065</v>
      </c>
      <c r="D83" s="43" t="s">
        <v>3181</v>
      </c>
      <c r="E83" s="43" t="s">
        <v>3066</v>
      </c>
      <c r="F83" s="43" t="s">
        <v>3181</v>
      </c>
      <c r="G83" s="43" t="s">
        <v>3173</v>
      </c>
      <c r="H83" s="43" t="s">
        <v>893</v>
      </c>
      <c r="I83" s="43" t="s">
        <v>897</v>
      </c>
      <c r="J83" s="43" t="s">
        <v>897</v>
      </c>
      <c r="K83" s="43" t="s">
        <v>3067</v>
      </c>
      <c r="L83" s="43" t="s">
        <v>896</v>
      </c>
      <c r="M83" s="101">
        <v>6440.7</v>
      </c>
      <c r="N83" s="43">
        <v>681683.69</v>
      </c>
      <c r="O83" s="43" t="s">
        <v>3068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0</v>
      </c>
      <c r="W83" s="43">
        <v>0</v>
      </c>
      <c r="X83" s="43">
        <v>0</v>
      </c>
      <c r="Y83" s="43">
        <v>0</v>
      </c>
      <c r="Z83" s="43" t="s">
        <v>2870</v>
      </c>
      <c r="AA83" s="43" t="s">
        <v>2866</v>
      </c>
      <c r="AB83" s="43">
        <v>998852</v>
      </c>
      <c r="AC83" s="43" t="s">
        <v>2867</v>
      </c>
      <c r="AD83" s="43">
        <v>1</v>
      </c>
      <c r="AE83" s="43">
        <v>6440.7</v>
      </c>
      <c r="AF83" s="43" t="s">
        <v>2868</v>
      </c>
    </row>
    <row r="84" spans="1:32" x14ac:dyDescent="0.25">
      <c r="A84" s="43" t="s">
        <v>3173</v>
      </c>
      <c r="B84" s="43" t="s">
        <v>1060</v>
      </c>
      <c r="C84" s="43" t="s">
        <v>3065</v>
      </c>
      <c r="D84" s="43" t="s">
        <v>3181</v>
      </c>
      <c r="E84" s="43" t="s">
        <v>3066</v>
      </c>
      <c r="F84" s="43" t="s">
        <v>3181</v>
      </c>
      <c r="G84" s="43" t="s">
        <v>3173</v>
      </c>
      <c r="H84" s="43" t="s">
        <v>893</v>
      </c>
      <c r="I84" s="43" t="s">
        <v>897</v>
      </c>
      <c r="J84" s="43" t="s">
        <v>897</v>
      </c>
      <c r="K84" s="43" t="s">
        <v>3067</v>
      </c>
      <c r="L84" s="43" t="s">
        <v>896</v>
      </c>
      <c r="M84" s="101">
        <v>1278</v>
      </c>
      <c r="N84" s="43">
        <v>135263.51999999999</v>
      </c>
      <c r="O84" s="43" t="s">
        <v>3068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 t="s">
        <v>2870</v>
      </c>
      <c r="AA84" s="43" t="s">
        <v>2866</v>
      </c>
      <c r="AB84" s="43">
        <v>998852</v>
      </c>
      <c r="AC84" s="43" t="s">
        <v>2867</v>
      </c>
      <c r="AD84" s="43">
        <v>1</v>
      </c>
      <c r="AE84" s="43">
        <v>1278</v>
      </c>
      <c r="AF84" s="43" t="s">
        <v>2868</v>
      </c>
    </row>
    <row r="85" spans="1:32" x14ac:dyDescent="0.25">
      <c r="A85" s="43" t="s">
        <v>3173</v>
      </c>
      <c r="B85" s="43" t="s">
        <v>1060</v>
      </c>
      <c r="C85" s="43" t="s">
        <v>3065</v>
      </c>
      <c r="D85" s="43" t="s">
        <v>3181</v>
      </c>
      <c r="E85" s="43" t="s">
        <v>3066</v>
      </c>
      <c r="F85" s="43" t="s">
        <v>3181</v>
      </c>
      <c r="G85" s="43" t="s">
        <v>3173</v>
      </c>
      <c r="H85" s="43" t="s">
        <v>893</v>
      </c>
      <c r="I85" s="43" t="s">
        <v>897</v>
      </c>
      <c r="J85" s="43" t="s">
        <v>897</v>
      </c>
      <c r="K85" s="43" t="s">
        <v>3067</v>
      </c>
      <c r="L85" s="43" t="s">
        <v>896</v>
      </c>
      <c r="M85" s="43">
        <v>555</v>
      </c>
      <c r="N85" s="101">
        <v>58741.2</v>
      </c>
      <c r="O85" s="43" t="s">
        <v>3068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 t="s">
        <v>2870</v>
      </c>
      <c r="AA85" s="43" t="s">
        <v>2866</v>
      </c>
      <c r="AB85" s="43">
        <v>998852</v>
      </c>
      <c r="AC85" s="43" t="s">
        <v>2867</v>
      </c>
      <c r="AD85" s="43">
        <v>1</v>
      </c>
      <c r="AE85" s="43">
        <v>555</v>
      </c>
      <c r="AF85" s="43" t="s">
        <v>2868</v>
      </c>
    </row>
    <row r="86" spans="1:32" x14ac:dyDescent="0.25">
      <c r="A86" s="43" t="s">
        <v>3234</v>
      </c>
      <c r="B86" s="43" t="s">
        <v>1060</v>
      </c>
      <c r="C86" s="43" t="s">
        <v>3065</v>
      </c>
      <c r="D86" s="43" t="s">
        <v>3258</v>
      </c>
      <c r="E86" s="43" t="s">
        <v>3066</v>
      </c>
      <c r="F86" s="43" t="s">
        <v>3258</v>
      </c>
      <c r="G86" s="43" t="s">
        <v>3234</v>
      </c>
      <c r="H86" s="43" t="s">
        <v>893</v>
      </c>
      <c r="I86" s="43" t="s">
        <v>897</v>
      </c>
      <c r="J86" s="43" t="s">
        <v>897</v>
      </c>
      <c r="K86" s="43" t="s">
        <v>3067</v>
      </c>
      <c r="L86" s="43" t="s">
        <v>896</v>
      </c>
      <c r="M86" s="101">
        <v>3180.6</v>
      </c>
      <c r="N86" s="43">
        <v>352378.67</v>
      </c>
      <c r="O86" s="43" t="s">
        <v>3068</v>
      </c>
      <c r="P86" s="43">
        <v>5964277.2199999997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 t="s">
        <v>2870</v>
      </c>
      <c r="AA86" s="43" t="s">
        <v>2866</v>
      </c>
      <c r="AB86" s="43">
        <v>998852</v>
      </c>
      <c r="AC86" s="43" t="s">
        <v>2867</v>
      </c>
      <c r="AD86" s="43">
        <v>1</v>
      </c>
      <c r="AE86" s="43">
        <v>3180.6</v>
      </c>
      <c r="AF86" s="43" t="s">
        <v>2868</v>
      </c>
    </row>
    <row r="87" spans="1:32" x14ac:dyDescent="0.25">
      <c r="A87" s="43" t="s">
        <v>3234</v>
      </c>
      <c r="B87" s="43" t="s">
        <v>1060</v>
      </c>
      <c r="C87" s="43" t="s">
        <v>3065</v>
      </c>
      <c r="D87" s="43" t="s">
        <v>3258</v>
      </c>
      <c r="E87" s="43" t="s">
        <v>3066</v>
      </c>
      <c r="F87" s="43" t="s">
        <v>3258</v>
      </c>
      <c r="G87" s="43" t="s">
        <v>3234</v>
      </c>
      <c r="H87" s="43" t="s">
        <v>893</v>
      </c>
      <c r="I87" s="43" t="s">
        <v>897</v>
      </c>
      <c r="J87" s="43" t="s">
        <v>897</v>
      </c>
      <c r="K87" s="43" t="s">
        <v>3067</v>
      </c>
      <c r="L87" s="43" t="s">
        <v>896</v>
      </c>
      <c r="M87" s="101">
        <v>2257.8000000000002</v>
      </c>
      <c r="N87" s="43">
        <v>250141.66</v>
      </c>
      <c r="O87" s="43" t="s">
        <v>3068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43">
        <v>0</v>
      </c>
      <c r="Z87" s="43" t="s">
        <v>2870</v>
      </c>
      <c r="AA87" s="43" t="s">
        <v>2866</v>
      </c>
      <c r="AB87" s="43">
        <v>998852</v>
      </c>
      <c r="AC87" s="43" t="s">
        <v>2867</v>
      </c>
      <c r="AD87" s="43">
        <v>1</v>
      </c>
      <c r="AE87" s="43">
        <v>2257.8000000000002</v>
      </c>
      <c r="AF87" s="43" t="s">
        <v>2868</v>
      </c>
    </row>
    <row r="88" spans="1:32" x14ac:dyDescent="0.25">
      <c r="A88" s="43" t="s">
        <v>3234</v>
      </c>
      <c r="B88" s="43" t="s">
        <v>1060</v>
      </c>
      <c r="C88" s="43" t="s">
        <v>3065</v>
      </c>
      <c r="D88" s="43" t="s">
        <v>3258</v>
      </c>
      <c r="E88" s="43" t="s">
        <v>3066</v>
      </c>
      <c r="F88" s="43" t="s">
        <v>3258</v>
      </c>
      <c r="G88" s="43" t="s">
        <v>3234</v>
      </c>
      <c r="H88" s="43" t="s">
        <v>893</v>
      </c>
      <c r="I88" s="43" t="s">
        <v>897</v>
      </c>
      <c r="J88" s="43" t="s">
        <v>897</v>
      </c>
      <c r="K88" s="43" t="s">
        <v>3067</v>
      </c>
      <c r="L88" s="43" t="s">
        <v>896</v>
      </c>
      <c r="M88" s="43">
        <v>434</v>
      </c>
      <c r="N88" s="101">
        <v>48082.86</v>
      </c>
      <c r="O88" s="43" t="s">
        <v>3068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 t="s">
        <v>2870</v>
      </c>
      <c r="AA88" s="43" t="s">
        <v>2866</v>
      </c>
      <c r="AB88" s="43">
        <v>998852</v>
      </c>
      <c r="AC88" s="43" t="s">
        <v>2867</v>
      </c>
      <c r="AD88" s="43">
        <v>1</v>
      </c>
      <c r="AE88" s="43">
        <v>434</v>
      </c>
      <c r="AF88" s="43" t="s">
        <v>2868</v>
      </c>
    </row>
    <row r="89" spans="1:32" x14ac:dyDescent="0.25">
      <c r="A89" s="43" t="s">
        <v>3234</v>
      </c>
      <c r="B89" s="43" t="s">
        <v>1060</v>
      </c>
      <c r="C89" s="43" t="s">
        <v>3065</v>
      </c>
      <c r="D89" s="43" t="s">
        <v>3258</v>
      </c>
      <c r="E89" s="43" t="s">
        <v>3066</v>
      </c>
      <c r="F89" s="43" t="s">
        <v>3258</v>
      </c>
      <c r="G89" s="43" t="s">
        <v>3234</v>
      </c>
      <c r="H89" s="43" t="s">
        <v>893</v>
      </c>
      <c r="I89" s="43" t="s">
        <v>897</v>
      </c>
      <c r="J89" s="43" t="s">
        <v>897</v>
      </c>
      <c r="K89" s="43" t="s">
        <v>3067</v>
      </c>
      <c r="L89" s="43" t="s">
        <v>896</v>
      </c>
      <c r="M89" s="43">
        <v>434.7</v>
      </c>
      <c r="N89" s="101">
        <v>48160.41</v>
      </c>
      <c r="O89" s="43" t="s">
        <v>3068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0</v>
      </c>
      <c r="Z89" s="43" t="s">
        <v>2870</v>
      </c>
      <c r="AA89" s="43" t="s">
        <v>2866</v>
      </c>
      <c r="AB89" s="43">
        <v>998852</v>
      </c>
      <c r="AC89" s="43" t="s">
        <v>2867</v>
      </c>
      <c r="AD89" s="43">
        <v>1</v>
      </c>
      <c r="AE89" s="43">
        <v>434.7</v>
      </c>
      <c r="AF89" s="43" t="s">
        <v>2868</v>
      </c>
    </row>
    <row r="90" spans="1:32" x14ac:dyDescent="0.25">
      <c r="A90" s="43" t="s">
        <v>3234</v>
      </c>
      <c r="B90" s="43" t="s">
        <v>1060</v>
      </c>
      <c r="C90" s="43" t="s">
        <v>3065</v>
      </c>
      <c r="D90" s="43" t="s">
        <v>3258</v>
      </c>
      <c r="E90" s="43" t="s">
        <v>3066</v>
      </c>
      <c r="F90" s="43" t="s">
        <v>3258</v>
      </c>
      <c r="G90" s="43" t="s">
        <v>3234</v>
      </c>
      <c r="H90" s="43" t="s">
        <v>893</v>
      </c>
      <c r="I90" s="43" t="s">
        <v>897</v>
      </c>
      <c r="J90" s="43" t="s">
        <v>897</v>
      </c>
      <c r="K90" s="43" t="s">
        <v>3067</v>
      </c>
      <c r="L90" s="43" t="s">
        <v>896</v>
      </c>
      <c r="M90" s="101">
        <v>8123.03</v>
      </c>
      <c r="N90" s="43">
        <v>899950.49</v>
      </c>
      <c r="O90" s="43" t="s">
        <v>3068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 t="s">
        <v>2870</v>
      </c>
      <c r="AA90" s="43" t="s">
        <v>2866</v>
      </c>
      <c r="AB90" s="43">
        <v>998852</v>
      </c>
      <c r="AC90" s="43" t="s">
        <v>2867</v>
      </c>
      <c r="AD90" s="43">
        <v>1</v>
      </c>
      <c r="AE90" s="43">
        <v>8123.03</v>
      </c>
      <c r="AF90" s="43" t="s">
        <v>2868</v>
      </c>
    </row>
    <row r="91" spans="1:32" x14ac:dyDescent="0.25">
      <c r="A91" s="43" t="s">
        <v>3234</v>
      </c>
      <c r="B91" s="43" t="s">
        <v>1060</v>
      </c>
      <c r="C91" s="43" t="s">
        <v>3065</v>
      </c>
      <c r="D91" s="43" t="s">
        <v>3258</v>
      </c>
      <c r="E91" s="43" t="s">
        <v>3066</v>
      </c>
      <c r="F91" s="43" t="s">
        <v>3258</v>
      </c>
      <c r="G91" s="43" t="s">
        <v>3234</v>
      </c>
      <c r="H91" s="43" t="s">
        <v>893</v>
      </c>
      <c r="I91" s="43" t="s">
        <v>897</v>
      </c>
      <c r="J91" s="43" t="s">
        <v>897</v>
      </c>
      <c r="K91" s="43" t="s">
        <v>3067</v>
      </c>
      <c r="L91" s="43" t="s">
        <v>896</v>
      </c>
      <c r="M91" s="101">
        <v>9633.9</v>
      </c>
      <c r="N91" s="43">
        <v>1067339.78</v>
      </c>
      <c r="O91" s="43" t="s">
        <v>3068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0</v>
      </c>
      <c r="Y91" s="43">
        <v>0</v>
      </c>
      <c r="Z91" s="43" t="s">
        <v>2870</v>
      </c>
      <c r="AA91" s="43" t="s">
        <v>2866</v>
      </c>
      <c r="AB91" s="43">
        <v>998852</v>
      </c>
      <c r="AC91" s="43" t="s">
        <v>2867</v>
      </c>
      <c r="AD91" s="43">
        <v>1</v>
      </c>
      <c r="AE91" s="43">
        <v>9633.9</v>
      </c>
      <c r="AF91" s="43" t="s">
        <v>2868</v>
      </c>
    </row>
    <row r="92" spans="1:32" x14ac:dyDescent="0.25">
      <c r="A92" s="43" t="s">
        <v>3234</v>
      </c>
      <c r="B92" s="43" t="s">
        <v>1060</v>
      </c>
      <c r="C92" s="43" t="s">
        <v>3065</v>
      </c>
      <c r="D92" s="43" t="s">
        <v>3258</v>
      </c>
      <c r="E92" s="43" t="s">
        <v>3066</v>
      </c>
      <c r="F92" s="43" t="s">
        <v>3258</v>
      </c>
      <c r="G92" s="43" t="s">
        <v>3234</v>
      </c>
      <c r="H92" s="43" t="s">
        <v>893</v>
      </c>
      <c r="I92" s="43" t="s">
        <v>897</v>
      </c>
      <c r="J92" s="43" t="s">
        <v>897</v>
      </c>
      <c r="K92" s="43" t="s">
        <v>3067</v>
      </c>
      <c r="L92" s="43" t="s">
        <v>896</v>
      </c>
      <c r="M92" s="43">
        <v>75</v>
      </c>
      <c r="N92" s="101">
        <v>8309.25</v>
      </c>
      <c r="O92" s="43" t="s">
        <v>3068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 t="s">
        <v>2870</v>
      </c>
      <c r="AA92" s="43" t="s">
        <v>2866</v>
      </c>
      <c r="AB92" s="43">
        <v>998852</v>
      </c>
      <c r="AC92" s="43" t="s">
        <v>2867</v>
      </c>
      <c r="AD92" s="43">
        <v>1</v>
      </c>
      <c r="AE92" s="43">
        <v>75</v>
      </c>
      <c r="AF92" s="43" t="s">
        <v>2868</v>
      </c>
    </row>
    <row r="93" spans="1:32" x14ac:dyDescent="0.25">
      <c r="A93" s="43" t="s">
        <v>3234</v>
      </c>
      <c r="B93" s="43" t="s">
        <v>1060</v>
      </c>
      <c r="C93" s="43" t="s">
        <v>3065</v>
      </c>
      <c r="D93" s="43" t="s">
        <v>3258</v>
      </c>
      <c r="E93" s="43" t="s">
        <v>3066</v>
      </c>
      <c r="F93" s="43" t="s">
        <v>3258</v>
      </c>
      <c r="G93" s="43" t="s">
        <v>3234</v>
      </c>
      <c r="H93" s="43" t="s">
        <v>893</v>
      </c>
      <c r="I93" s="43" t="s">
        <v>897</v>
      </c>
      <c r="J93" s="43" t="s">
        <v>897</v>
      </c>
      <c r="K93" s="43" t="s">
        <v>3067</v>
      </c>
      <c r="L93" s="43" t="s">
        <v>896</v>
      </c>
      <c r="M93" s="43">
        <v>150</v>
      </c>
      <c r="N93" s="101">
        <v>16618.5</v>
      </c>
      <c r="O93" s="43" t="s">
        <v>3068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43">
        <v>0</v>
      </c>
      <c r="Z93" s="43" t="s">
        <v>2870</v>
      </c>
      <c r="AA93" s="43" t="s">
        <v>2866</v>
      </c>
      <c r="AB93" s="43">
        <v>998852</v>
      </c>
      <c r="AC93" s="43" t="s">
        <v>2867</v>
      </c>
      <c r="AD93" s="43">
        <v>1</v>
      </c>
      <c r="AE93" s="43">
        <v>150</v>
      </c>
      <c r="AF93" s="43" t="s">
        <v>2868</v>
      </c>
    </row>
    <row r="94" spans="1:32" x14ac:dyDescent="0.25">
      <c r="A94" s="43" t="s">
        <v>3234</v>
      </c>
      <c r="B94" s="43" t="s">
        <v>1060</v>
      </c>
      <c r="C94" s="43" t="s">
        <v>3065</v>
      </c>
      <c r="D94" s="43" t="s">
        <v>3258</v>
      </c>
      <c r="E94" s="43" t="s">
        <v>3066</v>
      </c>
      <c r="F94" s="43" t="s">
        <v>3258</v>
      </c>
      <c r="G94" s="43" t="s">
        <v>3234</v>
      </c>
      <c r="H94" s="43" t="s">
        <v>893</v>
      </c>
      <c r="I94" s="43" t="s">
        <v>897</v>
      </c>
      <c r="J94" s="43" t="s">
        <v>897</v>
      </c>
      <c r="K94" s="43" t="s">
        <v>3067</v>
      </c>
      <c r="L94" s="43" t="s">
        <v>896</v>
      </c>
      <c r="M94" s="43">
        <v>100</v>
      </c>
      <c r="N94" s="101">
        <v>11079</v>
      </c>
      <c r="O94" s="43" t="s">
        <v>3068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 t="s">
        <v>2870</v>
      </c>
      <c r="AA94" s="43" t="s">
        <v>2866</v>
      </c>
      <c r="AB94" s="43">
        <v>998852</v>
      </c>
      <c r="AC94" s="43" t="s">
        <v>2867</v>
      </c>
      <c r="AD94" s="43">
        <v>1</v>
      </c>
      <c r="AE94" s="43">
        <v>100</v>
      </c>
      <c r="AF94" s="43" t="s">
        <v>2868</v>
      </c>
    </row>
    <row r="95" spans="1:32" x14ac:dyDescent="0.25">
      <c r="A95" s="43" t="s">
        <v>3234</v>
      </c>
      <c r="B95" s="43" t="s">
        <v>1060</v>
      </c>
      <c r="C95" s="43" t="s">
        <v>3065</v>
      </c>
      <c r="D95" s="43" t="s">
        <v>3258</v>
      </c>
      <c r="E95" s="43" t="s">
        <v>3066</v>
      </c>
      <c r="F95" s="43" t="s">
        <v>3258</v>
      </c>
      <c r="G95" s="43" t="s">
        <v>3234</v>
      </c>
      <c r="H95" s="43" t="s">
        <v>893</v>
      </c>
      <c r="I95" s="43" t="s">
        <v>897</v>
      </c>
      <c r="J95" s="43" t="s">
        <v>897</v>
      </c>
      <c r="K95" s="43" t="s">
        <v>3067</v>
      </c>
      <c r="L95" s="43" t="s">
        <v>896</v>
      </c>
      <c r="M95" s="101">
        <v>3301.4</v>
      </c>
      <c r="N95" s="43">
        <v>365762.11</v>
      </c>
      <c r="O95" s="43" t="s">
        <v>3068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 t="s">
        <v>2870</v>
      </c>
      <c r="AA95" s="43" t="s">
        <v>2866</v>
      </c>
      <c r="AB95" s="43">
        <v>998852</v>
      </c>
      <c r="AC95" s="43" t="s">
        <v>2867</v>
      </c>
      <c r="AD95" s="43">
        <v>1</v>
      </c>
      <c r="AE95" s="43">
        <v>3301.4</v>
      </c>
      <c r="AF95" s="43" t="s">
        <v>2868</v>
      </c>
    </row>
    <row r="96" spans="1:32" x14ac:dyDescent="0.25">
      <c r="A96" s="43" t="s">
        <v>3234</v>
      </c>
      <c r="B96" s="43" t="s">
        <v>1060</v>
      </c>
      <c r="C96" s="43" t="s">
        <v>3065</v>
      </c>
      <c r="D96" s="43" t="s">
        <v>3258</v>
      </c>
      <c r="E96" s="43" t="s">
        <v>3066</v>
      </c>
      <c r="F96" s="43" t="s">
        <v>3258</v>
      </c>
      <c r="G96" s="43" t="s">
        <v>3234</v>
      </c>
      <c r="H96" s="43" t="s">
        <v>893</v>
      </c>
      <c r="I96" s="43" t="s">
        <v>897</v>
      </c>
      <c r="J96" s="43" t="s">
        <v>897</v>
      </c>
      <c r="K96" s="43" t="s">
        <v>3067</v>
      </c>
      <c r="L96" s="43" t="s">
        <v>896</v>
      </c>
      <c r="M96" s="101">
        <v>1890</v>
      </c>
      <c r="N96" s="43">
        <v>209393.1</v>
      </c>
      <c r="O96" s="43" t="s">
        <v>3068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 t="s">
        <v>2870</v>
      </c>
      <c r="AA96" s="43" t="s">
        <v>2866</v>
      </c>
      <c r="AB96" s="43">
        <v>998852</v>
      </c>
      <c r="AC96" s="43" t="s">
        <v>2867</v>
      </c>
      <c r="AD96" s="43">
        <v>1</v>
      </c>
      <c r="AE96" s="43">
        <v>1890</v>
      </c>
      <c r="AF96" s="43" t="s">
        <v>2868</v>
      </c>
    </row>
    <row r="97" spans="1:32" x14ac:dyDescent="0.25">
      <c r="A97" s="43" t="s">
        <v>3234</v>
      </c>
      <c r="B97" s="43" t="s">
        <v>1060</v>
      </c>
      <c r="C97" s="43" t="s">
        <v>3065</v>
      </c>
      <c r="D97" s="43" t="s">
        <v>3258</v>
      </c>
      <c r="E97" s="43" t="s">
        <v>3066</v>
      </c>
      <c r="F97" s="43" t="s">
        <v>3258</v>
      </c>
      <c r="G97" s="43" t="s">
        <v>3234</v>
      </c>
      <c r="H97" s="43" t="s">
        <v>893</v>
      </c>
      <c r="I97" s="43" t="s">
        <v>897</v>
      </c>
      <c r="J97" s="43" t="s">
        <v>897</v>
      </c>
      <c r="K97" s="43" t="s">
        <v>3067</v>
      </c>
      <c r="L97" s="43" t="s">
        <v>896</v>
      </c>
      <c r="M97" s="101">
        <v>1785</v>
      </c>
      <c r="N97" s="43">
        <v>197760.15</v>
      </c>
      <c r="O97" s="43" t="s">
        <v>3068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 t="s">
        <v>2870</v>
      </c>
      <c r="AA97" s="43" t="s">
        <v>2866</v>
      </c>
      <c r="AB97" s="43">
        <v>998852</v>
      </c>
      <c r="AC97" s="43" t="s">
        <v>2867</v>
      </c>
      <c r="AD97" s="43">
        <v>1</v>
      </c>
      <c r="AE97" s="43">
        <v>1785</v>
      </c>
      <c r="AF97" s="43" t="s">
        <v>2868</v>
      </c>
    </row>
    <row r="98" spans="1:32" x14ac:dyDescent="0.25">
      <c r="A98" s="43" t="s">
        <v>3234</v>
      </c>
      <c r="B98" s="43" t="s">
        <v>1060</v>
      </c>
      <c r="C98" s="43" t="s">
        <v>3065</v>
      </c>
      <c r="D98" s="43" t="s">
        <v>3258</v>
      </c>
      <c r="E98" s="43" t="s">
        <v>3066</v>
      </c>
      <c r="F98" s="43" t="s">
        <v>3258</v>
      </c>
      <c r="G98" s="43" t="s">
        <v>3234</v>
      </c>
      <c r="H98" s="43" t="s">
        <v>893</v>
      </c>
      <c r="I98" s="43" t="s">
        <v>897</v>
      </c>
      <c r="J98" s="43" t="s">
        <v>897</v>
      </c>
      <c r="K98" s="43" t="s">
        <v>3067</v>
      </c>
      <c r="L98" s="43" t="s">
        <v>896</v>
      </c>
      <c r="M98" s="43">
        <v>984.5</v>
      </c>
      <c r="N98" s="43">
        <v>109072.76</v>
      </c>
      <c r="O98" s="43" t="s">
        <v>3068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 t="s">
        <v>2870</v>
      </c>
      <c r="AA98" s="43" t="s">
        <v>2866</v>
      </c>
      <c r="AB98" s="43">
        <v>998852</v>
      </c>
      <c r="AC98" s="43" t="s">
        <v>2867</v>
      </c>
      <c r="AD98" s="43">
        <v>1</v>
      </c>
      <c r="AE98" s="43">
        <v>984.5</v>
      </c>
      <c r="AF98" s="43" t="s">
        <v>2868</v>
      </c>
    </row>
    <row r="99" spans="1:32" x14ac:dyDescent="0.25">
      <c r="A99" s="43" t="s">
        <v>3234</v>
      </c>
      <c r="B99" s="43" t="s">
        <v>1060</v>
      </c>
      <c r="C99" s="43" t="s">
        <v>3065</v>
      </c>
      <c r="D99" s="43" t="s">
        <v>3258</v>
      </c>
      <c r="E99" s="43" t="s">
        <v>3066</v>
      </c>
      <c r="F99" s="43" t="s">
        <v>3258</v>
      </c>
      <c r="G99" s="43" t="s">
        <v>3234</v>
      </c>
      <c r="H99" s="43" t="s">
        <v>893</v>
      </c>
      <c r="I99" s="43" t="s">
        <v>897</v>
      </c>
      <c r="J99" s="43" t="s">
        <v>897</v>
      </c>
      <c r="K99" s="43" t="s">
        <v>3067</v>
      </c>
      <c r="L99" s="43" t="s">
        <v>896</v>
      </c>
      <c r="M99" s="101">
        <v>1655</v>
      </c>
      <c r="N99" s="43">
        <v>183357.45</v>
      </c>
      <c r="O99" s="43" t="s">
        <v>3068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0</v>
      </c>
      <c r="Z99" s="43" t="s">
        <v>2870</v>
      </c>
      <c r="AA99" s="43" t="s">
        <v>2866</v>
      </c>
      <c r="AB99" s="43">
        <v>998852</v>
      </c>
      <c r="AC99" s="43" t="s">
        <v>2867</v>
      </c>
      <c r="AD99" s="43">
        <v>1</v>
      </c>
      <c r="AE99" s="43">
        <v>1655</v>
      </c>
      <c r="AF99" s="43" t="s">
        <v>2868</v>
      </c>
    </row>
    <row r="100" spans="1:32" x14ac:dyDescent="0.25">
      <c r="A100" s="43" t="s">
        <v>3234</v>
      </c>
      <c r="B100" s="43" t="s">
        <v>1060</v>
      </c>
      <c r="C100" s="43" t="s">
        <v>3065</v>
      </c>
      <c r="D100" s="43" t="s">
        <v>3258</v>
      </c>
      <c r="E100" s="43" t="s">
        <v>3066</v>
      </c>
      <c r="F100" s="43" t="s">
        <v>3258</v>
      </c>
      <c r="G100" s="43" t="s">
        <v>3234</v>
      </c>
      <c r="H100" s="43" t="s">
        <v>893</v>
      </c>
      <c r="I100" s="43" t="s">
        <v>897</v>
      </c>
      <c r="J100" s="43" t="s">
        <v>897</v>
      </c>
      <c r="K100" s="43" t="s">
        <v>3067</v>
      </c>
      <c r="L100" s="43" t="s">
        <v>896</v>
      </c>
      <c r="M100" s="101">
        <v>3737</v>
      </c>
      <c r="N100" s="43">
        <v>414022.23</v>
      </c>
      <c r="O100" s="43" t="s">
        <v>3068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0</v>
      </c>
      <c r="Z100" s="43" t="s">
        <v>2870</v>
      </c>
      <c r="AA100" s="43" t="s">
        <v>2866</v>
      </c>
      <c r="AB100" s="43">
        <v>998852</v>
      </c>
      <c r="AC100" s="43" t="s">
        <v>2867</v>
      </c>
      <c r="AD100" s="43">
        <v>1</v>
      </c>
      <c r="AE100" s="43">
        <v>3737</v>
      </c>
      <c r="AF100" s="43" t="s">
        <v>2868</v>
      </c>
    </row>
    <row r="101" spans="1:32" x14ac:dyDescent="0.25">
      <c r="A101" s="43" t="s">
        <v>3234</v>
      </c>
      <c r="B101" s="43" t="s">
        <v>1060</v>
      </c>
      <c r="C101" s="43" t="s">
        <v>3065</v>
      </c>
      <c r="D101" s="43" t="s">
        <v>3258</v>
      </c>
      <c r="E101" s="43" t="s">
        <v>3066</v>
      </c>
      <c r="F101" s="43" t="s">
        <v>3258</v>
      </c>
      <c r="G101" s="43" t="s">
        <v>3234</v>
      </c>
      <c r="H101" s="43" t="s">
        <v>893</v>
      </c>
      <c r="I101" s="43" t="s">
        <v>897</v>
      </c>
      <c r="J101" s="43" t="s">
        <v>897</v>
      </c>
      <c r="K101" s="43" t="s">
        <v>3067</v>
      </c>
      <c r="L101" s="43" t="s">
        <v>896</v>
      </c>
      <c r="M101" s="101">
        <v>1617</v>
      </c>
      <c r="N101" s="43">
        <v>179147.43</v>
      </c>
      <c r="O101" s="43" t="s">
        <v>3068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 t="s">
        <v>2870</v>
      </c>
      <c r="AA101" s="43" t="s">
        <v>2866</v>
      </c>
      <c r="AB101" s="43">
        <v>998852</v>
      </c>
      <c r="AC101" s="43" t="s">
        <v>2867</v>
      </c>
      <c r="AD101" s="43">
        <v>1</v>
      </c>
      <c r="AE101" s="43">
        <v>1617</v>
      </c>
      <c r="AF101" s="43" t="s">
        <v>2868</v>
      </c>
    </row>
    <row r="102" spans="1:32" x14ac:dyDescent="0.25">
      <c r="A102" s="43" t="s">
        <v>3234</v>
      </c>
      <c r="B102" s="43" t="s">
        <v>1060</v>
      </c>
      <c r="C102" s="43" t="s">
        <v>3065</v>
      </c>
      <c r="D102" s="43" t="s">
        <v>3258</v>
      </c>
      <c r="E102" s="43" t="s">
        <v>3066</v>
      </c>
      <c r="F102" s="43" t="s">
        <v>3258</v>
      </c>
      <c r="G102" s="43" t="s">
        <v>3234</v>
      </c>
      <c r="H102" s="43" t="s">
        <v>893</v>
      </c>
      <c r="I102" s="43" t="s">
        <v>897</v>
      </c>
      <c r="J102" s="43" t="s">
        <v>897</v>
      </c>
      <c r="K102" s="43" t="s">
        <v>3067</v>
      </c>
      <c r="L102" s="43" t="s">
        <v>896</v>
      </c>
      <c r="M102" s="101">
        <v>2238</v>
      </c>
      <c r="N102" s="43">
        <v>247948.02</v>
      </c>
      <c r="O102" s="43" t="s">
        <v>3068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 t="s">
        <v>2870</v>
      </c>
      <c r="AA102" s="43" t="s">
        <v>2866</v>
      </c>
      <c r="AB102" s="43">
        <v>998852</v>
      </c>
      <c r="AC102" s="43" t="s">
        <v>2867</v>
      </c>
      <c r="AD102" s="43">
        <v>1</v>
      </c>
      <c r="AE102" s="43">
        <v>2238</v>
      </c>
      <c r="AF102" s="43" t="s">
        <v>2868</v>
      </c>
    </row>
    <row r="103" spans="1:32" x14ac:dyDescent="0.25">
      <c r="A103" s="43" t="s">
        <v>3234</v>
      </c>
      <c r="B103" s="43" t="s">
        <v>1060</v>
      </c>
      <c r="C103" s="43" t="s">
        <v>3065</v>
      </c>
      <c r="D103" s="43" t="s">
        <v>3258</v>
      </c>
      <c r="E103" s="43" t="s">
        <v>3066</v>
      </c>
      <c r="F103" s="43" t="s">
        <v>3258</v>
      </c>
      <c r="G103" s="43" t="s">
        <v>3234</v>
      </c>
      <c r="H103" s="43" t="s">
        <v>893</v>
      </c>
      <c r="I103" s="43" t="s">
        <v>897</v>
      </c>
      <c r="J103" s="43" t="s">
        <v>897</v>
      </c>
      <c r="K103" s="43" t="s">
        <v>3067</v>
      </c>
      <c r="L103" s="43" t="s">
        <v>896</v>
      </c>
      <c r="M103" s="101">
        <v>1240</v>
      </c>
      <c r="N103" s="43">
        <v>137379.6</v>
      </c>
      <c r="O103" s="43" t="s">
        <v>3068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 t="s">
        <v>2870</v>
      </c>
      <c r="AA103" s="43" t="s">
        <v>2866</v>
      </c>
      <c r="AB103" s="43">
        <v>998852</v>
      </c>
      <c r="AC103" s="43" t="s">
        <v>2867</v>
      </c>
      <c r="AD103" s="43">
        <v>1</v>
      </c>
      <c r="AE103" s="43">
        <v>1240</v>
      </c>
      <c r="AF103" s="43" t="s">
        <v>2868</v>
      </c>
    </row>
    <row r="104" spans="1:32" x14ac:dyDescent="0.25">
      <c r="A104" s="43" t="s">
        <v>3234</v>
      </c>
      <c r="B104" s="43" t="s">
        <v>1060</v>
      </c>
      <c r="C104" s="43" t="s">
        <v>3065</v>
      </c>
      <c r="D104" s="43" t="s">
        <v>3258</v>
      </c>
      <c r="E104" s="43" t="s">
        <v>3066</v>
      </c>
      <c r="F104" s="43" t="s">
        <v>3258</v>
      </c>
      <c r="G104" s="43" t="s">
        <v>3234</v>
      </c>
      <c r="H104" s="43" t="s">
        <v>893</v>
      </c>
      <c r="I104" s="43" t="s">
        <v>897</v>
      </c>
      <c r="J104" s="43" t="s">
        <v>897</v>
      </c>
      <c r="K104" s="43" t="s">
        <v>3067</v>
      </c>
      <c r="L104" s="43" t="s">
        <v>896</v>
      </c>
      <c r="M104" s="101">
        <v>2272.8000000000002</v>
      </c>
      <c r="N104" s="43">
        <v>251803.51</v>
      </c>
      <c r="O104" s="43" t="s">
        <v>3068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43">
        <v>0</v>
      </c>
      <c r="Z104" s="43" t="s">
        <v>2870</v>
      </c>
      <c r="AA104" s="43" t="s">
        <v>2866</v>
      </c>
      <c r="AB104" s="43">
        <v>998852</v>
      </c>
      <c r="AC104" s="43" t="s">
        <v>2867</v>
      </c>
      <c r="AD104" s="43">
        <v>1</v>
      </c>
      <c r="AE104" s="43">
        <v>2272.8000000000002</v>
      </c>
      <c r="AF104" s="43" t="s">
        <v>2868</v>
      </c>
    </row>
    <row r="105" spans="1:32" x14ac:dyDescent="0.25">
      <c r="A105" s="43" t="s">
        <v>3234</v>
      </c>
      <c r="B105" s="43" t="s">
        <v>1060</v>
      </c>
      <c r="C105" s="43" t="s">
        <v>3065</v>
      </c>
      <c r="D105" s="43" t="s">
        <v>3258</v>
      </c>
      <c r="E105" s="43" t="s">
        <v>3066</v>
      </c>
      <c r="F105" s="43" t="s">
        <v>3258</v>
      </c>
      <c r="G105" s="43" t="s">
        <v>3234</v>
      </c>
      <c r="H105" s="43" t="s">
        <v>893</v>
      </c>
      <c r="I105" s="43" t="s">
        <v>897</v>
      </c>
      <c r="J105" s="43" t="s">
        <v>897</v>
      </c>
      <c r="K105" s="43" t="s">
        <v>3067</v>
      </c>
      <c r="L105" s="43" t="s">
        <v>896</v>
      </c>
      <c r="M105" s="101">
        <v>4583</v>
      </c>
      <c r="N105" s="43">
        <v>507750.57</v>
      </c>
      <c r="O105" s="43" t="s">
        <v>3068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 t="s">
        <v>2870</v>
      </c>
      <c r="AA105" s="43" t="s">
        <v>2866</v>
      </c>
      <c r="AB105" s="43">
        <v>998852</v>
      </c>
      <c r="AC105" s="43" t="s">
        <v>2867</v>
      </c>
      <c r="AD105" s="43">
        <v>1</v>
      </c>
      <c r="AE105" s="43">
        <v>4583</v>
      </c>
      <c r="AF105" s="43" t="s">
        <v>2868</v>
      </c>
    </row>
    <row r="106" spans="1:32" x14ac:dyDescent="0.25">
      <c r="A106" s="43" t="s">
        <v>3234</v>
      </c>
      <c r="B106" s="43" t="s">
        <v>1060</v>
      </c>
      <c r="C106" s="43" t="s">
        <v>3065</v>
      </c>
      <c r="D106" s="43" t="s">
        <v>3258</v>
      </c>
      <c r="E106" s="43" t="s">
        <v>3066</v>
      </c>
      <c r="F106" s="43" t="s">
        <v>3258</v>
      </c>
      <c r="G106" s="43" t="s">
        <v>3234</v>
      </c>
      <c r="H106" s="43" t="s">
        <v>893</v>
      </c>
      <c r="I106" s="43" t="s">
        <v>897</v>
      </c>
      <c r="J106" s="43" t="s">
        <v>897</v>
      </c>
      <c r="K106" s="43" t="s">
        <v>3067</v>
      </c>
      <c r="L106" s="43" t="s">
        <v>896</v>
      </c>
      <c r="M106" s="101">
        <v>2336</v>
      </c>
      <c r="N106" s="43">
        <v>258805.44</v>
      </c>
      <c r="O106" s="43" t="s">
        <v>3068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 t="s">
        <v>2870</v>
      </c>
      <c r="AA106" s="43" t="s">
        <v>2866</v>
      </c>
      <c r="AB106" s="43">
        <v>998852</v>
      </c>
      <c r="AC106" s="43" t="s">
        <v>2867</v>
      </c>
      <c r="AD106" s="43">
        <v>1</v>
      </c>
      <c r="AE106" s="43">
        <v>2336</v>
      </c>
      <c r="AF106" s="43" t="s">
        <v>2868</v>
      </c>
    </row>
    <row r="107" spans="1:32" x14ac:dyDescent="0.25">
      <c r="A107" s="43" t="s">
        <v>3234</v>
      </c>
      <c r="B107" s="43" t="s">
        <v>1060</v>
      </c>
      <c r="C107" s="43" t="s">
        <v>3065</v>
      </c>
      <c r="D107" s="43" t="s">
        <v>3258</v>
      </c>
      <c r="E107" s="43" t="s">
        <v>3066</v>
      </c>
      <c r="F107" s="43" t="s">
        <v>3258</v>
      </c>
      <c r="G107" s="43" t="s">
        <v>3234</v>
      </c>
      <c r="H107" s="43" t="s">
        <v>893</v>
      </c>
      <c r="I107" s="43" t="s">
        <v>897</v>
      </c>
      <c r="J107" s="43" t="s">
        <v>897</v>
      </c>
      <c r="K107" s="43" t="s">
        <v>3067</v>
      </c>
      <c r="L107" s="43" t="s">
        <v>896</v>
      </c>
      <c r="M107" s="101">
        <v>2904</v>
      </c>
      <c r="N107" s="43">
        <v>321734.15999999997</v>
      </c>
      <c r="O107" s="43" t="s">
        <v>3068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 t="s">
        <v>2870</v>
      </c>
      <c r="AA107" s="43" t="s">
        <v>2866</v>
      </c>
      <c r="AB107" s="43">
        <v>998852</v>
      </c>
      <c r="AC107" s="43" t="s">
        <v>2867</v>
      </c>
      <c r="AD107" s="43">
        <v>1</v>
      </c>
      <c r="AE107" s="43">
        <v>2904</v>
      </c>
      <c r="AF107" s="43" t="s">
        <v>2868</v>
      </c>
    </row>
    <row r="108" spans="1:32" x14ac:dyDescent="0.25">
      <c r="A108" s="43" t="s">
        <v>3275</v>
      </c>
      <c r="B108" s="43" t="s">
        <v>1060</v>
      </c>
      <c r="C108" s="43" t="s">
        <v>3065</v>
      </c>
      <c r="D108" s="43" t="s">
        <v>3309</v>
      </c>
      <c r="E108" s="43" t="s">
        <v>3066</v>
      </c>
      <c r="F108" s="43" t="s">
        <v>3309</v>
      </c>
      <c r="G108" s="43" t="s">
        <v>3275</v>
      </c>
      <c r="H108" s="43" t="s">
        <v>893</v>
      </c>
      <c r="I108" s="43" t="s">
        <v>897</v>
      </c>
      <c r="J108" s="43" t="s">
        <v>897</v>
      </c>
      <c r="K108" s="43" t="s">
        <v>3067</v>
      </c>
      <c r="L108" s="43" t="s">
        <v>896</v>
      </c>
      <c r="M108" s="43">
        <v>118.3</v>
      </c>
      <c r="N108" s="101">
        <v>12344.61</v>
      </c>
      <c r="O108" s="43" t="s">
        <v>3068</v>
      </c>
      <c r="P108" s="43">
        <v>5608427.0899999999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 t="s">
        <v>2870</v>
      </c>
      <c r="AA108" s="43" t="s">
        <v>2866</v>
      </c>
      <c r="AB108" s="43">
        <v>998852</v>
      </c>
      <c r="AC108" s="43" t="s">
        <v>2867</v>
      </c>
      <c r="AD108" s="43">
        <v>1</v>
      </c>
      <c r="AE108" s="43">
        <v>118.3</v>
      </c>
      <c r="AF108" s="43" t="s">
        <v>2868</v>
      </c>
    </row>
    <row r="109" spans="1:32" x14ac:dyDescent="0.25">
      <c r="A109" s="43" t="s">
        <v>3275</v>
      </c>
      <c r="B109" s="43" t="s">
        <v>1060</v>
      </c>
      <c r="C109" s="43" t="s">
        <v>3065</v>
      </c>
      <c r="D109" s="43" t="s">
        <v>3309</v>
      </c>
      <c r="E109" s="43" t="s">
        <v>3066</v>
      </c>
      <c r="F109" s="43" t="s">
        <v>3309</v>
      </c>
      <c r="G109" s="43" t="s">
        <v>3275</v>
      </c>
      <c r="H109" s="43" t="s">
        <v>893</v>
      </c>
      <c r="I109" s="43" t="s">
        <v>897</v>
      </c>
      <c r="J109" s="43" t="s">
        <v>897</v>
      </c>
      <c r="K109" s="43" t="s">
        <v>3067</v>
      </c>
      <c r="L109" s="43" t="s">
        <v>896</v>
      </c>
      <c r="M109" s="43">
        <v>119</v>
      </c>
      <c r="N109" s="101">
        <v>12417.65</v>
      </c>
      <c r="O109" s="43" t="s">
        <v>3068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 t="s">
        <v>2870</v>
      </c>
      <c r="AA109" s="43" t="s">
        <v>2866</v>
      </c>
      <c r="AB109" s="43">
        <v>998852</v>
      </c>
      <c r="AC109" s="43" t="s">
        <v>2867</v>
      </c>
      <c r="AD109" s="43">
        <v>1</v>
      </c>
      <c r="AE109" s="43">
        <v>119</v>
      </c>
      <c r="AF109" s="43" t="s">
        <v>2868</v>
      </c>
    </row>
    <row r="110" spans="1:32" x14ac:dyDescent="0.25">
      <c r="A110" s="43" t="s">
        <v>3275</v>
      </c>
      <c r="B110" s="43" t="s">
        <v>1060</v>
      </c>
      <c r="C110" s="43" t="s">
        <v>3065</v>
      </c>
      <c r="D110" s="43" t="s">
        <v>3309</v>
      </c>
      <c r="E110" s="43" t="s">
        <v>3066</v>
      </c>
      <c r="F110" s="43" t="s">
        <v>3309</v>
      </c>
      <c r="G110" s="43" t="s">
        <v>3275</v>
      </c>
      <c r="H110" s="43" t="s">
        <v>893</v>
      </c>
      <c r="I110" s="43" t="s">
        <v>897</v>
      </c>
      <c r="J110" s="43" t="s">
        <v>897</v>
      </c>
      <c r="K110" s="43" t="s">
        <v>3067</v>
      </c>
      <c r="L110" s="43" t="s">
        <v>896</v>
      </c>
      <c r="M110" s="43">
        <v>565</v>
      </c>
      <c r="N110" s="101">
        <v>58957.75</v>
      </c>
      <c r="O110" s="43" t="s">
        <v>3068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 t="s">
        <v>2870</v>
      </c>
      <c r="AA110" s="43" t="s">
        <v>2866</v>
      </c>
      <c r="AB110" s="43">
        <v>998852</v>
      </c>
      <c r="AC110" s="43" t="s">
        <v>2867</v>
      </c>
      <c r="AD110" s="43">
        <v>1</v>
      </c>
      <c r="AE110" s="43">
        <v>565</v>
      </c>
      <c r="AF110" s="43" t="s">
        <v>2868</v>
      </c>
    </row>
    <row r="111" spans="1:32" x14ac:dyDescent="0.25">
      <c r="A111" s="43" t="s">
        <v>3275</v>
      </c>
      <c r="B111" s="43" t="s">
        <v>1060</v>
      </c>
      <c r="C111" s="43" t="s">
        <v>3065</v>
      </c>
      <c r="D111" s="43" t="s">
        <v>3309</v>
      </c>
      <c r="E111" s="43" t="s">
        <v>3066</v>
      </c>
      <c r="F111" s="43" t="s">
        <v>3309</v>
      </c>
      <c r="G111" s="43" t="s">
        <v>3275</v>
      </c>
      <c r="H111" s="43" t="s">
        <v>893</v>
      </c>
      <c r="I111" s="43" t="s">
        <v>897</v>
      </c>
      <c r="J111" s="43" t="s">
        <v>897</v>
      </c>
      <c r="K111" s="43" t="s">
        <v>3067</v>
      </c>
      <c r="L111" s="43" t="s">
        <v>896</v>
      </c>
      <c r="M111" s="43">
        <v>227</v>
      </c>
      <c r="N111" s="101">
        <v>23687.45</v>
      </c>
      <c r="O111" s="43" t="s">
        <v>3068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 t="s">
        <v>2870</v>
      </c>
      <c r="AA111" s="43" t="s">
        <v>2866</v>
      </c>
      <c r="AB111" s="43">
        <v>998852</v>
      </c>
      <c r="AC111" s="43" t="s">
        <v>2867</v>
      </c>
      <c r="AD111" s="43">
        <v>1</v>
      </c>
      <c r="AE111" s="43">
        <v>227</v>
      </c>
      <c r="AF111" s="43" t="s">
        <v>2868</v>
      </c>
    </row>
    <row r="112" spans="1:32" x14ac:dyDescent="0.25">
      <c r="A112" s="43" t="s">
        <v>3275</v>
      </c>
      <c r="B112" s="43" t="s">
        <v>1060</v>
      </c>
      <c r="C112" s="43" t="s">
        <v>3065</v>
      </c>
      <c r="D112" s="43" t="s">
        <v>3309</v>
      </c>
      <c r="E112" s="43" t="s">
        <v>3066</v>
      </c>
      <c r="F112" s="43" t="s">
        <v>3309</v>
      </c>
      <c r="G112" s="43" t="s">
        <v>3275</v>
      </c>
      <c r="H112" s="43" t="s">
        <v>893</v>
      </c>
      <c r="I112" s="43" t="s">
        <v>897</v>
      </c>
      <c r="J112" s="43" t="s">
        <v>897</v>
      </c>
      <c r="K112" s="43" t="s">
        <v>3067</v>
      </c>
      <c r="L112" s="43" t="s">
        <v>896</v>
      </c>
      <c r="M112" s="43">
        <v>123.2</v>
      </c>
      <c r="N112" s="101">
        <v>12855.92</v>
      </c>
      <c r="O112" s="43" t="s">
        <v>3068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 t="s">
        <v>2870</v>
      </c>
      <c r="AA112" s="43" t="s">
        <v>2866</v>
      </c>
      <c r="AB112" s="43">
        <v>998852</v>
      </c>
      <c r="AC112" s="43" t="s">
        <v>2867</v>
      </c>
      <c r="AD112" s="43">
        <v>1</v>
      </c>
      <c r="AE112" s="43">
        <v>123.2</v>
      </c>
      <c r="AF112" s="43" t="s">
        <v>2868</v>
      </c>
    </row>
    <row r="113" spans="1:32" x14ac:dyDescent="0.25">
      <c r="A113" s="43" t="s">
        <v>3275</v>
      </c>
      <c r="B113" s="43" t="s">
        <v>1060</v>
      </c>
      <c r="C113" s="43" t="s">
        <v>3065</v>
      </c>
      <c r="D113" s="43" t="s">
        <v>3309</v>
      </c>
      <c r="E113" s="43" t="s">
        <v>3066</v>
      </c>
      <c r="F113" s="43" t="s">
        <v>3309</v>
      </c>
      <c r="G113" s="43" t="s">
        <v>3275</v>
      </c>
      <c r="H113" s="43" t="s">
        <v>893</v>
      </c>
      <c r="I113" s="43" t="s">
        <v>897</v>
      </c>
      <c r="J113" s="43" t="s">
        <v>897</v>
      </c>
      <c r="K113" s="43" t="s">
        <v>3067</v>
      </c>
      <c r="L113" s="43" t="s">
        <v>896</v>
      </c>
      <c r="M113" s="43">
        <v>446.3</v>
      </c>
      <c r="N113" s="101">
        <v>46571.41</v>
      </c>
      <c r="O113" s="43" t="s">
        <v>3068</v>
      </c>
      <c r="P113" s="43">
        <v>0</v>
      </c>
      <c r="Q113" s="43">
        <v>0</v>
      </c>
      <c r="R113" s="43">
        <v>0</v>
      </c>
      <c r="S113" s="43">
        <v>0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 t="s">
        <v>2870</v>
      </c>
      <c r="AA113" s="43" t="s">
        <v>2866</v>
      </c>
      <c r="AB113" s="43">
        <v>998852</v>
      </c>
      <c r="AC113" s="43" t="s">
        <v>2867</v>
      </c>
      <c r="AD113" s="43">
        <v>1</v>
      </c>
      <c r="AE113" s="43">
        <v>446.3</v>
      </c>
      <c r="AF113" s="43" t="s">
        <v>2868</v>
      </c>
    </row>
    <row r="114" spans="1:32" x14ac:dyDescent="0.25">
      <c r="A114" s="43" t="s">
        <v>3275</v>
      </c>
      <c r="B114" s="43" t="s">
        <v>1060</v>
      </c>
      <c r="C114" s="43" t="s">
        <v>3065</v>
      </c>
      <c r="D114" s="43" t="s">
        <v>3309</v>
      </c>
      <c r="E114" s="43" t="s">
        <v>3066</v>
      </c>
      <c r="F114" s="43" t="s">
        <v>3309</v>
      </c>
      <c r="G114" s="43" t="s">
        <v>3275</v>
      </c>
      <c r="H114" s="43" t="s">
        <v>893</v>
      </c>
      <c r="I114" s="43" t="s">
        <v>897</v>
      </c>
      <c r="J114" s="43" t="s">
        <v>897</v>
      </c>
      <c r="K114" s="43" t="s">
        <v>3067</v>
      </c>
      <c r="L114" s="43" t="s">
        <v>896</v>
      </c>
      <c r="M114" s="101">
        <v>4994</v>
      </c>
      <c r="N114" s="43">
        <v>521123.9</v>
      </c>
      <c r="O114" s="43" t="s">
        <v>3068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 t="s">
        <v>2870</v>
      </c>
      <c r="AA114" s="43" t="s">
        <v>2866</v>
      </c>
      <c r="AB114" s="43">
        <v>998852</v>
      </c>
      <c r="AC114" s="43" t="s">
        <v>2867</v>
      </c>
      <c r="AD114" s="43">
        <v>1</v>
      </c>
      <c r="AE114" s="43">
        <v>4994</v>
      </c>
      <c r="AF114" s="43" t="s">
        <v>2868</v>
      </c>
    </row>
    <row r="115" spans="1:32" x14ac:dyDescent="0.25">
      <c r="A115" s="43" t="s">
        <v>3275</v>
      </c>
      <c r="B115" s="43" t="s">
        <v>1060</v>
      </c>
      <c r="C115" s="43" t="s">
        <v>3065</v>
      </c>
      <c r="D115" s="43" t="s">
        <v>3309</v>
      </c>
      <c r="E115" s="43" t="s">
        <v>3066</v>
      </c>
      <c r="F115" s="43" t="s">
        <v>3309</v>
      </c>
      <c r="G115" s="43" t="s">
        <v>3275</v>
      </c>
      <c r="H115" s="43" t="s">
        <v>893</v>
      </c>
      <c r="I115" s="43" t="s">
        <v>897</v>
      </c>
      <c r="J115" s="43" t="s">
        <v>897</v>
      </c>
      <c r="K115" s="43" t="s">
        <v>3067</v>
      </c>
      <c r="L115" s="43" t="s">
        <v>896</v>
      </c>
      <c r="M115" s="101">
        <v>4140.17</v>
      </c>
      <c r="N115" s="43">
        <v>432026.74</v>
      </c>
      <c r="O115" s="43" t="s">
        <v>3068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 t="s">
        <v>2870</v>
      </c>
      <c r="AA115" s="43" t="s">
        <v>2866</v>
      </c>
      <c r="AB115" s="43">
        <v>998852</v>
      </c>
      <c r="AC115" s="43" t="s">
        <v>2867</v>
      </c>
      <c r="AD115" s="43">
        <v>1</v>
      </c>
      <c r="AE115" s="43">
        <v>4140.17</v>
      </c>
      <c r="AF115" s="43" t="s">
        <v>2868</v>
      </c>
    </row>
    <row r="116" spans="1:32" x14ac:dyDescent="0.25">
      <c r="A116" s="43" t="s">
        <v>3275</v>
      </c>
      <c r="B116" s="43" t="s">
        <v>1060</v>
      </c>
      <c r="C116" s="43" t="s">
        <v>3065</v>
      </c>
      <c r="D116" s="43" t="s">
        <v>3309</v>
      </c>
      <c r="E116" s="43" t="s">
        <v>3066</v>
      </c>
      <c r="F116" s="43" t="s">
        <v>3309</v>
      </c>
      <c r="G116" s="43" t="s">
        <v>3275</v>
      </c>
      <c r="H116" s="43" t="s">
        <v>893</v>
      </c>
      <c r="I116" s="43" t="s">
        <v>897</v>
      </c>
      <c r="J116" s="43" t="s">
        <v>897</v>
      </c>
      <c r="K116" s="43" t="s">
        <v>3067</v>
      </c>
      <c r="L116" s="43" t="s">
        <v>896</v>
      </c>
      <c r="M116" s="101">
        <v>1250</v>
      </c>
      <c r="N116" s="43">
        <v>130437.5</v>
      </c>
      <c r="O116" s="43" t="s">
        <v>3068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43">
        <v>0</v>
      </c>
      <c r="Z116" s="43" t="s">
        <v>2870</v>
      </c>
      <c r="AA116" s="43" t="s">
        <v>2866</v>
      </c>
      <c r="AB116" s="43">
        <v>998852</v>
      </c>
      <c r="AC116" s="43" t="s">
        <v>2867</v>
      </c>
      <c r="AD116" s="43">
        <v>1</v>
      </c>
      <c r="AE116" s="43">
        <v>1250</v>
      </c>
      <c r="AF116" s="43" t="s">
        <v>2868</v>
      </c>
    </row>
    <row r="117" spans="1:32" x14ac:dyDescent="0.25">
      <c r="A117" s="43" t="s">
        <v>3275</v>
      </c>
      <c r="B117" s="43" t="s">
        <v>1060</v>
      </c>
      <c r="C117" s="43" t="s">
        <v>3065</v>
      </c>
      <c r="D117" s="43" t="s">
        <v>3309</v>
      </c>
      <c r="E117" s="43" t="s">
        <v>3066</v>
      </c>
      <c r="F117" s="43" t="s">
        <v>3309</v>
      </c>
      <c r="G117" s="43" t="s">
        <v>3275</v>
      </c>
      <c r="H117" s="43" t="s">
        <v>893</v>
      </c>
      <c r="I117" s="43" t="s">
        <v>897</v>
      </c>
      <c r="J117" s="43" t="s">
        <v>897</v>
      </c>
      <c r="K117" s="43" t="s">
        <v>3067</v>
      </c>
      <c r="L117" s="43" t="s">
        <v>896</v>
      </c>
      <c r="M117" s="101">
        <v>2000</v>
      </c>
      <c r="N117" s="43">
        <v>208700</v>
      </c>
      <c r="O117" s="43" t="s">
        <v>3068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 t="s">
        <v>2870</v>
      </c>
      <c r="AA117" s="43" t="s">
        <v>2866</v>
      </c>
      <c r="AB117" s="43">
        <v>998852</v>
      </c>
      <c r="AC117" s="43" t="s">
        <v>2867</v>
      </c>
      <c r="AD117" s="43">
        <v>1</v>
      </c>
      <c r="AE117" s="43">
        <v>2000</v>
      </c>
      <c r="AF117" s="43" t="s">
        <v>2868</v>
      </c>
    </row>
    <row r="118" spans="1:32" x14ac:dyDescent="0.25">
      <c r="A118" s="43" t="s">
        <v>3275</v>
      </c>
      <c r="B118" s="43" t="s">
        <v>1060</v>
      </c>
      <c r="C118" s="43" t="s">
        <v>3065</v>
      </c>
      <c r="D118" s="43" t="s">
        <v>3309</v>
      </c>
      <c r="E118" s="43" t="s">
        <v>3066</v>
      </c>
      <c r="F118" s="43" t="s">
        <v>3309</v>
      </c>
      <c r="G118" s="43" t="s">
        <v>3275</v>
      </c>
      <c r="H118" s="43" t="s">
        <v>893</v>
      </c>
      <c r="I118" s="43" t="s">
        <v>897</v>
      </c>
      <c r="J118" s="43" t="s">
        <v>897</v>
      </c>
      <c r="K118" s="43" t="s">
        <v>3067</v>
      </c>
      <c r="L118" s="43" t="s">
        <v>896</v>
      </c>
      <c r="M118" s="101">
        <v>1550</v>
      </c>
      <c r="N118" s="43">
        <v>161742.5</v>
      </c>
      <c r="O118" s="43" t="s">
        <v>3068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 t="s">
        <v>2870</v>
      </c>
      <c r="AA118" s="43" t="s">
        <v>2866</v>
      </c>
      <c r="AB118" s="43">
        <v>998852</v>
      </c>
      <c r="AC118" s="43" t="s">
        <v>2867</v>
      </c>
      <c r="AD118" s="43">
        <v>1</v>
      </c>
      <c r="AE118" s="43">
        <v>1550</v>
      </c>
      <c r="AF118" s="43" t="s">
        <v>2868</v>
      </c>
    </row>
    <row r="119" spans="1:32" x14ac:dyDescent="0.25">
      <c r="A119" s="43" t="s">
        <v>3275</v>
      </c>
      <c r="B119" s="43" t="s">
        <v>1060</v>
      </c>
      <c r="C119" s="43" t="s">
        <v>3065</v>
      </c>
      <c r="D119" s="43" t="s">
        <v>3309</v>
      </c>
      <c r="E119" s="43" t="s">
        <v>3066</v>
      </c>
      <c r="F119" s="43" t="s">
        <v>3309</v>
      </c>
      <c r="G119" s="43" t="s">
        <v>3275</v>
      </c>
      <c r="H119" s="43" t="s">
        <v>893</v>
      </c>
      <c r="I119" s="43" t="s">
        <v>897</v>
      </c>
      <c r="J119" s="43" t="s">
        <v>897</v>
      </c>
      <c r="K119" s="43" t="s">
        <v>3067</v>
      </c>
      <c r="L119" s="43" t="s">
        <v>896</v>
      </c>
      <c r="M119" s="43">
        <v>58.1</v>
      </c>
      <c r="N119" s="101">
        <v>6062.74</v>
      </c>
      <c r="O119" s="43" t="s">
        <v>3068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 t="s">
        <v>2870</v>
      </c>
      <c r="AA119" s="43" t="s">
        <v>2866</v>
      </c>
      <c r="AB119" s="43">
        <v>998852</v>
      </c>
      <c r="AC119" s="43" t="s">
        <v>2867</v>
      </c>
      <c r="AD119" s="43">
        <v>1</v>
      </c>
      <c r="AE119" s="43">
        <v>58.1</v>
      </c>
      <c r="AF119" s="43" t="s">
        <v>2868</v>
      </c>
    </row>
    <row r="120" spans="1:32" x14ac:dyDescent="0.25">
      <c r="A120" s="43" t="s">
        <v>3275</v>
      </c>
      <c r="B120" s="43" t="s">
        <v>1060</v>
      </c>
      <c r="C120" s="43" t="s">
        <v>3065</v>
      </c>
      <c r="D120" s="43" t="s">
        <v>3309</v>
      </c>
      <c r="E120" s="43" t="s">
        <v>3066</v>
      </c>
      <c r="F120" s="43" t="s">
        <v>3309</v>
      </c>
      <c r="G120" s="43" t="s">
        <v>3275</v>
      </c>
      <c r="H120" s="43" t="s">
        <v>893</v>
      </c>
      <c r="I120" s="43" t="s">
        <v>897</v>
      </c>
      <c r="J120" s="43" t="s">
        <v>897</v>
      </c>
      <c r="K120" s="43" t="s">
        <v>3067</v>
      </c>
      <c r="L120" s="43" t="s">
        <v>896</v>
      </c>
      <c r="M120" s="43">
        <v>29.7</v>
      </c>
      <c r="N120" s="101">
        <v>3099.2</v>
      </c>
      <c r="O120" s="43" t="s">
        <v>3068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 t="s">
        <v>2870</v>
      </c>
      <c r="AA120" s="43" t="s">
        <v>2866</v>
      </c>
      <c r="AB120" s="43">
        <v>998852</v>
      </c>
      <c r="AC120" s="43" t="s">
        <v>2867</v>
      </c>
      <c r="AD120" s="43">
        <v>1</v>
      </c>
      <c r="AE120" s="43">
        <v>29.7</v>
      </c>
      <c r="AF120" s="43" t="s">
        <v>2868</v>
      </c>
    </row>
    <row r="121" spans="1:32" x14ac:dyDescent="0.25">
      <c r="A121" s="43" t="s">
        <v>3275</v>
      </c>
      <c r="B121" s="43" t="s">
        <v>1060</v>
      </c>
      <c r="C121" s="43" t="s">
        <v>3065</v>
      </c>
      <c r="D121" s="43" t="s">
        <v>3309</v>
      </c>
      <c r="E121" s="43" t="s">
        <v>3066</v>
      </c>
      <c r="F121" s="43" t="s">
        <v>3309</v>
      </c>
      <c r="G121" s="43" t="s">
        <v>3275</v>
      </c>
      <c r="H121" s="43" t="s">
        <v>893</v>
      </c>
      <c r="I121" s="43" t="s">
        <v>897</v>
      </c>
      <c r="J121" s="43" t="s">
        <v>897</v>
      </c>
      <c r="K121" s="43" t="s">
        <v>3067</v>
      </c>
      <c r="L121" s="43" t="s">
        <v>896</v>
      </c>
      <c r="M121" s="43">
        <v>256.3</v>
      </c>
      <c r="N121" s="101">
        <v>26744.91</v>
      </c>
      <c r="O121" s="43" t="s">
        <v>3068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 t="s">
        <v>2870</v>
      </c>
      <c r="AA121" s="43" t="s">
        <v>2866</v>
      </c>
      <c r="AB121" s="43">
        <v>998852</v>
      </c>
      <c r="AC121" s="43" t="s">
        <v>2867</v>
      </c>
      <c r="AD121" s="43">
        <v>1</v>
      </c>
      <c r="AE121" s="43">
        <v>256.3</v>
      </c>
      <c r="AF121" s="43" t="s">
        <v>2868</v>
      </c>
    </row>
    <row r="122" spans="1:32" x14ac:dyDescent="0.25">
      <c r="A122" s="43" t="s">
        <v>3275</v>
      </c>
      <c r="B122" s="43" t="s">
        <v>1060</v>
      </c>
      <c r="C122" s="43" t="s">
        <v>3065</v>
      </c>
      <c r="D122" s="43" t="s">
        <v>3309</v>
      </c>
      <c r="E122" s="43" t="s">
        <v>3066</v>
      </c>
      <c r="F122" s="43" t="s">
        <v>3309</v>
      </c>
      <c r="G122" s="43" t="s">
        <v>3275</v>
      </c>
      <c r="H122" s="43" t="s">
        <v>893</v>
      </c>
      <c r="I122" s="43" t="s">
        <v>897</v>
      </c>
      <c r="J122" s="43" t="s">
        <v>897</v>
      </c>
      <c r="K122" s="43" t="s">
        <v>3067</v>
      </c>
      <c r="L122" s="43" t="s">
        <v>896</v>
      </c>
      <c r="M122" s="101">
        <v>2651.1</v>
      </c>
      <c r="N122" s="43">
        <v>276642.28999999998</v>
      </c>
      <c r="O122" s="43" t="s">
        <v>3068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 t="s">
        <v>2870</v>
      </c>
      <c r="AA122" s="43" t="s">
        <v>2866</v>
      </c>
      <c r="AB122" s="43">
        <v>998852</v>
      </c>
      <c r="AC122" s="43" t="s">
        <v>2867</v>
      </c>
      <c r="AD122" s="43">
        <v>1</v>
      </c>
      <c r="AE122" s="43">
        <v>2651.1</v>
      </c>
      <c r="AF122" s="43" t="s">
        <v>2868</v>
      </c>
    </row>
    <row r="123" spans="1:32" x14ac:dyDescent="0.25">
      <c r="A123" s="43" t="s">
        <v>3275</v>
      </c>
      <c r="B123" s="43" t="s">
        <v>1060</v>
      </c>
      <c r="C123" s="43" t="s">
        <v>3065</v>
      </c>
      <c r="D123" s="43" t="s">
        <v>3309</v>
      </c>
      <c r="E123" s="43" t="s">
        <v>3066</v>
      </c>
      <c r="F123" s="43" t="s">
        <v>3309</v>
      </c>
      <c r="G123" s="43" t="s">
        <v>3275</v>
      </c>
      <c r="H123" s="43" t="s">
        <v>893</v>
      </c>
      <c r="I123" s="43" t="s">
        <v>897</v>
      </c>
      <c r="J123" s="43" t="s">
        <v>897</v>
      </c>
      <c r="K123" s="43" t="s">
        <v>3067</v>
      </c>
      <c r="L123" s="43" t="s">
        <v>896</v>
      </c>
      <c r="M123" s="101">
        <v>3300.6</v>
      </c>
      <c r="N123" s="43">
        <v>344417.61</v>
      </c>
      <c r="O123" s="43" t="s">
        <v>3068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 t="s">
        <v>2870</v>
      </c>
      <c r="AA123" s="43" t="s">
        <v>2866</v>
      </c>
      <c r="AB123" s="43">
        <v>998852</v>
      </c>
      <c r="AC123" s="43" t="s">
        <v>2867</v>
      </c>
      <c r="AD123" s="43">
        <v>1</v>
      </c>
      <c r="AE123" s="43">
        <v>3300.6</v>
      </c>
      <c r="AF123" s="43" t="s">
        <v>2868</v>
      </c>
    </row>
    <row r="124" spans="1:32" x14ac:dyDescent="0.25">
      <c r="A124" s="43" t="s">
        <v>3275</v>
      </c>
      <c r="B124" s="43" t="s">
        <v>1060</v>
      </c>
      <c r="C124" s="43" t="s">
        <v>3065</v>
      </c>
      <c r="D124" s="43" t="s">
        <v>3309</v>
      </c>
      <c r="E124" s="43" t="s">
        <v>3066</v>
      </c>
      <c r="F124" s="43" t="s">
        <v>3309</v>
      </c>
      <c r="G124" s="43" t="s">
        <v>3275</v>
      </c>
      <c r="H124" s="43" t="s">
        <v>893</v>
      </c>
      <c r="I124" s="43" t="s">
        <v>897</v>
      </c>
      <c r="J124" s="43" t="s">
        <v>897</v>
      </c>
      <c r="K124" s="43" t="s">
        <v>3067</v>
      </c>
      <c r="L124" s="43" t="s">
        <v>896</v>
      </c>
      <c r="M124" s="101">
        <v>1068</v>
      </c>
      <c r="N124" s="43">
        <v>111445.8</v>
      </c>
      <c r="O124" s="43" t="s">
        <v>3068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 t="s">
        <v>2870</v>
      </c>
      <c r="AA124" s="43" t="s">
        <v>2866</v>
      </c>
      <c r="AB124" s="43">
        <v>998852</v>
      </c>
      <c r="AC124" s="43" t="s">
        <v>2867</v>
      </c>
      <c r="AD124" s="43">
        <v>1</v>
      </c>
      <c r="AE124" s="43">
        <v>1068</v>
      </c>
      <c r="AF124" s="43" t="s">
        <v>2868</v>
      </c>
    </row>
    <row r="125" spans="1:32" x14ac:dyDescent="0.25">
      <c r="A125" s="43" t="s">
        <v>3275</v>
      </c>
      <c r="B125" s="43" t="s">
        <v>1060</v>
      </c>
      <c r="C125" s="43" t="s">
        <v>3065</v>
      </c>
      <c r="D125" s="43" t="s">
        <v>3309</v>
      </c>
      <c r="E125" s="43" t="s">
        <v>3066</v>
      </c>
      <c r="F125" s="43" t="s">
        <v>3309</v>
      </c>
      <c r="G125" s="43" t="s">
        <v>3275</v>
      </c>
      <c r="H125" s="43" t="s">
        <v>893</v>
      </c>
      <c r="I125" s="43" t="s">
        <v>897</v>
      </c>
      <c r="J125" s="43" t="s">
        <v>897</v>
      </c>
      <c r="K125" s="43" t="s">
        <v>3067</v>
      </c>
      <c r="L125" s="43" t="s">
        <v>896</v>
      </c>
      <c r="M125" s="101">
        <v>1480</v>
      </c>
      <c r="N125" s="43">
        <v>154438</v>
      </c>
      <c r="O125" s="43" t="s">
        <v>3068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 t="s">
        <v>2870</v>
      </c>
      <c r="AA125" s="43" t="s">
        <v>2866</v>
      </c>
      <c r="AB125" s="43">
        <v>998852</v>
      </c>
      <c r="AC125" s="43" t="s">
        <v>2867</v>
      </c>
      <c r="AD125" s="43">
        <v>1</v>
      </c>
      <c r="AE125" s="43">
        <v>1480</v>
      </c>
      <c r="AF125" s="43" t="s">
        <v>2868</v>
      </c>
    </row>
    <row r="126" spans="1:32" x14ac:dyDescent="0.25">
      <c r="A126" s="43" t="s">
        <v>3275</v>
      </c>
      <c r="B126" s="43" t="s">
        <v>1060</v>
      </c>
      <c r="C126" s="43" t="s">
        <v>3065</v>
      </c>
      <c r="D126" s="43" t="s">
        <v>3309</v>
      </c>
      <c r="E126" s="43" t="s">
        <v>3066</v>
      </c>
      <c r="F126" s="43" t="s">
        <v>3309</v>
      </c>
      <c r="G126" s="43" t="s">
        <v>3275</v>
      </c>
      <c r="H126" s="43" t="s">
        <v>893</v>
      </c>
      <c r="I126" s="43" t="s">
        <v>897</v>
      </c>
      <c r="J126" s="43" t="s">
        <v>897</v>
      </c>
      <c r="K126" s="43" t="s">
        <v>3067</v>
      </c>
      <c r="L126" s="43" t="s">
        <v>896</v>
      </c>
      <c r="M126" s="101">
        <v>1761.1</v>
      </c>
      <c r="N126" s="43">
        <v>183770.79</v>
      </c>
      <c r="O126" s="43" t="s">
        <v>3068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 t="s">
        <v>2870</v>
      </c>
      <c r="AA126" s="43" t="s">
        <v>2866</v>
      </c>
      <c r="AB126" s="43">
        <v>998852</v>
      </c>
      <c r="AC126" s="43" t="s">
        <v>2867</v>
      </c>
      <c r="AD126" s="43">
        <v>1</v>
      </c>
      <c r="AE126" s="43">
        <v>1761.1</v>
      </c>
      <c r="AF126" s="43" t="s">
        <v>2868</v>
      </c>
    </row>
    <row r="127" spans="1:32" x14ac:dyDescent="0.25">
      <c r="A127" s="43" t="s">
        <v>3275</v>
      </c>
      <c r="B127" s="43" t="s">
        <v>1060</v>
      </c>
      <c r="C127" s="43" t="s">
        <v>3065</v>
      </c>
      <c r="D127" s="43" t="s">
        <v>3309</v>
      </c>
      <c r="E127" s="43" t="s">
        <v>3066</v>
      </c>
      <c r="F127" s="43" t="s">
        <v>3309</v>
      </c>
      <c r="G127" s="43" t="s">
        <v>3275</v>
      </c>
      <c r="H127" s="43" t="s">
        <v>893</v>
      </c>
      <c r="I127" s="43" t="s">
        <v>897</v>
      </c>
      <c r="J127" s="43" t="s">
        <v>897</v>
      </c>
      <c r="K127" s="43" t="s">
        <v>3067</v>
      </c>
      <c r="L127" s="43" t="s">
        <v>896</v>
      </c>
      <c r="M127" s="43">
        <v>55.7</v>
      </c>
      <c r="N127" s="101">
        <v>5812.3</v>
      </c>
      <c r="O127" s="43" t="s">
        <v>3068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 t="s">
        <v>2870</v>
      </c>
      <c r="AA127" s="43" t="s">
        <v>2866</v>
      </c>
      <c r="AB127" s="43">
        <v>998852</v>
      </c>
      <c r="AC127" s="43" t="s">
        <v>2867</v>
      </c>
      <c r="AD127" s="43">
        <v>1</v>
      </c>
      <c r="AE127" s="43">
        <v>55.7</v>
      </c>
      <c r="AF127" s="43" t="s">
        <v>2868</v>
      </c>
    </row>
    <row r="128" spans="1:32" x14ac:dyDescent="0.25">
      <c r="A128" s="43" t="s">
        <v>3275</v>
      </c>
      <c r="B128" s="43" t="s">
        <v>1060</v>
      </c>
      <c r="C128" s="43" t="s">
        <v>3065</v>
      </c>
      <c r="D128" s="43" t="s">
        <v>3309</v>
      </c>
      <c r="E128" s="43" t="s">
        <v>3066</v>
      </c>
      <c r="F128" s="43" t="s">
        <v>3309</v>
      </c>
      <c r="G128" s="43" t="s">
        <v>3275</v>
      </c>
      <c r="H128" s="43" t="s">
        <v>893</v>
      </c>
      <c r="I128" s="43" t="s">
        <v>897</v>
      </c>
      <c r="J128" s="43" t="s">
        <v>897</v>
      </c>
      <c r="K128" s="43" t="s">
        <v>3067</v>
      </c>
      <c r="L128" s="43" t="s">
        <v>896</v>
      </c>
      <c r="M128" s="43">
        <v>100</v>
      </c>
      <c r="N128" s="101">
        <v>10435</v>
      </c>
      <c r="O128" s="43" t="s">
        <v>3068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 t="s">
        <v>2870</v>
      </c>
      <c r="AA128" s="43" t="s">
        <v>2866</v>
      </c>
      <c r="AB128" s="43">
        <v>998852</v>
      </c>
      <c r="AC128" s="43" t="s">
        <v>2867</v>
      </c>
      <c r="AD128" s="43">
        <v>1</v>
      </c>
      <c r="AE128" s="43">
        <v>100</v>
      </c>
      <c r="AF128" s="43" t="s">
        <v>2868</v>
      </c>
    </row>
    <row r="129" spans="1:32" x14ac:dyDescent="0.25">
      <c r="A129" s="43" t="s">
        <v>3275</v>
      </c>
      <c r="B129" s="43" t="s">
        <v>1060</v>
      </c>
      <c r="C129" s="43" t="s">
        <v>3065</v>
      </c>
      <c r="D129" s="43" t="s">
        <v>3309</v>
      </c>
      <c r="E129" s="43" t="s">
        <v>3066</v>
      </c>
      <c r="F129" s="43" t="s">
        <v>3309</v>
      </c>
      <c r="G129" s="43" t="s">
        <v>3275</v>
      </c>
      <c r="H129" s="43" t="s">
        <v>893</v>
      </c>
      <c r="I129" s="43" t="s">
        <v>897</v>
      </c>
      <c r="J129" s="43" t="s">
        <v>897</v>
      </c>
      <c r="K129" s="43" t="s">
        <v>3067</v>
      </c>
      <c r="L129" s="43" t="s">
        <v>896</v>
      </c>
      <c r="M129" s="101">
        <v>4075</v>
      </c>
      <c r="N129" s="43">
        <v>425226.25</v>
      </c>
      <c r="O129" s="43" t="s">
        <v>3068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 t="s">
        <v>2870</v>
      </c>
      <c r="AA129" s="43" t="s">
        <v>2866</v>
      </c>
      <c r="AB129" s="43">
        <v>998852</v>
      </c>
      <c r="AC129" s="43" t="s">
        <v>2867</v>
      </c>
      <c r="AD129" s="43">
        <v>1</v>
      </c>
      <c r="AE129" s="43">
        <v>4075</v>
      </c>
      <c r="AF129" s="43" t="s">
        <v>2868</v>
      </c>
    </row>
    <row r="130" spans="1:32" x14ac:dyDescent="0.25">
      <c r="A130" s="43" t="s">
        <v>3275</v>
      </c>
      <c r="B130" s="43" t="s">
        <v>1060</v>
      </c>
      <c r="C130" s="43" t="s">
        <v>3065</v>
      </c>
      <c r="D130" s="43" t="s">
        <v>3309</v>
      </c>
      <c r="E130" s="43" t="s">
        <v>3066</v>
      </c>
      <c r="F130" s="43" t="s">
        <v>3309</v>
      </c>
      <c r="G130" s="43" t="s">
        <v>3275</v>
      </c>
      <c r="H130" s="43" t="s">
        <v>893</v>
      </c>
      <c r="I130" s="43" t="s">
        <v>897</v>
      </c>
      <c r="J130" s="43" t="s">
        <v>897</v>
      </c>
      <c r="K130" s="43" t="s">
        <v>3067</v>
      </c>
      <c r="L130" s="43" t="s">
        <v>896</v>
      </c>
      <c r="M130" s="101">
        <v>2653.5</v>
      </c>
      <c r="N130" s="43">
        <v>276892.73</v>
      </c>
      <c r="O130" s="43" t="s">
        <v>3068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 t="s">
        <v>2870</v>
      </c>
      <c r="AA130" s="43" t="s">
        <v>2866</v>
      </c>
      <c r="AB130" s="43">
        <v>998852</v>
      </c>
      <c r="AC130" s="43" t="s">
        <v>2867</v>
      </c>
      <c r="AD130" s="43">
        <v>1</v>
      </c>
      <c r="AE130" s="43">
        <v>2653.5</v>
      </c>
      <c r="AF130" s="43" t="s">
        <v>2868</v>
      </c>
    </row>
    <row r="131" spans="1:32" x14ac:dyDescent="0.25">
      <c r="A131" s="43" t="s">
        <v>3275</v>
      </c>
      <c r="B131" s="43" t="s">
        <v>1060</v>
      </c>
      <c r="C131" s="43" t="s">
        <v>3065</v>
      </c>
      <c r="D131" s="43" t="s">
        <v>3309</v>
      </c>
      <c r="E131" s="43" t="s">
        <v>3066</v>
      </c>
      <c r="F131" s="43" t="s">
        <v>3309</v>
      </c>
      <c r="G131" s="43" t="s">
        <v>3275</v>
      </c>
      <c r="H131" s="43" t="s">
        <v>893</v>
      </c>
      <c r="I131" s="43" t="s">
        <v>897</v>
      </c>
      <c r="J131" s="43" t="s">
        <v>897</v>
      </c>
      <c r="K131" s="43" t="s">
        <v>3067</v>
      </c>
      <c r="L131" s="43" t="s">
        <v>896</v>
      </c>
      <c r="M131" s="101">
        <v>2474</v>
      </c>
      <c r="N131" s="43">
        <v>258161.9</v>
      </c>
      <c r="O131" s="43" t="s">
        <v>3068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 t="s">
        <v>2870</v>
      </c>
      <c r="AA131" s="43" t="s">
        <v>2866</v>
      </c>
      <c r="AB131" s="43">
        <v>998852</v>
      </c>
      <c r="AC131" s="43" t="s">
        <v>2867</v>
      </c>
      <c r="AD131" s="43">
        <v>1</v>
      </c>
      <c r="AE131" s="43">
        <v>2474</v>
      </c>
      <c r="AF131" s="43" t="s">
        <v>2868</v>
      </c>
    </row>
    <row r="132" spans="1:32" x14ac:dyDescent="0.25">
      <c r="A132" s="43" t="s">
        <v>3275</v>
      </c>
      <c r="B132" s="43" t="s">
        <v>1060</v>
      </c>
      <c r="C132" s="43" t="s">
        <v>3065</v>
      </c>
      <c r="D132" s="43" t="s">
        <v>3309</v>
      </c>
      <c r="E132" s="43" t="s">
        <v>3066</v>
      </c>
      <c r="F132" s="43" t="s">
        <v>3309</v>
      </c>
      <c r="G132" s="43" t="s">
        <v>3275</v>
      </c>
      <c r="H132" s="43" t="s">
        <v>893</v>
      </c>
      <c r="I132" s="43" t="s">
        <v>897</v>
      </c>
      <c r="J132" s="43" t="s">
        <v>897</v>
      </c>
      <c r="K132" s="43" t="s">
        <v>3067</v>
      </c>
      <c r="L132" s="43" t="s">
        <v>896</v>
      </c>
      <c r="M132" s="43">
        <v>716.1</v>
      </c>
      <c r="N132" s="101">
        <v>74725.039999999994</v>
      </c>
      <c r="O132" s="43" t="s">
        <v>3068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 t="s">
        <v>2870</v>
      </c>
      <c r="AA132" s="43" t="s">
        <v>2866</v>
      </c>
      <c r="AB132" s="43">
        <v>998852</v>
      </c>
      <c r="AC132" s="43" t="s">
        <v>2867</v>
      </c>
      <c r="AD132" s="43">
        <v>1</v>
      </c>
      <c r="AE132" s="43">
        <v>716.1</v>
      </c>
      <c r="AF132" s="43" t="s">
        <v>2868</v>
      </c>
    </row>
    <row r="133" spans="1:32" x14ac:dyDescent="0.25">
      <c r="A133" s="43" t="s">
        <v>3275</v>
      </c>
      <c r="B133" s="43" t="s">
        <v>1060</v>
      </c>
      <c r="C133" s="43" t="s">
        <v>3065</v>
      </c>
      <c r="D133" s="43" t="s">
        <v>3309</v>
      </c>
      <c r="E133" s="43" t="s">
        <v>3066</v>
      </c>
      <c r="F133" s="43" t="s">
        <v>3309</v>
      </c>
      <c r="G133" s="43" t="s">
        <v>3275</v>
      </c>
      <c r="H133" s="43" t="s">
        <v>893</v>
      </c>
      <c r="I133" s="43" t="s">
        <v>897</v>
      </c>
      <c r="J133" s="43" t="s">
        <v>897</v>
      </c>
      <c r="K133" s="43" t="s">
        <v>3067</v>
      </c>
      <c r="L133" s="43" t="s">
        <v>896</v>
      </c>
      <c r="M133" s="101">
        <v>2060</v>
      </c>
      <c r="N133" s="43">
        <v>214961</v>
      </c>
      <c r="O133" s="43" t="s">
        <v>3068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 t="s">
        <v>2870</v>
      </c>
      <c r="AA133" s="43" t="s">
        <v>2866</v>
      </c>
      <c r="AB133" s="43">
        <v>998852</v>
      </c>
      <c r="AC133" s="43" t="s">
        <v>2867</v>
      </c>
      <c r="AD133" s="43">
        <v>1</v>
      </c>
      <c r="AE133" s="43">
        <v>2060</v>
      </c>
      <c r="AF133" s="43" t="s">
        <v>2868</v>
      </c>
    </row>
    <row r="134" spans="1:32" x14ac:dyDescent="0.25">
      <c r="A134" s="43" t="s">
        <v>3275</v>
      </c>
      <c r="B134" s="43" t="s">
        <v>1060</v>
      </c>
      <c r="C134" s="43" t="s">
        <v>3065</v>
      </c>
      <c r="D134" s="43" t="s">
        <v>3309</v>
      </c>
      <c r="E134" s="43" t="s">
        <v>3066</v>
      </c>
      <c r="F134" s="43" t="s">
        <v>3309</v>
      </c>
      <c r="G134" s="43" t="s">
        <v>3275</v>
      </c>
      <c r="H134" s="43" t="s">
        <v>893</v>
      </c>
      <c r="I134" s="43" t="s">
        <v>897</v>
      </c>
      <c r="J134" s="43" t="s">
        <v>897</v>
      </c>
      <c r="K134" s="43" t="s">
        <v>3067</v>
      </c>
      <c r="L134" s="43" t="s">
        <v>896</v>
      </c>
      <c r="M134" s="43">
        <v>178</v>
      </c>
      <c r="N134" s="101">
        <v>18574.3</v>
      </c>
      <c r="O134" s="43" t="s">
        <v>3068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 t="s">
        <v>2870</v>
      </c>
      <c r="AA134" s="43" t="s">
        <v>2866</v>
      </c>
      <c r="AB134" s="43">
        <v>998852</v>
      </c>
      <c r="AC134" s="43" t="s">
        <v>2867</v>
      </c>
      <c r="AD134" s="43">
        <v>1</v>
      </c>
      <c r="AE134" s="43">
        <v>178</v>
      </c>
      <c r="AF134" s="43" t="s">
        <v>2868</v>
      </c>
    </row>
    <row r="135" spans="1:32" x14ac:dyDescent="0.25">
      <c r="A135" s="43" t="s">
        <v>3275</v>
      </c>
      <c r="B135" s="43" t="s">
        <v>1060</v>
      </c>
      <c r="C135" s="43" t="s">
        <v>3065</v>
      </c>
      <c r="D135" s="43" t="s">
        <v>3309</v>
      </c>
      <c r="E135" s="43" t="s">
        <v>3066</v>
      </c>
      <c r="F135" s="43" t="s">
        <v>3309</v>
      </c>
      <c r="G135" s="43" t="s">
        <v>3275</v>
      </c>
      <c r="H135" s="43" t="s">
        <v>893</v>
      </c>
      <c r="I135" s="43" t="s">
        <v>897</v>
      </c>
      <c r="J135" s="43" t="s">
        <v>897</v>
      </c>
      <c r="K135" s="43" t="s">
        <v>3067</v>
      </c>
      <c r="L135" s="43" t="s">
        <v>896</v>
      </c>
      <c r="M135" s="101">
        <v>1414</v>
      </c>
      <c r="N135" s="43">
        <v>147550.9</v>
      </c>
      <c r="O135" s="43" t="s">
        <v>3068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 t="s">
        <v>2870</v>
      </c>
      <c r="AA135" s="43" t="s">
        <v>2866</v>
      </c>
      <c r="AB135" s="43">
        <v>998852</v>
      </c>
      <c r="AC135" s="43" t="s">
        <v>2867</v>
      </c>
      <c r="AD135" s="43">
        <v>1</v>
      </c>
      <c r="AE135" s="43">
        <v>1414</v>
      </c>
      <c r="AF135" s="43" t="s">
        <v>2868</v>
      </c>
    </row>
    <row r="136" spans="1:32" x14ac:dyDescent="0.25">
      <c r="A136" s="43" t="s">
        <v>3275</v>
      </c>
      <c r="B136" s="43" t="s">
        <v>1060</v>
      </c>
      <c r="C136" s="43" t="s">
        <v>3065</v>
      </c>
      <c r="D136" s="43" t="s">
        <v>3309</v>
      </c>
      <c r="E136" s="43" t="s">
        <v>3066</v>
      </c>
      <c r="F136" s="43" t="s">
        <v>3309</v>
      </c>
      <c r="G136" s="43" t="s">
        <v>3275</v>
      </c>
      <c r="H136" s="43" t="s">
        <v>893</v>
      </c>
      <c r="I136" s="43" t="s">
        <v>897</v>
      </c>
      <c r="J136" s="43" t="s">
        <v>897</v>
      </c>
      <c r="K136" s="43" t="s">
        <v>3067</v>
      </c>
      <c r="L136" s="43" t="s">
        <v>896</v>
      </c>
      <c r="M136" s="101">
        <v>1943</v>
      </c>
      <c r="N136" s="43">
        <v>202752.05</v>
      </c>
      <c r="O136" s="43" t="s">
        <v>3068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 t="s">
        <v>2870</v>
      </c>
      <c r="AA136" s="43" t="s">
        <v>2866</v>
      </c>
      <c r="AB136" s="43">
        <v>998852</v>
      </c>
      <c r="AC136" s="43" t="s">
        <v>2867</v>
      </c>
      <c r="AD136" s="43">
        <v>1</v>
      </c>
      <c r="AE136" s="43">
        <v>1943</v>
      </c>
      <c r="AF136" s="43" t="s">
        <v>2868</v>
      </c>
    </row>
    <row r="137" spans="1:32" x14ac:dyDescent="0.25">
      <c r="A137" s="43" t="s">
        <v>3275</v>
      </c>
      <c r="B137" s="43" t="s">
        <v>1060</v>
      </c>
      <c r="C137" s="43" t="s">
        <v>3065</v>
      </c>
      <c r="D137" s="43" t="s">
        <v>3309</v>
      </c>
      <c r="E137" s="43" t="s">
        <v>3066</v>
      </c>
      <c r="F137" s="43" t="s">
        <v>3309</v>
      </c>
      <c r="G137" s="43" t="s">
        <v>3275</v>
      </c>
      <c r="H137" s="43" t="s">
        <v>893</v>
      </c>
      <c r="I137" s="43" t="s">
        <v>897</v>
      </c>
      <c r="J137" s="43" t="s">
        <v>897</v>
      </c>
      <c r="K137" s="43" t="s">
        <v>3067</v>
      </c>
      <c r="L137" s="43" t="s">
        <v>896</v>
      </c>
      <c r="M137" s="101">
        <v>3543</v>
      </c>
      <c r="N137" s="43">
        <v>369712.05</v>
      </c>
      <c r="O137" s="43" t="s">
        <v>3068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 t="s">
        <v>2870</v>
      </c>
      <c r="AA137" s="43" t="s">
        <v>2866</v>
      </c>
      <c r="AB137" s="43">
        <v>998852</v>
      </c>
      <c r="AC137" s="43" t="s">
        <v>2867</v>
      </c>
      <c r="AD137" s="43">
        <v>1</v>
      </c>
      <c r="AE137" s="43">
        <v>3543</v>
      </c>
      <c r="AF137" s="43" t="s">
        <v>2868</v>
      </c>
    </row>
    <row r="138" spans="1:32" x14ac:dyDescent="0.25">
      <c r="A138" s="43" t="s">
        <v>3275</v>
      </c>
      <c r="B138" s="43" t="s">
        <v>1060</v>
      </c>
      <c r="C138" s="43" t="s">
        <v>3065</v>
      </c>
      <c r="D138" s="43" t="s">
        <v>3309</v>
      </c>
      <c r="E138" s="43" t="s">
        <v>3066</v>
      </c>
      <c r="F138" s="43" t="s">
        <v>3309</v>
      </c>
      <c r="G138" s="43" t="s">
        <v>3275</v>
      </c>
      <c r="H138" s="43" t="s">
        <v>893</v>
      </c>
      <c r="I138" s="43" t="s">
        <v>897</v>
      </c>
      <c r="J138" s="43" t="s">
        <v>897</v>
      </c>
      <c r="K138" s="43" t="s">
        <v>3067</v>
      </c>
      <c r="L138" s="43" t="s">
        <v>896</v>
      </c>
      <c r="M138" s="43">
        <v>564</v>
      </c>
      <c r="N138" s="101">
        <v>58853.4</v>
      </c>
      <c r="O138" s="43" t="s">
        <v>3068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 t="s">
        <v>2870</v>
      </c>
      <c r="AA138" s="43" t="s">
        <v>2866</v>
      </c>
      <c r="AB138" s="43">
        <v>998852</v>
      </c>
      <c r="AC138" s="43" t="s">
        <v>2867</v>
      </c>
      <c r="AD138" s="43">
        <v>1</v>
      </c>
      <c r="AE138" s="43">
        <v>564</v>
      </c>
      <c r="AF138" s="43" t="s">
        <v>2868</v>
      </c>
    </row>
    <row r="139" spans="1:32" x14ac:dyDescent="0.25">
      <c r="A139" s="43" t="s">
        <v>3275</v>
      </c>
      <c r="B139" s="43" t="s">
        <v>1060</v>
      </c>
      <c r="C139" s="43" t="s">
        <v>3065</v>
      </c>
      <c r="D139" s="43" t="s">
        <v>3309</v>
      </c>
      <c r="E139" s="43" t="s">
        <v>3066</v>
      </c>
      <c r="F139" s="43" t="s">
        <v>3309</v>
      </c>
      <c r="G139" s="43" t="s">
        <v>3275</v>
      </c>
      <c r="H139" s="43" t="s">
        <v>893</v>
      </c>
      <c r="I139" s="43" t="s">
        <v>897</v>
      </c>
      <c r="J139" s="43" t="s">
        <v>897</v>
      </c>
      <c r="K139" s="43" t="s">
        <v>3067</v>
      </c>
      <c r="L139" s="43" t="s">
        <v>896</v>
      </c>
      <c r="M139" s="101">
        <v>1207</v>
      </c>
      <c r="N139" s="43">
        <v>125950.45</v>
      </c>
      <c r="O139" s="43" t="s">
        <v>3068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 t="s">
        <v>2870</v>
      </c>
      <c r="AA139" s="43" t="s">
        <v>2866</v>
      </c>
      <c r="AB139" s="43">
        <v>998852</v>
      </c>
      <c r="AC139" s="43" t="s">
        <v>2867</v>
      </c>
      <c r="AD139" s="43">
        <v>1</v>
      </c>
      <c r="AE139" s="43">
        <v>1207</v>
      </c>
      <c r="AF139" s="43" t="s">
        <v>2868</v>
      </c>
    </row>
    <row r="140" spans="1:32" x14ac:dyDescent="0.25">
      <c r="A140" s="43" t="s">
        <v>3275</v>
      </c>
      <c r="B140" s="43" t="s">
        <v>1060</v>
      </c>
      <c r="C140" s="43" t="s">
        <v>3065</v>
      </c>
      <c r="D140" s="43" t="s">
        <v>3309</v>
      </c>
      <c r="E140" s="43" t="s">
        <v>3066</v>
      </c>
      <c r="F140" s="43" t="s">
        <v>3309</v>
      </c>
      <c r="G140" s="43" t="s">
        <v>3275</v>
      </c>
      <c r="H140" s="43" t="s">
        <v>893</v>
      </c>
      <c r="I140" s="43" t="s">
        <v>897</v>
      </c>
      <c r="J140" s="43" t="s">
        <v>897</v>
      </c>
      <c r="K140" s="43" t="s">
        <v>3067</v>
      </c>
      <c r="L140" s="43" t="s">
        <v>896</v>
      </c>
      <c r="M140" s="101">
        <v>2772</v>
      </c>
      <c r="N140" s="43">
        <v>289258.2</v>
      </c>
      <c r="O140" s="43" t="s">
        <v>3068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 t="s">
        <v>2870</v>
      </c>
      <c r="AA140" s="43" t="s">
        <v>2866</v>
      </c>
      <c r="AB140" s="43">
        <v>998852</v>
      </c>
      <c r="AC140" s="43" t="s">
        <v>2867</v>
      </c>
      <c r="AD140" s="43">
        <v>1</v>
      </c>
      <c r="AE140" s="43">
        <v>2772</v>
      </c>
      <c r="AF140" s="43" t="s">
        <v>2868</v>
      </c>
    </row>
    <row r="141" spans="1:32" x14ac:dyDescent="0.25">
      <c r="A141" s="43" t="s">
        <v>3275</v>
      </c>
      <c r="B141" s="43" t="s">
        <v>1060</v>
      </c>
      <c r="C141" s="43" t="s">
        <v>3065</v>
      </c>
      <c r="D141" s="43" t="s">
        <v>3309</v>
      </c>
      <c r="E141" s="43" t="s">
        <v>3066</v>
      </c>
      <c r="F141" s="43" t="s">
        <v>3309</v>
      </c>
      <c r="G141" s="43" t="s">
        <v>3275</v>
      </c>
      <c r="H141" s="43" t="s">
        <v>893</v>
      </c>
      <c r="I141" s="43" t="s">
        <v>897</v>
      </c>
      <c r="J141" s="43" t="s">
        <v>897</v>
      </c>
      <c r="K141" s="43" t="s">
        <v>3067</v>
      </c>
      <c r="L141" s="43" t="s">
        <v>896</v>
      </c>
      <c r="M141" s="101">
        <v>2343</v>
      </c>
      <c r="N141" s="43">
        <v>244492.05</v>
      </c>
      <c r="O141" s="43" t="s">
        <v>3068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 t="s">
        <v>2870</v>
      </c>
      <c r="AA141" s="43" t="s">
        <v>2866</v>
      </c>
      <c r="AB141" s="43">
        <v>998852</v>
      </c>
      <c r="AC141" s="43" t="s">
        <v>2867</v>
      </c>
      <c r="AD141" s="43">
        <v>1</v>
      </c>
      <c r="AE141" s="43">
        <v>2343</v>
      </c>
      <c r="AF141" s="43" t="s">
        <v>2868</v>
      </c>
    </row>
    <row r="142" spans="1:32" x14ac:dyDescent="0.25">
      <c r="A142" s="43" t="s">
        <v>3275</v>
      </c>
      <c r="B142" s="43" t="s">
        <v>1060</v>
      </c>
      <c r="C142" s="43" t="s">
        <v>3065</v>
      </c>
      <c r="D142" s="43" t="s">
        <v>3309</v>
      </c>
      <c r="E142" s="43" t="s">
        <v>3066</v>
      </c>
      <c r="F142" s="43" t="s">
        <v>3309</v>
      </c>
      <c r="G142" s="43" t="s">
        <v>3275</v>
      </c>
      <c r="H142" s="43" t="s">
        <v>893</v>
      </c>
      <c r="I142" s="43" t="s">
        <v>897</v>
      </c>
      <c r="J142" s="43" t="s">
        <v>897</v>
      </c>
      <c r="K142" s="43" t="s">
        <v>3067</v>
      </c>
      <c r="L142" s="43" t="s">
        <v>896</v>
      </c>
      <c r="M142" s="43">
        <v>267</v>
      </c>
      <c r="N142" s="101">
        <v>27861.45</v>
      </c>
      <c r="O142" s="43" t="s">
        <v>3068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 t="s">
        <v>2870</v>
      </c>
      <c r="AA142" s="43" t="s">
        <v>2866</v>
      </c>
      <c r="AB142" s="43">
        <v>998852</v>
      </c>
      <c r="AC142" s="43" t="s">
        <v>2867</v>
      </c>
      <c r="AD142" s="43">
        <v>1</v>
      </c>
      <c r="AE142" s="43">
        <v>267</v>
      </c>
      <c r="AF142" s="43" t="s">
        <v>2868</v>
      </c>
    </row>
    <row r="143" spans="1:32" x14ac:dyDescent="0.25">
      <c r="A143" s="43" t="s">
        <v>3275</v>
      </c>
      <c r="B143" s="43" t="s">
        <v>1060</v>
      </c>
      <c r="C143" s="43" t="s">
        <v>3065</v>
      </c>
      <c r="D143" s="43" t="s">
        <v>3309</v>
      </c>
      <c r="E143" s="43" t="s">
        <v>3066</v>
      </c>
      <c r="F143" s="43" t="s">
        <v>3309</v>
      </c>
      <c r="G143" s="43" t="s">
        <v>3275</v>
      </c>
      <c r="H143" s="43" t="s">
        <v>893</v>
      </c>
      <c r="I143" s="43" t="s">
        <v>897</v>
      </c>
      <c r="J143" s="43" t="s">
        <v>897</v>
      </c>
      <c r="K143" s="43" t="s">
        <v>3067</v>
      </c>
      <c r="L143" s="43" t="s">
        <v>896</v>
      </c>
      <c r="M143" s="43">
        <v>726</v>
      </c>
      <c r="N143" s="101">
        <v>75758.100000000006</v>
      </c>
      <c r="O143" s="43" t="s">
        <v>3068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 t="s">
        <v>2870</v>
      </c>
      <c r="AA143" s="43" t="s">
        <v>2866</v>
      </c>
      <c r="AB143" s="43">
        <v>998852</v>
      </c>
      <c r="AC143" s="43" t="s">
        <v>2867</v>
      </c>
      <c r="AD143" s="43">
        <v>1</v>
      </c>
      <c r="AE143" s="43">
        <v>726</v>
      </c>
      <c r="AF143" s="43" t="s">
        <v>2868</v>
      </c>
    </row>
    <row r="144" spans="1:32" x14ac:dyDescent="0.25">
      <c r="A144" s="43" t="s">
        <v>3275</v>
      </c>
      <c r="B144" s="43" t="s">
        <v>1060</v>
      </c>
      <c r="C144" s="43" t="s">
        <v>3065</v>
      </c>
      <c r="D144" s="43" t="s">
        <v>3309</v>
      </c>
      <c r="E144" s="43" t="s">
        <v>3066</v>
      </c>
      <c r="F144" s="43" t="s">
        <v>3309</v>
      </c>
      <c r="G144" s="43" t="s">
        <v>3275</v>
      </c>
      <c r="H144" s="43" t="s">
        <v>893</v>
      </c>
      <c r="I144" s="43" t="s">
        <v>897</v>
      </c>
      <c r="J144" s="43" t="s">
        <v>897</v>
      </c>
      <c r="K144" s="43" t="s">
        <v>3067</v>
      </c>
      <c r="L144" s="43" t="s">
        <v>896</v>
      </c>
      <c r="M144" s="101">
        <v>1614</v>
      </c>
      <c r="N144" s="43">
        <v>168420.9</v>
      </c>
      <c r="O144" s="43" t="s">
        <v>3068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 t="s">
        <v>2870</v>
      </c>
      <c r="AA144" s="43" t="s">
        <v>2866</v>
      </c>
      <c r="AB144" s="43">
        <v>998852</v>
      </c>
      <c r="AC144" s="43" t="s">
        <v>2867</v>
      </c>
      <c r="AD144" s="43">
        <v>1</v>
      </c>
      <c r="AE144" s="43">
        <v>1614</v>
      </c>
      <c r="AF144" s="43" t="s">
        <v>2868</v>
      </c>
    </row>
    <row r="145" spans="1:32" x14ac:dyDescent="0.25">
      <c r="A145" s="43" t="s">
        <v>3275</v>
      </c>
      <c r="B145" s="43" t="s">
        <v>1060</v>
      </c>
      <c r="C145" s="43" t="s">
        <v>3065</v>
      </c>
      <c r="D145" s="43" t="s">
        <v>3310</v>
      </c>
      <c r="E145" s="43" t="s">
        <v>3066</v>
      </c>
      <c r="F145" s="43" t="s">
        <v>3310</v>
      </c>
      <c r="G145" s="43" t="s">
        <v>3275</v>
      </c>
      <c r="H145" s="43" t="s">
        <v>628</v>
      </c>
      <c r="I145" s="43" t="s">
        <v>820</v>
      </c>
      <c r="J145" s="43" t="s">
        <v>820</v>
      </c>
      <c r="K145" s="43" t="s">
        <v>1076</v>
      </c>
      <c r="L145" s="43" t="s">
        <v>819</v>
      </c>
      <c r="M145" s="43">
        <v>215</v>
      </c>
      <c r="N145" s="43">
        <v>0</v>
      </c>
      <c r="O145" s="43" t="s">
        <v>3311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 t="s">
        <v>2870</v>
      </c>
      <c r="AA145" s="43" t="s">
        <v>2866</v>
      </c>
      <c r="AB145" s="43">
        <v>998852</v>
      </c>
      <c r="AC145" s="43" t="s">
        <v>2867</v>
      </c>
      <c r="AD145" s="43">
        <v>1</v>
      </c>
      <c r="AE145" s="43">
        <v>215</v>
      </c>
      <c r="AF145" s="43" t="s">
        <v>2868</v>
      </c>
    </row>
    <row r="146" spans="1:32" x14ac:dyDescent="0.25">
      <c r="A146" s="43" t="s">
        <v>3275</v>
      </c>
      <c r="B146" s="43" t="s">
        <v>1060</v>
      </c>
      <c r="C146" s="43" t="s">
        <v>3065</v>
      </c>
      <c r="D146" s="43" t="s">
        <v>3310</v>
      </c>
      <c r="E146" s="43" t="s">
        <v>3066</v>
      </c>
      <c r="F146" s="43" t="s">
        <v>3310</v>
      </c>
      <c r="G146" s="43" t="s">
        <v>3275</v>
      </c>
      <c r="H146" s="43" t="s">
        <v>628</v>
      </c>
      <c r="I146" s="43" t="s">
        <v>820</v>
      </c>
      <c r="J146" s="43" t="s">
        <v>820</v>
      </c>
      <c r="K146" s="43" t="s">
        <v>1076</v>
      </c>
      <c r="L146" s="43" t="s">
        <v>819</v>
      </c>
      <c r="M146" s="43">
        <v>335</v>
      </c>
      <c r="N146" s="43">
        <v>0</v>
      </c>
      <c r="O146" s="43" t="s">
        <v>3311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3">
        <v>0</v>
      </c>
      <c r="Y146" s="43">
        <v>0</v>
      </c>
      <c r="Z146" s="43" t="s">
        <v>2870</v>
      </c>
      <c r="AA146" s="43" t="s">
        <v>2866</v>
      </c>
      <c r="AB146" s="43">
        <v>998852</v>
      </c>
      <c r="AC146" s="43" t="s">
        <v>2867</v>
      </c>
      <c r="AD146" s="43">
        <v>1</v>
      </c>
      <c r="AE146" s="43">
        <v>335</v>
      </c>
      <c r="AF146" s="43" t="s">
        <v>2868</v>
      </c>
    </row>
    <row r="147" spans="1:32" x14ac:dyDescent="0.25">
      <c r="A147" s="43" t="s">
        <v>3275</v>
      </c>
      <c r="B147" s="43" t="s">
        <v>1060</v>
      </c>
      <c r="C147" s="43" t="s">
        <v>3065</v>
      </c>
      <c r="D147" s="43" t="s">
        <v>3310</v>
      </c>
      <c r="E147" s="43" t="s">
        <v>3066</v>
      </c>
      <c r="F147" s="43" t="s">
        <v>3310</v>
      </c>
      <c r="G147" s="43" t="s">
        <v>3275</v>
      </c>
      <c r="H147" s="43" t="s">
        <v>628</v>
      </c>
      <c r="I147" s="43" t="s">
        <v>820</v>
      </c>
      <c r="J147" s="43" t="s">
        <v>820</v>
      </c>
      <c r="K147" s="43" t="s">
        <v>1076</v>
      </c>
      <c r="L147" s="43" t="s">
        <v>819</v>
      </c>
      <c r="M147" s="43">
        <v>412</v>
      </c>
      <c r="N147" s="43">
        <v>0</v>
      </c>
      <c r="O147" s="43" t="s">
        <v>3311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 t="s">
        <v>2870</v>
      </c>
      <c r="AA147" s="43" t="s">
        <v>2866</v>
      </c>
      <c r="AB147" s="43">
        <v>998852</v>
      </c>
      <c r="AC147" s="43" t="s">
        <v>2867</v>
      </c>
      <c r="AD147" s="43">
        <v>1</v>
      </c>
      <c r="AE147" s="43">
        <v>412</v>
      </c>
      <c r="AF147" s="43" t="s">
        <v>2868</v>
      </c>
    </row>
    <row r="148" spans="1:32" x14ac:dyDescent="0.25">
      <c r="A148" s="43" t="s">
        <v>3275</v>
      </c>
      <c r="B148" s="43" t="s">
        <v>1060</v>
      </c>
      <c r="C148" s="43" t="s">
        <v>3065</v>
      </c>
      <c r="D148" s="43" t="s">
        <v>3310</v>
      </c>
      <c r="E148" s="43" t="s">
        <v>3066</v>
      </c>
      <c r="F148" s="43" t="s">
        <v>3310</v>
      </c>
      <c r="G148" s="43" t="s">
        <v>3275</v>
      </c>
      <c r="H148" s="43" t="s">
        <v>628</v>
      </c>
      <c r="I148" s="43" t="s">
        <v>820</v>
      </c>
      <c r="J148" s="43" t="s">
        <v>820</v>
      </c>
      <c r="K148" s="43" t="s">
        <v>1076</v>
      </c>
      <c r="L148" s="43" t="s">
        <v>819</v>
      </c>
      <c r="M148" s="43">
        <v>487</v>
      </c>
      <c r="N148" s="43">
        <v>0</v>
      </c>
      <c r="O148" s="43" t="s">
        <v>3311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0</v>
      </c>
      <c r="Y148" s="43">
        <v>0</v>
      </c>
      <c r="Z148" s="43" t="s">
        <v>2870</v>
      </c>
      <c r="AA148" s="43" t="s">
        <v>2866</v>
      </c>
      <c r="AB148" s="43">
        <v>998852</v>
      </c>
      <c r="AC148" s="43" t="s">
        <v>2867</v>
      </c>
      <c r="AD148" s="43">
        <v>1</v>
      </c>
      <c r="AE148" s="43">
        <v>487</v>
      </c>
      <c r="AF148" s="43" t="s">
        <v>2868</v>
      </c>
    </row>
    <row r="149" spans="1:32" x14ac:dyDescent="0.25">
      <c r="A149" s="43" t="s">
        <v>3275</v>
      </c>
      <c r="B149" s="43" t="s">
        <v>1060</v>
      </c>
      <c r="C149" s="43" t="s">
        <v>3065</v>
      </c>
      <c r="D149" s="43" t="s">
        <v>3310</v>
      </c>
      <c r="E149" s="43" t="s">
        <v>3066</v>
      </c>
      <c r="F149" s="43" t="s">
        <v>3310</v>
      </c>
      <c r="G149" s="43" t="s">
        <v>3275</v>
      </c>
      <c r="H149" s="43" t="s">
        <v>628</v>
      </c>
      <c r="I149" s="43" t="s">
        <v>820</v>
      </c>
      <c r="J149" s="43" t="s">
        <v>820</v>
      </c>
      <c r="K149" s="43" t="s">
        <v>1076</v>
      </c>
      <c r="L149" s="43" t="s">
        <v>819</v>
      </c>
      <c r="M149" s="43">
        <v>54</v>
      </c>
      <c r="N149" s="43">
        <v>0</v>
      </c>
      <c r="O149" s="43" t="s">
        <v>3311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 t="s">
        <v>2870</v>
      </c>
      <c r="AA149" s="43" t="s">
        <v>2866</v>
      </c>
      <c r="AB149" s="43">
        <v>998852</v>
      </c>
      <c r="AC149" s="43" t="s">
        <v>2867</v>
      </c>
      <c r="AD149" s="43">
        <v>1</v>
      </c>
      <c r="AE149" s="43">
        <v>54</v>
      </c>
      <c r="AF149" s="43" t="s">
        <v>2868</v>
      </c>
    </row>
    <row r="150" spans="1:32" x14ac:dyDescent="0.25">
      <c r="A150" s="43" t="s">
        <v>3275</v>
      </c>
      <c r="B150" s="43" t="s">
        <v>1060</v>
      </c>
      <c r="C150" s="43" t="s">
        <v>3065</v>
      </c>
      <c r="D150" s="43" t="s">
        <v>3310</v>
      </c>
      <c r="E150" s="43" t="s">
        <v>3066</v>
      </c>
      <c r="F150" s="43" t="s">
        <v>3310</v>
      </c>
      <c r="G150" s="43" t="s">
        <v>3275</v>
      </c>
      <c r="H150" s="43" t="s">
        <v>628</v>
      </c>
      <c r="I150" s="43" t="s">
        <v>820</v>
      </c>
      <c r="J150" s="43" t="s">
        <v>820</v>
      </c>
      <c r="K150" s="43" t="s">
        <v>1076</v>
      </c>
      <c r="L150" s="43" t="s">
        <v>819</v>
      </c>
      <c r="M150" s="43">
        <v>317</v>
      </c>
      <c r="N150" s="43">
        <v>0</v>
      </c>
      <c r="O150" s="43" t="s">
        <v>3311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 t="s">
        <v>2870</v>
      </c>
      <c r="AA150" s="43" t="s">
        <v>2866</v>
      </c>
      <c r="AB150" s="43">
        <v>998852</v>
      </c>
      <c r="AC150" s="43" t="s">
        <v>2867</v>
      </c>
      <c r="AD150" s="43">
        <v>1</v>
      </c>
      <c r="AE150" s="43">
        <v>317</v>
      </c>
      <c r="AF150" s="43" t="s">
        <v>2868</v>
      </c>
    </row>
    <row r="151" spans="1:32" x14ac:dyDescent="0.25">
      <c r="A151" s="43" t="s">
        <v>3275</v>
      </c>
      <c r="B151" s="43" t="s">
        <v>1060</v>
      </c>
      <c r="C151" s="43" t="s">
        <v>3065</v>
      </c>
      <c r="D151" s="43" t="s">
        <v>3310</v>
      </c>
      <c r="E151" s="43" t="s">
        <v>3066</v>
      </c>
      <c r="F151" s="43" t="s">
        <v>3310</v>
      </c>
      <c r="G151" s="43" t="s">
        <v>3275</v>
      </c>
      <c r="H151" s="43" t="s">
        <v>628</v>
      </c>
      <c r="I151" s="43" t="s">
        <v>820</v>
      </c>
      <c r="J151" s="43" t="s">
        <v>820</v>
      </c>
      <c r="K151" s="43" t="s">
        <v>1076</v>
      </c>
      <c r="L151" s="43" t="s">
        <v>819</v>
      </c>
      <c r="M151" s="43">
        <v>484</v>
      </c>
      <c r="N151" s="43">
        <v>0</v>
      </c>
      <c r="O151" s="43" t="s">
        <v>3311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 t="s">
        <v>2870</v>
      </c>
      <c r="AA151" s="43" t="s">
        <v>2866</v>
      </c>
      <c r="AB151" s="43">
        <v>998852</v>
      </c>
      <c r="AC151" s="43" t="s">
        <v>2867</v>
      </c>
      <c r="AD151" s="43">
        <v>1</v>
      </c>
      <c r="AE151" s="43">
        <v>484</v>
      </c>
      <c r="AF151" s="43" t="s">
        <v>2868</v>
      </c>
    </row>
    <row r="152" spans="1:32" x14ac:dyDescent="0.25">
      <c r="A152" s="43" t="s">
        <v>3275</v>
      </c>
      <c r="B152" s="43" t="s">
        <v>1060</v>
      </c>
      <c r="C152" s="43" t="s">
        <v>3065</v>
      </c>
      <c r="D152" s="43" t="s">
        <v>3310</v>
      </c>
      <c r="E152" s="43" t="s">
        <v>3066</v>
      </c>
      <c r="F152" s="43" t="s">
        <v>3310</v>
      </c>
      <c r="G152" s="43" t="s">
        <v>3275</v>
      </c>
      <c r="H152" s="43" t="s">
        <v>628</v>
      </c>
      <c r="I152" s="43" t="s">
        <v>820</v>
      </c>
      <c r="J152" s="43" t="s">
        <v>820</v>
      </c>
      <c r="K152" s="43" t="s">
        <v>1076</v>
      </c>
      <c r="L152" s="43" t="s">
        <v>819</v>
      </c>
      <c r="M152" s="43">
        <v>61</v>
      </c>
      <c r="N152" s="43">
        <v>0</v>
      </c>
      <c r="O152" s="43" t="s">
        <v>3311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 t="s">
        <v>2870</v>
      </c>
      <c r="AA152" s="43" t="s">
        <v>2866</v>
      </c>
      <c r="AB152" s="43">
        <v>998852</v>
      </c>
      <c r="AC152" s="43" t="s">
        <v>2867</v>
      </c>
      <c r="AD152" s="43">
        <v>1</v>
      </c>
      <c r="AE152" s="43">
        <v>61</v>
      </c>
      <c r="AF152" s="43" t="s">
        <v>2868</v>
      </c>
    </row>
    <row r="153" spans="1:32" x14ac:dyDescent="0.25">
      <c r="A153" s="43" t="s">
        <v>3275</v>
      </c>
      <c r="B153" s="43" t="s">
        <v>1060</v>
      </c>
      <c r="C153" s="43" t="s">
        <v>3065</v>
      </c>
      <c r="D153" s="43" t="s">
        <v>3310</v>
      </c>
      <c r="E153" s="43" t="s">
        <v>3066</v>
      </c>
      <c r="F153" s="43" t="s">
        <v>3310</v>
      </c>
      <c r="G153" s="43" t="s">
        <v>3275</v>
      </c>
      <c r="H153" s="43" t="s">
        <v>628</v>
      </c>
      <c r="I153" s="43" t="s">
        <v>820</v>
      </c>
      <c r="J153" s="43" t="s">
        <v>820</v>
      </c>
      <c r="K153" s="43" t="s">
        <v>1076</v>
      </c>
      <c r="L153" s="43" t="s">
        <v>819</v>
      </c>
      <c r="M153" s="43">
        <v>337</v>
      </c>
      <c r="N153" s="43">
        <v>0</v>
      </c>
      <c r="O153" s="43" t="s">
        <v>3311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 t="s">
        <v>2870</v>
      </c>
      <c r="AA153" s="43" t="s">
        <v>2866</v>
      </c>
      <c r="AB153" s="43">
        <v>998852</v>
      </c>
      <c r="AC153" s="43" t="s">
        <v>2867</v>
      </c>
      <c r="AD153" s="43">
        <v>1</v>
      </c>
      <c r="AE153" s="43">
        <v>337</v>
      </c>
      <c r="AF153" s="43" t="s">
        <v>2868</v>
      </c>
    </row>
    <row r="154" spans="1:32" x14ac:dyDescent="0.25">
      <c r="A154" s="43" t="s">
        <v>3275</v>
      </c>
      <c r="B154" s="43" t="s">
        <v>1060</v>
      </c>
      <c r="C154" s="43" t="s">
        <v>3065</v>
      </c>
      <c r="D154" s="43" t="s">
        <v>3310</v>
      </c>
      <c r="E154" s="43" t="s">
        <v>3066</v>
      </c>
      <c r="F154" s="43" t="s">
        <v>3310</v>
      </c>
      <c r="G154" s="43" t="s">
        <v>3275</v>
      </c>
      <c r="H154" s="43" t="s">
        <v>628</v>
      </c>
      <c r="I154" s="43" t="s">
        <v>820</v>
      </c>
      <c r="J154" s="43" t="s">
        <v>820</v>
      </c>
      <c r="K154" s="43" t="s">
        <v>1076</v>
      </c>
      <c r="L154" s="43" t="s">
        <v>819</v>
      </c>
      <c r="M154" s="43">
        <v>116</v>
      </c>
      <c r="N154" s="43">
        <v>0</v>
      </c>
      <c r="O154" s="43" t="s">
        <v>3311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 t="s">
        <v>2870</v>
      </c>
      <c r="AA154" s="43" t="s">
        <v>2866</v>
      </c>
      <c r="AB154" s="43">
        <v>998852</v>
      </c>
      <c r="AC154" s="43" t="s">
        <v>2867</v>
      </c>
      <c r="AD154" s="43">
        <v>1</v>
      </c>
      <c r="AE154" s="43">
        <v>116</v>
      </c>
      <c r="AF154" s="43" t="s">
        <v>2868</v>
      </c>
    </row>
    <row r="155" spans="1:32" x14ac:dyDescent="0.25">
      <c r="A155" s="43" t="s">
        <v>3275</v>
      </c>
      <c r="B155" s="43" t="s">
        <v>1060</v>
      </c>
      <c r="C155" s="43" t="s">
        <v>3065</v>
      </c>
      <c r="D155" s="43" t="s">
        <v>3310</v>
      </c>
      <c r="E155" s="43" t="s">
        <v>3066</v>
      </c>
      <c r="F155" s="43" t="s">
        <v>3310</v>
      </c>
      <c r="G155" s="43" t="s">
        <v>3275</v>
      </c>
      <c r="H155" s="43" t="s">
        <v>628</v>
      </c>
      <c r="I155" s="43" t="s">
        <v>820</v>
      </c>
      <c r="J155" s="43" t="s">
        <v>820</v>
      </c>
      <c r="K155" s="43" t="s">
        <v>1076</v>
      </c>
      <c r="L155" s="43" t="s">
        <v>819</v>
      </c>
      <c r="M155" s="43">
        <v>223</v>
      </c>
      <c r="N155" s="43">
        <v>0</v>
      </c>
      <c r="O155" s="43" t="s">
        <v>3311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 t="s">
        <v>2870</v>
      </c>
      <c r="AA155" s="43" t="s">
        <v>2866</v>
      </c>
      <c r="AB155" s="43">
        <v>998852</v>
      </c>
      <c r="AC155" s="43" t="s">
        <v>2867</v>
      </c>
      <c r="AD155" s="43">
        <v>1</v>
      </c>
      <c r="AE155" s="43">
        <v>223</v>
      </c>
      <c r="AF155" s="43" t="s">
        <v>2868</v>
      </c>
    </row>
    <row r="156" spans="1:32" x14ac:dyDescent="0.25">
      <c r="A156" s="43" t="s">
        <v>3275</v>
      </c>
      <c r="B156" s="43" t="s">
        <v>1060</v>
      </c>
      <c r="C156" s="43" t="s">
        <v>3065</v>
      </c>
      <c r="D156" s="43" t="s">
        <v>3310</v>
      </c>
      <c r="E156" s="43" t="s">
        <v>3066</v>
      </c>
      <c r="F156" s="43" t="s">
        <v>3310</v>
      </c>
      <c r="G156" s="43" t="s">
        <v>3275</v>
      </c>
      <c r="H156" s="43" t="s">
        <v>628</v>
      </c>
      <c r="I156" s="43" t="s">
        <v>820</v>
      </c>
      <c r="J156" s="43" t="s">
        <v>820</v>
      </c>
      <c r="K156" s="43" t="s">
        <v>1076</v>
      </c>
      <c r="L156" s="43" t="s">
        <v>819</v>
      </c>
      <c r="M156" s="43">
        <v>242</v>
      </c>
      <c r="N156" s="43">
        <v>0</v>
      </c>
      <c r="O156" s="43" t="s">
        <v>3311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 t="s">
        <v>2870</v>
      </c>
      <c r="AA156" s="43" t="s">
        <v>2866</v>
      </c>
      <c r="AB156" s="43">
        <v>998852</v>
      </c>
      <c r="AC156" s="43" t="s">
        <v>2867</v>
      </c>
      <c r="AD156" s="43">
        <v>1</v>
      </c>
      <c r="AE156" s="43">
        <v>242</v>
      </c>
      <c r="AF156" s="43" t="s">
        <v>2868</v>
      </c>
    </row>
    <row r="157" spans="1:32" x14ac:dyDescent="0.25">
      <c r="A157" s="43" t="s">
        <v>3275</v>
      </c>
      <c r="B157" s="43" t="s">
        <v>1060</v>
      </c>
      <c r="C157" s="43" t="s">
        <v>3065</v>
      </c>
      <c r="D157" s="43" t="s">
        <v>3310</v>
      </c>
      <c r="E157" s="43" t="s">
        <v>3066</v>
      </c>
      <c r="F157" s="43" t="s">
        <v>3310</v>
      </c>
      <c r="G157" s="43" t="s">
        <v>3275</v>
      </c>
      <c r="H157" s="43" t="s">
        <v>628</v>
      </c>
      <c r="I157" s="43" t="s">
        <v>820</v>
      </c>
      <c r="J157" s="43" t="s">
        <v>820</v>
      </c>
      <c r="K157" s="43" t="s">
        <v>1076</v>
      </c>
      <c r="L157" s="43" t="s">
        <v>819</v>
      </c>
      <c r="M157" s="43">
        <v>158</v>
      </c>
      <c r="N157" s="43">
        <v>0</v>
      </c>
      <c r="O157" s="43" t="s">
        <v>3311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 t="s">
        <v>2870</v>
      </c>
      <c r="AA157" s="43" t="s">
        <v>2866</v>
      </c>
      <c r="AB157" s="43">
        <v>998852</v>
      </c>
      <c r="AC157" s="43" t="s">
        <v>2867</v>
      </c>
      <c r="AD157" s="43">
        <v>1</v>
      </c>
      <c r="AE157" s="43">
        <v>158</v>
      </c>
      <c r="AF157" s="43" t="s">
        <v>2868</v>
      </c>
    </row>
    <row r="158" spans="1:32" x14ac:dyDescent="0.25">
      <c r="A158" s="43" t="s">
        <v>3275</v>
      </c>
      <c r="B158" s="43" t="s">
        <v>1060</v>
      </c>
      <c r="C158" s="43" t="s">
        <v>3065</v>
      </c>
      <c r="D158" s="43" t="s">
        <v>3310</v>
      </c>
      <c r="E158" s="43" t="s">
        <v>3066</v>
      </c>
      <c r="F158" s="43" t="s">
        <v>3310</v>
      </c>
      <c r="G158" s="43" t="s">
        <v>3275</v>
      </c>
      <c r="H158" s="43" t="s">
        <v>628</v>
      </c>
      <c r="I158" s="43" t="s">
        <v>820</v>
      </c>
      <c r="J158" s="43" t="s">
        <v>820</v>
      </c>
      <c r="K158" s="43" t="s">
        <v>1076</v>
      </c>
      <c r="L158" s="43" t="s">
        <v>819</v>
      </c>
      <c r="M158" s="43">
        <v>487</v>
      </c>
      <c r="N158" s="43">
        <v>0</v>
      </c>
      <c r="O158" s="43" t="s">
        <v>3311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 t="s">
        <v>2870</v>
      </c>
      <c r="AA158" s="43" t="s">
        <v>2866</v>
      </c>
      <c r="AB158" s="43">
        <v>998852</v>
      </c>
      <c r="AC158" s="43" t="s">
        <v>2867</v>
      </c>
      <c r="AD158" s="43">
        <v>1</v>
      </c>
      <c r="AE158" s="43">
        <v>487</v>
      </c>
      <c r="AF158" s="43" t="s">
        <v>2868</v>
      </c>
    </row>
    <row r="159" spans="1:32" x14ac:dyDescent="0.25">
      <c r="A159" s="43" t="s">
        <v>3275</v>
      </c>
      <c r="B159" s="43" t="s">
        <v>1060</v>
      </c>
      <c r="C159" s="43" t="s">
        <v>3065</v>
      </c>
      <c r="D159" s="43" t="s">
        <v>3310</v>
      </c>
      <c r="E159" s="43" t="s">
        <v>3066</v>
      </c>
      <c r="F159" s="43" t="s">
        <v>3310</v>
      </c>
      <c r="G159" s="43" t="s">
        <v>3275</v>
      </c>
      <c r="H159" s="43" t="s">
        <v>628</v>
      </c>
      <c r="I159" s="43" t="s">
        <v>820</v>
      </c>
      <c r="J159" s="43" t="s">
        <v>820</v>
      </c>
      <c r="K159" s="43" t="s">
        <v>1076</v>
      </c>
      <c r="L159" s="43" t="s">
        <v>819</v>
      </c>
      <c r="M159" s="43">
        <v>435</v>
      </c>
      <c r="N159" s="43">
        <v>0</v>
      </c>
      <c r="O159" s="43" t="s">
        <v>3311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 t="s">
        <v>2870</v>
      </c>
      <c r="AA159" s="43" t="s">
        <v>2866</v>
      </c>
      <c r="AB159" s="43">
        <v>998852</v>
      </c>
      <c r="AC159" s="43" t="s">
        <v>2867</v>
      </c>
      <c r="AD159" s="43">
        <v>1</v>
      </c>
      <c r="AE159" s="43">
        <v>435</v>
      </c>
      <c r="AF159" s="43" t="s">
        <v>2868</v>
      </c>
    </row>
    <row r="160" spans="1:32" x14ac:dyDescent="0.25">
      <c r="A160" s="43" t="s">
        <v>3275</v>
      </c>
      <c r="B160" s="43" t="s">
        <v>1060</v>
      </c>
      <c r="C160" s="43" t="s">
        <v>3065</v>
      </c>
      <c r="D160" s="43" t="s">
        <v>3310</v>
      </c>
      <c r="E160" s="43" t="s">
        <v>3066</v>
      </c>
      <c r="F160" s="43" t="s">
        <v>3310</v>
      </c>
      <c r="G160" s="43" t="s">
        <v>3275</v>
      </c>
      <c r="H160" s="43" t="s">
        <v>628</v>
      </c>
      <c r="I160" s="43" t="s">
        <v>820</v>
      </c>
      <c r="J160" s="43" t="s">
        <v>820</v>
      </c>
      <c r="K160" s="43" t="s">
        <v>1076</v>
      </c>
      <c r="L160" s="43" t="s">
        <v>819</v>
      </c>
      <c r="M160" s="43">
        <v>183</v>
      </c>
      <c r="N160" s="43">
        <v>0</v>
      </c>
      <c r="O160" s="43" t="s">
        <v>3311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 t="s">
        <v>2870</v>
      </c>
      <c r="AA160" s="43" t="s">
        <v>2866</v>
      </c>
      <c r="AB160" s="43">
        <v>998852</v>
      </c>
      <c r="AC160" s="43" t="s">
        <v>2867</v>
      </c>
      <c r="AD160" s="43">
        <v>1</v>
      </c>
      <c r="AE160" s="43">
        <v>183</v>
      </c>
      <c r="AF160" s="43" t="s">
        <v>2868</v>
      </c>
    </row>
    <row r="161" spans="1:32" x14ac:dyDescent="0.25">
      <c r="A161" s="43" t="s">
        <v>3275</v>
      </c>
      <c r="B161" s="43" t="s">
        <v>1060</v>
      </c>
      <c r="C161" s="43" t="s">
        <v>3065</v>
      </c>
      <c r="D161" s="43" t="s">
        <v>3310</v>
      </c>
      <c r="E161" s="43" t="s">
        <v>3066</v>
      </c>
      <c r="F161" s="43" t="s">
        <v>3310</v>
      </c>
      <c r="G161" s="43" t="s">
        <v>3275</v>
      </c>
      <c r="H161" s="43" t="s">
        <v>628</v>
      </c>
      <c r="I161" s="43" t="s">
        <v>820</v>
      </c>
      <c r="J161" s="43" t="s">
        <v>820</v>
      </c>
      <c r="K161" s="43" t="s">
        <v>1076</v>
      </c>
      <c r="L161" s="43" t="s">
        <v>819</v>
      </c>
      <c r="M161" s="43">
        <v>94</v>
      </c>
      <c r="N161" s="43">
        <v>0</v>
      </c>
      <c r="O161" s="43" t="s">
        <v>3311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 t="s">
        <v>2870</v>
      </c>
      <c r="AA161" s="43" t="s">
        <v>2866</v>
      </c>
      <c r="AB161" s="43">
        <v>998852</v>
      </c>
      <c r="AC161" s="43" t="s">
        <v>2867</v>
      </c>
      <c r="AD161" s="43">
        <v>1</v>
      </c>
      <c r="AE161" s="43">
        <v>94</v>
      </c>
      <c r="AF161" s="43" t="s">
        <v>2868</v>
      </c>
    </row>
    <row r="162" spans="1:32" x14ac:dyDescent="0.25">
      <c r="A162" s="43" t="s">
        <v>3275</v>
      </c>
      <c r="B162" s="43" t="s">
        <v>1060</v>
      </c>
      <c r="C162" s="43" t="s">
        <v>3065</v>
      </c>
      <c r="D162" s="43" t="s">
        <v>3310</v>
      </c>
      <c r="E162" s="43" t="s">
        <v>3066</v>
      </c>
      <c r="F162" s="43" t="s">
        <v>3310</v>
      </c>
      <c r="G162" s="43" t="s">
        <v>3275</v>
      </c>
      <c r="H162" s="43" t="s">
        <v>628</v>
      </c>
      <c r="I162" s="43" t="s">
        <v>820</v>
      </c>
      <c r="J162" s="43" t="s">
        <v>820</v>
      </c>
      <c r="K162" s="43" t="s">
        <v>1076</v>
      </c>
      <c r="L162" s="43" t="s">
        <v>819</v>
      </c>
      <c r="M162" s="43">
        <v>96</v>
      </c>
      <c r="N162" s="43">
        <v>0</v>
      </c>
      <c r="O162" s="43" t="s">
        <v>3311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 t="s">
        <v>2870</v>
      </c>
      <c r="AA162" s="43" t="s">
        <v>2866</v>
      </c>
      <c r="AB162" s="43">
        <v>998852</v>
      </c>
      <c r="AC162" s="43" t="s">
        <v>2867</v>
      </c>
      <c r="AD162" s="43">
        <v>1</v>
      </c>
      <c r="AE162" s="43">
        <v>96</v>
      </c>
      <c r="AF162" s="43" t="s">
        <v>2868</v>
      </c>
    </row>
    <row r="163" spans="1:32" x14ac:dyDescent="0.25">
      <c r="A163" s="43" t="s">
        <v>3275</v>
      </c>
      <c r="B163" s="43" t="s">
        <v>1060</v>
      </c>
      <c r="C163" s="43" t="s">
        <v>3065</v>
      </c>
      <c r="D163" s="43" t="s">
        <v>3310</v>
      </c>
      <c r="E163" s="43" t="s">
        <v>3066</v>
      </c>
      <c r="F163" s="43" t="s">
        <v>3310</v>
      </c>
      <c r="G163" s="43" t="s">
        <v>3275</v>
      </c>
      <c r="H163" s="43" t="s">
        <v>628</v>
      </c>
      <c r="I163" s="43" t="s">
        <v>820</v>
      </c>
      <c r="J163" s="43" t="s">
        <v>820</v>
      </c>
      <c r="K163" s="43" t="s">
        <v>1076</v>
      </c>
      <c r="L163" s="43" t="s">
        <v>819</v>
      </c>
      <c r="M163" s="43">
        <v>507</v>
      </c>
      <c r="N163" s="43">
        <v>0</v>
      </c>
      <c r="O163" s="43" t="s">
        <v>3311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 t="s">
        <v>2870</v>
      </c>
      <c r="AA163" s="43" t="s">
        <v>2866</v>
      </c>
      <c r="AB163" s="43">
        <v>998852</v>
      </c>
      <c r="AC163" s="43" t="s">
        <v>2867</v>
      </c>
      <c r="AD163" s="43">
        <v>1</v>
      </c>
      <c r="AE163" s="43">
        <v>507</v>
      </c>
      <c r="AF163" s="43" t="s">
        <v>2868</v>
      </c>
    </row>
    <row r="164" spans="1:32" x14ac:dyDescent="0.25">
      <c r="A164" s="43" t="s">
        <v>3275</v>
      </c>
      <c r="B164" s="43" t="s">
        <v>1060</v>
      </c>
      <c r="C164" s="43" t="s">
        <v>3065</v>
      </c>
      <c r="D164" s="43" t="s">
        <v>3310</v>
      </c>
      <c r="E164" s="43" t="s">
        <v>3066</v>
      </c>
      <c r="F164" s="43" t="s">
        <v>3310</v>
      </c>
      <c r="G164" s="43" t="s">
        <v>3275</v>
      </c>
      <c r="H164" s="43" t="s">
        <v>628</v>
      </c>
      <c r="I164" s="43" t="s">
        <v>820</v>
      </c>
      <c r="J164" s="43" t="s">
        <v>820</v>
      </c>
      <c r="K164" s="43" t="s">
        <v>1076</v>
      </c>
      <c r="L164" s="43" t="s">
        <v>819</v>
      </c>
      <c r="M164" s="43">
        <v>18</v>
      </c>
      <c r="N164" s="43">
        <v>0</v>
      </c>
      <c r="O164" s="43" t="s">
        <v>3311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 t="s">
        <v>2870</v>
      </c>
      <c r="AA164" s="43" t="s">
        <v>2866</v>
      </c>
      <c r="AB164" s="43">
        <v>998852</v>
      </c>
      <c r="AC164" s="43" t="s">
        <v>2867</v>
      </c>
      <c r="AD164" s="43">
        <v>1</v>
      </c>
      <c r="AE164" s="43">
        <v>18</v>
      </c>
      <c r="AF164" s="43" t="s">
        <v>2868</v>
      </c>
    </row>
    <row r="165" spans="1:32" x14ac:dyDescent="0.25">
      <c r="A165" s="43" t="s">
        <v>3275</v>
      </c>
      <c r="B165" s="43" t="s">
        <v>1060</v>
      </c>
      <c r="C165" s="43" t="s">
        <v>3065</v>
      </c>
      <c r="D165" s="43" t="s">
        <v>3310</v>
      </c>
      <c r="E165" s="43" t="s">
        <v>3066</v>
      </c>
      <c r="F165" s="43" t="s">
        <v>3310</v>
      </c>
      <c r="G165" s="43" t="s">
        <v>3275</v>
      </c>
      <c r="H165" s="43" t="s">
        <v>628</v>
      </c>
      <c r="I165" s="43" t="s">
        <v>718</v>
      </c>
      <c r="J165" s="43" t="s">
        <v>641</v>
      </c>
      <c r="K165" s="43" t="s">
        <v>1076</v>
      </c>
      <c r="L165" s="43" t="s">
        <v>717</v>
      </c>
      <c r="M165" s="43">
        <v>116</v>
      </c>
      <c r="N165" s="43">
        <v>0</v>
      </c>
      <c r="O165" s="43" t="s">
        <v>3311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 t="s">
        <v>2870</v>
      </c>
      <c r="AA165" s="43" t="s">
        <v>2866</v>
      </c>
      <c r="AB165" s="43">
        <v>998852</v>
      </c>
      <c r="AC165" s="43" t="s">
        <v>2867</v>
      </c>
      <c r="AD165" s="43">
        <v>1</v>
      </c>
      <c r="AE165" s="43">
        <v>116</v>
      </c>
      <c r="AF165" s="43" t="s">
        <v>2868</v>
      </c>
    </row>
    <row r="166" spans="1:32" x14ac:dyDescent="0.25">
      <c r="A166" s="43" t="s">
        <v>3275</v>
      </c>
      <c r="B166" s="43" t="s">
        <v>1060</v>
      </c>
      <c r="C166" s="43" t="s">
        <v>3065</v>
      </c>
      <c r="D166" s="43" t="s">
        <v>3310</v>
      </c>
      <c r="E166" s="43" t="s">
        <v>3066</v>
      </c>
      <c r="F166" s="43" t="s">
        <v>3310</v>
      </c>
      <c r="G166" s="43" t="s">
        <v>3275</v>
      </c>
      <c r="H166" s="43" t="s">
        <v>628</v>
      </c>
      <c r="I166" s="43" t="s">
        <v>820</v>
      </c>
      <c r="J166" s="43" t="s">
        <v>820</v>
      </c>
      <c r="K166" s="43" t="s">
        <v>1076</v>
      </c>
      <c r="L166" s="43" t="s">
        <v>819</v>
      </c>
      <c r="M166" s="43">
        <v>464</v>
      </c>
      <c r="N166" s="43">
        <v>0</v>
      </c>
      <c r="O166" s="43" t="s">
        <v>3311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 t="s">
        <v>2870</v>
      </c>
      <c r="AA166" s="43" t="s">
        <v>2866</v>
      </c>
      <c r="AB166" s="43">
        <v>998852</v>
      </c>
      <c r="AC166" s="43" t="s">
        <v>2867</v>
      </c>
      <c r="AD166" s="43">
        <v>1</v>
      </c>
      <c r="AE166" s="43">
        <v>464</v>
      </c>
      <c r="AF166" s="43" t="s">
        <v>2868</v>
      </c>
    </row>
    <row r="167" spans="1:32" x14ac:dyDescent="0.25">
      <c r="A167" s="43" t="s">
        <v>3275</v>
      </c>
      <c r="B167" s="43" t="s">
        <v>1060</v>
      </c>
      <c r="C167" s="43" t="s">
        <v>3065</v>
      </c>
      <c r="D167" s="43" t="s">
        <v>3310</v>
      </c>
      <c r="E167" s="43" t="s">
        <v>3066</v>
      </c>
      <c r="F167" s="43" t="s">
        <v>3310</v>
      </c>
      <c r="G167" s="43" t="s">
        <v>3275</v>
      </c>
      <c r="H167" s="43" t="s">
        <v>628</v>
      </c>
      <c r="I167" s="43" t="s">
        <v>820</v>
      </c>
      <c r="J167" s="43" t="s">
        <v>820</v>
      </c>
      <c r="K167" s="43" t="s">
        <v>1076</v>
      </c>
      <c r="L167" s="43" t="s">
        <v>819</v>
      </c>
      <c r="M167" s="43">
        <v>421</v>
      </c>
      <c r="N167" s="43">
        <v>0</v>
      </c>
      <c r="O167" s="43" t="s">
        <v>3311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 t="s">
        <v>2870</v>
      </c>
      <c r="AA167" s="43" t="s">
        <v>2866</v>
      </c>
      <c r="AB167" s="43">
        <v>998852</v>
      </c>
      <c r="AC167" s="43" t="s">
        <v>2867</v>
      </c>
      <c r="AD167" s="43">
        <v>1</v>
      </c>
      <c r="AE167" s="43">
        <v>421</v>
      </c>
      <c r="AF167" s="43" t="s">
        <v>2868</v>
      </c>
    </row>
    <row r="168" spans="1:32" x14ac:dyDescent="0.25">
      <c r="A168" s="43" t="s">
        <v>3275</v>
      </c>
      <c r="B168" s="43" t="s">
        <v>1060</v>
      </c>
      <c r="C168" s="43" t="s">
        <v>3065</v>
      </c>
      <c r="D168" s="43" t="s">
        <v>3310</v>
      </c>
      <c r="E168" s="43" t="s">
        <v>3066</v>
      </c>
      <c r="F168" s="43" t="s">
        <v>3310</v>
      </c>
      <c r="G168" s="43" t="s">
        <v>3275</v>
      </c>
      <c r="H168" s="43" t="s">
        <v>628</v>
      </c>
      <c r="I168" s="43" t="s">
        <v>820</v>
      </c>
      <c r="J168" s="43" t="s">
        <v>820</v>
      </c>
      <c r="K168" s="43" t="s">
        <v>1076</v>
      </c>
      <c r="L168" s="43" t="s">
        <v>819</v>
      </c>
      <c r="M168" s="43">
        <v>142</v>
      </c>
      <c r="N168" s="43">
        <v>0</v>
      </c>
      <c r="O168" s="43" t="s">
        <v>3311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  <c r="V168" s="43">
        <v>0</v>
      </c>
      <c r="W168" s="43">
        <v>0</v>
      </c>
      <c r="X168" s="43">
        <v>0</v>
      </c>
      <c r="Y168" s="43">
        <v>0</v>
      </c>
      <c r="Z168" s="43" t="s">
        <v>2870</v>
      </c>
      <c r="AA168" s="43" t="s">
        <v>2866</v>
      </c>
      <c r="AB168" s="43">
        <v>998852</v>
      </c>
      <c r="AC168" s="43" t="s">
        <v>2867</v>
      </c>
      <c r="AD168" s="43">
        <v>1</v>
      </c>
      <c r="AE168" s="43">
        <v>142</v>
      </c>
      <c r="AF168" s="43" t="s">
        <v>2868</v>
      </c>
    </row>
    <row r="169" spans="1:32" x14ac:dyDescent="0.25">
      <c r="A169" s="43" t="s">
        <v>3275</v>
      </c>
      <c r="B169" s="43" t="s">
        <v>1060</v>
      </c>
      <c r="C169" s="43" t="s">
        <v>3065</v>
      </c>
      <c r="D169" s="43" t="s">
        <v>3310</v>
      </c>
      <c r="E169" s="43" t="s">
        <v>3066</v>
      </c>
      <c r="F169" s="43" t="s">
        <v>3310</v>
      </c>
      <c r="G169" s="43" t="s">
        <v>3275</v>
      </c>
      <c r="H169" s="43" t="s">
        <v>628</v>
      </c>
      <c r="I169" s="43" t="s">
        <v>820</v>
      </c>
      <c r="J169" s="43" t="s">
        <v>820</v>
      </c>
      <c r="K169" s="43" t="s">
        <v>1076</v>
      </c>
      <c r="L169" s="43" t="s">
        <v>819</v>
      </c>
      <c r="M169" s="43">
        <v>940</v>
      </c>
      <c r="N169" s="43">
        <v>0</v>
      </c>
      <c r="O169" s="43" t="s">
        <v>3311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 t="s">
        <v>2870</v>
      </c>
      <c r="AA169" s="43" t="s">
        <v>2866</v>
      </c>
      <c r="AB169" s="43">
        <v>998852</v>
      </c>
      <c r="AC169" s="43" t="s">
        <v>2867</v>
      </c>
      <c r="AD169" s="43">
        <v>1</v>
      </c>
      <c r="AE169" s="43">
        <v>940</v>
      </c>
      <c r="AF169" s="43" t="s">
        <v>2868</v>
      </c>
    </row>
    <row r="170" spans="1:32" x14ac:dyDescent="0.25">
      <c r="A170" s="43" t="s">
        <v>3275</v>
      </c>
      <c r="B170" s="43" t="s">
        <v>1060</v>
      </c>
      <c r="C170" s="43" t="s">
        <v>3065</v>
      </c>
      <c r="D170" s="43" t="s">
        <v>3310</v>
      </c>
      <c r="E170" s="43" t="s">
        <v>3066</v>
      </c>
      <c r="F170" s="43" t="s">
        <v>3310</v>
      </c>
      <c r="G170" s="43" t="s">
        <v>3275</v>
      </c>
      <c r="H170" s="43" t="s">
        <v>628</v>
      </c>
      <c r="I170" s="43" t="s">
        <v>820</v>
      </c>
      <c r="J170" s="43" t="s">
        <v>820</v>
      </c>
      <c r="K170" s="43" t="s">
        <v>1076</v>
      </c>
      <c r="L170" s="43" t="s">
        <v>819</v>
      </c>
      <c r="M170" s="43">
        <v>239</v>
      </c>
      <c r="N170" s="43">
        <v>0</v>
      </c>
      <c r="O170" s="43" t="s">
        <v>3311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  <c r="V170" s="43">
        <v>0</v>
      </c>
      <c r="W170" s="43">
        <v>0</v>
      </c>
      <c r="X170" s="43">
        <v>0</v>
      </c>
      <c r="Y170" s="43">
        <v>0</v>
      </c>
      <c r="Z170" s="43" t="s">
        <v>2870</v>
      </c>
      <c r="AA170" s="43" t="s">
        <v>2866</v>
      </c>
      <c r="AB170" s="43">
        <v>998852</v>
      </c>
      <c r="AC170" s="43" t="s">
        <v>2867</v>
      </c>
      <c r="AD170" s="43">
        <v>1</v>
      </c>
      <c r="AE170" s="43">
        <v>239</v>
      </c>
      <c r="AF170" s="43" t="s">
        <v>2868</v>
      </c>
    </row>
    <row r="171" spans="1:32" x14ac:dyDescent="0.25">
      <c r="A171" s="43" t="s">
        <v>3275</v>
      </c>
      <c r="B171" s="43" t="s">
        <v>1060</v>
      </c>
      <c r="C171" s="43" t="s">
        <v>3065</v>
      </c>
      <c r="D171" s="43" t="s">
        <v>3310</v>
      </c>
      <c r="E171" s="43" t="s">
        <v>3066</v>
      </c>
      <c r="F171" s="43" t="s">
        <v>3310</v>
      </c>
      <c r="G171" s="43" t="s">
        <v>3275</v>
      </c>
      <c r="H171" s="43" t="s">
        <v>628</v>
      </c>
      <c r="I171" s="43" t="s">
        <v>820</v>
      </c>
      <c r="J171" s="43" t="s">
        <v>820</v>
      </c>
      <c r="K171" s="43" t="s">
        <v>1076</v>
      </c>
      <c r="L171" s="43" t="s">
        <v>819</v>
      </c>
      <c r="M171" s="43">
        <v>120</v>
      </c>
      <c r="N171" s="43">
        <v>0</v>
      </c>
      <c r="O171" s="43" t="s">
        <v>3311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 t="s">
        <v>2870</v>
      </c>
      <c r="AA171" s="43" t="s">
        <v>2866</v>
      </c>
      <c r="AB171" s="43">
        <v>998852</v>
      </c>
      <c r="AC171" s="43" t="s">
        <v>2867</v>
      </c>
      <c r="AD171" s="43">
        <v>1</v>
      </c>
      <c r="AE171" s="43">
        <v>120</v>
      </c>
      <c r="AF171" s="43" t="s">
        <v>2868</v>
      </c>
    </row>
    <row r="172" spans="1:32" x14ac:dyDescent="0.25">
      <c r="A172" s="43" t="s">
        <v>3275</v>
      </c>
      <c r="B172" s="43" t="s">
        <v>1060</v>
      </c>
      <c r="C172" s="43" t="s">
        <v>3065</v>
      </c>
      <c r="D172" s="43" t="s">
        <v>3310</v>
      </c>
      <c r="E172" s="43" t="s">
        <v>3066</v>
      </c>
      <c r="F172" s="43" t="s">
        <v>3310</v>
      </c>
      <c r="G172" s="43" t="s">
        <v>3275</v>
      </c>
      <c r="H172" s="43" t="s">
        <v>628</v>
      </c>
      <c r="I172" s="43" t="s">
        <v>820</v>
      </c>
      <c r="J172" s="43" t="s">
        <v>820</v>
      </c>
      <c r="K172" s="43" t="s">
        <v>1076</v>
      </c>
      <c r="L172" s="43" t="s">
        <v>819</v>
      </c>
      <c r="M172" s="43">
        <v>54</v>
      </c>
      <c r="N172" s="43">
        <v>0</v>
      </c>
      <c r="O172" s="43" t="s">
        <v>3311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 t="s">
        <v>2870</v>
      </c>
      <c r="AA172" s="43" t="s">
        <v>2866</v>
      </c>
      <c r="AB172" s="43">
        <v>998852</v>
      </c>
      <c r="AC172" s="43" t="s">
        <v>2867</v>
      </c>
      <c r="AD172" s="43">
        <v>1</v>
      </c>
      <c r="AE172" s="43">
        <v>54</v>
      </c>
      <c r="AF172" s="43" t="s">
        <v>2868</v>
      </c>
    </row>
    <row r="173" spans="1:32" x14ac:dyDescent="0.25">
      <c r="A173" s="43" t="s">
        <v>3275</v>
      </c>
      <c r="B173" s="43" t="s">
        <v>1060</v>
      </c>
      <c r="C173" s="43" t="s">
        <v>3065</v>
      </c>
      <c r="D173" s="43" t="s">
        <v>3310</v>
      </c>
      <c r="E173" s="43" t="s">
        <v>3066</v>
      </c>
      <c r="F173" s="43" t="s">
        <v>3310</v>
      </c>
      <c r="G173" s="43" t="s">
        <v>3275</v>
      </c>
      <c r="H173" s="43" t="s">
        <v>628</v>
      </c>
      <c r="I173" s="43" t="s">
        <v>820</v>
      </c>
      <c r="J173" s="43" t="s">
        <v>820</v>
      </c>
      <c r="K173" s="43" t="s">
        <v>1076</v>
      </c>
      <c r="L173" s="43" t="s">
        <v>819</v>
      </c>
      <c r="M173" s="43">
        <v>554</v>
      </c>
      <c r="N173" s="43">
        <v>0</v>
      </c>
      <c r="O173" s="43" t="s">
        <v>3311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 t="s">
        <v>2870</v>
      </c>
      <c r="AA173" s="43" t="s">
        <v>2866</v>
      </c>
      <c r="AB173" s="43">
        <v>998852</v>
      </c>
      <c r="AC173" s="43" t="s">
        <v>2867</v>
      </c>
      <c r="AD173" s="43">
        <v>1</v>
      </c>
      <c r="AE173" s="43">
        <v>554</v>
      </c>
      <c r="AF173" s="43" t="s">
        <v>2868</v>
      </c>
    </row>
    <row r="174" spans="1:32" x14ac:dyDescent="0.25">
      <c r="A174" s="43" t="s">
        <v>3275</v>
      </c>
      <c r="B174" s="43" t="s">
        <v>1060</v>
      </c>
      <c r="C174" s="43" t="s">
        <v>3065</v>
      </c>
      <c r="D174" s="43" t="s">
        <v>3310</v>
      </c>
      <c r="E174" s="43" t="s">
        <v>3066</v>
      </c>
      <c r="F174" s="43" t="s">
        <v>3310</v>
      </c>
      <c r="G174" s="43" t="s">
        <v>3275</v>
      </c>
      <c r="H174" s="43" t="s">
        <v>628</v>
      </c>
      <c r="I174" s="43" t="s">
        <v>820</v>
      </c>
      <c r="J174" s="43" t="s">
        <v>820</v>
      </c>
      <c r="K174" s="43" t="s">
        <v>1076</v>
      </c>
      <c r="L174" s="43" t="s">
        <v>819</v>
      </c>
      <c r="M174" s="43">
        <v>458</v>
      </c>
      <c r="N174" s="43">
        <v>0</v>
      </c>
      <c r="O174" s="43" t="s">
        <v>3311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 t="s">
        <v>2870</v>
      </c>
      <c r="AA174" s="43" t="s">
        <v>2866</v>
      </c>
      <c r="AB174" s="43">
        <v>998852</v>
      </c>
      <c r="AC174" s="43" t="s">
        <v>2867</v>
      </c>
      <c r="AD174" s="43">
        <v>1</v>
      </c>
      <c r="AE174" s="43">
        <v>458</v>
      </c>
      <c r="AF174" s="43" t="s">
        <v>2868</v>
      </c>
    </row>
    <row r="175" spans="1:32" x14ac:dyDescent="0.25">
      <c r="A175" s="43" t="s">
        <v>3275</v>
      </c>
      <c r="B175" s="43" t="s">
        <v>1060</v>
      </c>
      <c r="C175" s="43" t="s">
        <v>3065</v>
      </c>
      <c r="D175" s="43" t="s">
        <v>3310</v>
      </c>
      <c r="E175" s="43" t="s">
        <v>3066</v>
      </c>
      <c r="F175" s="43" t="s">
        <v>3310</v>
      </c>
      <c r="G175" s="43" t="s">
        <v>3275</v>
      </c>
      <c r="H175" s="43" t="s">
        <v>628</v>
      </c>
      <c r="I175" s="43" t="s">
        <v>820</v>
      </c>
      <c r="J175" s="43" t="s">
        <v>820</v>
      </c>
      <c r="K175" s="43" t="s">
        <v>1076</v>
      </c>
      <c r="L175" s="43" t="s">
        <v>819</v>
      </c>
      <c r="M175" s="43">
        <v>345</v>
      </c>
      <c r="N175" s="43">
        <v>0</v>
      </c>
      <c r="O175" s="43" t="s">
        <v>3311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43">
        <v>0</v>
      </c>
      <c r="Z175" s="43" t="s">
        <v>2870</v>
      </c>
      <c r="AA175" s="43" t="s">
        <v>2866</v>
      </c>
      <c r="AB175" s="43">
        <v>998852</v>
      </c>
      <c r="AC175" s="43" t="s">
        <v>2867</v>
      </c>
      <c r="AD175" s="43">
        <v>1</v>
      </c>
      <c r="AE175" s="43">
        <v>345</v>
      </c>
      <c r="AF175" s="43" t="s">
        <v>2868</v>
      </c>
    </row>
    <row r="176" spans="1:32" x14ac:dyDescent="0.25">
      <c r="A176" s="43" t="s">
        <v>3275</v>
      </c>
      <c r="B176" s="43" t="s">
        <v>1060</v>
      </c>
      <c r="C176" s="43" t="s">
        <v>3065</v>
      </c>
      <c r="D176" s="43" t="s">
        <v>3310</v>
      </c>
      <c r="E176" s="43" t="s">
        <v>3066</v>
      </c>
      <c r="F176" s="43" t="s">
        <v>3310</v>
      </c>
      <c r="G176" s="43" t="s">
        <v>3275</v>
      </c>
      <c r="H176" s="43" t="s">
        <v>628</v>
      </c>
      <c r="I176" s="43" t="s">
        <v>820</v>
      </c>
      <c r="J176" s="43" t="s">
        <v>820</v>
      </c>
      <c r="K176" s="43" t="s">
        <v>1076</v>
      </c>
      <c r="L176" s="43" t="s">
        <v>819</v>
      </c>
      <c r="M176" s="43">
        <v>301</v>
      </c>
      <c r="N176" s="43">
        <v>0</v>
      </c>
      <c r="O176" s="43" t="s">
        <v>3311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 t="s">
        <v>2870</v>
      </c>
      <c r="AA176" s="43" t="s">
        <v>2866</v>
      </c>
      <c r="AB176" s="43">
        <v>998852</v>
      </c>
      <c r="AC176" s="43" t="s">
        <v>2867</v>
      </c>
      <c r="AD176" s="43">
        <v>1</v>
      </c>
      <c r="AE176" s="43">
        <v>301</v>
      </c>
      <c r="AF176" s="43" t="s">
        <v>2868</v>
      </c>
    </row>
    <row r="177" spans="1:32" x14ac:dyDescent="0.25">
      <c r="A177" s="43" t="s">
        <v>3275</v>
      </c>
      <c r="B177" s="43" t="s">
        <v>1060</v>
      </c>
      <c r="C177" s="43" t="s">
        <v>3065</v>
      </c>
      <c r="D177" s="43" t="s">
        <v>3310</v>
      </c>
      <c r="E177" s="43" t="s">
        <v>3066</v>
      </c>
      <c r="F177" s="43" t="s">
        <v>3310</v>
      </c>
      <c r="G177" s="43" t="s">
        <v>3275</v>
      </c>
      <c r="H177" s="43" t="s">
        <v>628</v>
      </c>
      <c r="I177" s="43" t="s">
        <v>820</v>
      </c>
      <c r="J177" s="43" t="s">
        <v>820</v>
      </c>
      <c r="K177" s="43" t="s">
        <v>1076</v>
      </c>
      <c r="L177" s="43" t="s">
        <v>819</v>
      </c>
      <c r="M177" s="43">
        <v>389</v>
      </c>
      <c r="N177" s="43">
        <v>0</v>
      </c>
      <c r="O177" s="43" t="s">
        <v>3311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 t="s">
        <v>2870</v>
      </c>
      <c r="AA177" s="43" t="s">
        <v>2866</v>
      </c>
      <c r="AB177" s="43">
        <v>998852</v>
      </c>
      <c r="AC177" s="43" t="s">
        <v>2867</v>
      </c>
      <c r="AD177" s="43">
        <v>1</v>
      </c>
      <c r="AE177" s="43">
        <v>389</v>
      </c>
      <c r="AF177" s="43" t="s">
        <v>2868</v>
      </c>
    </row>
    <row r="178" spans="1:32" x14ac:dyDescent="0.25">
      <c r="A178" s="43" t="s">
        <v>3275</v>
      </c>
      <c r="B178" s="43" t="s">
        <v>1060</v>
      </c>
      <c r="C178" s="43" t="s">
        <v>3065</v>
      </c>
      <c r="D178" s="43" t="s">
        <v>3310</v>
      </c>
      <c r="E178" s="43" t="s">
        <v>3066</v>
      </c>
      <c r="F178" s="43" t="s">
        <v>3310</v>
      </c>
      <c r="G178" s="43" t="s">
        <v>3275</v>
      </c>
      <c r="H178" s="43" t="s">
        <v>628</v>
      </c>
      <c r="I178" s="43" t="s">
        <v>820</v>
      </c>
      <c r="J178" s="43" t="s">
        <v>820</v>
      </c>
      <c r="K178" s="43" t="s">
        <v>1076</v>
      </c>
      <c r="L178" s="43" t="s">
        <v>819</v>
      </c>
      <c r="M178" s="43">
        <v>127</v>
      </c>
      <c r="N178" s="43">
        <v>0</v>
      </c>
      <c r="O178" s="43" t="s">
        <v>3311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  <c r="V178" s="43">
        <v>0</v>
      </c>
      <c r="W178" s="43">
        <v>0</v>
      </c>
      <c r="X178" s="43">
        <v>0</v>
      </c>
      <c r="Y178" s="43">
        <v>0</v>
      </c>
      <c r="Z178" s="43" t="s">
        <v>2870</v>
      </c>
      <c r="AA178" s="43" t="s">
        <v>2866</v>
      </c>
      <c r="AB178" s="43">
        <v>998852</v>
      </c>
      <c r="AC178" s="43" t="s">
        <v>2867</v>
      </c>
      <c r="AD178" s="43">
        <v>1</v>
      </c>
      <c r="AE178" s="43">
        <v>127</v>
      </c>
      <c r="AF178" s="43" t="s">
        <v>2868</v>
      </c>
    </row>
    <row r="179" spans="1:32" x14ac:dyDescent="0.25">
      <c r="A179" s="43" t="s">
        <v>3275</v>
      </c>
      <c r="B179" s="43" t="s">
        <v>1060</v>
      </c>
      <c r="C179" s="43" t="s">
        <v>3065</v>
      </c>
      <c r="D179" s="43" t="s">
        <v>3310</v>
      </c>
      <c r="E179" s="43" t="s">
        <v>3066</v>
      </c>
      <c r="F179" s="43" t="s">
        <v>3310</v>
      </c>
      <c r="G179" s="43" t="s">
        <v>3275</v>
      </c>
      <c r="H179" s="43" t="s">
        <v>628</v>
      </c>
      <c r="I179" s="43" t="s">
        <v>820</v>
      </c>
      <c r="J179" s="43" t="s">
        <v>820</v>
      </c>
      <c r="K179" s="43" t="s">
        <v>1076</v>
      </c>
      <c r="L179" s="43" t="s">
        <v>819</v>
      </c>
      <c r="M179" s="43">
        <v>566</v>
      </c>
      <c r="N179" s="43">
        <v>0</v>
      </c>
      <c r="O179" s="43" t="s">
        <v>3311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  <c r="V179" s="43">
        <v>0</v>
      </c>
      <c r="W179" s="43">
        <v>0</v>
      </c>
      <c r="X179" s="43">
        <v>0</v>
      </c>
      <c r="Y179" s="43">
        <v>0</v>
      </c>
      <c r="Z179" s="43" t="s">
        <v>2870</v>
      </c>
      <c r="AA179" s="43" t="s">
        <v>2866</v>
      </c>
      <c r="AB179" s="43">
        <v>998852</v>
      </c>
      <c r="AC179" s="43" t="s">
        <v>2867</v>
      </c>
      <c r="AD179" s="43">
        <v>1</v>
      </c>
      <c r="AE179" s="43">
        <v>566</v>
      </c>
      <c r="AF179" s="43" t="s">
        <v>2868</v>
      </c>
    </row>
    <row r="180" spans="1:32" x14ac:dyDescent="0.25">
      <c r="A180" s="43" t="s">
        <v>3275</v>
      </c>
      <c r="B180" s="43" t="s">
        <v>1060</v>
      </c>
      <c r="C180" s="43" t="s">
        <v>3065</v>
      </c>
      <c r="D180" s="43" t="s">
        <v>3310</v>
      </c>
      <c r="E180" s="43" t="s">
        <v>3066</v>
      </c>
      <c r="F180" s="43" t="s">
        <v>3310</v>
      </c>
      <c r="G180" s="43" t="s">
        <v>3275</v>
      </c>
      <c r="H180" s="43" t="s">
        <v>628</v>
      </c>
      <c r="I180" s="43" t="s">
        <v>820</v>
      </c>
      <c r="J180" s="43" t="s">
        <v>820</v>
      </c>
      <c r="K180" s="43" t="s">
        <v>1076</v>
      </c>
      <c r="L180" s="43" t="s">
        <v>819</v>
      </c>
      <c r="M180" s="43">
        <v>31</v>
      </c>
      <c r="N180" s="43">
        <v>0</v>
      </c>
      <c r="O180" s="43" t="s">
        <v>3311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 t="s">
        <v>2870</v>
      </c>
      <c r="AA180" s="43" t="s">
        <v>2866</v>
      </c>
      <c r="AB180" s="43">
        <v>998852</v>
      </c>
      <c r="AC180" s="43" t="s">
        <v>2867</v>
      </c>
      <c r="AD180" s="43">
        <v>1</v>
      </c>
      <c r="AE180" s="43">
        <v>31</v>
      </c>
      <c r="AF180" s="43" t="s">
        <v>2868</v>
      </c>
    </row>
    <row r="181" spans="1:32" x14ac:dyDescent="0.25">
      <c r="A181" s="43" t="s">
        <v>3275</v>
      </c>
      <c r="B181" s="43" t="s">
        <v>1060</v>
      </c>
      <c r="C181" s="43" t="s">
        <v>3065</v>
      </c>
      <c r="D181" s="43" t="s">
        <v>3310</v>
      </c>
      <c r="E181" s="43" t="s">
        <v>3066</v>
      </c>
      <c r="F181" s="43" t="s">
        <v>3310</v>
      </c>
      <c r="G181" s="43" t="s">
        <v>3275</v>
      </c>
      <c r="H181" s="43" t="s">
        <v>628</v>
      </c>
      <c r="I181" s="43" t="s">
        <v>820</v>
      </c>
      <c r="J181" s="43" t="s">
        <v>820</v>
      </c>
      <c r="K181" s="43" t="s">
        <v>1076</v>
      </c>
      <c r="L181" s="43" t="s">
        <v>819</v>
      </c>
      <c r="M181" s="43">
        <v>115</v>
      </c>
      <c r="N181" s="43">
        <v>0</v>
      </c>
      <c r="O181" s="43" t="s">
        <v>3311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 t="s">
        <v>2870</v>
      </c>
      <c r="AA181" s="43" t="s">
        <v>2866</v>
      </c>
      <c r="AB181" s="43">
        <v>998852</v>
      </c>
      <c r="AC181" s="43" t="s">
        <v>2867</v>
      </c>
      <c r="AD181" s="43">
        <v>1</v>
      </c>
      <c r="AE181" s="43">
        <v>115</v>
      </c>
      <c r="AF181" s="43" t="s">
        <v>2868</v>
      </c>
    </row>
    <row r="182" spans="1:32" x14ac:dyDescent="0.25">
      <c r="A182" s="43" t="s">
        <v>3351</v>
      </c>
      <c r="B182" s="43" t="s">
        <v>1053</v>
      </c>
      <c r="C182" s="43" t="s">
        <v>3065</v>
      </c>
      <c r="D182" s="43" t="s">
        <v>3365</v>
      </c>
      <c r="E182" s="43" t="s">
        <v>3066</v>
      </c>
      <c r="F182" s="43" t="s">
        <v>3365</v>
      </c>
      <c r="G182" s="43" t="s">
        <v>3351</v>
      </c>
      <c r="H182" s="43" t="s">
        <v>893</v>
      </c>
      <c r="I182" s="43" t="s">
        <v>897</v>
      </c>
      <c r="J182" s="43" t="s">
        <v>897</v>
      </c>
      <c r="K182" s="43" t="s">
        <v>3067</v>
      </c>
      <c r="L182" s="43" t="s">
        <v>911</v>
      </c>
      <c r="M182" s="101">
        <v>1370.7</v>
      </c>
      <c r="N182" s="43">
        <v>163757.53</v>
      </c>
      <c r="O182" s="43" t="s">
        <v>3068</v>
      </c>
      <c r="P182" s="43">
        <v>2745372.82</v>
      </c>
      <c r="Q182" s="43">
        <v>0</v>
      </c>
      <c r="R182" s="43">
        <v>0</v>
      </c>
      <c r="S182" s="43">
        <v>0</v>
      </c>
      <c r="T182" s="43">
        <v>0</v>
      </c>
      <c r="U182" s="43">
        <v>18</v>
      </c>
      <c r="V182" s="43">
        <v>29476.36</v>
      </c>
      <c r="W182" s="43">
        <v>0</v>
      </c>
      <c r="X182" s="43">
        <v>29476.36</v>
      </c>
      <c r="Y182" s="43">
        <v>0</v>
      </c>
      <c r="Z182" s="43" t="s">
        <v>2865</v>
      </c>
      <c r="AA182" s="43" t="s">
        <v>2866</v>
      </c>
      <c r="AB182" s="43">
        <v>998852</v>
      </c>
      <c r="AC182" s="43" t="s">
        <v>2867</v>
      </c>
      <c r="AD182" s="43">
        <v>1</v>
      </c>
      <c r="AE182" s="43">
        <v>1370.7</v>
      </c>
      <c r="AF182" s="43" t="s">
        <v>2868</v>
      </c>
    </row>
    <row r="183" spans="1:32" x14ac:dyDescent="0.25">
      <c r="A183" s="43" t="s">
        <v>3351</v>
      </c>
      <c r="B183" s="43" t="s">
        <v>1053</v>
      </c>
      <c r="C183" s="43" t="s">
        <v>3065</v>
      </c>
      <c r="D183" s="43" t="s">
        <v>3365</v>
      </c>
      <c r="E183" s="43" t="s">
        <v>3066</v>
      </c>
      <c r="F183" s="43" t="s">
        <v>3365</v>
      </c>
      <c r="G183" s="43" t="s">
        <v>3351</v>
      </c>
      <c r="H183" s="43" t="s">
        <v>893</v>
      </c>
      <c r="I183" s="43" t="s">
        <v>897</v>
      </c>
      <c r="J183" s="43" t="s">
        <v>897</v>
      </c>
      <c r="K183" s="43" t="s">
        <v>3067</v>
      </c>
      <c r="L183" s="43" t="s">
        <v>911</v>
      </c>
      <c r="M183" s="101">
        <v>9600</v>
      </c>
      <c r="N183" s="43">
        <v>1146912</v>
      </c>
      <c r="O183" s="43" t="s">
        <v>3068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18</v>
      </c>
      <c r="V183" s="43">
        <v>206444.16</v>
      </c>
      <c r="W183" s="43">
        <v>0</v>
      </c>
      <c r="X183" s="43">
        <v>206444.16</v>
      </c>
      <c r="Y183" s="43">
        <v>0</v>
      </c>
      <c r="Z183" s="43" t="s">
        <v>2865</v>
      </c>
      <c r="AA183" s="43" t="s">
        <v>2866</v>
      </c>
      <c r="AB183" s="43">
        <v>998852</v>
      </c>
      <c r="AC183" s="43" t="s">
        <v>2867</v>
      </c>
      <c r="AD183" s="43">
        <v>1</v>
      </c>
      <c r="AE183" s="43">
        <v>9600</v>
      </c>
      <c r="AF183" s="43" t="s">
        <v>2868</v>
      </c>
    </row>
    <row r="184" spans="1:32" x14ac:dyDescent="0.25">
      <c r="A184" s="43" t="s">
        <v>3351</v>
      </c>
      <c r="B184" s="43" t="s">
        <v>1053</v>
      </c>
      <c r="C184" s="43" t="s">
        <v>3065</v>
      </c>
      <c r="D184" s="43" t="s">
        <v>3365</v>
      </c>
      <c r="E184" s="43" t="s">
        <v>3066</v>
      </c>
      <c r="F184" s="43" t="s">
        <v>3365</v>
      </c>
      <c r="G184" s="43" t="s">
        <v>3351</v>
      </c>
      <c r="H184" s="43" t="s">
        <v>893</v>
      </c>
      <c r="I184" s="43" t="s">
        <v>897</v>
      </c>
      <c r="J184" s="43" t="s">
        <v>897</v>
      </c>
      <c r="K184" s="43" t="s">
        <v>3067</v>
      </c>
      <c r="L184" s="43" t="s">
        <v>911</v>
      </c>
      <c r="M184" s="101">
        <v>7539.3</v>
      </c>
      <c r="N184" s="43">
        <v>900720.17</v>
      </c>
      <c r="O184" s="43" t="s">
        <v>3068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18</v>
      </c>
      <c r="V184" s="43">
        <v>162129.63</v>
      </c>
      <c r="W184" s="43">
        <v>0</v>
      </c>
      <c r="X184" s="43">
        <v>162129.63</v>
      </c>
      <c r="Y184" s="43">
        <v>0</v>
      </c>
      <c r="Z184" s="43" t="s">
        <v>2865</v>
      </c>
      <c r="AA184" s="43" t="s">
        <v>2866</v>
      </c>
      <c r="AB184" s="43">
        <v>998852</v>
      </c>
      <c r="AC184" s="43" t="s">
        <v>2867</v>
      </c>
      <c r="AD184" s="43">
        <v>1</v>
      </c>
      <c r="AE184" s="43">
        <v>7539.3</v>
      </c>
      <c r="AF184" s="43" t="s">
        <v>2868</v>
      </c>
    </row>
    <row r="185" spans="1:32" x14ac:dyDescent="0.25">
      <c r="A185" s="43" t="s">
        <v>3351</v>
      </c>
      <c r="B185" s="43" t="s">
        <v>1053</v>
      </c>
      <c r="C185" s="43" t="s">
        <v>3065</v>
      </c>
      <c r="D185" s="43" t="s">
        <v>3365</v>
      </c>
      <c r="E185" s="43" t="s">
        <v>3066</v>
      </c>
      <c r="F185" s="43" t="s">
        <v>3365</v>
      </c>
      <c r="G185" s="43" t="s">
        <v>3351</v>
      </c>
      <c r="H185" s="43" t="s">
        <v>893</v>
      </c>
      <c r="I185" s="43" t="s">
        <v>897</v>
      </c>
      <c r="J185" s="43" t="s">
        <v>897</v>
      </c>
      <c r="K185" s="43" t="s">
        <v>3067</v>
      </c>
      <c r="L185" s="43" t="s">
        <v>911</v>
      </c>
      <c r="M185" s="43">
        <v>200</v>
      </c>
      <c r="N185" s="101">
        <v>23894</v>
      </c>
      <c r="O185" s="43" t="s">
        <v>3068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18</v>
      </c>
      <c r="V185" s="43">
        <v>4300.92</v>
      </c>
      <c r="W185" s="43">
        <v>0</v>
      </c>
      <c r="X185" s="43">
        <v>4300.92</v>
      </c>
      <c r="Y185" s="43">
        <v>0</v>
      </c>
      <c r="Z185" s="43" t="s">
        <v>2865</v>
      </c>
      <c r="AA185" s="43" t="s">
        <v>2866</v>
      </c>
      <c r="AB185" s="43">
        <v>998852</v>
      </c>
      <c r="AC185" s="43" t="s">
        <v>2867</v>
      </c>
      <c r="AD185" s="43">
        <v>1</v>
      </c>
      <c r="AE185" s="43">
        <v>200</v>
      </c>
      <c r="AF185" s="43" t="s">
        <v>2868</v>
      </c>
    </row>
    <row r="186" spans="1:32" x14ac:dyDescent="0.25">
      <c r="A186" s="43" t="s">
        <v>3351</v>
      </c>
      <c r="B186" s="43" t="s">
        <v>1053</v>
      </c>
      <c r="C186" s="43" t="s">
        <v>3065</v>
      </c>
      <c r="D186" s="43" t="s">
        <v>3365</v>
      </c>
      <c r="E186" s="43" t="s">
        <v>3066</v>
      </c>
      <c r="F186" s="43" t="s">
        <v>3365</v>
      </c>
      <c r="G186" s="43" t="s">
        <v>3351</v>
      </c>
      <c r="H186" s="43" t="s">
        <v>893</v>
      </c>
      <c r="I186" s="43" t="s">
        <v>897</v>
      </c>
      <c r="J186" s="43" t="s">
        <v>897</v>
      </c>
      <c r="K186" s="43" t="s">
        <v>3067</v>
      </c>
      <c r="L186" s="43" t="s">
        <v>911</v>
      </c>
      <c r="M186" s="101">
        <v>1100</v>
      </c>
      <c r="N186" s="43">
        <v>131417</v>
      </c>
      <c r="O186" s="43" t="s">
        <v>3068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18</v>
      </c>
      <c r="V186" s="43">
        <v>23655.06</v>
      </c>
      <c r="W186" s="43">
        <v>0</v>
      </c>
      <c r="X186" s="43">
        <v>23655.06</v>
      </c>
      <c r="Y186" s="43">
        <v>0</v>
      </c>
      <c r="Z186" s="43" t="s">
        <v>2865</v>
      </c>
      <c r="AA186" s="43" t="s">
        <v>2866</v>
      </c>
      <c r="AB186" s="43">
        <v>998852</v>
      </c>
      <c r="AC186" s="43" t="s">
        <v>2867</v>
      </c>
      <c r="AD186" s="43">
        <v>1</v>
      </c>
      <c r="AE186" s="43">
        <v>1100</v>
      </c>
      <c r="AF186" s="43" t="s">
        <v>2868</v>
      </c>
    </row>
    <row r="187" spans="1:32" x14ac:dyDescent="0.25">
      <c r="A187" s="43" t="s">
        <v>3366</v>
      </c>
      <c r="B187" s="43" t="s">
        <v>1060</v>
      </c>
      <c r="C187" s="43" t="s">
        <v>3065</v>
      </c>
      <c r="D187" s="43" t="s">
        <v>3375</v>
      </c>
      <c r="E187" s="43" t="s">
        <v>3066</v>
      </c>
      <c r="F187" s="43" t="s">
        <v>3375</v>
      </c>
      <c r="G187" s="43" t="s">
        <v>3366</v>
      </c>
      <c r="H187" s="43" t="s">
        <v>893</v>
      </c>
      <c r="I187" s="43" t="s">
        <v>897</v>
      </c>
      <c r="J187" s="43" t="s">
        <v>897</v>
      </c>
      <c r="K187" s="43" t="s">
        <v>3067</v>
      </c>
      <c r="L187" s="43" t="s">
        <v>896</v>
      </c>
      <c r="M187" s="101">
        <v>2365</v>
      </c>
      <c r="N187" s="43">
        <v>304470.09999999998</v>
      </c>
      <c r="O187" s="43" t="s">
        <v>3068</v>
      </c>
      <c r="P187" s="43">
        <v>4537480.95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 t="s">
        <v>2870</v>
      </c>
      <c r="AA187" s="43" t="s">
        <v>2866</v>
      </c>
      <c r="AB187" s="43">
        <v>998852</v>
      </c>
      <c r="AC187" s="43" t="s">
        <v>2867</v>
      </c>
      <c r="AD187" s="43">
        <v>1</v>
      </c>
      <c r="AE187" s="43">
        <v>2365</v>
      </c>
      <c r="AF187" s="43" t="s">
        <v>2868</v>
      </c>
    </row>
    <row r="188" spans="1:32" x14ac:dyDescent="0.25">
      <c r="A188" s="43" t="s">
        <v>3366</v>
      </c>
      <c r="B188" s="43" t="s">
        <v>1060</v>
      </c>
      <c r="C188" s="43" t="s">
        <v>3065</v>
      </c>
      <c r="D188" s="43" t="s">
        <v>3375</v>
      </c>
      <c r="E188" s="43" t="s">
        <v>3066</v>
      </c>
      <c r="F188" s="43" t="s">
        <v>3375</v>
      </c>
      <c r="G188" s="43" t="s">
        <v>3366</v>
      </c>
      <c r="H188" s="43" t="s">
        <v>893</v>
      </c>
      <c r="I188" s="43" t="s">
        <v>897</v>
      </c>
      <c r="J188" s="43" t="s">
        <v>897</v>
      </c>
      <c r="K188" s="43" t="s">
        <v>3067</v>
      </c>
      <c r="L188" s="43" t="s">
        <v>896</v>
      </c>
      <c r="M188" s="101">
        <v>1885</v>
      </c>
      <c r="N188" s="43">
        <v>242674.9</v>
      </c>
      <c r="O188" s="43" t="s">
        <v>3068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 t="s">
        <v>2870</v>
      </c>
      <c r="AA188" s="43" t="s">
        <v>2866</v>
      </c>
      <c r="AB188" s="43">
        <v>998852</v>
      </c>
      <c r="AC188" s="43" t="s">
        <v>2867</v>
      </c>
      <c r="AD188" s="43">
        <v>1</v>
      </c>
      <c r="AE188" s="43">
        <v>1885</v>
      </c>
      <c r="AF188" s="43" t="s">
        <v>2868</v>
      </c>
    </row>
    <row r="189" spans="1:32" x14ac:dyDescent="0.25">
      <c r="A189" s="43" t="s">
        <v>3366</v>
      </c>
      <c r="B189" s="43" t="s">
        <v>1060</v>
      </c>
      <c r="C189" s="43" t="s">
        <v>3065</v>
      </c>
      <c r="D189" s="43" t="s">
        <v>3375</v>
      </c>
      <c r="E189" s="43" t="s">
        <v>3066</v>
      </c>
      <c r="F189" s="43" t="s">
        <v>3375</v>
      </c>
      <c r="G189" s="43" t="s">
        <v>3366</v>
      </c>
      <c r="H189" s="43" t="s">
        <v>893</v>
      </c>
      <c r="I189" s="43" t="s">
        <v>897</v>
      </c>
      <c r="J189" s="43" t="s">
        <v>897</v>
      </c>
      <c r="K189" s="43" t="s">
        <v>3067</v>
      </c>
      <c r="L189" s="43" t="s">
        <v>896</v>
      </c>
      <c r="M189" s="43">
        <v>10.7</v>
      </c>
      <c r="N189" s="101">
        <v>1377.52</v>
      </c>
      <c r="O189" s="43" t="s">
        <v>3068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43">
        <v>0</v>
      </c>
      <c r="Z189" s="43" t="s">
        <v>2870</v>
      </c>
      <c r="AA189" s="43" t="s">
        <v>2866</v>
      </c>
      <c r="AB189" s="43">
        <v>998852</v>
      </c>
      <c r="AC189" s="43" t="s">
        <v>2867</v>
      </c>
      <c r="AD189" s="43">
        <v>1</v>
      </c>
      <c r="AE189" s="43">
        <v>10.7</v>
      </c>
      <c r="AF189" s="43" t="s">
        <v>2868</v>
      </c>
    </row>
    <row r="190" spans="1:32" x14ac:dyDescent="0.25">
      <c r="A190" s="43" t="s">
        <v>3366</v>
      </c>
      <c r="B190" s="43" t="s">
        <v>1060</v>
      </c>
      <c r="C190" s="43" t="s">
        <v>3065</v>
      </c>
      <c r="D190" s="43" t="s">
        <v>3375</v>
      </c>
      <c r="E190" s="43" t="s">
        <v>3066</v>
      </c>
      <c r="F190" s="43" t="s">
        <v>3375</v>
      </c>
      <c r="G190" s="43" t="s">
        <v>3366</v>
      </c>
      <c r="H190" s="43" t="s">
        <v>893</v>
      </c>
      <c r="I190" s="43" t="s">
        <v>897</v>
      </c>
      <c r="J190" s="43" t="s">
        <v>897</v>
      </c>
      <c r="K190" s="43" t="s">
        <v>3067</v>
      </c>
      <c r="L190" s="43" t="s">
        <v>896</v>
      </c>
      <c r="M190" s="43">
        <v>201.1</v>
      </c>
      <c r="N190" s="101">
        <v>25889.61</v>
      </c>
      <c r="O190" s="43" t="s">
        <v>3068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 t="s">
        <v>2870</v>
      </c>
      <c r="AA190" s="43" t="s">
        <v>2866</v>
      </c>
      <c r="AB190" s="43">
        <v>998852</v>
      </c>
      <c r="AC190" s="43" t="s">
        <v>2867</v>
      </c>
      <c r="AD190" s="43">
        <v>1</v>
      </c>
      <c r="AE190" s="43">
        <v>201.1</v>
      </c>
      <c r="AF190" s="43" t="s">
        <v>2868</v>
      </c>
    </row>
    <row r="191" spans="1:32" x14ac:dyDescent="0.25">
      <c r="A191" s="43" t="s">
        <v>3366</v>
      </c>
      <c r="B191" s="43" t="s">
        <v>1060</v>
      </c>
      <c r="C191" s="43" t="s">
        <v>3065</v>
      </c>
      <c r="D191" s="43" t="s">
        <v>3375</v>
      </c>
      <c r="E191" s="43" t="s">
        <v>3066</v>
      </c>
      <c r="F191" s="43" t="s">
        <v>3375</v>
      </c>
      <c r="G191" s="43" t="s">
        <v>3366</v>
      </c>
      <c r="H191" s="43" t="s">
        <v>893</v>
      </c>
      <c r="I191" s="43" t="s">
        <v>897</v>
      </c>
      <c r="J191" s="43" t="s">
        <v>897</v>
      </c>
      <c r="K191" s="43" t="s">
        <v>3067</v>
      </c>
      <c r="L191" s="43" t="s">
        <v>896</v>
      </c>
      <c r="M191" s="43">
        <v>123</v>
      </c>
      <c r="N191" s="101">
        <v>15835.02</v>
      </c>
      <c r="O191" s="43" t="s">
        <v>3068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 t="s">
        <v>2870</v>
      </c>
      <c r="AA191" s="43" t="s">
        <v>2866</v>
      </c>
      <c r="AB191" s="43">
        <v>998852</v>
      </c>
      <c r="AC191" s="43" t="s">
        <v>2867</v>
      </c>
      <c r="AD191" s="43">
        <v>1</v>
      </c>
      <c r="AE191" s="43">
        <v>123</v>
      </c>
      <c r="AF191" s="43" t="s">
        <v>2868</v>
      </c>
    </row>
    <row r="192" spans="1:32" x14ac:dyDescent="0.25">
      <c r="A192" s="43" t="s">
        <v>3366</v>
      </c>
      <c r="B192" s="43" t="s">
        <v>1060</v>
      </c>
      <c r="C192" s="43" t="s">
        <v>3065</v>
      </c>
      <c r="D192" s="43" t="s">
        <v>3375</v>
      </c>
      <c r="E192" s="43" t="s">
        <v>3066</v>
      </c>
      <c r="F192" s="43" t="s">
        <v>3375</v>
      </c>
      <c r="G192" s="43" t="s">
        <v>3366</v>
      </c>
      <c r="H192" s="43" t="s">
        <v>893</v>
      </c>
      <c r="I192" s="43" t="s">
        <v>897</v>
      </c>
      <c r="J192" s="43" t="s">
        <v>897</v>
      </c>
      <c r="K192" s="43" t="s">
        <v>3067</v>
      </c>
      <c r="L192" s="43" t="s">
        <v>896</v>
      </c>
      <c r="M192" s="101">
        <v>6952</v>
      </c>
      <c r="N192" s="43">
        <v>895000.48</v>
      </c>
      <c r="O192" s="43" t="s">
        <v>3068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 t="s">
        <v>2870</v>
      </c>
      <c r="AA192" s="43" t="s">
        <v>2866</v>
      </c>
      <c r="AB192" s="43">
        <v>998852</v>
      </c>
      <c r="AC192" s="43" t="s">
        <v>2867</v>
      </c>
      <c r="AD192" s="43">
        <v>1</v>
      </c>
      <c r="AE192" s="43">
        <v>6952</v>
      </c>
      <c r="AF192" s="43" t="s">
        <v>2868</v>
      </c>
    </row>
    <row r="193" spans="1:32" x14ac:dyDescent="0.25">
      <c r="A193" s="43" t="s">
        <v>3366</v>
      </c>
      <c r="B193" s="43" t="s">
        <v>1060</v>
      </c>
      <c r="C193" s="43" t="s">
        <v>3065</v>
      </c>
      <c r="D193" s="43" t="s">
        <v>3375</v>
      </c>
      <c r="E193" s="43" t="s">
        <v>3066</v>
      </c>
      <c r="F193" s="43" t="s">
        <v>3375</v>
      </c>
      <c r="G193" s="43" t="s">
        <v>3366</v>
      </c>
      <c r="H193" s="43" t="s">
        <v>893</v>
      </c>
      <c r="I193" s="43" t="s">
        <v>897</v>
      </c>
      <c r="J193" s="43" t="s">
        <v>897</v>
      </c>
      <c r="K193" s="43" t="s">
        <v>3067</v>
      </c>
      <c r="L193" s="43" t="s">
        <v>896</v>
      </c>
      <c r="M193" s="43">
        <v>303</v>
      </c>
      <c r="N193" s="101">
        <v>39008.22</v>
      </c>
      <c r="O193" s="43" t="s">
        <v>3068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 t="s">
        <v>2870</v>
      </c>
      <c r="AA193" s="43" t="s">
        <v>2866</v>
      </c>
      <c r="AB193" s="43">
        <v>998852</v>
      </c>
      <c r="AC193" s="43" t="s">
        <v>2867</v>
      </c>
      <c r="AD193" s="43">
        <v>1</v>
      </c>
      <c r="AE193" s="43">
        <v>303</v>
      </c>
      <c r="AF193" s="43" t="s">
        <v>2868</v>
      </c>
    </row>
    <row r="194" spans="1:32" x14ac:dyDescent="0.25">
      <c r="A194" s="43" t="s">
        <v>3366</v>
      </c>
      <c r="B194" s="43" t="s">
        <v>1060</v>
      </c>
      <c r="C194" s="43" t="s">
        <v>3065</v>
      </c>
      <c r="D194" s="43" t="s">
        <v>3375</v>
      </c>
      <c r="E194" s="43" t="s">
        <v>3066</v>
      </c>
      <c r="F194" s="43" t="s">
        <v>3375</v>
      </c>
      <c r="G194" s="43" t="s">
        <v>3366</v>
      </c>
      <c r="H194" s="43" t="s">
        <v>893</v>
      </c>
      <c r="I194" s="43" t="s">
        <v>897</v>
      </c>
      <c r="J194" s="43" t="s">
        <v>897</v>
      </c>
      <c r="K194" s="43" t="s">
        <v>3067</v>
      </c>
      <c r="L194" s="43" t="s">
        <v>896</v>
      </c>
      <c r="M194" s="101">
        <v>3485.5</v>
      </c>
      <c r="N194" s="43">
        <v>448723.27</v>
      </c>
      <c r="O194" s="43" t="s">
        <v>3068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 t="s">
        <v>2870</v>
      </c>
      <c r="AA194" s="43" t="s">
        <v>2866</v>
      </c>
      <c r="AB194" s="43">
        <v>998852</v>
      </c>
      <c r="AC194" s="43" t="s">
        <v>2867</v>
      </c>
      <c r="AD194" s="43">
        <v>1</v>
      </c>
      <c r="AE194" s="43">
        <v>3485.5</v>
      </c>
      <c r="AF194" s="43" t="s">
        <v>2868</v>
      </c>
    </row>
    <row r="195" spans="1:32" x14ac:dyDescent="0.25">
      <c r="A195" s="43" t="s">
        <v>3366</v>
      </c>
      <c r="B195" s="43" t="s">
        <v>1060</v>
      </c>
      <c r="C195" s="43" t="s">
        <v>3065</v>
      </c>
      <c r="D195" s="43" t="s">
        <v>3375</v>
      </c>
      <c r="E195" s="43" t="s">
        <v>3066</v>
      </c>
      <c r="F195" s="43" t="s">
        <v>3375</v>
      </c>
      <c r="G195" s="43" t="s">
        <v>3366</v>
      </c>
      <c r="H195" s="43" t="s">
        <v>893</v>
      </c>
      <c r="I195" s="43" t="s">
        <v>897</v>
      </c>
      <c r="J195" s="43" t="s">
        <v>897</v>
      </c>
      <c r="K195" s="43" t="s">
        <v>3067</v>
      </c>
      <c r="L195" s="43" t="s">
        <v>896</v>
      </c>
      <c r="M195" s="43">
        <v>382</v>
      </c>
      <c r="N195" s="101">
        <v>49178.68</v>
      </c>
      <c r="O195" s="43" t="s">
        <v>3068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  <c r="V195" s="43">
        <v>0</v>
      </c>
      <c r="W195" s="43">
        <v>0</v>
      </c>
      <c r="X195" s="43">
        <v>0</v>
      </c>
      <c r="Y195" s="43">
        <v>0</v>
      </c>
      <c r="Z195" s="43" t="s">
        <v>2870</v>
      </c>
      <c r="AA195" s="43" t="s">
        <v>2866</v>
      </c>
      <c r="AB195" s="43">
        <v>998852</v>
      </c>
      <c r="AC195" s="43" t="s">
        <v>2867</v>
      </c>
      <c r="AD195" s="43">
        <v>1</v>
      </c>
      <c r="AE195" s="43">
        <v>382</v>
      </c>
      <c r="AF195" s="43" t="s">
        <v>2868</v>
      </c>
    </row>
    <row r="196" spans="1:32" x14ac:dyDescent="0.25">
      <c r="A196" s="43" t="s">
        <v>3366</v>
      </c>
      <c r="B196" s="43" t="s">
        <v>1060</v>
      </c>
      <c r="C196" s="43" t="s">
        <v>3065</v>
      </c>
      <c r="D196" s="43" t="s">
        <v>3375</v>
      </c>
      <c r="E196" s="43" t="s">
        <v>3066</v>
      </c>
      <c r="F196" s="43" t="s">
        <v>3375</v>
      </c>
      <c r="G196" s="43" t="s">
        <v>3366</v>
      </c>
      <c r="H196" s="43" t="s">
        <v>893</v>
      </c>
      <c r="I196" s="43" t="s">
        <v>897</v>
      </c>
      <c r="J196" s="43" t="s">
        <v>897</v>
      </c>
      <c r="K196" s="43" t="s">
        <v>3067</v>
      </c>
      <c r="L196" s="43" t="s">
        <v>896</v>
      </c>
      <c r="M196" s="43">
        <v>444</v>
      </c>
      <c r="N196" s="101">
        <v>57160.56</v>
      </c>
      <c r="O196" s="43" t="s">
        <v>3068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  <c r="V196" s="43">
        <v>0</v>
      </c>
      <c r="W196" s="43">
        <v>0</v>
      </c>
      <c r="X196" s="43">
        <v>0</v>
      </c>
      <c r="Y196" s="43">
        <v>0</v>
      </c>
      <c r="Z196" s="43" t="s">
        <v>2870</v>
      </c>
      <c r="AA196" s="43" t="s">
        <v>2866</v>
      </c>
      <c r="AB196" s="43">
        <v>998852</v>
      </c>
      <c r="AC196" s="43" t="s">
        <v>2867</v>
      </c>
      <c r="AD196" s="43">
        <v>1</v>
      </c>
      <c r="AE196" s="43">
        <v>444</v>
      </c>
      <c r="AF196" s="43" t="s">
        <v>2868</v>
      </c>
    </row>
    <row r="197" spans="1:32" x14ac:dyDescent="0.25">
      <c r="A197" s="43" t="s">
        <v>3366</v>
      </c>
      <c r="B197" s="43" t="s">
        <v>1060</v>
      </c>
      <c r="C197" s="43" t="s">
        <v>3065</v>
      </c>
      <c r="D197" s="43" t="s">
        <v>3375</v>
      </c>
      <c r="E197" s="43" t="s">
        <v>3066</v>
      </c>
      <c r="F197" s="43" t="s">
        <v>3375</v>
      </c>
      <c r="G197" s="43" t="s">
        <v>3366</v>
      </c>
      <c r="H197" s="43" t="s">
        <v>893</v>
      </c>
      <c r="I197" s="43" t="s">
        <v>897</v>
      </c>
      <c r="J197" s="43" t="s">
        <v>897</v>
      </c>
      <c r="K197" s="43" t="s">
        <v>3067</v>
      </c>
      <c r="L197" s="43" t="s">
        <v>896</v>
      </c>
      <c r="M197" s="101">
        <v>2188.3000000000002</v>
      </c>
      <c r="N197" s="43">
        <v>281721.74</v>
      </c>
      <c r="O197" s="43" t="s">
        <v>3068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  <c r="V197" s="43">
        <v>0</v>
      </c>
      <c r="W197" s="43">
        <v>0</v>
      </c>
      <c r="X197" s="43">
        <v>0</v>
      </c>
      <c r="Y197" s="43">
        <v>0</v>
      </c>
      <c r="Z197" s="43" t="s">
        <v>2870</v>
      </c>
      <c r="AA197" s="43" t="s">
        <v>2866</v>
      </c>
      <c r="AB197" s="43">
        <v>998852</v>
      </c>
      <c r="AC197" s="43" t="s">
        <v>2867</v>
      </c>
      <c r="AD197" s="43">
        <v>1</v>
      </c>
      <c r="AE197" s="43">
        <v>2188.3000000000002</v>
      </c>
      <c r="AF197" s="43" t="s">
        <v>2868</v>
      </c>
    </row>
    <row r="198" spans="1:32" x14ac:dyDescent="0.25">
      <c r="A198" s="43" t="s">
        <v>3366</v>
      </c>
      <c r="B198" s="43" t="s">
        <v>1060</v>
      </c>
      <c r="C198" s="43" t="s">
        <v>3065</v>
      </c>
      <c r="D198" s="43" t="s">
        <v>3375</v>
      </c>
      <c r="E198" s="43" t="s">
        <v>3066</v>
      </c>
      <c r="F198" s="43" t="s">
        <v>3375</v>
      </c>
      <c r="G198" s="43" t="s">
        <v>3366</v>
      </c>
      <c r="H198" s="43" t="s">
        <v>893</v>
      </c>
      <c r="I198" s="43" t="s">
        <v>897</v>
      </c>
      <c r="J198" s="43" t="s">
        <v>897</v>
      </c>
      <c r="K198" s="43" t="s">
        <v>3067</v>
      </c>
      <c r="L198" s="43" t="s">
        <v>896</v>
      </c>
      <c r="M198" s="101">
        <v>1845</v>
      </c>
      <c r="N198" s="43">
        <v>237525.3</v>
      </c>
      <c r="O198" s="43" t="s">
        <v>3068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  <c r="V198" s="43">
        <v>0</v>
      </c>
      <c r="W198" s="43">
        <v>0</v>
      </c>
      <c r="X198" s="43">
        <v>0</v>
      </c>
      <c r="Y198" s="43">
        <v>0</v>
      </c>
      <c r="Z198" s="43" t="s">
        <v>2870</v>
      </c>
      <c r="AA198" s="43" t="s">
        <v>2866</v>
      </c>
      <c r="AB198" s="43">
        <v>998852</v>
      </c>
      <c r="AC198" s="43" t="s">
        <v>2867</v>
      </c>
      <c r="AD198" s="43">
        <v>1</v>
      </c>
      <c r="AE198" s="43">
        <v>1845</v>
      </c>
      <c r="AF198" s="43" t="s">
        <v>2868</v>
      </c>
    </row>
    <row r="199" spans="1:32" x14ac:dyDescent="0.25">
      <c r="A199" s="43" t="s">
        <v>3366</v>
      </c>
      <c r="B199" s="43" t="s">
        <v>1060</v>
      </c>
      <c r="C199" s="43" t="s">
        <v>3065</v>
      </c>
      <c r="D199" s="43" t="s">
        <v>3375</v>
      </c>
      <c r="E199" s="43" t="s">
        <v>3066</v>
      </c>
      <c r="F199" s="43" t="s">
        <v>3375</v>
      </c>
      <c r="G199" s="43" t="s">
        <v>3366</v>
      </c>
      <c r="H199" s="43" t="s">
        <v>893</v>
      </c>
      <c r="I199" s="43" t="s">
        <v>897</v>
      </c>
      <c r="J199" s="43" t="s">
        <v>897</v>
      </c>
      <c r="K199" s="43" t="s">
        <v>3067</v>
      </c>
      <c r="L199" s="43" t="s">
        <v>896</v>
      </c>
      <c r="M199" s="101">
        <v>1058.7</v>
      </c>
      <c r="N199" s="43">
        <v>136297.04</v>
      </c>
      <c r="O199" s="43" t="s">
        <v>3068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  <c r="V199" s="43">
        <v>0</v>
      </c>
      <c r="W199" s="43">
        <v>0</v>
      </c>
      <c r="X199" s="43">
        <v>0</v>
      </c>
      <c r="Y199" s="43">
        <v>0</v>
      </c>
      <c r="Z199" s="43" t="s">
        <v>2870</v>
      </c>
      <c r="AA199" s="43" t="s">
        <v>2866</v>
      </c>
      <c r="AB199" s="43">
        <v>998852</v>
      </c>
      <c r="AC199" s="43" t="s">
        <v>2867</v>
      </c>
      <c r="AD199" s="43">
        <v>1</v>
      </c>
      <c r="AE199" s="43">
        <v>1058.7</v>
      </c>
      <c r="AF199" s="43" t="s">
        <v>2868</v>
      </c>
    </row>
    <row r="200" spans="1:32" x14ac:dyDescent="0.25">
      <c r="A200" s="43" t="s">
        <v>3366</v>
      </c>
      <c r="B200" s="43" t="s">
        <v>1060</v>
      </c>
      <c r="C200" s="43" t="s">
        <v>3065</v>
      </c>
      <c r="D200" s="43" t="s">
        <v>3375</v>
      </c>
      <c r="E200" s="43" t="s">
        <v>3066</v>
      </c>
      <c r="F200" s="43" t="s">
        <v>3375</v>
      </c>
      <c r="G200" s="43" t="s">
        <v>3366</v>
      </c>
      <c r="H200" s="43" t="s">
        <v>893</v>
      </c>
      <c r="I200" s="43" t="s">
        <v>897</v>
      </c>
      <c r="J200" s="43" t="s">
        <v>897</v>
      </c>
      <c r="K200" s="43" t="s">
        <v>3067</v>
      </c>
      <c r="L200" s="43" t="s">
        <v>896</v>
      </c>
      <c r="M200" s="101">
        <v>1373</v>
      </c>
      <c r="N200" s="43">
        <v>176760.02</v>
      </c>
      <c r="O200" s="43" t="s">
        <v>3068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  <c r="V200" s="43">
        <v>0</v>
      </c>
      <c r="W200" s="43">
        <v>0</v>
      </c>
      <c r="X200" s="43">
        <v>0</v>
      </c>
      <c r="Y200" s="43">
        <v>0</v>
      </c>
      <c r="Z200" s="43" t="s">
        <v>2870</v>
      </c>
      <c r="AA200" s="43" t="s">
        <v>2866</v>
      </c>
      <c r="AB200" s="43">
        <v>998852</v>
      </c>
      <c r="AC200" s="43" t="s">
        <v>2867</v>
      </c>
      <c r="AD200" s="43">
        <v>1</v>
      </c>
      <c r="AE200" s="43">
        <v>1373</v>
      </c>
      <c r="AF200" s="43" t="s">
        <v>2868</v>
      </c>
    </row>
    <row r="201" spans="1:32" x14ac:dyDescent="0.25">
      <c r="A201" s="43" t="s">
        <v>3366</v>
      </c>
      <c r="B201" s="43" t="s">
        <v>1060</v>
      </c>
      <c r="C201" s="43" t="s">
        <v>3065</v>
      </c>
      <c r="D201" s="43" t="s">
        <v>3375</v>
      </c>
      <c r="E201" s="43" t="s">
        <v>3066</v>
      </c>
      <c r="F201" s="43" t="s">
        <v>3375</v>
      </c>
      <c r="G201" s="43" t="s">
        <v>3366</v>
      </c>
      <c r="H201" s="43" t="s">
        <v>893</v>
      </c>
      <c r="I201" s="43" t="s">
        <v>897</v>
      </c>
      <c r="J201" s="43" t="s">
        <v>897</v>
      </c>
      <c r="K201" s="43" t="s">
        <v>3067</v>
      </c>
      <c r="L201" s="43" t="s">
        <v>896</v>
      </c>
      <c r="M201" s="101">
        <v>2870</v>
      </c>
      <c r="N201" s="43">
        <v>369483.8</v>
      </c>
      <c r="O201" s="43" t="s">
        <v>3068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  <c r="V201" s="43">
        <v>0</v>
      </c>
      <c r="W201" s="43">
        <v>0</v>
      </c>
      <c r="X201" s="43">
        <v>0</v>
      </c>
      <c r="Y201" s="43">
        <v>0</v>
      </c>
      <c r="Z201" s="43" t="s">
        <v>2870</v>
      </c>
      <c r="AA201" s="43" t="s">
        <v>2866</v>
      </c>
      <c r="AB201" s="43">
        <v>998852</v>
      </c>
      <c r="AC201" s="43" t="s">
        <v>2867</v>
      </c>
      <c r="AD201" s="43">
        <v>1</v>
      </c>
      <c r="AE201" s="43">
        <v>2870</v>
      </c>
      <c r="AF201" s="43" t="s">
        <v>2868</v>
      </c>
    </row>
    <row r="202" spans="1:32" x14ac:dyDescent="0.25">
      <c r="A202" s="43" t="s">
        <v>3366</v>
      </c>
      <c r="B202" s="43" t="s">
        <v>1060</v>
      </c>
      <c r="C202" s="43" t="s">
        <v>3065</v>
      </c>
      <c r="D202" s="43" t="s">
        <v>3375</v>
      </c>
      <c r="E202" s="43" t="s">
        <v>3066</v>
      </c>
      <c r="F202" s="43" t="s">
        <v>3375</v>
      </c>
      <c r="G202" s="43" t="s">
        <v>3366</v>
      </c>
      <c r="H202" s="43" t="s">
        <v>893</v>
      </c>
      <c r="I202" s="43" t="s">
        <v>897</v>
      </c>
      <c r="J202" s="43" t="s">
        <v>897</v>
      </c>
      <c r="K202" s="43" t="s">
        <v>3067</v>
      </c>
      <c r="L202" s="43" t="s">
        <v>896</v>
      </c>
      <c r="M202" s="101">
        <v>2207</v>
      </c>
      <c r="N202" s="43">
        <v>284129.18</v>
      </c>
      <c r="O202" s="43" t="s">
        <v>3068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  <c r="V202" s="43">
        <v>0</v>
      </c>
      <c r="W202" s="43">
        <v>0</v>
      </c>
      <c r="X202" s="43">
        <v>0</v>
      </c>
      <c r="Y202" s="43">
        <v>0</v>
      </c>
      <c r="Z202" s="43" t="s">
        <v>2870</v>
      </c>
      <c r="AA202" s="43" t="s">
        <v>2866</v>
      </c>
      <c r="AB202" s="43">
        <v>998852</v>
      </c>
      <c r="AC202" s="43" t="s">
        <v>2867</v>
      </c>
      <c r="AD202" s="43">
        <v>1</v>
      </c>
      <c r="AE202" s="43">
        <v>2207</v>
      </c>
      <c r="AF202" s="43" t="s">
        <v>2868</v>
      </c>
    </row>
    <row r="203" spans="1:32" x14ac:dyDescent="0.25">
      <c r="A203" s="43" t="s">
        <v>3366</v>
      </c>
      <c r="B203" s="43" t="s">
        <v>1060</v>
      </c>
      <c r="C203" s="43" t="s">
        <v>3065</v>
      </c>
      <c r="D203" s="43" t="s">
        <v>3375</v>
      </c>
      <c r="E203" s="43" t="s">
        <v>3066</v>
      </c>
      <c r="F203" s="43" t="s">
        <v>3375</v>
      </c>
      <c r="G203" s="43" t="s">
        <v>3366</v>
      </c>
      <c r="H203" s="43" t="s">
        <v>893</v>
      </c>
      <c r="I203" s="43" t="s">
        <v>897</v>
      </c>
      <c r="J203" s="43" t="s">
        <v>897</v>
      </c>
      <c r="K203" s="43" t="s">
        <v>3067</v>
      </c>
      <c r="L203" s="43" t="s">
        <v>896</v>
      </c>
      <c r="M203" s="101">
        <v>3639</v>
      </c>
      <c r="N203" s="43">
        <v>468484.86</v>
      </c>
      <c r="O203" s="43" t="s">
        <v>3068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  <c r="V203" s="43">
        <v>0</v>
      </c>
      <c r="W203" s="43">
        <v>0</v>
      </c>
      <c r="X203" s="43">
        <v>0</v>
      </c>
      <c r="Y203" s="43">
        <v>0</v>
      </c>
      <c r="Z203" s="43" t="s">
        <v>2870</v>
      </c>
      <c r="AA203" s="43" t="s">
        <v>2866</v>
      </c>
      <c r="AB203" s="43">
        <v>998852</v>
      </c>
      <c r="AC203" s="43" t="s">
        <v>2867</v>
      </c>
      <c r="AD203" s="43">
        <v>1</v>
      </c>
      <c r="AE203" s="43">
        <v>3639</v>
      </c>
      <c r="AF203" s="43" t="s">
        <v>2868</v>
      </c>
    </row>
    <row r="204" spans="1:32" x14ac:dyDescent="0.25">
      <c r="A204" s="43" t="s">
        <v>3366</v>
      </c>
      <c r="B204" s="43" t="s">
        <v>1060</v>
      </c>
      <c r="C204" s="43" t="s">
        <v>3065</v>
      </c>
      <c r="D204" s="43" t="s">
        <v>3375</v>
      </c>
      <c r="E204" s="43" t="s">
        <v>3066</v>
      </c>
      <c r="F204" s="43" t="s">
        <v>3375</v>
      </c>
      <c r="G204" s="43" t="s">
        <v>3366</v>
      </c>
      <c r="H204" s="43" t="s">
        <v>893</v>
      </c>
      <c r="I204" s="43" t="s">
        <v>897</v>
      </c>
      <c r="J204" s="43" t="s">
        <v>897</v>
      </c>
      <c r="K204" s="43" t="s">
        <v>3067</v>
      </c>
      <c r="L204" s="43" t="s">
        <v>896</v>
      </c>
      <c r="M204" s="101">
        <v>1157</v>
      </c>
      <c r="N204" s="43">
        <v>148952.18</v>
      </c>
      <c r="O204" s="43" t="s">
        <v>3068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  <c r="V204" s="43">
        <v>0</v>
      </c>
      <c r="W204" s="43">
        <v>0</v>
      </c>
      <c r="X204" s="43">
        <v>0</v>
      </c>
      <c r="Y204" s="43">
        <v>0</v>
      </c>
      <c r="Z204" s="43" t="s">
        <v>2870</v>
      </c>
      <c r="AA204" s="43" t="s">
        <v>2866</v>
      </c>
      <c r="AB204" s="43">
        <v>998852</v>
      </c>
      <c r="AC204" s="43" t="s">
        <v>2867</v>
      </c>
      <c r="AD204" s="43">
        <v>1</v>
      </c>
      <c r="AE204" s="43">
        <v>1157</v>
      </c>
      <c r="AF204" s="43" t="s">
        <v>2868</v>
      </c>
    </row>
    <row r="205" spans="1:32" x14ac:dyDescent="0.25">
      <c r="A205" s="43" t="s">
        <v>3366</v>
      </c>
      <c r="B205" s="43" t="s">
        <v>1060</v>
      </c>
      <c r="C205" s="43" t="s">
        <v>3065</v>
      </c>
      <c r="D205" s="43" t="s">
        <v>3375</v>
      </c>
      <c r="E205" s="43" t="s">
        <v>3066</v>
      </c>
      <c r="F205" s="43" t="s">
        <v>3375</v>
      </c>
      <c r="G205" s="43" t="s">
        <v>3366</v>
      </c>
      <c r="H205" s="43" t="s">
        <v>893</v>
      </c>
      <c r="I205" s="43" t="s">
        <v>897</v>
      </c>
      <c r="J205" s="43" t="s">
        <v>897</v>
      </c>
      <c r="K205" s="43" t="s">
        <v>3067</v>
      </c>
      <c r="L205" s="43" t="s">
        <v>896</v>
      </c>
      <c r="M205" s="101">
        <v>3475.3</v>
      </c>
      <c r="N205" s="43">
        <v>447410.12</v>
      </c>
      <c r="O205" s="43" t="s">
        <v>3068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  <c r="V205" s="43">
        <v>0</v>
      </c>
      <c r="W205" s="43">
        <v>0</v>
      </c>
      <c r="X205" s="43">
        <v>0</v>
      </c>
      <c r="Y205" s="43">
        <v>0</v>
      </c>
      <c r="Z205" s="43" t="s">
        <v>2870</v>
      </c>
      <c r="AA205" s="43" t="s">
        <v>2866</v>
      </c>
      <c r="AB205" s="43">
        <v>998852</v>
      </c>
      <c r="AC205" s="43" t="s">
        <v>2867</v>
      </c>
      <c r="AD205" s="43">
        <v>1</v>
      </c>
      <c r="AE205" s="43">
        <v>3475.3</v>
      </c>
      <c r="AF205" s="43" t="s">
        <v>2868</v>
      </c>
    </row>
    <row r="206" spans="1:32" x14ac:dyDescent="0.25">
      <c r="A206" s="43" t="s">
        <v>3366</v>
      </c>
      <c r="B206" s="43" t="s">
        <v>1053</v>
      </c>
      <c r="C206" s="43" t="s">
        <v>3065</v>
      </c>
      <c r="D206" s="43" t="s">
        <v>3376</v>
      </c>
      <c r="E206" s="43" t="s">
        <v>3066</v>
      </c>
      <c r="F206" s="43" t="s">
        <v>3376</v>
      </c>
      <c r="G206" s="43" t="s">
        <v>3366</v>
      </c>
      <c r="H206" s="43" t="s">
        <v>893</v>
      </c>
      <c r="I206" s="43" t="s">
        <v>897</v>
      </c>
      <c r="J206" s="43" t="s">
        <v>897</v>
      </c>
      <c r="K206" s="43" t="s">
        <v>3067</v>
      </c>
      <c r="L206" s="43" t="s">
        <v>911</v>
      </c>
      <c r="M206" s="101">
        <v>16292.7</v>
      </c>
      <c r="N206" s="43">
        <v>2034632.38</v>
      </c>
      <c r="O206" s="43" t="s">
        <v>3068</v>
      </c>
      <c r="P206" s="43">
        <v>5767053.3099999996</v>
      </c>
      <c r="Q206" s="43">
        <v>0</v>
      </c>
      <c r="R206" s="43">
        <v>0</v>
      </c>
      <c r="S206" s="43">
        <v>0</v>
      </c>
      <c r="T206" s="43">
        <v>0</v>
      </c>
      <c r="U206" s="43">
        <v>18</v>
      </c>
      <c r="V206" s="43">
        <v>366233.83</v>
      </c>
      <c r="W206" s="43">
        <v>0</v>
      </c>
      <c r="X206" s="43">
        <v>366233.83</v>
      </c>
      <c r="Y206" s="43">
        <v>0</v>
      </c>
      <c r="Z206" s="43" t="s">
        <v>2865</v>
      </c>
      <c r="AA206" s="43" t="s">
        <v>2866</v>
      </c>
      <c r="AB206" s="43">
        <v>998852</v>
      </c>
      <c r="AC206" s="43" t="s">
        <v>2867</v>
      </c>
      <c r="AD206" s="43">
        <v>1</v>
      </c>
      <c r="AE206" s="43">
        <v>16292.7</v>
      </c>
      <c r="AF206" s="43" t="s">
        <v>2868</v>
      </c>
    </row>
    <row r="207" spans="1:32" x14ac:dyDescent="0.25">
      <c r="A207" s="43" t="s">
        <v>3366</v>
      </c>
      <c r="B207" s="43" t="s">
        <v>1053</v>
      </c>
      <c r="C207" s="43" t="s">
        <v>3065</v>
      </c>
      <c r="D207" s="43" t="s">
        <v>3376</v>
      </c>
      <c r="E207" s="43" t="s">
        <v>3066</v>
      </c>
      <c r="F207" s="43" t="s">
        <v>3376</v>
      </c>
      <c r="G207" s="43" t="s">
        <v>3366</v>
      </c>
      <c r="H207" s="43" t="s">
        <v>893</v>
      </c>
      <c r="I207" s="43" t="s">
        <v>897</v>
      </c>
      <c r="J207" s="43" t="s">
        <v>897</v>
      </c>
      <c r="K207" s="43" t="s">
        <v>3067</v>
      </c>
      <c r="L207" s="43" t="s">
        <v>911</v>
      </c>
      <c r="M207" s="101">
        <v>23518.3</v>
      </c>
      <c r="N207" s="43">
        <v>2936965.3</v>
      </c>
      <c r="O207" s="43" t="s">
        <v>3068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18</v>
      </c>
      <c r="V207" s="43">
        <v>528653.75</v>
      </c>
      <c r="W207" s="43">
        <v>0</v>
      </c>
      <c r="X207" s="43">
        <v>528653.75</v>
      </c>
      <c r="Y207" s="43">
        <v>0</v>
      </c>
      <c r="Z207" s="43" t="s">
        <v>2865</v>
      </c>
      <c r="AA207" s="43" t="s">
        <v>2866</v>
      </c>
      <c r="AB207" s="43">
        <v>998852</v>
      </c>
      <c r="AC207" s="43" t="s">
        <v>2867</v>
      </c>
      <c r="AD207" s="43">
        <v>1</v>
      </c>
      <c r="AE207" s="43">
        <v>23518.3</v>
      </c>
      <c r="AF207" s="43" t="s">
        <v>2868</v>
      </c>
    </row>
    <row r="208" spans="1:32" x14ac:dyDescent="0.25">
      <c r="A208" s="95"/>
      <c r="B208" s="37"/>
      <c r="C208" s="37"/>
      <c r="D208" s="37"/>
      <c r="E208" s="37"/>
      <c r="F208" s="37"/>
      <c r="G208" s="95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</row>
    <row r="209" spans="1:31" x14ac:dyDescent="0.25">
      <c r="A209" s="95"/>
      <c r="B209" s="37"/>
      <c r="C209" s="37"/>
      <c r="D209" s="37"/>
      <c r="E209" s="37"/>
      <c r="F209" s="37"/>
      <c r="G209" s="95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</row>
    <row r="210" spans="1:31" x14ac:dyDescent="0.25">
      <c r="A210" s="95"/>
      <c r="B210" s="37"/>
      <c r="C210" s="37"/>
      <c r="D210" s="37"/>
      <c r="E210" s="37"/>
      <c r="F210" s="37"/>
      <c r="G210" s="95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</row>
    <row r="211" spans="1:31" x14ac:dyDescent="0.25">
      <c r="A211" s="95"/>
      <c r="B211" s="37"/>
      <c r="C211" s="37"/>
      <c r="D211" s="37"/>
      <c r="E211" s="37"/>
      <c r="F211" s="37"/>
      <c r="G211" s="95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</row>
    <row r="212" spans="1:31" x14ac:dyDescent="0.25">
      <c r="A212" s="95"/>
      <c r="B212" s="37"/>
      <c r="C212" s="37"/>
      <c r="D212" s="37"/>
      <c r="E212" s="37"/>
      <c r="F212" s="37"/>
      <c r="G212" s="95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</row>
    <row r="213" spans="1:31" x14ac:dyDescent="0.25">
      <c r="A213" s="95"/>
      <c r="B213" s="37"/>
      <c r="C213" s="37"/>
      <c r="D213" s="37"/>
      <c r="E213" s="37"/>
      <c r="F213" s="37"/>
      <c r="G213" s="95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</row>
    <row r="214" spans="1:31" x14ac:dyDescent="0.25">
      <c r="A214" s="95"/>
      <c r="B214" s="37"/>
      <c r="C214" s="37"/>
      <c r="D214" s="37"/>
      <c r="E214" s="37"/>
      <c r="F214" s="37"/>
      <c r="G214" s="95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</row>
    <row r="215" spans="1:31" x14ac:dyDescent="0.25">
      <c r="A215" s="95"/>
      <c r="B215" s="37"/>
      <c r="C215" s="37"/>
      <c r="D215" s="37"/>
      <c r="E215" s="37"/>
      <c r="F215" s="37"/>
      <c r="G215" s="95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</row>
    <row r="216" spans="1:31" x14ac:dyDescent="0.25">
      <c r="A216" s="95"/>
      <c r="B216" s="37"/>
      <c r="C216" s="37"/>
      <c r="D216" s="37"/>
      <c r="E216" s="37"/>
      <c r="F216" s="37"/>
      <c r="G216" s="95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</row>
    <row r="217" spans="1:31" x14ac:dyDescent="0.25">
      <c r="A217" s="95"/>
      <c r="B217" s="37"/>
      <c r="C217" s="37"/>
      <c r="D217" s="37"/>
      <c r="E217" s="37"/>
      <c r="F217" s="37"/>
      <c r="G217" s="95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</row>
    <row r="218" spans="1:31" x14ac:dyDescent="0.25">
      <c r="A218" s="95"/>
      <c r="B218" s="37"/>
      <c r="C218" s="37"/>
      <c r="D218" s="37"/>
      <c r="E218" s="37"/>
      <c r="F218" s="37"/>
      <c r="G218" s="95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</row>
    <row r="219" spans="1:31" x14ac:dyDescent="0.25">
      <c r="A219" s="95"/>
      <c r="B219" s="37"/>
      <c r="C219" s="37"/>
      <c r="D219" s="37"/>
      <c r="E219" s="37"/>
      <c r="F219" s="37"/>
      <c r="G219" s="95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</row>
    <row r="220" spans="1:31" x14ac:dyDescent="0.25">
      <c r="A220" s="95"/>
      <c r="B220" s="37"/>
      <c r="C220" s="37"/>
      <c r="D220" s="37"/>
      <c r="E220" s="37"/>
      <c r="F220" s="37"/>
      <c r="G220" s="95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</row>
    <row r="221" spans="1:31" x14ac:dyDescent="0.25">
      <c r="A221" s="95"/>
      <c r="B221" s="37"/>
      <c r="C221" s="37"/>
      <c r="D221" s="37"/>
      <c r="E221" s="37"/>
      <c r="F221" s="37"/>
      <c r="G221" s="95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  <row r="222" spans="1:31" x14ac:dyDescent="0.25">
      <c r="A222" s="95"/>
      <c r="B222" s="37"/>
      <c r="C222" s="37"/>
      <c r="D222" s="37"/>
      <c r="E222" s="37"/>
      <c r="F222" s="37"/>
      <c r="G222" s="95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</row>
    <row r="223" spans="1:31" x14ac:dyDescent="0.25">
      <c r="A223" s="95"/>
      <c r="B223" s="37"/>
      <c r="C223" s="37"/>
      <c r="D223" s="37"/>
      <c r="E223" s="37"/>
      <c r="F223" s="37"/>
      <c r="G223" s="95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</row>
    <row r="224" spans="1:31" x14ac:dyDescent="0.25">
      <c r="A224" s="95"/>
      <c r="B224" s="37"/>
      <c r="C224" s="37"/>
      <c r="D224" s="37"/>
      <c r="E224" s="37"/>
      <c r="F224" s="37"/>
      <c r="G224" s="95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  <row r="225" spans="1:31" x14ac:dyDescent="0.25">
      <c r="A225" s="95"/>
      <c r="B225" s="37"/>
      <c r="C225" s="37"/>
      <c r="D225" s="37"/>
      <c r="E225" s="37"/>
      <c r="F225" s="37"/>
      <c r="G225" s="95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</row>
    <row r="226" spans="1:31" x14ac:dyDescent="0.25">
      <c r="A226" s="95"/>
      <c r="B226" s="37"/>
      <c r="C226" s="37"/>
      <c r="D226" s="37"/>
      <c r="E226" s="37"/>
      <c r="F226" s="37"/>
      <c r="G226" s="95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</row>
    <row r="227" spans="1:31" x14ac:dyDescent="0.25">
      <c r="A227" s="95"/>
      <c r="B227" s="37"/>
      <c r="C227" s="37"/>
      <c r="D227" s="37"/>
      <c r="E227" s="37"/>
      <c r="F227" s="37"/>
      <c r="G227" s="95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</row>
    <row r="228" spans="1:31" x14ac:dyDescent="0.25">
      <c r="A228" s="92"/>
      <c r="B228" s="69"/>
      <c r="C228" s="69"/>
      <c r="D228" s="69"/>
      <c r="E228" s="69"/>
      <c r="F228" s="69"/>
      <c r="G228" s="92"/>
      <c r="H228" s="69"/>
      <c r="I228" s="69"/>
      <c r="J228" s="69"/>
      <c r="K228" s="69"/>
      <c r="L228" s="69"/>
      <c r="M228" s="69"/>
      <c r="N228" s="69"/>
      <c r="O228" s="93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spans="1:31" x14ac:dyDescent="0.25">
      <c r="A229" s="92"/>
      <c r="B229" s="69"/>
      <c r="C229" s="69"/>
      <c r="D229" s="69"/>
      <c r="E229" s="69"/>
      <c r="F229" s="69"/>
      <c r="G229" s="92"/>
      <c r="H229" s="69"/>
      <c r="I229" s="69"/>
      <c r="J229" s="69"/>
      <c r="K229" s="69"/>
      <c r="L229" s="69"/>
      <c r="M229" s="69"/>
      <c r="N229" s="69"/>
      <c r="O229" s="93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spans="1:31" x14ac:dyDescent="0.25">
      <c r="A230" s="92"/>
      <c r="B230" s="69"/>
      <c r="C230" s="69"/>
      <c r="D230" s="69"/>
      <c r="E230" s="69"/>
      <c r="F230" s="69"/>
      <c r="G230" s="92"/>
      <c r="H230" s="69"/>
      <c r="I230" s="69"/>
      <c r="J230" s="69"/>
      <c r="K230" s="69"/>
      <c r="L230" s="69"/>
      <c r="M230" s="69"/>
      <c r="N230" s="69"/>
      <c r="O230" s="93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spans="1:31" x14ac:dyDescent="0.25">
      <c r="A231" s="92"/>
      <c r="B231" s="69"/>
      <c r="C231" s="69"/>
      <c r="D231" s="69"/>
      <c r="E231" s="69"/>
      <c r="F231" s="69"/>
      <c r="G231" s="92"/>
      <c r="H231" s="69"/>
      <c r="I231" s="69"/>
      <c r="J231" s="69"/>
      <c r="K231" s="69"/>
      <c r="L231" s="69"/>
      <c r="M231" s="69"/>
      <c r="N231" s="69"/>
      <c r="O231" s="93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spans="1:31" x14ac:dyDescent="0.25">
      <c r="A232" s="92"/>
      <c r="B232" s="69"/>
      <c r="C232" s="69"/>
      <c r="D232" s="69"/>
      <c r="E232" s="69"/>
      <c r="F232" s="69"/>
      <c r="G232" s="92"/>
      <c r="H232" s="69"/>
      <c r="I232" s="69"/>
      <c r="J232" s="69"/>
      <c r="K232" s="69"/>
      <c r="L232" s="69"/>
      <c r="M232" s="69"/>
      <c r="N232" s="69"/>
      <c r="O232" s="93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spans="1:31" x14ac:dyDescent="0.25">
      <c r="A233" s="92"/>
      <c r="B233" s="69"/>
      <c r="C233" s="69"/>
      <c r="D233" s="69"/>
      <c r="E233" s="69"/>
      <c r="F233" s="69"/>
      <c r="G233" s="92"/>
      <c r="H233" s="69"/>
      <c r="I233" s="69"/>
      <c r="J233" s="69"/>
      <c r="K233" s="69"/>
      <c r="L233" s="69"/>
      <c r="M233" s="69"/>
      <c r="N233" s="69"/>
      <c r="O233" s="93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spans="1:31" x14ac:dyDescent="0.25">
      <c r="A234" s="92"/>
      <c r="B234" s="69"/>
      <c r="C234" s="69"/>
      <c r="D234" s="69"/>
      <c r="E234" s="69"/>
      <c r="F234" s="69"/>
      <c r="G234" s="92"/>
      <c r="H234" s="69"/>
      <c r="I234" s="69"/>
      <c r="J234" s="69"/>
      <c r="K234" s="69"/>
      <c r="L234" s="69"/>
      <c r="M234" s="69"/>
      <c r="N234" s="69"/>
      <c r="O234" s="93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spans="1:31" x14ac:dyDescent="0.25">
      <c r="A235" s="92"/>
      <c r="B235" s="69"/>
      <c r="C235" s="69"/>
      <c r="D235" s="69"/>
      <c r="E235" s="69"/>
      <c r="F235" s="69"/>
      <c r="G235" s="92"/>
      <c r="H235" s="69"/>
      <c r="I235" s="69"/>
      <c r="J235" s="69"/>
      <c r="K235" s="69"/>
      <c r="L235" s="69"/>
      <c r="M235" s="69"/>
      <c r="N235" s="69"/>
      <c r="O235" s="93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spans="1:31" x14ac:dyDescent="0.25">
      <c r="A236" s="92"/>
      <c r="B236" s="69"/>
      <c r="C236" s="69"/>
      <c r="D236" s="69"/>
      <c r="E236" s="69"/>
      <c r="F236" s="69"/>
      <c r="G236" s="92"/>
      <c r="H236" s="69"/>
      <c r="I236" s="69"/>
      <c r="J236" s="69"/>
      <c r="K236" s="69"/>
      <c r="L236" s="69"/>
      <c r="M236" s="69"/>
      <c r="N236" s="69"/>
      <c r="O236" s="93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spans="1:31" x14ac:dyDescent="0.25">
      <c r="A237" s="92"/>
      <c r="B237" s="69"/>
      <c r="C237" s="69"/>
      <c r="D237" s="69"/>
      <c r="E237" s="69"/>
      <c r="F237" s="69"/>
      <c r="G237" s="92"/>
      <c r="H237" s="69"/>
      <c r="I237" s="69"/>
      <c r="J237" s="69"/>
      <c r="K237" s="69"/>
      <c r="L237" s="69"/>
      <c r="M237" s="69"/>
      <c r="N237" s="69"/>
      <c r="O237" s="93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spans="1:31" x14ac:dyDescent="0.25">
      <c r="A238" s="92"/>
      <c r="B238" s="69"/>
      <c r="C238" s="69"/>
      <c r="D238" s="69"/>
      <c r="E238" s="69"/>
      <c r="F238" s="69"/>
      <c r="G238" s="92"/>
      <c r="H238" s="69"/>
      <c r="I238" s="69"/>
      <c r="J238" s="69"/>
      <c r="K238" s="69"/>
      <c r="L238" s="69"/>
      <c r="M238" s="69"/>
      <c r="N238" s="69"/>
      <c r="O238" s="93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spans="1:31" x14ac:dyDescent="0.25">
      <c r="A239" s="92"/>
      <c r="B239" s="69"/>
      <c r="C239" s="69"/>
      <c r="D239" s="69"/>
      <c r="E239" s="69"/>
      <c r="F239" s="69"/>
      <c r="G239" s="92"/>
      <c r="H239" s="69"/>
      <c r="I239" s="69"/>
      <c r="J239" s="69"/>
      <c r="K239" s="69"/>
      <c r="L239" s="69"/>
      <c r="M239" s="69"/>
      <c r="N239" s="69"/>
      <c r="O239" s="93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spans="1:31" x14ac:dyDescent="0.25">
      <c r="A240" s="92"/>
      <c r="B240" s="69"/>
      <c r="C240" s="69"/>
      <c r="D240" s="69"/>
      <c r="E240" s="69"/>
      <c r="F240" s="69"/>
      <c r="G240" s="92"/>
      <c r="H240" s="69"/>
      <c r="I240" s="69"/>
      <c r="J240" s="69"/>
      <c r="K240" s="69"/>
      <c r="L240" s="69"/>
      <c r="M240" s="69"/>
      <c r="N240" s="69"/>
      <c r="O240" s="93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spans="1:31" x14ac:dyDescent="0.25">
      <c r="A241" s="92"/>
      <c r="B241" s="69"/>
      <c r="C241" s="69"/>
      <c r="D241" s="69"/>
      <c r="E241" s="69"/>
      <c r="F241" s="69"/>
      <c r="G241" s="92"/>
      <c r="H241" s="69"/>
      <c r="I241" s="69"/>
      <c r="J241" s="69"/>
      <c r="K241" s="69"/>
      <c r="L241" s="69"/>
      <c r="M241" s="69"/>
      <c r="N241" s="69"/>
      <c r="O241" s="93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spans="1:31" x14ac:dyDescent="0.25">
      <c r="A242" s="92"/>
      <c r="B242" s="69"/>
      <c r="C242" s="69"/>
      <c r="D242" s="69"/>
      <c r="E242" s="69"/>
      <c r="F242" s="69"/>
      <c r="G242" s="92"/>
      <c r="H242" s="69"/>
      <c r="I242" s="69"/>
      <c r="J242" s="69"/>
      <c r="K242" s="69"/>
      <c r="L242" s="69"/>
      <c r="M242" s="69"/>
      <c r="N242" s="69"/>
      <c r="O242" s="93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spans="1:31" x14ac:dyDescent="0.25">
      <c r="A243" s="92"/>
      <c r="B243" s="69"/>
      <c r="C243" s="69"/>
      <c r="D243" s="69"/>
      <c r="E243" s="69"/>
      <c r="F243" s="69"/>
      <c r="G243" s="92"/>
      <c r="H243" s="69"/>
      <c r="I243" s="69"/>
      <c r="J243" s="69"/>
      <c r="K243" s="69"/>
      <c r="L243" s="69"/>
      <c r="M243" s="69"/>
      <c r="N243" s="69"/>
      <c r="O243" s="93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spans="1:31" x14ac:dyDescent="0.25">
      <c r="A244" s="92"/>
      <c r="B244" s="69"/>
      <c r="C244" s="69"/>
      <c r="D244" s="69"/>
      <c r="E244" s="69"/>
      <c r="F244" s="69"/>
      <c r="G244" s="92"/>
      <c r="H244" s="69"/>
      <c r="I244" s="69"/>
      <c r="J244" s="69"/>
      <c r="K244" s="69"/>
      <c r="L244" s="69"/>
      <c r="M244" s="69"/>
      <c r="N244" s="69"/>
      <c r="O244" s="93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spans="1:31" x14ac:dyDescent="0.25">
      <c r="A245" s="92"/>
      <c r="B245" s="69"/>
      <c r="C245" s="69"/>
      <c r="D245" s="69"/>
      <c r="E245" s="69"/>
      <c r="F245" s="69"/>
      <c r="G245" s="92"/>
      <c r="H245" s="69"/>
      <c r="I245" s="69"/>
      <c r="J245" s="69"/>
      <c r="K245" s="69"/>
      <c r="L245" s="69"/>
      <c r="M245" s="69"/>
      <c r="N245" s="69"/>
      <c r="O245" s="93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spans="1:31" x14ac:dyDescent="0.25">
      <c r="A246" s="92"/>
      <c r="B246" s="69"/>
      <c r="C246" s="69"/>
      <c r="D246" s="69"/>
      <c r="E246" s="69"/>
      <c r="F246" s="69"/>
      <c r="G246" s="92"/>
      <c r="H246" s="69"/>
      <c r="I246" s="69"/>
      <c r="J246" s="69"/>
      <c r="K246" s="69"/>
      <c r="L246" s="69"/>
      <c r="M246" s="69"/>
      <c r="N246" s="69"/>
      <c r="O246" s="93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spans="1:31" x14ac:dyDescent="0.25">
      <c r="A247" s="92"/>
      <c r="B247" s="69"/>
      <c r="C247" s="69"/>
      <c r="D247" s="69"/>
      <c r="E247" s="69"/>
      <c r="F247" s="69"/>
      <c r="G247" s="92"/>
      <c r="H247" s="69"/>
      <c r="I247" s="69"/>
      <c r="J247" s="69"/>
      <c r="K247" s="69"/>
      <c r="L247" s="69"/>
      <c r="M247" s="69"/>
      <c r="N247" s="69"/>
      <c r="O247" s="93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spans="1:31" x14ac:dyDescent="0.25">
      <c r="A248" s="92"/>
      <c r="B248" s="69"/>
      <c r="C248" s="69"/>
      <c r="D248" s="69"/>
      <c r="E248" s="69"/>
      <c r="F248" s="69"/>
      <c r="G248" s="92"/>
      <c r="H248" s="69"/>
      <c r="I248" s="69"/>
      <c r="J248" s="69"/>
      <c r="K248" s="69"/>
      <c r="L248" s="69"/>
      <c r="M248" s="69"/>
      <c r="N248" s="69"/>
      <c r="O248" s="93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spans="1:31" x14ac:dyDescent="0.25">
      <c r="A249" s="92"/>
      <c r="B249" s="69"/>
      <c r="C249" s="69"/>
      <c r="D249" s="69"/>
      <c r="E249" s="69"/>
      <c r="F249" s="69"/>
      <c r="G249" s="92"/>
      <c r="H249" s="69"/>
      <c r="I249" s="69"/>
      <c r="J249" s="69"/>
      <c r="K249" s="69"/>
      <c r="L249" s="69"/>
      <c r="M249" s="69"/>
      <c r="N249" s="69"/>
      <c r="O249" s="93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spans="1:31" x14ac:dyDescent="0.25">
      <c r="A250" s="92"/>
      <c r="B250" s="69"/>
      <c r="C250" s="69"/>
      <c r="D250" s="69"/>
      <c r="E250" s="69"/>
      <c r="F250" s="69"/>
      <c r="G250" s="92"/>
      <c r="H250" s="69"/>
      <c r="I250" s="69"/>
      <c r="J250" s="69"/>
      <c r="K250" s="69"/>
      <c r="L250" s="69"/>
      <c r="M250" s="69"/>
      <c r="N250" s="69"/>
      <c r="O250" s="93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spans="1:31" x14ac:dyDescent="0.25">
      <c r="A251" s="92"/>
      <c r="B251" s="69"/>
      <c r="C251" s="69"/>
      <c r="D251" s="69"/>
      <c r="E251" s="69"/>
      <c r="F251" s="69"/>
      <c r="G251" s="92"/>
      <c r="H251" s="69"/>
      <c r="I251" s="69"/>
      <c r="J251" s="69"/>
      <c r="K251" s="69"/>
      <c r="L251" s="69"/>
      <c r="M251" s="69"/>
      <c r="N251" s="69"/>
      <c r="O251" s="93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spans="1:31" x14ac:dyDescent="0.25">
      <c r="A252" s="92"/>
      <c r="B252" s="69"/>
      <c r="C252" s="69"/>
      <c r="D252" s="69"/>
      <c r="E252" s="69"/>
      <c r="F252" s="69"/>
      <c r="G252" s="92"/>
      <c r="H252" s="69"/>
      <c r="I252" s="69"/>
      <c r="J252" s="69"/>
      <c r="K252" s="69"/>
      <c r="L252" s="69"/>
      <c r="M252" s="69"/>
      <c r="N252" s="69"/>
      <c r="O252" s="93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spans="1:31" x14ac:dyDescent="0.25">
      <c r="A253" s="92"/>
      <c r="B253" s="69"/>
      <c r="C253" s="69"/>
      <c r="D253" s="69"/>
      <c r="E253" s="69"/>
      <c r="F253" s="69"/>
      <c r="G253" s="92"/>
      <c r="H253" s="69"/>
      <c r="I253" s="69"/>
      <c r="J253" s="69"/>
      <c r="K253" s="69"/>
      <c r="L253" s="69"/>
      <c r="M253" s="69"/>
      <c r="N253" s="69"/>
      <c r="O253" s="93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spans="1:31" x14ac:dyDescent="0.25">
      <c r="A254" s="92"/>
      <c r="B254" s="69"/>
      <c r="C254" s="69"/>
      <c r="D254" s="69"/>
      <c r="E254" s="69"/>
      <c r="F254" s="69"/>
      <c r="G254" s="92"/>
      <c r="H254" s="69"/>
      <c r="I254" s="69"/>
      <c r="J254" s="69"/>
      <c r="K254" s="69"/>
      <c r="L254" s="69"/>
      <c r="M254" s="69"/>
      <c r="N254" s="69"/>
      <c r="O254" s="93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spans="1:31" x14ac:dyDescent="0.25">
      <c r="A255" s="92"/>
      <c r="B255" s="69"/>
      <c r="C255" s="69"/>
      <c r="D255" s="69"/>
      <c r="E255" s="69"/>
      <c r="F255" s="69"/>
      <c r="G255" s="92"/>
      <c r="H255" s="69"/>
      <c r="I255" s="69"/>
      <c r="J255" s="69"/>
      <c r="K255" s="69"/>
      <c r="L255" s="69"/>
      <c r="M255" s="69"/>
      <c r="N255" s="69"/>
      <c r="O255" s="93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spans="1:31" x14ac:dyDescent="0.25">
      <c r="A256" s="92"/>
      <c r="B256" s="69"/>
      <c r="C256" s="69"/>
      <c r="D256" s="69"/>
      <c r="E256" s="69"/>
      <c r="F256" s="69"/>
      <c r="G256" s="92"/>
      <c r="H256" s="69"/>
      <c r="I256" s="69"/>
      <c r="J256" s="69"/>
      <c r="K256" s="69"/>
      <c r="L256" s="69"/>
      <c r="M256" s="69"/>
      <c r="N256" s="69"/>
      <c r="O256" s="93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spans="1:31" x14ac:dyDescent="0.25">
      <c r="A257" s="92"/>
      <c r="B257" s="69"/>
      <c r="C257" s="69"/>
      <c r="D257" s="69"/>
      <c r="E257" s="69"/>
      <c r="F257" s="69"/>
      <c r="G257" s="92"/>
      <c r="H257" s="69"/>
      <c r="I257" s="69"/>
      <c r="J257" s="69"/>
      <c r="K257" s="69"/>
      <c r="L257" s="69"/>
      <c r="M257" s="69"/>
      <c r="N257" s="69"/>
      <c r="O257" s="93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spans="1:31" x14ac:dyDescent="0.25">
      <c r="A258" s="92"/>
      <c r="B258" s="69"/>
      <c r="C258" s="69"/>
      <c r="D258" s="69"/>
      <c r="E258" s="69"/>
      <c r="F258" s="69"/>
      <c r="G258" s="92"/>
      <c r="H258" s="69"/>
      <c r="I258" s="69"/>
      <c r="J258" s="69"/>
      <c r="K258" s="69"/>
      <c r="L258" s="69"/>
      <c r="M258" s="69"/>
      <c r="N258" s="69"/>
      <c r="O258" s="93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spans="1:31" x14ac:dyDescent="0.25">
      <c r="A259" s="92"/>
      <c r="B259" s="69"/>
      <c r="C259" s="69"/>
      <c r="D259" s="69"/>
      <c r="E259" s="69"/>
      <c r="F259" s="69"/>
      <c r="G259" s="92"/>
      <c r="H259" s="69"/>
      <c r="I259" s="69"/>
      <c r="J259" s="69"/>
      <c r="K259" s="69"/>
      <c r="L259" s="69"/>
      <c r="M259" s="69"/>
      <c r="N259" s="69"/>
      <c r="O259" s="93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spans="1:31" x14ac:dyDescent="0.25">
      <c r="A260" s="92"/>
      <c r="B260" s="69"/>
      <c r="C260" s="69"/>
      <c r="D260" s="69"/>
      <c r="E260" s="69"/>
      <c r="F260" s="69"/>
      <c r="G260" s="92"/>
      <c r="H260" s="69"/>
      <c r="I260" s="69"/>
      <c r="J260" s="69"/>
      <c r="K260" s="69"/>
      <c r="L260" s="69"/>
      <c r="M260" s="69"/>
      <c r="N260" s="69"/>
      <c r="O260" s="93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spans="1:31" x14ac:dyDescent="0.25">
      <c r="A261" s="92"/>
      <c r="B261" s="69"/>
      <c r="C261" s="69"/>
      <c r="D261" s="69"/>
      <c r="E261" s="69"/>
      <c r="F261" s="69"/>
      <c r="G261" s="92"/>
      <c r="H261" s="69"/>
      <c r="I261" s="69"/>
      <c r="J261" s="69"/>
      <c r="K261" s="69"/>
      <c r="L261" s="69"/>
      <c r="M261" s="69"/>
      <c r="N261" s="69"/>
      <c r="O261" s="93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spans="1:31" x14ac:dyDescent="0.25">
      <c r="A262" s="92"/>
      <c r="B262" s="69"/>
      <c r="C262" s="69"/>
      <c r="D262" s="69"/>
      <c r="E262" s="69"/>
      <c r="F262" s="69"/>
      <c r="G262" s="92"/>
      <c r="H262" s="69"/>
      <c r="I262" s="69"/>
      <c r="J262" s="69"/>
      <c r="K262" s="69"/>
      <c r="L262" s="69"/>
      <c r="M262" s="69"/>
      <c r="N262" s="69"/>
      <c r="O262" s="93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spans="1:31" x14ac:dyDescent="0.25">
      <c r="A263" s="92"/>
      <c r="B263" s="69"/>
      <c r="C263" s="69"/>
      <c r="D263" s="69"/>
      <c r="E263" s="69"/>
      <c r="F263" s="69"/>
      <c r="G263" s="92"/>
      <c r="H263" s="69"/>
      <c r="I263" s="69"/>
      <c r="J263" s="69"/>
      <c r="K263" s="69"/>
      <c r="L263" s="69"/>
      <c r="M263" s="69"/>
      <c r="N263" s="69"/>
      <c r="O263" s="93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spans="1:31" x14ac:dyDescent="0.25">
      <c r="A264" s="92"/>
      <c r="B264" s="69"/>
      <c r="C264" s="69"/>
      <c r="D264" s="69"/>
      <c r="E264" s="69"/>
      <c r="F264" s="69"/>
      <c r="G264" s="92"/>
      <c r="H264" s="69"/>
      <c r="I264" s="69"/>
      <c r="J264" s="69"/>
      <c r="K264" s="69"/>
      <c r="L264" s="69"/>
      <c r="M264" s="69"/>
      <c r="N264" s="69"/>
      <c r="O264" s="93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spans="1:31" x14ac:dyDescent="0.25">
      <c r="A265" s="92"/>
      <c r="B265" s="69"/>
      <c r="C265" s="69"/>
      <c r="D265" s="69"/>
      <c r="E265" s="69"/>
      <c r="F265" s="69"/>
      <c r="G265" s="92"/>
      <c r="H265" s="69"/>
      <c r="I265" s="69"/>
      <c r="J265" s="69"/>
      <c r="K265" s="69"/>
      <c r="L265" s="69"/>
      <c r="M265" s="69"/>
      <c r="N265" s="69"/>
      <c r="O265" s="93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spans="1:31" x14ac:dyDescent="0.25">
      <c r="A266" s="92"/>
      <c r="B266" s="69"/>
      <c r="C266" s="69"/>
      <c r="D266" s="69"/>
      <c r="E266" s="69"/>
      <c r="F266" s="69"/>
      <c r="G266" s="92"/>
      <c r="H266" s="69"/>
      <c r="I266" s="69"/>
      <c r="J266" s="69"/>
      <c r="K266" s="69"/>
      <c r="L266" s="69"/>
      <c r="M266" s="69"/>
      <c r="N266" s="69"/>
      <c r="O266" s="93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spans="1:31" x14ac:dyDescent="0.25">
      <c r="A267" s="92"/>
      <c r="B267" s="69"/>
      <c r="C267" s="69"/>
      <c r="D267" s="69"/>
      <c r="E267" s="69"/>
      <c r="F267" s="69"/>
      <c r="G267" s="92"/>
      <c r="H267" s="69"/>
      <c r="I267" s="69"/>
      <c r="J267" s="69"/>
      <c r="K267" s="69"/>
      <c r="L267" s="69"/>
      <c r="M267" s="69"/>
      <c r="N267" s="69"/>
      <c r="O267" s="93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spans="1:31" x14ac:dyDescent="0.25">
      <c r="A268" s="92"/>
      <c r="B268" s="69"/>
      <c r="C268" s="69"/>
      <c r="D268" s="69"/>
      <c r="E268" s="69"/>
      <c r="F268" s="69"/>
      <c r="G268" s="92"/>
      <c r="H268" s="69"/>
      <c r="I268" s="69"/>
      <c r="J268" s="69"/>
      <c r="K268" s="69"/>
      <c r="L268" s="69"/>
      <c r="M268" s="69"/>
      <c r="N268" s="69"/>
      <c r="O268" s="93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spans="1:31" x14ac:dyDescent="0.25">
      <c r="A269" s="92"/>
      <c r="B269" s="69"/>
      <c r="C269" s="69"/>
      <c r="D269" s="69"/>
      <c r="E269" s="69"/>
      <c r="F269" s="69"/>
      <c r="G269" s="92"/>
      <c r="H269" s="69"/>
      <c r="I269" s="69"/>
      <c r="J269" s="69"/>
      <c r="K269" s="69"/>
      <c r="L269" s="69"/>
      <c r="M269" s="69"/>
      <c r="N269" s="69"/>
      <c r="O269" s="93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spans="1:31" x14ac:dyDescent="0.25">
      <c r="A270" s="92"/>
      <c r="B270" s="69"/>
      <c r="C270" s="69"/>
      <c r="D270" s="69"/>
      <c r="E270" s="69"/>
      <c r="F270" s="69"/>
      <c r="G270" s="92"/>
      <c r="H270" s="69"/>
      <c r="I270" s="69"/>
      <c r="J270" s="69"/>
      <c r="K270" s="69"/>
      <c r="L270" s="69"/>
      <c r="M270" s="69"/>
      <c r="N270" s="69"/>
      <c r="O270" s="93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spans="1:31" x14ac:dyDescent="0.25">
      <c r="A271" s="92"/>
      <c r="B271" s="69"/>
      <c r="C271" s="69"/>
      <c r="D271" s="69"/>
      <c r="E271" s="69"/>
      <c r="F271" s="69"/>
      <c r="G271" s="92"/>
      <c r="H271" s="69"/>
      <c r="I271" s="69"/>
      <c r="J271" s="69"/>
      <c r="K271" s="69"/>
      <c r="L271" s="69"/>
      <c r="M271" s="69"/>
      <c r="N271" s="69"/>
      <c r="O271" s="93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spans="1:31" x14ac:dyDescent="0.25">
      <c r="A272" s="92"/>
      <c r="B272" s="69"/>
      <c r="C272" s="69"/>
      <c r="D272" s="69"/>
      <c r="E272" s="69"/>
      <c r="F272" s="69"/>
      <c r="G272" s="92"/>
      <c r="H272" s="69"/>
      <c r="I272" s="69"/>
      <c r="J272" s="69"/>
      <c r="K272" s="69"/>
      <c r="L272" s="69"/>
      <c r="M272" s="69"/>
      <c r="N272" s="69"/>
      <c r="O272" s="93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spans="1:31" x14ac:dyDescent="0.25">
      <c r="A273" s="92"/>
      <c r="B273" s="69"/>
      <c r="C273" s="69"/>
      <c r="D273" s="69"/>
      <c r="E273" s="69"/>
      <c r="F273" s="69"/>
      <c r="G273" s="92"/>
      <c r="H273" s="69"/>
      <c r="I273" s="69"/>
      <c r="J273" s="69"/>
      <c r="K273" s="69"/>
      <c r="L273" s="69"/>
      <c r="M273" s="69"/>
      <c r="N273" s="69"/>
      <c r="O273" s="93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</sheetData>
  <autoFilter ref="A21:AE273"/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7" sqref="B7"/>
    </sheetView>
  </sheetViews>
  <sheetFormatPr defaultRowHeight="12.5" x14ac:dyDescent="0.25"/>
  <cols>
    <col min="1" max="1" width="23.6328125" customWidth="1"/>
    <col min="2" max="2" width="18.36328125" customWidth="1"/>
  </cols>
  <sheetData>
    <row r="1" spans="1:2" x14ac:dyDescent="0.25">
      <c r="A1" s="38" t="s">
        <v>965</v>
      </c>
      <c r="B1" t="s">
        <v>1030</v>
      </c>
    </row>
    <row r="2" spans="1:2" x14ac:dyDescent="0.25">
      <c r="A2" s="39" t="s">
        <v>728</v>
      </c>
      <c r="B2" s="40">
        <v>36603.67</v>
      </c>
    </row>
    <row r="3" spans="1:2" x14ac:dyDescent="0.25">
      <c r="A3" s="39" t="s">
        <v>859</v>
      </c>
      <c r="B3" s="40">
        <v>50112.1</v>
      </c>
    </row>
    <row r="4" spans="1:2" x14ac:dyDescent="0.25">
      <c r="A4" s="39" t="s">
        <v>818</v>
      </c>
      <c r="B4" s="40">
        <v>17007.23</v>
      </c>
    </row>
    <row r="5" spans="1:2" x14ac:dyDescent="0.25">
      <c r="A5" s="39" t="s">
        <v>773</v>
      </c>
      <c r="B5" s="40">
        <v>8814.4000000000015</v>
      </c>
    </row>
    <row r="6" spans="1:2" x14ac:dyDescent="0.25">
      <c r="A6" s="39" t="s">
        <v>679</v>
      </c>
      <c r="B6" s="40">
        <v>30749.300000000003</v>
      </c>
    </row>
    <row r="7" spans="1:2" x14ac:dyDescent="0.25">
      <c r="A7" s="39" t="s">
        <v>611</v>
      </c>
      <c r="B7" s="40">
        <v>3975</v>
      </c>
    </row>
    <row r="8" spans="1:2" x14ac:dyDescent="0.25">
      <c r="A8" s="39" t="s">
        <v>709</v>
      </c>
      <c r="B8" s="40">
        <v>100</v>
      </c>
    </row>
    <row r="9" spans="1:2" x14ac:dyDescent="0.25">
      <c r="A9" s="39" t="s">
        <v>356</v>
      </c>
      <c r="B9" s="40">
        <v>150</v>
      </c>
    </row>
    <row r="10" spans="1:2" x14ac:dyDescent="0.25">
      <c r="A10" s="39" t="s">
        <v>1059</v>
      </c>
      <c r="B10" s="40">
        <v>117000</v>
      </c>
    </row>
    <row r="11" spans="1:2" x14ac:dyDescent="0.25">
      <c r="A11" s="39" t="s">
        <v>374</v>
      </c>
      <c r="B11" s="40">
        <v>2000</v>
      </c>
    </row>
    <row r="12" spans="1:2" x14ac:dyDescent="0.25">
      <c r="A12" s="39" t="s">
        <v>966</v>
      </c>
      <c r="B12" s="40">
        <v>266511.7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75"/>
  <sheetViews>
    <sheetView topLeftCell="A62" workbookViewId="0">
      <selection activeCell="F79" sqref="F79"/>
    </sheetView>
  </sheetViews>
  <sheetFormatPr defaultRowHeight="14.5" x14ac:dyDescent="0.35"/>
  <cols>
    <col min="1" max="1" width="24.36328125" style="132" bestFit="1" customWidth="1"/>
    <col min="2" max="2" width="20.1796875" style="132" bestFit="1" customWidth="1"/>
    <col min="3" max="3" width="11.81640625" style="132" customWidth="1"/>
    <col min="4" max="4" width="17.6328125" style="132" bestFit="1" customWidth="1"/>
    <col min="5" max="5" width="10" style="132" bestFit="1" customWidth="1"/>
    <col min="6" max="6" width="20.90625" style="132" bestFit="1" customWidth="1"/>
    <col min="7" max="7" width="13.6328125" style="132" bestFit="1" customWidth="1"/>
    <col min="8" max="8" width="6.1796875" style="192" bestFit="1" customWidth="1"/>
    <col min="9" max="9" width="8.90625" style="228" bestFit="1" customWidth="1"/>
    <col min="10" max="10" width="9.90625" style="132" bestFit="1" customWidth="1"/>
    <col min="11" max="11" width="4.26953125" style="132" bestFit="1" customWidth="1"/>
    <col min="12" max="12" width="7.90625" style="132" bestFit="1" customWidth="1"/>
    <col min="13" max="13" width="10.90625" style="132" bestFit="1" customWidth="1"/>
    <col min="14" max="14" width="20.90625" style="132" bestFit="1" customWidth="1"/>
    <col min="15" max="15" width="23.6328125" style="132" bestFit="1" customWidth="1"/>
    <col min="16" max="17" width="31.81640625" style="132" bestFit="1" customWidth="1"/>
    <col min="18" max="19" width="11.6328125" style="132" bestFit="1" customWidth="1"/>
    <col min="20" max="20" width="8.36328125" style="132" bestFit="1" customWidth="1"/>
    <col min="21" max="21" width="11.54296875" style="132" bestFit="1" customWidth="1"/>
    <col min="22" max="22" width="11.36328125" style="132" bestFit="1" customWidth="1"/>
    <col min="23" max="23" width="11.81640625" style="132" bestFit="1" customWidth="1"/>
    <col min="24" max="24" width="7.453125" style="132" bestFit="1" customWidth="1"/>
    <col min="25" max="25" width="11.6328125" style="132" bestFit="1" customWidth="1"/>
    <col min="26" max="26" width="8.90625" style="132" bestFit="1" customWidth="1"/>
    <col min="27" max="27" width="12" style="132" bestFit="1" customWidth="1"/>
    <col min="28" max="28" width="8.36328125" style="132" bestFit="1" customWidth="1"/>
    <col min="29" max="29" width="4.81640625" style="132" bestFit="1" customWidth="1"/>
    <col min="30" max="30" width="14.08984375" style="132" bestFit="1" customWidth="1"/>
    <col min="31" max="31" width="8.54296875" style="132" bestFit="1" customWidth="1"/>
    <col min="32" max="32" width="7.7265625" style="132" bestFit="1" customWidth="1"/>
    <col min="33" max="33" width="8.7265625" style="132"/>
    <col min="34" max="34" width="13.1796875" style="132" bestFit="1" customWidth="1"/>
    <col min="35" max="35" width="14.90625" style="132" bestFit="1" customWidth="1"/>
    <col min="36" max="36" width="16.453125" style="132" bestFit="1" customWidth="1"/>
    <col min="37" max="37" width="13.7265625" style="132" bestFit="1" customWidth="1"/>
    <col min="38" max="38" width="10.08984375" style="132" bestFit="1" customWidth="1"/>
    <col min="39" max="39" width="13.36328125" style="132" bestFit="1" customWidth="1"/>
    <col min="40" max="40" width="6.90625" style="132" bestFit="1" customWidth="1"/>
    <col min="41" max="41" width="7.1796875" style="132" bestFit="1" customWidth="1"/>
    <col min="42" max="42" width="8.90625" style="132" bestFit="1" customWidth="1"/>
    <col min="43" max="43" width="11.54296875" style="132" bestFit="1" customWidth="1"/>
    <col min="44" max="44" width="10.08984375" style="132" bestFit="1" customWidth="1"/>
    <col min="45" max="45" width="13.26953125" style="132" bestFit="1" customWidth="1"/>
    <col min="46" max="46" width="9.90625" style="132" bestFit="1" customWidth="1"/>
    <col min="47" max="47" width="5.453125" style="132" bestFit="1" customWidth="1"/>
    <col min="48" max="48" width="11.6328125" style="132" bestFit="1" customWidth="1"/>
    <col min="49" max="49" width="16.36328125" style="132" bestFit="1" customWidth="1"/>
    <col min="50" max="50" width="14.26953125" style="132" bestFit="1" customWidth="1"/>
    <col min="51" max="51" width="10.453125" style="132" bestFit="1" customWidth="1"/>
    <col min="52" max="52" width="9.6328125" style="132" bestFit="1" customWidth="1"/>
    <col min="53" max="53" width="12.7265625" style="132" bestFit="1" customWidth="1"/>
    <col min="54" max="54" width="13.08984375" style="132" bestFit="1" customWidth="1"/>
    <col min="55" max="55" width="14.6328125" style="132" bestFit="1" customWidth="1"/>
    <col min="56" max="56" width="17.81640625" style="132" bestFit="1" customWidth="1"/>
    <col min="57" max="57" width="9.453125" style="132" bestFit="1" customWidth="1"/>
    <col min="58" max="58" width="12.26953125" style="132" bestFit="1" customWidth="1"/>
    <col min="59" max="59" width="8.81640625" style="132" bestFit="1" customWidth="1"/>
    <col min="60" max="60" width="12.54296875" style="132" bestFit="1" customWidth="1"/>
    <col min="61" max="61" width="8.7265625" style="132"/>
    <col min="62" max="62" width="12.453125" style="132" bestFit="1" customWidth="1"/>
    <col min="63" max="63" width="8" style="132" bestFit="1" customWidth="1"/>
    <col min="64" max="64" width="11.7265625" style="132" bestFit="1" customWidth="1"/>
    <col min="65" max="65" width="10.1796875" style="132" bestFit="1" customWidth="1"/>
    <col min="66" max="66" width="8.08984375" style="132" bestFit="1" customWidth="1"/>
    <col min="67" max="67" width="13.08984375" style="132" bestFit="1" customWidth="1"/>
    <col min="68" max="68" width="6.81640625" style="132" bestFit="1" customWidth="1"/>
    <col min="69" max="16384" width="8.7265625" style="132"/>
  </cols>
  <sheetData>
    <row r="1" spans="1:68" x14ac:dyDescent="0.35">
      <c r="A1" s="235"/>
      <c r="B1" s="235" t="s">
        <v>973</v>
      </c>
      <c r="C1" s="235" t="s">
        <v>935</v>
      </c>
      <c r="D1" s="235" t="s">
        <v>974</v>
      </c>
      <c r="E1" s="235" t="s">
        <v>975</v>
      </c>
      <c r="F1" s="235" t="s">
        <v>976</v>
      </c>
      <c r="G1" s="235" t="s">
        <v>977</v>
      </c>
      <c r="H1" s="235" t="s">
        <v>978</v>
      </c>
      <c r="I1" s="235" t="s">
        <v>979</v>
      </c>
      <c r="J1" s="235" t="s">
        <v>980</v>
      </c>
      <c r="K1" s="235" t="s">
        <v>960</v>
      </c>
      <c r="L1" s="235" t="s">
        <v>981</v>
      </c>
      <c r="M1" s="235" t="s">
        <v>969</v>
      </c>
      <c r="N1" s="235" t="s">
        <v>982</v>
      </c>
      <c r="O1" s="235" t="s">
        <v>983</v>
      </c>
      <c r="P1" s="235" t="s">
        <v>984</v>
      </c>
      <c r="Q1" s="235" t="s">
        <v>985</v>
      </c>
      <c r="R1" s="235" t="s">
        <v>971</v>
      </c>
      <c r="S1" s="235" t="s">
        <v>986</v>
      </c>
      <c r="T1" s="235" t="s">
        <v>987</v>
      </c>
      <c r="U1" s="235" t="s">
        <v>988</v>
      </c>
      <c r="V1" s="235" t="s">
        <v>989</v>
      </c>
      <c r="W1" s="235" t="s">
        <v>934</v>
      </c>
      <c r="X1" s="235" t="s">
        <v>947</v>
      </c>
      <c r="Y1" s="235" t="s">
        <v>990</v>
      </c>
      <c r="Z1" s="235" t="s">
        <v>991</v>
      </c>
      <c r="AA1" s="235" t="s">
        <v>992</v>
      </c>
      <c r="AB1" s="235" t="s">
        <v>993</v>
      </c>
      <c r="AC1" s="235" t="s">
        <v>994</v>
      </c>
      <c r="AD1" s="235" t="s">
        <v>995</v>
      </c>
      <c r="AE1" s="235" t="s">
        <v>996</v>
      </c>
      <c r="AF1" s="235" t="s">
        <v>997</v>
      </c>
      <c r="AG1" s="235" t="s">
        <v>998</v>
      </c>
      <c r="AH1" s="235" t="s">
        <v>999</v>
      </c>
      <c r="AI1" s="235" t="s">
        <v>1000</v>
      </c>
      <c r="AJ1" s="235" t="s">
        <v>1001</v>
      </c>
      <c r="AK1" s="235" t="s">
        <v>1002</v>
      </c>
      <c r="AL1" s="235" t="s">
        <v>1003</v>
      </c>
      <c r="AM1" s="235" t="s">
        <v>1004</v>
      </c>
      <c r="AN1" s="235" t="s">
        <v>1005</v>
      </c>
      <c r="AO1" s="235" t="s">
        <v>1006</v>
      </c>
      <c r="AP1" s="235" t="s">
        <v>1007</v>
      </c>
      <c r="AQ1" s="235" t="s">
        <v>1008</v>
      </c>
      <c r="AR1" s="235" t="s">
        <v>1009</v>
      </c>
      <c r="AS1" s="235" t="s">
        <v>1010</v>
      </c>
      <c r="AT1" s="235" t="s">
        <v>1011</v>
      </c>
      <c r="AU1" s="235" t="s">
        <v>972</v>
      </c>
      <c r="AV1" s="235" t="s">
        <v>26</v>
      </c>
      <c r="AW1" s="235" t="s">
        <v>28</v>
      </c>
      <c r="AX1" s="235" t="s">
        <v>1012</v>
      </c>
      <c r="AY1" s="235" t="s">
        <v>1013</v>
      </c>
      <c r="AZ1" s="235" t="s">
        <v>1014</v>
      </c>
      <c r="BA1" s="235" t="s">
        <v>1015</v>
      </c>
      <c r="BB1" s="235" t="s">
        <v>1016</v>
      </c>
      <c r="BC1" s="235" t="s">
        <v>1017</v>
      </c>
      <c r="BD1" s="235" t="s">
        <v>1018</v>
      </c>
      <c r="BE1" s="235" t="s">
        <v>1019</v>
      </c>
      <c r="BF1" s="235" t="s">
        <v>1020</v>
      </c>
      <c r="BG1" s="235" t="s">
        <v>1021</v>
      </c>
      <c r="BH1" s="235" t="s">
        <v>1022</v>
      </c>
      <c r="BI1" s="235" t="s">
        <v>1023</v>
      </c>
      <c r="BJ1" s="235" t="s">
        <v>1024</v>
      </c>
      <c r="BK1" s="235" t="s">
        <v>1025</v>
      </c>
      <c r="BL1" s="235" t="s">
        <v>1026</v>
      </c>
      <c r="BM1" s="235" t="s">
        <v>1027</v>
      </c>
      <c r="BN1" s="235" t="s">
        <v>1028</v>
      </c>
      <c r="BO1" s="235" t="s">
        <v>1029</v>
      </c>
      <c r="BP1" s="235" t="s">
        <v>2360</v>
      </c>
    </row>
    <row r="2" spans="1:68" x14ac:dyDescent="0.35">
      <c r="A2" s="76"/>
      <c r="B2" s="43" t="s">
        <v>1052</v>
      </c>
      <c r="C2" s="77">
        <v>46060</v>
      </c>
      <c r="D2" s="43" t="s">
        <v>3042</v>
      </c>
      <c r="E2" s="43" t="s">
        <v>1068</v>
      </c>
      <c r="F2" s="43" t="s">
        <v>728</v>
      </c>
      <c r="G2" s="43">
        <v>3</v>
      </c>
      <c r="H2" s="43" t="s">
        <v>2875</v>
      </c>
      <c r="I2" s="43">
        <v>0</v>
      </c>
      <c r="J2" s="43">
        <v>227</v>
      </c>
      <c r="K2" s="43" t="s">
        <v>1055</v>
      </c>
      <c r="L2" s="43">
        <v>227</v>
      </c>
      <c r="M2" s="43">
        <v>0</v>
      </c>
      <c r="N2" s="43">
        <v>227</v>
      </c>
      <c r="O2" s="43" t="s">
        <v>3043</v>
      </c>
      <c r="P2" s="43" t="s">
        <v>2876</v>
      </c>
      <c r="Q2" s="43" t="s">
        <v>2876</v>
      </c>
      <c r="R2" s="43" t="s">
        <v>3044</v>
      </c>
      <c r="S2" s="77">
        <v>46029</v>
      </c>
      <c r="T2" s="43" t="s">
        <v>2877</v>
      </c>
      <c r="U2" s="43" t="s">
        <v>2878</v>
      </c>
      <c r="V2" s="43" t="s">
        <v>3045</v>
      </c>
      <c r="W2" s="43">
        <v>173.99290748898699</v>
      </c>
      <c r="X2" s="43">
        <v>0</v>
      </c>
      <c r="Y2" s="43" t="s">
        <v>3044</v>
      </c>
      <c r="Z2" s="77">
        <v>46029</v>
      </c>
      <c r="AA2" s="43"/>
      <c r="AB2" s="43"/>
      <c r="AC2" s="43"/>
      <c r="AD2" s="43" t="s">
        <v>2879</v>
      </c>
      <c r="AE2" s="77">
        <v>46029</v>
      </c>
      <c r="AF2" s="43">
        <v>0</v>
      </c>
      <c r="AG2" s="43">
        <v>0</v>
      </c>
      <c r="AH2" s="43">
        <v>0</v>
      </c>
      <c r="AI2" s="43">
        <v>0</v>
      </c>
      <c r="AJ2" s="43">
        <v>0</v>
      </c>
      <c r="AK2" s="43" t="s">
        <v>2871</v>
      </c>
      <c r="AL2" s="43">
        <v>0</v>
      </c>
      <c r="AM2" s="43">
        <v>0</v>
      </c>
      <c r="AN2" s="43">
        <v>0</v>
      </c>
      <c r="AO2" s="43">
        <v>0</v>
      </c>
      <c r="AP2" s="43">
        <v>0</v>
      </c>
      <c r="AQ2" s="43"/>
      <c r="AR2" s="43">
        <v>0</v>
      </c>
      <c r="AS2" s="43">
        <v>0</v>
      </c>
      <c r="AT2" s="43">
        <v>0</v>
      </c>
      <c r="AU2" s="43" t="s">
        <v>628</v>
      </c>
      <c r="AV2" s="43" t="s">
        <v>706</v>
      </c>
      <c r="AW2" s="43" t="s">
        <v>729</v>
      </c>
      <c r="AX2" s="43" t="s">
        <v>31</v>
      </c>
      <c r="AY2" s="43" t="s">
        <v>2872</v>
      </c>
      <c r="AZ2" s="43">
        <v>0</v>
      </c>
      <c r="BA2" s="43">
        <v>0</v>
      </c>
      <c r="BB2" s="43">
        <v>522</v>
      </c>
      <c r="BC2" s="77">
        <v>46029</v>
      </c>
      <c r="BD2" s="43" t="s">
        <v>2870</v>
      </c>
      <c r="BE2" s="43" t="s">
        <v>2873</v>
      </c>
      <c r="BF2" s="43"/>
      <c r="BG2" s="43">
        <v>0</v>
      </c>
      <c r="BH2" s="43">
        <v>0</v>
      </c>
      <c r="BI2" s="43">
        <v>0</v>
      </c>
      <c r="BJ2" s="43">
        <v>0</v>
      </c>
      <c r="BK2" s="43">
        <v>0</v>
      </c>
      <c r="BL2" s="43">
        <v>0</v>
      </c>
      <c r="BM2" s="43">
        <v>0</v>
      </c>
      <c r="BN2" s="43" t="s">
        <v>2874</v>
      </c>
      <c r="BO2" s="44">
        <v>46204.48333333333</v>
      </c>
      <c r="BP2" s="43">
        <v>227</v>
      </c>
    </row>
    <row r="3" spans="1:68" x14ac:dyDescent="0.35">
      <c r="A3" s="76"/>
      <c r="B3" s="43" t="s">
        <v>1052</v>
      </c>
      <c r="C3" s="77">
        <v>46060</v>
      </c>
      <c r="D3" s="43" t="s">
        <v>3042</v>
      </c>
      <c r="E3" s="43" t="s">
        <v>1066</v>
      </c>
      <c r="F3" s="43" t="s">
        <v>818</v>
      </c>
      <c r="G3" s="43">
        <v>5</v>
      </c>
      <c r="H3" s="43" t="s">
        <v>2875</v>
      </c>
      <c r="I3" s="43">
        <v>0</v>
      </c>
      <c r="J3" s="43">
        <v>256.3</v>
      </c>
      <c r="K3" s="43" t="s">
        <v>1055</v>
      </c>
      <c r="L3" s="43">
        <v>256.3</v>
      </c>
      <c r="M3" s="43">
        <v>0</v>
      </c>
      <c r="N3" s="43">
        <v>256.3</v>
      </c>
      <c r="O3" s="43" t="s">
        <v>3043</v>
      </c>
      <c r="P3" s="43" t="s">
        <v>2876</v>
      </c>
      <c r="Q3" s="43" t="s">
        <v>2876</v>
      </c>
      <c r="R3" s="43" t="s">
        <v>3044</v>
      </c>
      <c r="S3" s="77">
        <v>46029</v>
      </c>
      <c r="T3" s="43" t="s">
        <v>2877</v>
      </c>
      <c r="U3" s="43" t="s">
        <v>2878</v>
      </c>
      <c r="V3" s="43" t="s">
        <v>3045</v>
      </c>
      <c r="W3" s="43">
        <v>155.065909090909</v>
      </c>
      <c r="X3" s="43">
        <v>0</v>
      </c>
      <c r="Y3" s="43" t="s">
        <v>3044</v>
      </c>
      <c r="Z3" s="77">
        <v>46029</v>
      </c>
      <c r="AA3" s="43"/>
      <c r="AB3" s="43"/>
      <c r="AC3" s="43"/>
      <c r="AD3" s="43" t="s">
        <v>2879</v>
      </c>
      <c r="AE3" s="77">
        <v>46029</v>
      </c>
      <c r="AF3" s="43">
        <v>0</v>
      </c>
      <c r="AG3" s="43">
        <v>0</v>
      </c>
      <c r="AH3" s="43">
        <v>0</v>
      </c>
      <c r="AI3" s="43">
        <v>0</v>
      </c>
      <c r="AJ3" s="43">
        <v>0</v>
      </c>
      <c r="AK3" s="43" t="s">
        <v>2871</v>
      </c>
      <c r="AL3" s="43">
        <v>0</v>
      </c>
      <c r="AM3" s="43">
        <v>0</v>
      </c>
      <c r="AN3" s="43">
        <v>0</v>
      </c>
      <c r="AO3" s="43">
        <v>0</v>
      </c>
      <c r="AP3" s="43">
        <v>0</v>
      </c>
      <c r="AQ3" s="43"/>
      <c r="AR3" s="43">
        <v>0</v>
      </c>
      <c r="AS3" s="43">
        <v>0</v>
      </c>
      <c r="AT3" s="43">
        <v>0</v>
      </c>
      <c r="AU3" s="43" t="s">
        <v>628</v>
      </c>
      <c r="AV3" s="43" t="s">
        <v>627</v>
      </c>
      <c r="AW3" s="43" t="s">
        <v>629</v>
      </c>
      <c r="AX3" s="43" t="s">
        <v>31</v>
      </c>
      <c r="AY3" s="43" t="s">
        <v>2872</v>
      </c>
      <c r="AZ3" s="43">
        <v>0</v>
      </c>
      <c r="BA3" s="43">
        <v>0</v>
      </c>
      <c r="BB3" s="43">
        <v>522</v>
      </c>
      <c r="BC3" s="77">
        <v>46029</v>
      </c>
      <c r="BD3" s="43" t="s">
        <v>2870</v>
      </c>
      <c r="BE3" s="43" t="s">
        <v>2873</v>
      </c>
      <c r="BF3" s="43"/>
      <c r="BG3" s="43">
        <v>0</v>
      </c>
      <c r="BH3" s="43">
        <v>0</v>
      </c>
      <c r="BI3" s="43">
        <v>0</v>
      </c>
      <c r="BJ3" s="43">
        <v>0</v>
      </c>
      <c r="BK3" s="43">
        <v>0</v>
      </c>
      <c r="BL3" s="43">
        <v>0</v>
      </c>
      <c r="BM3" s="43">
        <v>0</v>
      </c>
      <c r="BN3" s="43" t="s">
        <v>2874</v>
      </c>
      <c r="BO3" s="44">
        <v>46204.48333333333</v>
      </c>
      <c r="BP3" s="43">
        <v>256.3</v>
      </c>
    </row>
    <row r="4" spans="1:68" x14ac:dyDescent="0.35">
      <c r="A4" s="76"/>
      <c r="B4" s="43" t="s">
        <v>1052</v>
      </c>
      <c r="C4" s="77">
        <v>46060</v>
      </c>
      <c r="D4" s="43" t="s">
        <v>3042</v>
      </c>
      <c r="E4" s="43" t="s">
        <v>1070</v>
      </c>
      <c r="F4" s="43" t="s">
        <v>859</v>
      </c>
      <c r="G4" s="43">
        <v>4</v>
      </c>
      <c r="H4" s="43" t="s">
        <v>2875</v>
      </c>
      <c r="I4" s="43">
        <v>0</v>
      </c>
      <c r="J4" s="43">
        <v>595</v>
      </c>
      <c r="K4" s="43" t="s">
        <v>1055</v>
      </c>
      <c r="L4" s="43">
        <v>595</v>
      </c>
      <c r="M4" s="43">
        <v>0</v>
      </c>
      <c r="N4" s="43">
        <v>595</v>
      </c>
      <c r="O4" s="43" t="s">
        <v>3043</v>
      </c>
      <c r="P4" s="43" t="s">
        <v>2876</v>
      </c>
      <c r="Q4" s="43" t="s">
        <v>2876</v>
      </c>
      <c r="R4" s="43" t="s">
        <v>3044</v>
      </c>
      <c r="S4" s="77">
        <v>46029</v>
      </c>
      <c r="T4" s="43" t="s">
        <v>2877</v>
      </c>
      <c r="U4" s="43" t="s">
        <v>2878</v>
      </c>
      <c r="V4" s="43" t="s">
        <v>3045</v>
      </c>
      <c r="W4" s="43">
        <v>178.03006722689099</v>
      </c>
      <c r="X4" s="43">
        <v>0</v>
      </c>
      <c r="Y4" s="43" t="s">
        <v>3044</v>
      </c>
      <c r="Z4" s="77">
        <v>46029</v>
      </c>
      <c r="AA4" s="43"/>
      <c r="AB4" s="43"/>
      <c r="AC4" s="43"/>
      <c r="AD4" s="43" t="s">
        <v>2879</v>
      </c>
      <c r="AE4" s="77">
        <v>46029</v>
      </c>
      <c r="AF4" s="43">
        <v>0</v>
      </c>
      <c r="AG4" s="43">
        <v>0</v>
      </c>
      <c r="AH4" s="43">
        <v>0</v>
      </c>
      <c r="AI4" s="43">
        <v>0</v>
      </c>
      <c r="AJ4" s="43">
        <v>0</v>
      </c>
      <c r="AK4" s="43" t="s">
        <v>2871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/>
      <c r="AR4" s="43">
        <v>0</v>
      </c>
      <c r="AS4" s="43">
        <v>0</v>
      </c>
      <c r="AT4" s="43">
        <v>0</v>
      </c>
      <c r="AU4" s="43" t="s">
        <v>628</v>
      </c>
      <c r="AV4" s="43" t="s">
        <v>638</v>
      </c>
      <c r="AW4" s="43" t="s">
        <v>652</v>
      </c>
      <c r="AX4" s="43" t="s">
        <v>31</v>
      </c>
      <c r="AY4" s="43" t="s">
        <v>2872</v>
      </c>
      <c r="AZ4" s="43">
        <v>0</v>
      </c>
      <c r="BA4" s="43">
        <v>0</v>
      </c>
      <c r="BB4" s="43">
        <v>522</v>
      </c>
      <c r="BC4" s="77">
        <v>46029</v>
      </c>
      <c r="BD4" s="43" t="s">
        <v>2870</v>
      </c>
      <c r="BE4" s="43" t="s">
        <v>2873</v>
      </c>
      <c r="BF4" s="43"/>
      <c r="BG4" s="43">
        <v>0</v>
      </c>
      <c r="BH4" s="43">
        <v>0</v>
      </c>
      <c r="BI4" s="43">
        <v>0</v>
      </c>
      <c r="BJ4" s="43">
        <v>0</v>
      </c>
      <c r="BK4" s="43">
        <v>0</v>
      </c>
      <c r="BL4" s="43">
        <v>0</v>
      </c>
      <c r="BM4" s="43">
        <v>0</v>
      </c>
      <c r="BN4" s="43" t="s">
        <v>2874</v>
      </c>
      <c r="BO4" s="44">
        <v>46204.48333333333</v>
      </c>
      <c r="BP4" s="43">
        <v>595</v>
      </c>
    </row>
    <row r="5" spans="1:68" x14ac:dyDescent="0.35">
      <c r="A5" s="76"/>
      <c r="B5" s="43" t="s">
        <v>1052</v>
      </c>
      <c r="C5" s="77">
        <v>46060</v>
      </c>
      <c r="D5" s="43" t="s">
        <v>3042</v>
      </c>
      <c r="E5" s="43" t="s">
        <v>2802</v>
      </c>
      <c r="F5" s="43" t="s">
        <v>709</v>
      </c>
      <c r="G5" s="43">
        <v>1</v>
      </c>
      <c r="H5" s="43" t="s">
        <v>2875</v>
      </c>
      <c r="I5" s="43">
        <v>0</v>
      </c>
      <c r="J5" s="43">
        <v>100</v>
      </c>
      <c r="K5" s="43" t="s">
        <v>1055</v>
      </c>
      <c r="L5" s="43">
        <v>100</v>
      </c>
      <c r="M5" s="43">
        <v>0</v>
      </c>
      <c r="N5" s="43">
        <v>100</v>
      </c>
      <c r="O5" s="43" t="s">
        <v>3043</v>
      </c>
      <c r="P5" s="43" t="s">
        <v>2876</v>
      </c>
      <c r="Q5" s="43" t="s">
        <v>2876</v>
      </c>
      <c r="R5" s="43" t="s">
        <v>3044</v>
      </c>
      <c r="S5" s="77">
        <v>46029</v>
      </c>
      <c r="T5" s="43" t="s">
        <v>2877</v>
      </c>
      <c r="U5" s="43" t="s">
        <v>2878</v>
      </c>
      <c r="V5" s="43" t="s">
        <v>3045</v>
      </c>
      <c r="W5" s="43">
        <v>158.4</v>
      </c>
      <c r="X5" s="43">
        <v>0</v>
      </c>
      <c r="Y5" s="43" t="s">
        <v>3044</v>
      </c>
      <c r="Z5" s="77">
        <v>46029</v>
      </c>
      <c r="AA5" s="43"/>
      <c r="AB5" s="43"/>
      <c r="AC5" s="43"/>
      <c r="AD5" s="43" t="s">
        <v>2879</v>
      </c>
      <c r="AE5" s="77">
        <v>46029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 t="s">
        <v>2871</v>
      </c>
      <c r="AL5" s="43">
        <v>0</v>
      </c>
      <c r="AM5" s="43">
        <v>0</v>
      </c>
      <c r="AN5" s="43">
        <v>0</v>
      </c>
      <c r="AO5" s="43">
        <v>0</v>
      </c>
      <c r="AP5" s="43">
        <v>0</v>
      </c>
      <c r="AQ5" s="43"/>
      <c r="AR5" s="43">
        <v>0</v>
      </c>
      <c r="AS5" s="43">
        <v>0</v>
      </c>
      <c r="AT5" s="43">
        <v>0</v>
      </c>
      <c r="AU5" s="43" t="s">
        <v>628</v>
      </c>
      <c r="AV5" s="43" t="s">
        <v>709</v>
      </c>
      <c r="AW5" s="43" t="s">
        <v>710</v>
      </c>
      <c r="AX5" s="43" t="s">
        <v>31</v>
      </c>
      <c r="AY5" s="43" t="s">
        <v>2872</v>
      </c>
      <c r="AZ5" s="43">
        <v>0</v>
      </c>
      <c r="BA5" s="43">
        <v>0</v>
      </c>
      <c r="BB5" s="43">
        <v>522</v>
      </c>
      <c r="BC5" s="77">
        <v>46029</v>
      </c>
      <c r="BD5" s="43" t="s">
        <v>2870</v>
      </c>
      <c r="BE5" s="43" t="s">
        <v>2873</v>
      </c>
      <c r="BF5" s="43"/>
      <c r="BG5" s="43">
        <v>0</v>
      </c>
      <c r="BH5" s="43">
        <v>0</v>
      </c>
      <c r="BI5" s="43">
        <v>0</v>
      </c>
      <c r="BJ5" s="43">
        <v>0</v>
      </c>
      <c r="BK5" s="43">
        <v>0</v>
      </c>
      <c r="BL5" s="43">
        <v>0</v>
      </c>
      <c r="BM5" s="43">
        <v>0</v>
      </c>
      <c r="BN5" s="43" t="s">
        <v>2874</v>
      </c>
      <c r="BO5" s="44">
        <v>46204.48333333333</v>
      </c>
      <c r="BP5" s="43">
        <v>100</v>
      </c>
    </row>
    <row r="6" spans="1:68" x14ac:dyDescent="0.35">
      <c r="A6" s="76"/>
      <c r="B6" s="43" t="s">
        <v>1052</v>
      </c>
      <c r="C6" s="77">
        <v>46060</v>
      </c>
      <c r="D6" s="43" t="s">
        <v>3042</v>
      </c>
      <c r="E6" s="43" t="s">
        <v>3031</v>
      </c>
      <c r="F6" s="43" t="s">
        <v>818</v>
      </c>
      <c r="G6" s="43">
        <v>2</v>
      </c>
      <c r="H6" s="43" t="s">
        <v>2875</v>
      </c>
      <c r="I6" s="43">
        <v>0</v>
      </c>
      <c r="J6" s="43">
        <v>29.7</v>
      </c>
      <c r="K6" s="43" t="s">
        <v>1055</v>
      </c>
      <c r="L6" s="43">
        <v>29.7</v>
      </c>
      <c r="M6" s="43">
        <v>0</v>
      </c>
      <c r="N6" s="43">
        <v>29.7</v>
      </c>
      <c r="O6" s="43" t="s">
        <v>3043</v>
      </c>
      <c r="P6" s="43" t="s">
        <v>2876</v>
      </c>
      <c r="Q6" s="43" t="s">
        <v>2876</v>
      </c>
      <c r="R6" s="43" t="s">
        <v>3044</v>
      </c>
      <c r="S6" s="77">
        <v>46029</v>
      </c>
      <c r="T6" s="43" t="s">
        <v>2877</v>
      </c>
      <c r="U6" s="43" t="s">
        <v>2878</v>
      </c>
      <c r="V6" s="43" t="s">
        <v>3045</v>
      </c>
      <c r="W6" s="43">
        <v>155.065909090909</v>
      </c>
      <c r="X6" s="43">
        <v>0</v>
      </c>
      <c r="Y6" s="43" t="s">
        <v>3044</v>
      </c>
      <c r="Z6" s="77">
        <v>46029</v>
      </c>
      <c r="AA6" s="43"/>
      <c r="AB6" s="43"/>
      <c r="AC6" s="43"/>
      <c r="AD6" s="43" t="s">
        <v>2879</v>
      </c>
      <c r="AE6" s="77">
        <v>46029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 t="s">
        <v>2871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/>
      <c r="AR6" s="43">
        <v>0</v>
      </c>
      <c r="AS6" s="43">
        <v>0</v>
      </c>
      <c r="AT6" s="43">
        <v>0</v>
      </c>
      <c r="AU6" s="43" t="s">
        <v>628</v>
      </c>
      <c r="AV6" s="43" t="s">
        <v>627</v>
      </c>
      <c r="AW6" s="43" t="s">
        <v>629</v>
      </c>
      <c r="AX6" s="43" t="s">
        <v>31</v>
      </c>
      <c r="AY6" s="43" t="s">
        <v>2872</v>
      </c>
      <c r="AZ6" s="43">
        <v>0</v>
      </c>
      <c r="BA6" s="43">
        <v>0</v>
      </c>
      <c r="BB6" s="43">
        <v>522</v>
      </c>
      <c r="BC6" s="77">
        <v>46029</v>
      </c>
      <c r="BD6" s="43" t="s">
        <v>2870</v>
      </c>
      <c r="BE6" s="43" t="s">
        <v>2873</v>
      </c>
      <c r="BF6" s="43"/>
      <c r="BG6" s="43">
        <v>0</v>
      </c>
      <c r="BH6" s="43">
        <v>0</v>
      </c>
      <c r="BI6" s="43">
        <v>0</v>
      </c>
      <c r="BJ6" s="43">
        <v>0</v>
      </c>
      <c r="BK6" s="43">
        <v>0</v>
      </c>
      <c r="BL6" s="43">
        <v>0</v>
      </c>
      <c r="BM6" s="43">
        <v>0</v>
      </c>
      <c r="BN6" s="43" t="s">
        <v>2874</v>
      </c>
      <c r="BO6" s="44">
        <v>46204.48333333333</v>
      </c>
      <c r="BP6" s="43">
        <v>29.7</v>
      </c>
    </row>
    <row r="7" spans="1:68" x14ac:dyDescent="0.35">
      <c r="A7" s="76"/>
      <c r="B7" s="43" t="s">
        <v>1052</v>
      </c>
      <c r="C7" s="77">
        <v>46088</v>
      </c>
      <c r="D7" s="43" t="s">
        <v>3046</v>
      </c>
      <c r="E7" s="43" t="s">
        <v>3047</v>
      </c>
      <c r="F7" s="43" t="s">
        <v>818</v>
      </c>
      <c r="G7" s="43">
        <v>2</v>
      </c>
      <c r="H7" s="43" t="s">
        <v>2875</v>
      </c>
      <c r="I7" s="43">
        <v>0</v>
      </c>
      <c r="J7" s="43">
        <v>2651.1</v>
      </c>
      <c r="K7" s="43" t="s">
        <v>1055</v>
      </c>
      <c r="L7" s="43">
        <v>2651.1</v>
      </c>
      <c r="M7" s="43">
        <v>0</v>
      </c>
      <c r="N7" s="43">
        <v>2651.1</v>
      </c>
      <c r="O7" s="43" t="s">
        <v>3048</v>
      </c>
      <c r="P7" s="43" t="s">
        <v>2876</v>
      </c>
      <c r="Q7" s="43" t="s">
        <v>2876</v>
      </c>
      <c r="R7" s="43" t="s">
        <v>3049</v>
      </c>
      <c r="S7" s="77">
        <v>46060</v>
      </c>
      <c r="T7" s="43" t="s">
        <v>2877</v>
      </c>
      <c r="U7" s="43" t="s">
        <v>2878</v>
      </c>
      <c r="V7" s="43" t="s">
        <v>3050</v>
      </c>
      <c r="W7" s="43">
        <v>132</v>
      </c>
      <c r="X7" s="43">
        <v>0</v>
      </c>
      <c r="Y7" s="43" t="s">
        <v>3049</v>
      </c>
      <c r="Z7" s="77">
        <v>46060</v>
      </c>
      <c r="AA7" s="43"/>
      <c r="AB7" s="43"/>
      <c r="AC7" s="43"/>
      <c r="AD7" s="43" t="s">
        <v>2879</v>
      </c>
      <c r="AE7" s="77">
        <v>46060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 t="s">
        <v>2871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/>
      <c r="AR7" s="43">
        <v>0</v>
      </c>
      <c r="AS7" s="43">
        <v>0</v>
      </c>
      <c r="AT7" s="43">
        <v>0</v>
      </c>
      <c r="AU7" s="43" t="s">
        <v>628</v>
      </c>
      <c r="AV7" s="43" t="s">
        <v>627</v>
      </c>
      <c r="AW7" s="43" t="s">
        <v>3051</v>
      </c>
      <c r="AX7" s="43" t="s">
        <v>31</v>
      </c>
      <c r="AY7" s="43" t="s">
        <v>2872</v>
      </c>
      <c r="AZ7" s="43">
        <v>0</v>
      </c>
      <c r="BA7" s="43">
        <v>0</v>
      </c>
      <c r="BB7" s="43">
        <v>532</v>
      </c>
      <c r="BC7" s="77">
        <v>46060</v>
      </c>
      <c r="BD7" s="43" t="s">
        <v>2870</v>
      </c>
      <c r="BE7" s="43" t="s">
        <v>2873</v>
      </c>
      <c r="BF7" s="43"/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3">
        <v>0</v>
      </c>
      <c r="BM7" s="43">
        <v>0</v>
      </c>
      <c r="BN7" s="43" t="s">
        <v>2874</v>
      </c>
      <c r="BO7" s="44">
        <v>46205.743055555555</v>
      </c>
      <c r="BP7" s="43">
        <v>2651.1</v>
      </c>
    </row>
    <row r="8" spans="1:68" x14ac:dyDescent="0.35">
      <c r="A8" s="76"/>
      <c r="B8" s="43" t="s">
        <v>1052</v>
      </c>
      <c r="C8" s="77">
        <v>46088</v>
      </c>
      <c r="D8" s="43" t="s">
        <v>3046</v>
      </c>
      <c r="E8" s="43" t="s">
        <v>1065</v>
      </c>
      <c r="F8" s="43" t="s">
        <v>773</v>
      </c>
      <c r="G8" s="43">
        <v>1</v>
      </c>
      <c r="H8" s="43" t="s">
        <v>2875</v>
      </c>
      <c r="I8" s="43">
        <v>0</v>
      </c>
      <c r="J8" s="43">
        <v>1210</v>
      </c>
      <c r="K8" s="43" t="s">
        <v>1055</v>
      </c>
      <c r="L8" s="43">
        <v>1210</v>
      </c>
      <c r="M8" s="43">
        <v>0</v>
      </c>
      <c r="N8" s="43">
        <v>1210</v>
      </c>
      <c r="O8" s="43" t="s">
        <v>3048</v>
      </c>
      <c r="P8" s="43" t="s">
        <v>2876</v>
      </c>
      <c r="Q8" s="43" t="s">
        <v>2876</v>
      </c>
      <c r="R8" s="43" t="s">
        <v>3049</v>
      </c>
      <c r="S8" s="77">
        <v>46060</v>
      </c>
      <c r="T8" s="43" t="s">
        <v>2877</v>
      </c>
      <c r="U8" s="43" t="s">
        <v>2878</v>
      </c>
      <c r="V8" s="43" t="s">
        <v>3050</v>
      </c>
      <c r="W8" s="43">
        <v>137.50068595041299</v>
      </c>
      <c r="X8" s="43">
        <v>0</v>
      </c>
      <c r="Y8" s="43" t="s">
        <v>3049</v>
      </c>
      <c r="Z8" s="77">
        <v>46060</v>
      </c>
      <c r="AA8" s="43"/>
      <c r="AB8" s="43"/>
      <c r="AC8" s="43"/>
      <c r="AD8" s="43" t="s">
        <v>2879</v>
      </c>
      <c r="AE8" s="77">
        <v>46060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 t="s">
        <v>2871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/>
      <c r="AR8" s="43">
        <v>0</v>
      </c>
      <c r="AS8" s="43">
        <v>0</v>
      </c>
      <c r="AT8" s="43">
        <v>0</v>
      </c>
      <c r="AU8" s="43" t="s">
        <v>628</v>
      </c>
      <c r="AV8" s="43" t="s">
        <v>771</v>
      </c>
      <c r="AW8" s="43" t="s">
        <v>773</v>
      </c>
      <c r="AX8" s="43" t="s">
        <v>31</v>
      </c>
      <c r="AY8" s="43" t="s">
        <v>2872</v>
      </c>
      <c r="AZ8" s="43">
        <v>0</v>
      </c>
      <c r="BA8" s="43">
        <v>0</v>
      </c>
      <c r="BB8" s="43">
        <v>532</v>
      </c>
      <c r="BC8" s="77">
        <v>46060</v>
      </c>
      <c r="BD8" s="43" t="s">
        <v>2870</v>
      </c>
      <c r="BE8" s="43" t="s">
        <v>2873</v>
      </c>
      <c r="BF8" s="43"/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 t="s">
        <v>2874</v>
      </c>
      <c r="BO8" s="44">
        <v>46205.743055555555</v>
      </c>
      <c r="BP8" s="43">
        <v>1210</v>
      </c>
    </row>
    <row r="9" spans="1:68" x14ac:dyDescent="0.35">
      <c r="A9" s="76"/>
      <c r="B9" s="43" t="s">
        <v>1052</v>
      </c>
      <c r="C9" s="77">
        <v>46180</v>
      </c>
      <c r="D9" s="43" t="s">
        <v>3052</v>
      </c>
      <c r="E9" s="43" t="s">
        <v>1070</v>
      </c>
      <c r="F9" s="43" t="s">
        <v>859</v>
      </c>
      <c r="G9" s="43">
        <v>4</v>
      </c>
      <c r="H9" s="43" t="s">
        <v>2875</v>
      </c>
      <c r="I9" s="43">
        <v>0</v>
      </c>
      <c r="J9" s="43">
        <v>1207</v>
      </c>
      <c r="K9" s="43" t="s">
        <v>1055</v>
      </c>
      <c r="L9" s="43">
        <v>1207</v>
      </c>
      <c r="M9" s="43">
        <v>0</v>
      </c>
      <c r="N9" s="43">
        <v>1207</v>
      </c>
      <c r="O9" s="43" t="s">
        <v>3053</v>
      </c>
      <c r="P9" s="43" t="s">
        <v>2876</v>
      </c>
      <c r="Q9" s="43" t="s">
        <v>2876</v>
      </c>
      <c r="R9" s="43" t="s">
        <v>3054</v>
      </c>
      <c r="S9" s="77">
        <v>46119</v>
      </c>
      <c r="T9" s="43" t="s">
        <v>2877</v>
      </c>
      <c r="U9" s="43" t="s">
        <v>2878</v>
      </c>
      <c r="V9" s="43" t="s">
        <v>3055</v>
      </c>
      <c r="W9" s="43">
        <v>178.02922120961099</v>
      </c>
      <c r="X9" s="43">
        <v>0</v>
      </c>
      <c r="Y9" s="43" t="s">
        <v>3054</v>
      </c>
      <c r="Z9" s="77">
        <v>46119</v>
      </c>
      <c r="AA9" s="43"/>
      <c r="AB9" s="43"/>
      <c r="AC9" s="43"/>
      <c r="AD9" s="43" t="s">
        <v>2879</v>
      </c>
      <c r="AE9" s="77">
        <v>46149</v>
      </c>
      <c r="AF9" s="43">
        <v>0</v>
      </c>
      <c r="AG9" s="43">
        <v>0</v>
      </c>
      <c r="AH9" s="43">
        <v>0</v>
      </c>
      <c r="AI9" s="43">
        <v>0</v>
      </c>
      <c r="AJ9" s="43">
        <v>0</v>
      </c>
      <c r="AK9" s="43" t="s">
        <v>2871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/>
      <c r="AR9" s="43">
        <v>0</v>
      </c>
      <c r="AS9" s="43">
        <v>0</v>
      </c>
      <c r="AT9" s="43">
        <v>0</v>
      </c>
      <c r="AU9" s="43" t="s">
        <v>628</v>
      </c>
      <c r="AV9" s="43" t="s">
        <v>638</v>
      </c>
      <c r="AW9" s="43" t="s">
        <v>652</v>
      </c>
      <c r="AX9" s="43" t="s">
        <v>31</v>
      </c>
      <c r="AY9" s="43" t="s">
        <v>2872</v>
      </c>
      <c r="AZ9" s="43">
        <v>0</v>
      </c>
      <c r="BA9" s="43">
        <v>0</v>
      </c>
      <c r="BB9" s="43">
        <v>543</v>
      </c>
      <c r="BC9" s="77">
        <v>46119</v>
      </c>
      <c r="BD9" s="43" t="s">
        <v>2870</v>
      </c>
      <c r="BE9" s="43" t="s">
        <v>2873</v>
      </c>
      <c r="BF9" s="43"/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3">
        <v>0</v>
      </c>
      <c r="BM9" s="43">
        <v>0</v>
      </c>
      <c r="BN9" s="43" t="s">
        <v>2874</v>
      </c>
      <c r="BO9" s="44">
        <v>46207.464583333334</v>
      </c>
      <c r="BP9" s="43">
        <v>1207</v>
      </c>
    </row>
    <row r="10" spans="1:68" x14ac:dyDescent="0.35">
      <c r="A10" s="76"/>
      <c r="B10" s="43" t="s">
        <v>1052</v>
      </c>
      <c r="C10" s="77">
        <v>46180</v>
      </c>
      <c r="D10" s="43" t="s">
        <v>3052</v>
      </c>
      <c r="E10" s="43" t="s">
        <v>2754</v>
      </c>
      <c r="F10" s="43" t="s">
        <v>1059</v>
      </c>
      <c r="G10" s="43">
        <v>3</v>
      </c>
      <c r="H10" s="43" t="s">
        <v>2875</v>
      </c>
      <c r="I10" s="43">
        <v>0</v>
      </c>
      <c r="J10" s="43">
        <v>2000</v>
      </c>
      <c r="K10" s="43" t="s">
        <v>1055</v>
      </c>
      <c r="L10" s="43">
        <v>2000</v>
      </c>
      <c r="M10" s="43">
        <v>0</v>
      </c>
      <c r="N10" s="43">
        <v>2000</v>
      </c>
      <c r="O10" s="43" t="s">
        <v>3053</v>
      </c>
      <c r="P10" s="43" t="s">
        <v>2876</v>
      </c>
      <c r="Q10" s="43" t="s">
        <v>2876</v>
      </c>
      <c r="R10" s="43" t="s">
        <v>3054</v>
      </c>
      <c r="S10" s="77">
        <v>46119</v>
      </c>
      <c r="T10" s="43" t="s">
        <v>2877</v>
      </c>
      <c r="U10" s="43" t="s">
        <v>2878</v>
      </c>
      <c r="V10" s="43" t="s">
        <v>3055</v>
      </c>
      <c r="W10" s="43">
        <v>150</v>
      </c>
      <c r="X10" s="43">
        <v>0</v>
      </c>
      <c r="Y10" s="43" t="s">
        <v>3054</v>
      </c>
      <c r="Z10" s="77">
        <v>46119</v>
      </c>
      <c r="AA10" s="43"/>
      <c r="AB10" s="43"/>
      <c r="AC10" s="43"/>
      <c r="AD10" s="43" t="s">
        <v>2879</v>
      </c>
      <c r="AE10" s="77">
        <v>46149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 t="s">
        <v>2871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/>
      <c r="AR10" s="43">
        <v>0</v>
      </c>
      <c r="AS10" s="43">
        <v>0</v>
      </c>
      <c r="AT10" s="43">
        <v>0</v>
      </c>
      <c r="AU10" s="43" t="s">
        <v>31</v>
      </c>
      <c r="AV10" s="43" t="s">
        <v>1032</v>
      </c>
      <c r="AW10" s="43" t="s">
        <v>1059</v>
      </c>
      <c r="AX10" s="43" t="s">
        <v>31</v>
      </c>
      <c r="AY10" s="43" t="s">
        <v>2872</v>
      </c>
      <c r="AZ10" s="43">
        <v>0</v>
      </c>
      <c r="BA10" s="43">
        <v>0</v>
      </c>
      <c r="BB10" s="43">
        <v>543</v>
      </c>
      <c r="BC10" s="77">
        <v>46119</v>
      </c>
      <c r="BD10" s="43" t="s">
        <v>2870</v>
      </c>
      <c r="BE10" s="43" t="s">
        <v>2873</v>
      </c>
      <c r="BF10" s="43"/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3">
        <v>0</v>
      </c>
      <c r="BM10" s="43">
        <v>0</v>
      </c>
      <c r="BN10" s="43" t="s">
        <v>2874</v>
      </c>
      <c r="BO10" s="44">
        <v>46207.464583333334</v>
      </c>
      <c r="BP10" s="43">
        <v>2000</v>
      </c>
    </row>
    <row r="11" spans="1:68" x14ac:dyDescent="0.35">
      <c r="A11" s="76"/>
      <c r="B11" s="43" t="s">
        <v>1052</v>
      </c>
      <c r="C11" s="77">
        <v>46180</v>
      </c>
      <c r="D11" s="43" t="s">
        <v>3052</v>
      </c>
      <c r="E11" s="43" t="s">
        <v>1065</v>
      </c>
      <c r="F11" s="43" t="s">
        <v>773</v>
      </c>
      <c r="G11" s="43">
        <v>2</v>
      </c>
      <c r="H11" s="43" t="s">
        <v>2875</v>
      </c>
      <c r="I11" s="43">
        <v>0</v>
      </c>
      <c r="J11" s="43">
        <v>1480</v>
      </c>
      <c r="K11" s="43" t="s">
        <v>1055</v>
      </c>
      <c r="L11" s="43">
        <v>1480</v>
      </c>
      <c r="M11" s="43">
        <v>0</v>
      </c>
      <c r="N11" s="43">
        <v>1480</v>
      </c>
      <c r="O11" s="43" t="s">
        <v>3053</v>
      </c>
      <c r="P11" s="43" t="s">
        <v>2876</v>
      </c>
      <c r="Q11" s="43" t="s">
        <v>2876</v>
      </c>
      <c r="R11" s="43" t="s">
        <v>3054</v>
      </c>
      <c r="S11" s="77">
        <v>46119</v>
      </c>
      <c r="T11" s="43" t="s">
        <v>2877</v>
      </c>
      <c r="U11" s="43" t="s">
        <v>2878</v>
      </c>
      <c r="V11" s="43" t="s">
        <v>3055</v>
      </c>
      <c r="W11" s="43">
        <v>137.50047972972999</v>
      </c>
      <c r="X11" s="43">
        <v>0</v>
      </c>
      <c r="Y11" s="43" t="s">
        <v>3054</v>
      </c>
      <c r="Z11" s="77">
        <v>46119</v>
      </c>
      <c r="AA11" s="43"/>
      <c r="AB11" s="43"/>
      <c r="AC11" s="43"/>
      <c r="AD11" s="43" t="s">
        <v>2879</v>
      </c>
      <c r="AE11" s="77">
        <v>46149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 t="s">
        <v>2871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/>
      <c r="AR11" s="43">
        <v>0</v>
      </c>
      <c r="AS11" s="43">
        <v>0</v>
      </c>
      <c r="AT11" s="43">
        <v>0</v>
      </c>
      <c r="AU11" s="43" t="s">
        <v>628</v>
      </c>
      <c r="AV11" s="43" t="s">
        <v>771</v>
      </c>
      <c r="AW11" s="43" t="s">
        <v>773</v>
      </c>
      <c r="AX11" s="43" t="s">
        <v>31</v>
      </c>
      <c r="AY11" s="43" t="s">
        <v>2872</v>
      </c>
      <c r="AZ11" s="43">
        <v>0</v>
      </c>
      <c r="BA11" s="43">
        <v>0</v>
      </c>
      <c r="BB11" s="43">
        <v>543</v>
      </c>
      <c r="BC11" s="77">
        <v>46119</v>
      </c>
      <c r="BD11" s="43" t="s">
        <v>2870</v>
      </c>
      <c r="BE11" s="43" t="s">
        <v>2873</v>
      </c>
      <c r="BF11" s="43"/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0</v>
      </c>
      <c r="BM11" s="43">
        <v>0</v>
      </c>
      <c r="BN11" s="43" t="s">
        <v>2874</v>
      </c>
      <c r="BO11" s="44">
        <v>46207.464583333334</v>
      </c>
      <c r="BP11" s="43">
        <v>1480</v>
      </c>
    </row>
    <row r="12" spans="1:68" x14ac:dyDescent="0.35">
      <c r="A12" s="76"/>
      <c r="B12" s="43" t="s">
        <v>1052</v>
      </c>
      <c r="C12" s="77">
        <v>46180</v>
      </c>
      <c r="D12" s="43" t="s">
        <v>3052</v>
      </c>
      <c r="E12" s="43" t="s">
        <v>1063</v>
      </c>
      <c r="F12" s="43" t="s">
        <v>679</v>
      </c>
      <c r="G12" s="43">
        <v>1</v>
      </c>
      <c r="H12" s="43" t="s">
        <v>2875</v>
      </c>
      <c r="I12" s="43">
        <v>0</v>
      </c>
      <c r="J12" s="43">
        <v>2836.5</v>
      </c>
      <c r="K12" s="43" t="s">
        <v>1055</v>
      </c>
      <c r="L12" s="43">
        <v>2836.5</v>
      </c>
      <c r="M12" s="43">
        <v>0</v>
      </c>
      <c r="N12" s="43">
        <v>2836.5</v>
      </c>
      <c r="O12" s="43" t="s">
        <v>3053</v>
      </c>
      <c r="P12" s="43" t="s">
        <v>2876</v>
      </c>
      <c r="Q12" s="43" t="s">
        <v>2876</v>
      </c>
      <c r="R12" s="43" t="s">
        <v>3054</v>
      </c>
      <c r="S12" s="77">
        <v>46119</v>
      </c>
      <c r="T12" s="43" t="s">
        <v>2877</v>
      </c>
      <c r="U12" s="43" t="s">
        <v>2878</v>
      </c>
      <c r="V12" s="43" t="s">
        <v>3055</v>
      </c>
      <c r="W12" s="43">
        <v>138.99591750396601</v>
      </c>
      <c r="X12" s="43">
        <v>0</v>
      </c>
      <c r="Y12" s="43" t="s">
        <v>3054</v>
      </c>
      <c r="Z12" s="77">
        <v>46119</v>
      </c>
      <c r="AA12" s="43"/>
      <c r="AB12" s="43"/>
      <c r="AC12" s="43"/>
      <c r="AD12" s="43" t="s">
        <v>2879</v>
      </c>
      <c r="AE12" s="77">
        <v>46149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 t="s">
        <v>2871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/>
      <c r="AR12" s="43">
        <v>0</v>
      </c>
      <c r="AS12" s="43">
        <v>0</v>
      </c>
      <c r="AT12" s="43">
        <v>0</v>
      </c>
      <c r="AU12" s="43" t="s">
        <v>628</v>
      </c>
      <c r="AV12" s="43" t="s">
        <v>638</v>
      </c>
      <c r="AW12" s="43" t="s">
        <v>639</v>
      </c>
      <c r="AX12" s="43" t="s">
        <v>31</v>
      </c>
      <c r="AY12" s="43" t="s">
        <v>2872</v>
      </c>
      <c r="AZ12" s="43">
        <v>0</v>
      </c>
      <c r="BA12" s="43">
        <v>0</v>
      </c>
      <c r="BB12" s="43">
        <v>543</v>
      </c>
      <c r="BC12" s="77">
        <v>46119</v>
      </c>
      <c r="BD12" s="43" t="s">
        <v>2870</v>
      </c>
      <c r="BE12" s="43" t="s">
        <v>2873</v>
      </c>
      <c r="BF12" s="43"/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 t="s">
        <v>2874</v>
      </c>
      <c r="BO12" s="44">
        <v>46207.464583333334</v>
      </c>
      <c r="BP12" s="43">
        <v>2836.5</v>
      </c>
    </row>
    <row r="13" spans="1:68" x14ac:dyDescent="0.35">
      <c r="A13" s="76"/>
      <c r="B13" s="43" t="s">
        <v>1052</v>
      </c>
      <c r="C13" s="77">
        <v>46210</v>
      </c>
      <c r="D13" s="43" t="s">
        <v>3056</v>
      </c>
      <c r="E13" s="43" t="s">
        <v>1063</v>
      </c>
      <c r="F13" s="43" t="s">
        <v>679</v>
      </c>
      <c r="G13" s="43">
        <v>1</v>
      </c>
      <c r="H13" s="43" t="s">
        <v>2875</v>
      </c>
      <c r="I13" s="43">
        <v>0</v>
      </c>
      <c r="J13" s="43">
        <v>2568</v>
      </c>
      <c r="K13" s="43" t="s">
        <v>1055</v>
      </c>
      <c r="L13" s="43">
        <v>2568</v>
      </c>
      <c r="M13" s="43">
        <v>0</v>
      </c>
      <c r="N13" s="43">
        <v>2568</v>
      </c>
      <c r="O13" s="43" t="s">
        <v>3057</v>
      </c>
      <c r="P13" s="43" t="s">
        <v>2876</v>
      </c>
      <c r="Q13" s="43" t="s">
        <v>2876</v>
      </c>
      <c r="R13" s="43" t="s">
        <v>3058</v>
      </c>
      <c r="S13" s="77">
        <v>46180</v>
      </c>
      <c r="T13" s="43" t="s">
        <v>2877</v>
      </c>
      <c r="U13" s="43" t="s">
        <v>2878</v>
      </c>
      <c r="V13" s="43" t="s">
        <v>3059</v>
      </c>
      <c r="W13" s="43">
        <v>138.99600077881601</v>
      </c>
      <c r="X13" s="43">
        <v>0</v>
      </c>
      <c r="Y13" s="43" t="s">
        <v>3058</v>
      </c>
      <c r="Z13" s="77">
        <v>46180</v>
      </c>
      <c r="AA13" s="43"/>
      <c r="AB13" s="43"/>
      <c r="AC13" s="43"/>
      <c r="AD13" s="43" t="s">
        <v>2879</v>
      </c>
      <c r="AE13" s="77">
        <v>46180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 t="s">
        <v>2871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/>
      <c r="AR13" s="43">
        <v>0</v>
      </c>
      <c r="AS13" s="43">
        <v>0</v>
      </c>
      <c r="AT13" s="43">
        <v>0</v>
      </c>
      <c r="AU13" s="43" t="s">
        <v>628</v>
      </c>
      <c r="AV13" s="43" t="s">
        <v>638</v>
      </c>
      <c r="AW13" s="43" t="s">
        <v>639</v>
      </c>
      <c r="AX13" s="43" t="s">
        <v>31</v>
      </c>
      <c r="AY13" s="43" t="s">
        <v>2872</v>
      </c>
      <c r="AZ13" s="43">
        <v>0</v>
      </c>
      <c r="BA13" s="43">
        <v>0</v>
      </c>
      <c r="BB13" s="43">
        <v>554</v>
      </c>
      <c r="BC13" s="77">
        <v>46180</v>
      </c>
      <c r="BD13" s="43" t="s">
        <v>2870</v>
      </c>
      <c r="BE13" s="43" t="s">
        <v>2873</v>
      </c>
      <c r="BF13" s="43"/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 t="s">
        <v>2874</v>
      </c>
      <c r="BO13" s="44">
        <v>46209.502083333333</v>
      </c>
      <c r="BP13" s="43">
        <v>2568</v>
      </c>
    </row>
    <row r="14" spans="1:68" x14ac:dyDescent="0.35">
      <c r="A14" s="76"/>
      <c r="B14" s="43" t="s">
        <v>1052</v>
      </c>
      <c r="C14" s="77">
        <v>46241</v>
      </c>
      <c r="D14" s="43" t="s">
        <v>3080</v>
      </c>
      <c r="E14" s="43" t="s">
        <v>1068</v>
      </c>
      <c r="F14" s="43" t="s">
        <v>728</v>
      </c>
      <c r="G14" s="43">
        <v>1</v>
      </c>
      <c r="H14" s="43" t="s">
        <v>2875</v>
      </c>
      <c r="I14" s="43">
        <v>0</v>
      </c>
      <c r="J14" s="43">
        <v>123.2</v>
      </c>
      <c r="K14" s="43" t="s">
        <v>1055</v>
      </c>
      <c r="L14" s="43">
        <v>123.2</v>
      </c>
      <c r="M14" s="43">
        <v>0</v>
      </c>
      <c r="N14" s="43">
        <v>123.2</v>
      </c>
      <c r="O14" s="43" t="s">
        <v>3081</v>
      </c>
      <c r="P14" s="43" t="s">
        <v>2876</v>
      </c>
      <c r="Q14" s="43" t="s">
        <v>2876</v>
      </c>
      <c r="R14" s="43" t="s">
        <v>3082</v>
      </c>
      <c r="S14" s="77">
        <v>46210</v>
      </c>
      <c r="T14" s="43" t="s">
        <v>2877</v>
      </c>
      <c r="U14" s="43" t="s">
        <v>2878</v>
      </c>
      <c r="V14" s="43" t="s">
        <v>3083</v>
      </c>
      <c r="W14" s="43">
        <v>173.99569805194801</v>
      </c>
      <c r="X14" s="43">
        <v>0</v>
      </c>
      <c r="Y14" s="43" t="s">
        <v>3082</v>
      </c>
      <c r="Z14" s="77">
        <v>46210</v>
      </c>
      <c r="AA14" s="43"/>
      <c r="AB14" s="43"/>
      <c r="AC14" s="43"/>
      <c r="AD14" s="43" t="s">
        <v>2879</v>
      </c>
      <c r="AE14" s="77">
        <v>46210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 t="s">
        <v>2871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/>
      <c r="AR14" s="43">
        <v>0</v>
      </c>
      <c r="AS14" s="43">
        <v>0</v>
      </c>
      <c r="AT14" s="43">
        <v>0</v>
      </c>
      <c r="AU14" s="43" t="s">
        <v>628</v>
      </c>
      <c r="AV14" s="43" t="s">
        <v>706</v>
      </c>
      <c r="AW14" s="43" t="s">
        <v>729</v>
      </c>
      <c r="AX14" s="43" t="s">
        <v>31</v>
      </c>
      <c r="AY14" s="43" t="s">
        <v>2872</v>
      </c>
      <c r="AZ14" s="43">
        <v>0</v>
      </c>
      <c r="BA14" s="43">
        <v>0</v>
      </c>
      <c r="BB14" s="43">
        <v>562</v>
      </c>
      <c r="BC14" s="77">
        <v>46210</v>
      </c>
      <c r="BD14" s="43" t="s">
        <v>2870</v>
      </c>
      <c r="BE14" s="43" t="s">
        <v>2873</v>
      </c>
      <c r="BF14" s="43"/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 t="s">
        <v>2874</v>
      </c>
      <c r="BO14" s="44">
        <v>46210.411111111112</v>
      </c>
      <c r="BP14" s="43">
        <v>123.2</v>
      </c>
    </row>
    <row r="15" spans="1:68" x14ac:dyDescent="0.35">
      <c r="A15" s="76"/>
      <c r="B15" s="43" t="s">
        <v>1052</v>
      </c>
      <c r="C15" s="77">
        <v>46241</v>
      </c>
      <c r="D15" s="43" t="s">
        <v>3084</v>
      </c>
      <c r="E15" s="43" t="s">
        <v>3085</v>
      </c>
      <c r="F15" s="39" t="s">
        <v>356</v>
      </c>
      <c r="G15" s="43">
        <v>2</v>
      </c>
      <c r="H15" s="43" t="s">
        <v>2875</v>
      </c>
      <c r="I15" s="43">
        <v>0</v>
      </c>
      <c r="J15" s="43">
        <v>150</v>
      </c>
      <c r="K15" s="43" t="s">
        <v>1055</v>
      </c>
      <c r="L15" s="43">
        <v>150</v>
      </c>
      <c r="M15" s="43">
        <v>0</v>
      </c>
      <c r="N15" s="43">
        <v>150</v>
      </c>
      <c r="O15" s="43" t="s">
        <v>3081</v>
      </c>
      <c r="P15" s="43" t="s">
        <v>3086</v>
      </c>
      <c r="Q15" s="43" t="s">
        <v>3086</v>
      </c>
      <c r="R15" s="43" t="s">
        <v>3087</v>
      </c>
      <c r="S15" s="77">
        <v>46210</v>
      </c>
      <c r="T15" s="43" t="s">
        <v>2877</v>
      </c>
      <c r="U15" s="43" t="s">
        <v>2878</v>
      </c>
      <c r="V15" s="43" t="s">
        <v>3088</v>
      </c>
      <c r="W15" s="43">
        <v>139</v>
      </c>
      <c r="X15" s="43">
        <v>0</v>
      </c>
      <c r="Y15" s="43" t="s">
        <v>3087</v>
      </c>
      <c r="Z15" s="77">
        <v>46210</v>
      </c>
      <c r="AA15" s="43"/>
      <c r="AB15" s="43"/>
      <c r="AC15" s="43"/>
      <c r="AD15" s="43" t="s">
        <v>3089</v>
      </c>
      <c r="AE15" s="43" t="s">
        <v>3090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 t="s">
        <v>2871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/>
      <c r="AR15" s="43">
        <v>0</v>
      </c>
      <c r="AS15" s="43">
        <v>0</v>
      </c>
      <c r="AT15" s="43">
        <v>0</v>
      </c>
      <c r="AU15" s="43" t="s">
        <v>31</v>
      </c>
      <c r="AV15" s="43" t="s">
        <v>1032</v>
      </c>
      <c r="AW15" s="43" t="s">
        <v>32</v>
      </c>
      <c r="AX15" s="43" t="s">
        <v>31</v>
      </c>
      <c r="AY15" s="43"/>
      <c r="AZ15" s="43">
        <v>0</v>
      </c>
      <c r="BA15" s="43">
        <v>0</v>
      </c>
      <c r="BB15" s="43">
        <v>561</v>
      </c>
      <c r="BC15" s="77">
        <v>46210</v>
      </c>
      <c r="BD15" s="43" t="s">
        <v>2865</v>
      </c>
      <c r="BE15" s="43" t="s">
        <v>2873</v>
      </c>
      <c r="BF15" s="43"/>
      <c r="BG15" s="43">
        <v>9</v>
      </c>
      <c r="BH15" s="43">
        <v>1876.5</v>
      </c>
      <c r="BI15" s="43">
        <v>9</v>
      </c>
      <c r="BJ15" s="43">
        <v>1876.5</v>
      </c>
      <c r="BK15" s="43">
        <v>0</v>
      </c>
      <c r="BL15" s="43">
        <v>0</v>
      </c>
      <c r="BM15" s="43">
        <v>0</v>
      </c>
      <c r="BN15" s="43">
        <v>652141134416</v>
      </c>
      <c r="BO15" s="44">
        <v>46210.683333333334</v>
      </c>
      <c r="BP15" s="43">
        <v>150</v>
      </c>
    </row>
    <row r="16" spans="1:68" x14ac:dyDescent="0.35">
      <c r="A16" s="76"/>
      <c r="B16" s="43" t="s">
        <v>1052</v>
      </c>
      <c r="C16" s="77">
        <v>46241</v>
      </c>
      <c r="D16" s="43" t="s">
        <v>3084</v>
      </c>
      <c r="E16" s="43" t="s">
        <v>2754</v>
      </c>
      <c r="F16" s="43" t="s">
        <v>1059</v>
      </c>
      <c r="G16" s="43">
        <v>1</v>
      </c>
      <c r="H16" s="43" t="s">
        <v>2875</v>
      </c>
      <c r="I16" s="43">
        <v>0</v>
      </c>
      <c r="J16" s="43">
        <v>2000</v>
      </c>
      <c r="K16" s="43" t="s">
        <v>1055</v>
      </c>
      <c r="L16" s="43">
        <v>2000</v>
      </c>
      <c r="M16" s="43">
        <v>0</v>
      </c>
      <c r="N16" s="43">
        <v>2000</v>
      </c>
      <c r="O16" s="43" t="s">
        <v>3081</v>
      </c>
      <c r="P16" s="43" t="s">
        <v>3086</v>
      </c>
      <c r="Q16" s="43" t="s">
        <v>3086</v>
      </c>
      <c r="R16" s="43" t="s">
        <v>3087</v>
      </c>
      <c r="S16" s="77">
        <v>46210</v>
      </c>
      <c r="T16" s="43" t="s">
        <v>2877</v>
      </c>
      <c r="U16" s="43" t="s">
        <v>2878</v>
      </c>
      <c r="V16" s="43" t="s">
        <v>3088</v>
      </c>
      <c r="W16" s="43">
        <v>115</v>
      </c>
      <c r="X16" s="43">
        <v>0</v>
      </c>
      <c r="Y16" s="43" t="s">
        <v>3087</v>
      </c>
      <c r="Z16" s="77">
        <v>46210</v>
      </c>
      <c r="AA16" s="43"/>
      <c r="AB16" s="43"/>
      <c r="AC16" s="43"/>
      <c r="AD16" s="43" t="s">
        <v>3089</v>
      </c>
      <c r="AE16" s="43" t="s">
        <v>3090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 t="s">
        <v>2871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/>
      <c r="AR16" s="43">
        <v>0</v>
      </c>
      <c r="AS16" s="43">
        <v>0</v>
      </c>
      <c r="AT16" s="43">
        <v>0</v>
      </c>
      <c r="AU16" s="43" t="s">
        <v>31</v>
      </c>
      <c r="AV16" s="43" t="s">
        <v>1032</v>
      </c>
      <c r="AW16" s="43" t="s">
        <v>1059</v>
      </c>
      <c r="AX16" s="43" t="s">
        <v>31</v>
      </c>
      <c r="AY16" s="43" t="s">
        <v>2872</v>
      </c>
      <c r="AZ16" s="43">
        <v>0</v>
      </c>
      <c r="BA16" s="43">
        <v>0</v>
      </c>
      <c r="BB16" s="43">
        <v>561</v>
      </c>
      <c r="BC16" s="77">
        <v>46210</v>
      </c>
      <c r="BD16" s="43" t="s">
        <v>2865</v>
      </c>
      <c r="BE16" s="43" t="s">
        <v>2873</v>
      </c>
      <c r="BF16" s="43"/>
      <c r="BG16" s="43">
        <v>9</v>
      </c>
      <c r="BH16" s="43">
        <v>20700</v>
      </c>
      <c r="BI16" s="43">
        <v>9</v>
      </c>
      <c r="BJ16" s="43">
        <v>20700</v>
      </c>
      <c r="BK16" s="43">
        <v>0</v>
      </c>
      <c r="BL16" s="43">
        <v>0</v>
      </c>
      <c r="BM16" s="43">
        <v>0</v>
      </c>
      <c r="BN16" s="43">
        <v>652141134416</v>
      </c>
      <c r="BO16" s="44">
        <v>46210.683333333334</v>
      </c>
      <c r="BP16" s="43">
        <v>2000</v>
      </c>
    </row>
    <row r="17" spans="1:68" x14ac:dyDescent="0.35">
      <c r="A17" s="76"/>
      <c r="B17" s="43" t="s">
        <v>1052</v>
      </c>
      <c r="C17" s="77">
        <v>46272</v>
      </c>
      <c r="D17" s="43" t="s">
        <v>3106</v>
      </c>
      <c r="E17" s="43" t="s">
        <v>2908</v>
      </c>
      <c r="F17" s="43" t="s">
        <v>728</v>
      </c>
      <c r="G17" s="43">
        <v>2</v>
      </c>
      <c r="H17" s="43" t="s">
        <v>2875</v>
      </c>
      <c r="I17" s="43">
        <v>0</v>
      </c>
      <c r="J17" s="43">
        <v>119</v>
      </c>
      <c r="K17" s="43" t="s">
        <v>1055</v>
      </c>
      <c r="L17" s="43">
        <v>119</v>
      </c>
      <c r="M17" s="43">
        <v>0</v>
      </c>
      <c r="N17" s="43">
        <v>119</v>
      </c>
      <c r="O17" s="43" t="s">
        <v>3107</v>
      </c>
      <c r="P17" s="43" t="s">
        <v>2876</v>
      </c>
      <c r="Q17" s="43" t="s">
        <v>2876</v>
      </c>
      <c r="R17" s="43" t="s">
        <v>3108</v>
      </c>
      <c r="S17" s="77">
        <v>46241</v>
      </c>
      <c r="T17" s="43" t="s">
        <v>2877</v>
      </c>
      <c r="U17" s="43" t="s">
        <v>2878</v>
      </c>
      <c r="V17" s="43" t="s">
        <v>3109</v>
      </c>
      <c r="W17" s="43">
        <v>172.78</v>
      </c>
      <c r="X17" s="43">
        <v>0</v>
      </c>
      <c r="Y17" s="43" t="s">
        <v>3108</v>
      </c>
      <c r="Z17" s="77">
        <v>46241</v>
      </c>
      <c r="AA17" s="43"/>
      <c r="AB17" s="43"/>
      <c r="AC17" s="43"/>
      <c r="AD17" s="43" t="s">
        <v>2879</v>
      </c>
      <c r="AE17" s="77">
        <v>46241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 t="s">
        <v>2871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/>
      <c r="AR17" s="43">
        <v>0</v>
      </c>
      <c r="AS17" s="43">
        <v>0</v>
      </c>
      <c r="AT17" s="43">
        <v>0</v>
      </c>
      <c r="AU17" s="43" t="s">
        <v>628</v>
      </c>
      <c r="AV17" s="43" t="s">
        <v>2909</v>
      </c>
      <c r="AW17" s="43" t="s">
        <v>180</v>
      </c>
      <c r="AX17" s="43" t="s">
        <v>31</v>
      </c>
      <c r="AY17" s="43" t="s">
        <v>2872</v>
      </c>
      <c r="AZ17" s="43">
        <v>0</v>
      </c>
      <c r="BA17" s="43">
        <v>0</v>
      </c>
      <c r="BB17" s="43">
        <v>568</v>
      </c>
      <c r="BC17" s="77">
        <v>46241</v>
      </c>
      <c r="BD17" s="43" t="s">
        <v>2870</v>
      </c>
      <c r="BE17" s="43" t="s">
        <v>2873</v>
      </c>
      <c r="BF17" s="43"/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 t="s">
        <v>2874</v>
      </c>
      <c r="BO17" s="44">
        <v>46211.429166666669</v>
      </c>
      <c r="BP17" s="43">
        <v>119</v>
      </c>
    </row>
    <row r="18" spans="1:68" x14ac:dyDescent="0.35">
      <c r="A18" s="76"/>
      <c r="B18" s="43" t="s">
        <v>1052</v>
      </c>
      <c r="C18" s="77">
        <v>46272</v>
      </c>
      <c r="D18" s="43" t="s">
        <v>3106</v>
      </c>
      <c r="E18" s="43" t="s">
        <v>1068</v>
      </c>
      <c r="F18" s="43" t="s">
        <v>728</v>
      </c>
      <c r="G18" s="43">
        <v>3</v>
      </c>
      <c r="H18" s="43" t="s">
        <v>2875</v>
      </c>
      <c r="I18" s="43">
        <v>0</v>
      </c>
      <c r="J18" s="43">
        <v>446.3</v>
      </c>
      <c r="K18" s="43" t="s">
        <v>1055</v>
      </c>
      <c r="L18" s="43">
        <v>446.3</v>
      </c>
      <c r="M18" s="43">
        <v>0</v>
      </c>
      <c r="N18" s="43">
        <v>446.3</v>
      </c>
      <c r="O18" s="43" t="s">
        <v>3107</v>
      </c>
      <c r="P18" s="43" t="s">
        <v>2876</v>
      </c>
      <c r="Q18" s="43" t="s">
        <v>2876</v>
      </c>
      <c r="R18" s="43" t="s">
        <v>3108</v>
      </c>
      <c r="S18" s="77">
        <v>46241</v>
      </c>
      <c r="T18" s="43" t="s">
        <v>2877</v>
      </c>
      <c r="U18" s="43" t="s">
        <v>2878</v>
      </c>
      <c r="V18" s="43" t="s">
        <v>3109</v>
      </c>
      <c r="W18" s="43">
        <v>173.99365897378399</v>
      </c>
      <c r="X18" s="43">
        <v>0</v>
      </c>
      <c r="Y18" s="43" t="s">
        <v>3108</v>
      </c>
      <c r="Z18" s="77">
        <v>46241</v>
      </c>
      <c r="AA18" s="43"/>
      <c r="AB18" s="43"/>
      <c r="AC18" s="43"/>
      <c r="AD18" s="43" t="s">
        <v>2879</v>
      </c>
      <c r="AE18" s="77">
        <v>46241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 t="s">
        <v>2871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/>
      <c r="AR18" s="43">
        <v>0</v>
      </c>
      <c r="AS18" s="43">
        <v>0</v>
      </c>
      <c r="AT18" s="43">
        <v>0</v>
      </c>
      <c r="AU18" s="43" t="s">
        <v>628</v>
      </c>
      <c r="AV18" s="43" t="s">
        <v>706</v>
      </c>
      <c r="AW18" s="43" t="s">
        <v>729</v>
      </c>
      <c r="AX18" s="43" t="s">
        <v>31</v>
      </c>
      <c r="AY18" s="43" t="s">
        <v>2872</v>
      </c>
      <c r="AZ18" s="43">
        <v>0</v>
      </c>
      <c r="BA18" s="43">
        <v>0</v>
      </c>
      <c r="BB18" s="43">
        <v>568</v>
      </c>
      <c r="BC18" s="77">
        <v>46241</v>
      </c>
      <c r="BD18" s="43" t="s">
        <v>2870</v>
      </c>
      <c r="BE18" s="43" t="s">
        <v>2873</v>
      </c>
      <c r="BF18" s="43"/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 t="s">
        <v>2874</v>
      </c>
      <c r="BO18" s="44">
        <v>46211.429166666669</v>
      </c>
      <c r="BP18" s="43">
        <v>446.3</v>
      </c>
    </row>
    <row r="19" spans="1:68" x14ac:dyDescent="0.35">
      <c r="A19" s="76"/>
      <c r="B19" s="43" t="s">
        <v>1052</v>
      </c>
      <c r="C19" s="77">
        <v>46272</v>
      </c>
      <c r="D19" s="43" t="s">
        <v>3106</v>
      </c>
      <c r="E19" s="43" t="s">
        <v>1070</v>
      </c>
      <c r="F19" s="43" t="s">
        <v>859</v>
      </c>
      <c r="G19" s="43">
        <v>1</v>
      </c>
      <c r="H19" s="43" t="s">
        <v>2875</v>
      </c>
      <c r="I19" s="43">
        <v>0</v>
      </c>
      <c r="J19" s="43">
        <v>2887</v>
      </c>
      <c r="K19" s="43" t="s">
        <v>1055</v>
      </c>
      <c r="L19" s="43">
        <v>2887</v>
      </c>
      <c r="M19" s="43">
        <v>0</v>
      </c>
      <c r="N19" s="43">
        <v>2887</v>
      </c>
      <c r="O19" s="43" t="s">
        <v>3107</v>
      </c>
      <c r="P19" s="43" t="s">
        <v>2876</v>
      </c>
      <c r="Q19" s="43" t="s">
        <v>2876</v>
      </c>
      <c r="R19" s="43" t="s">
        <v>3108</v>
      </c>
      <c r="S19" s="77">
        <v>46241</v>
      </c>
      <c r="T19" s="43" t="s">
        <v>2877</v>
      </c>
      <c r="U19" s="43" t="s">
        <v>2878</v>
      </c>
      <c r="V19" s="43" t="s">
        <v>3109</v>
      </c>
      <c r="W19" s="43">
        <v>178.02926913751301</v>
      </c>
      <c r="X19" s="43">
        <v>0</v>
      </c>
      <c r="Y19" s="43" t="s">
        <v>3108</v>
      </c>
      <c r="Z19" s="77">
        <v>46241</v>
      </c>
      <c r="AA19" s="43"/>
      <c r="AB19" s="43"/>
      <c r="AC19" s="43"/>
      <c r="AD19" s="43" t="s">
        <v>2879</v>
      </c>
      <c r="AE19" s="77">
        <v>46241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 t="s">
        <v>2871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/>
      <c r="AR19" s="43">
        <v>0</v>
      </c>
      <c r="AS19" s="43">
        <v>0</v>
      </c>
      <c r="AT19" s="43">
        <v>0</v>
      </c>
      <c r="AU19" s="43" t="s">
        <v>628</v>
      </c>
      <c r="AV19" s="43" t="s">
        <v>638</v>
      </c>
      <c r="AW19" s="43" t="s">
        <v>652</v>
      </c>
      <c r="AX19" s="43" t="s">
        <v>31</v>
      </c>
      <c r="AY19" s="43" t="s">
        <v>2872</v>
      </c>
      <c r="AZ19" s="43">
        <v>0</v>
      </c>
      <c r="BA19" s="43">
        <v>0</v>
      </c>
      <c r="BB19" s="43">
        <v>568</v>
      </c>
      <c r="BC19" s="77">
        <v>46241</v>
      </c>
      <c r="BD19" s="43" t="s">
        <v>2870</v>
      </c>
      <c r="BE19" s="43" t="s">
        <v>2873</v>
      </c>
      <c r="BF19" s="43"/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 t="s">
        <v>2874</v>
      </c>
      <c r="BO19" s="44">
        <v>46211.429166666669</v>
      </c>
      <c r="BP19" s="43">
        <v>2887</v>
      </c>
    </row>
    <row r="20" spans="1:68" x14ac:dyDescent="0.35">
      <c r="A20" s="76"/>
      <c r="B20" s="43" t="s">
        <v>1052</v>
      </c>
      <c r="C20" s="77">
        <v>46302</v>
      </c>
      <c r="D20" s="43" t="s">
        <v>3110</v>
      </c>
      <c r="E20" s="43" t="s">
        <v>1063</v>
      </c>
      <c r="F20" s="43" t="s">
        <v>679</v>
      </c>
      <c r="G20" s="43">
        <v>2</v>
      </c>
      <c r="H20" s="43" t="s">
        <v>2875</v>
      </c>
      <c r="I20" s="43">
        <v>0</v>
      </c>
      <c r="J20" s="43">
        <v>812.1</v>
      </c>
      <c r="K20" s="43" t="s">
        <v>1055</v>
      </c>
      <c r="L20" s="43">
        <v>812.1</v>
      </c>
      <c r="M20" s="43">
        <v>0</v>
      </c>
      <c r="N20" s="43">
        <v>812.1</v>
      </c>
      <c r="O20" s="43" t="s">
        <v>3111</v>
      </c>
      <c r="P20" s="43" t="s">
        <v>2876</v>
      </c>
      <c r="Q20" s="43" t="s">
        <v>2876</v>
      </c>
      <c r="R20" s="43" t="s">
        <v>3112</v>
      </c>
      <c r="S20" s="77">
        <v>46272</v>
      </c>
      <c r="T20" s="43" t="s">
        <v>2877</v>
      </c>
      <c r="U20" s="43" t="s">
        <v>2878</v>
      </c>
      <c r="V20" s="43" t="s">
        <v>3113</v>
      </c>
      <c r="W20" s="43">
        <v>138.99617042236201</v>
      </c>
      <c r="X20" s="43">
        <v>0</v>
      </c>
      <c r="Y20" s="43" t="s">
        <v>3112</v>
      </c>
      <c r="Z20" s="77">
        <v>46272</v>
      </c>
      <c r="AA20" s="43"/>
      <c r="AB20" s="43"/>
      <c r="AC20" s="43"/>
      <c r="AD20" s="43" t="s">
        <v>2879</v>
      </c>
      <c r="AE20" s="77">
        <v>46272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 t="s">
        <v>2871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/>
      <c r="AR20" s="43">
        <v>0</v>
      </c>
      <c r="AS20" s="43">
        <v>0</v>
      </c>
      <c r="AT20" s="43">
        <v>0</v>
      </c>
      <c r="AU20" s="43" t="s">
        <v>628</v>
      </c>
      <c r="AV20" s="43" t="s">
        <v>638</v>
      </c>
      <c r="AW20" s="43" t="s">
        <v>639</v>
      </c>
      <c r="AX20" s="43" t="s">
        <v>31</v>
      </c>
      <c r="AY20" s="43" t="s">
        <v>2872</v>
      </c>
      <c r="AZ20" s="43">
        <v>0</v>
      </c>
      <c r="BA20" s="43">
        <v>0</v>
      </c>
      <c r="BB20" s="43">
        <v>578</v>
      </c>
      <c r="BC20" s="77">
        <v>46272</v>
      </c>
      <c r="BD20" s="43" t="s">
        <v>2870</v>
      </c>
      <c r="BE20" s="43" t="s">
        <v>2873</v>
      </c>
      <c r="BF20" s="43"/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 t="s">
        <v>2874</v>
      </c>
      <c r="BO20" s="44">
        <v>46212.495138888888</v>
      </c>
      <c r="BP20" s="43">
        <v>812.1</v>
      </c>
    </row>
    <row r="21" spans="1:68" x14ac:dyDescent="0.35">
      <c r="A21" s="76"/>
      <c r="B21" s="43" t="s">
        <v>1052</v>
      </c>
      <c r="C21" s="77">
        <v>46302</v>
      </c>
      <c r="D21" s="43" t="s">
        <v>3110</v>
      </c>
      <c r="E21" s="43" t="s">
        <v>1065</v>
      </c>
      <c r="F21" s="43" t="s">
        <v>773</v>
      </c>
      <c r="G21" s="43">
        <v>1</v>
      </c>
      <c r="H21" s="43" t="s">
        <v>2875</v>
      </c>
      <c r="I21" s="43">
        <v>0</v>
      </c>
      <c r="J21" s="43">
        <v>1761.1</v>
      </c>
      <c r="K21" s="43" t="s">
        <v>1055</v>
      </c>
      <c r="L21" s="43">
        <v>1761.1</v>
      </c>
      <c r="M21" s="43">
        <v>0</v>
      </c>
      <c r="N21" s="43">
        <v>1761.1</v>
      </c>
      <c r="O21" s="43" t="s">
        <v>3111</v>
      </c>
      <c r="P21" s="43" t="s">
        <v>2876</v>
      </c>
      <c r="Q21" s="43" t="s">
        <v>2876</v>
      </c>
      <c r="R21" s="43" t="s">
        <v>3112</v>
      </c>
      <c r="S21" s="77">
        <v>46272</v>
      </c>
      <c r="T21" s="43" t="s">
        <v>2877</v>
      </c>
      <c r="U21" s="43" t="s">
        <v>2878</v>
      </c>
      <c r="V21" s="43" t="s">
        <v>3113</v>
      </c>
      <c r="W21" s="43">
        <v>135.608551473511</v>
      </c>
      <c r="X21" s="43">
        <v>0</v>
      </c>
      <c r="Y21" s="43" t="s">
        <v>3112</v>
      </c>
      <c r="Z21" s="77">
        <v>46272</v>
      </c>
      <c r="AA21" s="43"/>
      <c r="AB21" s="43"/>
      <c r="AC21" s="43"/>
      <c r="AD21" s="43" t="s">
        <v>2879</v>
      </c>
      <c r="AE21" s="77">
        <v>46272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 t="s">
        <v>2871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/>
      <c r="AR21" s="43">
        <v>0</v>
      </c>
      <c r="AS21" s="43">
        <v>0</v>
      </c>
      <c r="AT21" s="43">
        <v>0</v>
      </c>
      <c r="AU21" s="43" t="s">
        <v>628</v>
      </c>
      <c r="AV21" s="43" t="s">
        <v>771</v>
      </c>
      <c r="AW21" s="43" t="s">
        <v>773</v>
      </c>
      <c r="AX21" s="43" t="s">
        <v>31</v>
      </c>
      <c r="AY21" s="43" t="s">
        <v>2872</v>
      </c>
      <c r="AZ21" s="43">
        <v>0</v>
      </c>
      <c r="BA21" s="43">
        <v>0</v>
      </c>
      <c r="BB21" s="43">
        <v>578</v>
      </c>
      <c r="BC21" s="77">
        <v>46272</v>
      </c>
      <c r="BD21" s="43" t="s">
        <v>2870</v>
      </c>
      <c r="BE21" s="43" t="s">
        <v>2873</v>
      </c>
      <c r="BF21" s="43"/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 t="s">
        <v>2874</v>
      </c>
      <c r="BO21" s="44">
        <v>46212.495138888888</v>
      </c>
      <c r="BP21" s="43">
        <v>1761.1</v>
      </c>
    </row>
    <row r="22" spans="1:68" x14ac:dyDescent="0.35">
      <c r="A22" s="76"/>
      <c r="B22" s="43" t="s">
        <v>1052</v>
      </c>
      <c r="C22" s="77">
        <v>46333</v>
      </c>
      <c r="D22" s="43" t="s">
        <v>3121</v>
      </c>
      <c r="E22" s="43" t="s">
        <v>1070</v>
      </c>
      <c r="F22" s="43" t="s">
        <v>859</v>
      </c>
      <c r="G22" s="43">
        <v>3</v>
      </c>
      <c r="H22" s="43" t="s">
        <v>2875</v>
      </c>
      <c r="I22" s="43">
        <v>0</v>
      </c>
      <c r="J22" s="43">
        <v>2850</v>
      </c>
      <c r="K22" s="43" t="s">
        <v>1055</v>
      </c>
      <c r="L22" s="43">
        <v>2850</v>
      </c>
      <c r="M22" s="43">
        <v>0</v>
      </c>
      <c r="N22" s="43">
        <v>2850</v>
      </c>
      <c r="O22" s="43" t="s">
        <v>3122</v>
      </c>
      <c r="P22" s="43" t="s">
        <v>2876</v>
      </c>
      <c r="Q22" s="43" t="s">
        <v>2876</v>
      </c>
      <c r="R22" s="43" t="s">
        <v>3123</v>
      </c>
      <c r="S22" s="77">
        <v>46302</v>
      </c>
      <c r="T22" s="43" t="s">
        <v>2877</v>
      </c>
      <c r="U22" s="43" t="s">
        <v>2878</v>
      </c>
      <c r="V22" s="43" t="s">
        <v>3124</v>
      </c>
      <c r="W22" s="43">
        <v>172.82564912280699</v>
      </c>
      <c r="X22" s="43">
        <v>0</v>
      </c>
      <c r="Y22" s="43" t="s">
        <v>3123</v>
      </c>
      <c r="Z22" s="77">
        <v>46302</v>
      </c>
      <c r="AA22" s="43"/>
      <c r="AB22" s="43"/>
      <c r="AC22" s="43"/>
      <c r="AD22" s="43" t="s">
        <v>2879</v>
      </c>
      <c r="AE22" s="77">
        <v>46302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 t="s">
        <v>2871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/>
      <c r="AR22" s="43">
        <v>0</v>
      </c>
      <c r="AS22" s="43">
        <v>0</v>
      </c>
      <c r="AT22" s="43">
        <v>0</v>
      </c>
      <c r="AU22" s="43" t="s">
        <v>628</v>
      </c>
      <c r="AV22" s="43" t="s">
        <v>638</v>
      </c>
      <c r="AW22" s="43" t="s">
        <v>652</v>
      </c>
      <c r="AX22" s="43" t="s">
        <v>31</v>
      </c>
      <c r="AY22" s="43" t="s">
        <v>2872</v>
      </c>
      <c r="AZ22" s="43">
        <v>0</v>
      </c>
      <c r="BA22" s="43">
        <v>0</v>
      </c>
      <c r="BB22" s="43">
        <v>584</v>
      </c>
      <c r="BC22" s="77">
        <v>46302</v>
      </c>
      <c r="BD22" s="43" t="s">
        <v>2870</v>
      </c>
      <c r="BE22" s="43" t="s">
        <v>2873</v>
      </c>
      <c r="BF22" s="43"/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 t="s">
        <v>2874</v>
      </c>
      <c r="BO22" s="44">
        <v>46213.511805555558</v>
      </c>
      <c r="BP22" s="43">
        <v>2850</v>
      </c>
    </row>
    <row r="23" spans="1:68" x14ac:dyDescent="0.35">
      <c r="A23" s="76"/>
      <c r="B23" s="43" t="s">
        <v>1052</v>
      </c>
      <c r="C23" s="77">
        <v>46333</v>
      </c>
      <c r="D23" s="43" t="s">
        <v>3121</v>
      </c>
      <c r="E23" s="43" t="s">
        <v>1068</v>
      </c>
      <c r="F23" s="43" t="s">
        <v>728</v>
      </c>
      <c r="G23" s="43">
        <v>2</v>
      </c>
      <c r="H23" s="43" t="s">
        <v>2875</v>
      </c>
      <c r="I23" s="43">
        <v>0</v>
      </c>
      <c r="J23" s="43">
        <v>4994</v>
      </c>
      <c r="K23" s="43" t="s">
        <v>1055</v>
      </c>
      <c r="L23" s="43">
        <v>4994</v>
      </c>
      <c r="M23" s="43">
        <v>0</v>
      </c>
      <c r="N23" s="43">
        <v>4994</v>
      </c>
      <c r="O23" s="43" t="s">
        <v>3122</v>
      </c>
      <c r="P23" s="43" t="s">
        <v>2876</v>
      </c>
      <c r="Q23" s="43" t="s">
        <v>2876</v>
      </c>
      <c r="R23" s="43" t="s">
        <v>3123</v>
      </c>
      <c r="S23" s="77">
        <v>46302</v>
      </c>
      <c r="T23" s="43" t="s">
        <v>2877</v>
      </c>
      <c r="U23" s="43" t="s">
        <v>2878</v>
      </c>
      <c r="V23" s="43" t="s">
        <v>3124</v>
      </c>
      <c r="W23" s="43">
        <v>174.193344012815</v>
      </c>
      <c r="X23" s="43">
        <v>0</v>
      </c>
      <c r="Y23" s="43" t="s">
        <v>3123</v>
      </c>
      <c r="Z23" s="77">
        <v>46302</v>
      </c>
      <c r="AA23" s="43"/>
      <c r="AB23" s="43"/>
      <c r="AC23" s="43"/>
      <c r="AD23" s="43" t="s">
        <v>2879</v>
      </c>
      <c r="AE23" s="77">
        <v>46302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 t="s">
        <v>2871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/>
      <c r="AR23" s="43">
        <v>0</v>
      </c>
      <c r="AS23" s="43">
        <v>0</v>
      </c>
      <c r="AT23" s="43">
        <v>0</v>
      </c>
      <c r="AU23" s="43" t="s">
        <v>628</v>
      </c>
      <c r="AV23" s="43" t="s">
        <v>706</v>
      </c>
      <c r="AW23" s="43" t="s">
        <v>729</v>
      </c>
      <c r="AX23" s="43" t="s">
        <v>31</v>
      </c>
      <c r="AY23" s="43" t="s">
        <v>2872</v>
      </c>
      <c r="AZ23" s="43">
        <v>0</v>
      </c>
      <c r="BA23" s="43">
        <v>0</v>
      </c>
      <c r="BB23" s="43">
        <v>584</v>
      </c>
      <c r="BC23" s="77">
        <v>46302</v>
      </c>
      <c r="BD23" s="43" t="s">
        <v>2870</v>
      </c>
      <c r="BE23" s="43" t="s">
        <v>2873</v>
      </c>
      <c r="BF23" s="43"/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 t="s">
        <v>2874</v>
      </c>
      <c r="BO23" s="44">
        <v>46213.511805555558</v>
      </c>
      <c r="BP23" s="43">
        <v>4994</v>
      </c>
    </row>
    <row r="24" spans="1:68" x14ac:dyDescent="0.35">
      <c r="A24" s="76"/>
      <c r="B24" s="43" t="s">
        <v>1052</v>
      </c>
      <c r="C24" s="77">
        <v>46333</v>
      </c>
      <c r="D24" s="43" t="s">
        <v>3121</v>
      </c>
      <c r="E24" s="43" t="s">
        <v>1066</v>
      </c>
      <c r="F24" s="43" t="s">
        <v>818</v>
      </c>
      <c r="G24" s="43">
        <v>4</v>
      </c>
      <c r="H24" s="43" t="s">
        <v>2875</v>
      </c>
      <c r="I24" s="43">
        <v>0</v>
      </c>
      <c r="J24" s="43">
        <v>3300.6</v>
      </c>
      <c r="K24" s="43" t="s">
        <v>1055</v>
      </c>
      <c r="L24" s="43">
        <v>3300.6</v>
      </c>
      <c r="M24" s="43">
        <v>0</v>
      </c>
      <c r="N24" s="43">
        <v>3300.6</v>
      </c>
      <c r="O24" s="43" t="s">
        <v>3122</v>
      </c>
      <c r="P24" s="43" t="s">
        <v>2876</v>
      </c>
      <c r="Q24" s="43" t="s">
        <v>2876</v>
      </c>
      <c r="R24" s="43" t="s">
        <v>3123</v>
      </c>
      <c r="S24" s="77">
        <v>46302</v>
      </c>
      <c r="T24" s="43" t="s">
        <v>2877</v>
      </c>
      <c r="U24" s="43" t="s">
        <v>2878</v>
      </c>
      <c r="V24" s="43" t="s">
        <v>3124</v>
      </c>
      <c r="W24" s="43">
        <v>148.13231836635799</v>
      </c>
      <c r="X24" s="43">
        <v>0</v>
      </c>
      <c r="Y24" s="43" t="s">
        <v>3123</v>
      </c>
      <c r="Z24" s="77">
        <v>46302</v>
      </c>
      <c r="AA24" s="43"/>
      <c r="AB24" s="43"/>
      <c r="AC24" s="43"/>
      <c r="AD24" s="43" t="s">
        <v>2879</v>
      </c>
      <c r="AE24" s="77">
        <v>46302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 t="s">
        <v>2871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/>
      <c r="AR24" s="43">
        <v>0</v>
      </c>
      <c r="AS24" s="43">
        <v>0</v>
      </c>
      <c r="AT24" s="43">
        <v>0</v>
      </c>
      <c r="AU24" s="43" t="s">
        <v>628</v>
      </c>
      <c r="AV24" s="43" t="s">
        <v>627</v>
      </c>
      <c r="AW24" s="43" t="s">
        <v>629</v>
      </c>
      <c r="AX24" s="43" t="s">
        <v>31</v>
      </c>
      <c r="AY24" s="43" t="s">
        <v>2872</v>
      </c>
      <c r="AZ24" s="43">
        <v>0</v>
      </c>
      <c r="BA24" s="43">
        <v>0</v>
      </c>
      <c r="BB24" s="43">
        <v>584</v>
      </c>
      <c r="BC24" s="77">
        <v>46302</v>
      </c>
      <c r="BD24" s="43" t="s">
        <v>2870</v>
      </c>
      <c r="BE24" s="43" t="s">
        <v>2873</v>
      </c>
      <c r="BF24" s="43"/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 t="s">
        <v>2874</v>
      </c>
      <c r="BO24" s="44">
        <v>46213.511805555558</v>
      </c>
      <c r="BP24" s="43">
        <v>3300.6</v>
      </c>
    </row>
    <row r="25" spans="1:68" x14ac:dyDescent="0.35">
      <c r="A25" s="76"/>
      <c r="B25" s="43" t="s">
        <v>1052</v>
      </c>
      <c r="C25" s="77">
        <v>46333</v>
      </c>
      <c r="D25" s="43" t="s">
        <v>3121</v>
      </c>
      <c r="E25" s="43" t="s">
        <v>1063</v>
      </c>
      <c r="F25" s="43" t="s">
        <v>679</v>
      </c>
      <c r="G25" s="43">
        <v>1</v>
      </c>
      <c r="H25" s="43" t="s">
        <v>2875</v>
      </c>
      <c r="I25" s="43">
        <v>0</v>
      </c>
      <c r="J25" s="43">
        <v>2060</v>
      </c>
      <c r="K25" s="43" t="s">
        <v>1055</v>
      </c>
      <c r="L25" s="43">
        <v>2060</v>
      </c>
      <c r="M25" s="43">
        <v>0</v>
      </c>
      <c r="N25" s="43">
        <v>2060</v>
      </c>
      <c r="O25" s="43" t="s">
        <v>3122</v>
      </c>
      <c r="P25" s="43" t="s">
        <v>2876</v>
      </c>
      <c r="Q25" s="43" t="s">
        <v>2876</v>
      </c>
      <c r="R25" s="43" t="s">
        <v>3123</v>
      </c>
      <c r="S25" s="77">
        <v>46302</v>
      </c>
      <c r="T25" s="43" t="s">
        <v>2877</v>
      </c>
      <c r="U25" s="43" t="s">
        <v>2878</v>
      </c>
      <c r="V25" s="43" t="s">
        <v>3124</v>
      </c>
      <c r="W25" s="43">
        <v>138.99600000000001</v>
      </c>
      <c r="X25" s="43">
        <v>0</v>
      </c>
      <c r="Y25" s="43" t="s">
        <v>3123</v>
      </c>
      <c r="Z25" s="77">
        <v>46302</v>
      </c>
      <c r="AA25" s="43"/>
      <c r="AB25" s="43"/>
      <c r="AC25" s="43"/>
      <c r="AD25" s="43" t="s">
        <v>2879</v>
      </c>
      <c r="AE25" s="77">
        <v>46302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 t="s">
        <v>2871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/>
      <c r="AR25" s="43">
        <v>0</v>
      </c>
      <c r="AS25" s="43">
        <v>0</v>
      </c>
      <c r="AT25" s="43">
        <v>0</v>
      </c>
      <c r="AU25" s="43" t="s">
        <v>628</v>
      </c>
      <c r="AV25" s="43" t="s">
        <v>638</v>
      </c>
      <c r="AW25" s="43" t="s">
        <v>639</v>
      </c>
      <c r="AX25" s="43" t="s">
        <v>31</v>
      </c>
      <c r="AY25" s="43" t="s">
        <v>2872</v>
      </c>
      <c r="AZ25" s="43">
        <v>0</v>
      </c>
      <c r="BA25" s="43">
        <v>0</v>
      </c>
      <c r="BB25" s="43">
        <v>584</v>
      </c>
      <c r="BC25" s="77">
        <v>46302</v>
      </c>
      <c r="BD25" s="43" t="s">
        <v>2870</v>
      </c>
      <c r="BE25" s="43" t="s">
        <v>2873</v>
      </c>
      <c r="BF25" s="43"/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 t="s">
        <v>2874</v>
      </c>
      <c r="BO25" s="44">
        <v>46213.511805555558</v>
      </c>
      <c r="BP25" s="43">
        <v>2060</v>
      </c>
    </row>
    <row r="26" spans="1:68" x14ac:dyDescent="0.35">
      <c r="A26" s="76"/>
      <c r="B26" s="43" t="s">
        <v>1052</v>
      </c>
      <c r="C26" s="43" t="s">
        <v>3127</v>
      </c>
      <c r="D26" s="43" t="s">
        <v>3141</v>
      </c>
      <c r="E26" s="43" t="s">
        <v>1068</v>
      </c>
      <c r="F26" s="43" t="s">
        <v>728</v>
      </c>
      <c r="G26" s="43">
        <v>3</v>
      </c>
      <c r="H26" s="43" t="s">
        <v>2875</v>
      </c>
      <c r="I26" s="43">
        <v>0</v>
      </c>
      <c r="J26" s="43">
        <v>4140.17</v>
      </c>
      <c r="K26" s="43" t="s">
        <v>1055</v>
      </c>
      <c r="L26" s="43">
        <v>4140.17</v>
      </c>
      <c r="M26" s="43">
        <v>0</v>
      </c>
      <c r="N26" s="43">
        <f>4140.17</f>
        <v>4140.17</v>
      </c>
      <c r="O26" s="43" t="s">
        <v>3142</v>
      </c>
      <c r="P26" s="43" t="s">
        <v>2876</v>
      </c>
      <c r="Q26" s="43" t="s">
        <v>2876</v>
      </c>
      <c r="R26" s="43" t="s">
        <v>3143</v>
      </c>
      <c r="S26" s="43" t="s">
        <v>3135</v>
      </c>
      <c r="T26" s="43" t="s">
        <v>2877</v>
      </c>
      <c r="U26" s="43" t="s">
        <v>2878</v>
      </c>
      <c r="V26" s="43" t="s">
        <v>3144</v>
      </c>
      <c r="W26" s="43">
        <v>174.50979066076999</v>
      </c>
      <c r="X26" s="43">
        <v>0</v>
      </c>
      <c r="Y26" s="43" t="s">
        <v>3143</v>
      </c>
      <c r="Z26" s="43" t="s">
        <v>3135</v>
      </c>
      <c r="AA26" s="43"/>
      <c r="AB26" s="43"/>
      <c r="AC26" s="43"/>
      <c r="AD26" s="43" t="s">
        <v>2879</v>
      </c>
      <c r="AE26" s="43" t="s">
        <v>3135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 t="s">
        <v>2871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/>
      <c r="AR26" s="43">
        <v>0</v>
      </c>
      <c r="AS26" s="43">
        <v>0</v>
      </c>
      <c r="AT26" s="43">
        <v>0</v>
      </c>
      <c r="AU26" s="43" t="s">
        <v>628</v>
      </c>
      <c r="AV26" s="43" t="s">
        <v>706</v>
      </c>
      <c r="AW26" s="43" t="s">
        <v>729</v>
      </c>
      <c r="AX26" s="43" t="s">
        <v>31</v>
      </c>
      <c r="AY26" s="43" t="s">
        <v>2872</v>
      </c>
      <c r="AZ26" s="43">
        <v>0</v>
      </c>
      <c r="BA26" s="43">
        <v>0</v>
      </c>
      <c r="BB26" s="43">
        <v>596</v>
      </c>
      <c r="BC26" s="43" t="s">
        <v>3135</v>
      </c>
      <c r="BD26" s="43" t="s">
        <v>2870</v>
      </c>
      <c r="BE26" s="43" t="s">
        <v>2873</v>
      </c>
      <c r="BF26" s="43"/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 t="s">
        <v>2874</v>
      </c>
      <c r="BO26" s="44">
        <v>46216.651388888888</v>
      </c>
      <c r="BP26" s="43">
        <v>4140.17</v>
      </c>
    </row>
    <row r="27" spans="1:68" x14ac:dyDescent="0.35">
      <c r="A27" s="76"/>
      <c r="B27" s="43" t="s">
        <v>1052</v>
      </c>
      <c r="C27" s="43" t="s">
        <v>3127</v>
      </c>
      <c r="D27" s="43" t="s">
        <v>3141</v>
      </c>
      <c r="E27" s="43" t="s">
        <v>1070</v>
      </c>
      <c r="F27" s="43" t="s">
        <v>859</v>
      </c>
      <c r="G27" s="43">
        <v>2</v>
      </c>
      <c r="H27" s="43" t="s">
        <v>2875</v>
      </c>
      <c r="I27" s="43">
        <v>0</v>
      </c>
      <c r="J27" s="43">
        <v>726</v>
      </c>
      <c r="K27" s="43" t="s">
        <v>1055</v>
      </c>
      <c r="L27" s="43">
        <v>726</v>
      </c>
      <c r="M27" s="43">
        <v>0</v>
      </c>
      <c r="N27" s="43">
        <f>726</f>
        <v>726</v>
      </c>
      <c r="O27" s="43" t="s">
        <v>3142</v>
      </c>
      <c r="P27" s="43" t="s">
        <v>2876</v>
      </c>
      <c r="Q27" s="43" t="s">
        <v>2876</v>
      </c>
      <c r="R27" s="43" t="s">
        <v>3143</v>
      </c>
      <c r="S27" s="43" t="s">
        <v>3135</v>
      </c>
      <c r="T27" s="43" t="s">
        <v>2877</v>
      </c>
      <c r="U27" s="43" t="s">
        <v>2878</v>
      </c>
      <c r="V27" s="43" t="s">
        <v>3144</v>
      </c>
      <c r="W27" s="43">
        <v>142.00796143250699</v>
      </c>
      <c r="X27" s="43">
        <v>0</v>
      </c>
      <c r="Y27" s="43" t="s">
        <v>3143</v>
      </c>
      <c r="Z27" s="43" t="s">
        <v>3135</v>
      </c>
      <c r="AA27" s="43"/>
      <c r="AB27" s="43"/>
      <c r="AC27" s="43"/>
      <c r="AD27" s="43" t="s">
        <v>2879</v>
      </c>
      <c r="AE27" s="43" t="s">
        <v>3135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 t="s">
        <v>2871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/>
      <c r="AR27" s="43">
        <v>0</v>
      </c>
      <c r="AS27" s="43">
        <v>0</v>
      </c>
      <c r="AT27" s="43">
        <v>0</v>
      </c>
      <c r="AU27" s="43" t="s">
        <v>628</v>
      </c>
      <c r="AV27" s="43" t="s">
        <v>638</v>
      </c>
      <c r="AW27" s="43" t="s">
        <v>652</v>
      </c>
      <c r="AX27" s="43" t="s">
        <v>31</v>
      </c>
      <c r="AY27" s="43" t="s">
        <v>2872</v>
      </c>
      <c r="AZ27" s="43">
        <v>0</v>
      </c>
      <c r="BA27" s="43">
        <v>0</v>
      </c>
      <c r="BB27" s="43">
        <v>596</v>
      </c>
      <c r="BC27" s="43" t="s">
        <v>3135</v>
      </c>
      <c r="BD27" s="43" t="s">
        <v>2870</v>
      </c>
      <c r="BE27" s="43" t="s">
        <v>2873</v>
      </c>
      <c r="BF27" s="43"/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 t="s">
        <v>2874</v>
      </c>
      <c r="BO27" s="44">
        <v>46216.651388888888</v>
      </c>
      <c r="BP27" s="43">
        <v>726</v>
      </c>
    </row>
    <row r="28" spans="1:68" x14ac:dyDescent="0.35">
      <c r="A28" s="76"/>
      <c r="B28" s="43" t="s">
        <v>1052</v>
      </c>
      <c r="C28" s="43" t="s">
        <v>3127</v>
      </c>
      <c r="D28" s="43" t="s">
        <v>3141</v>
      </c>
      <c r="E28" s="43" t="s">
        <v>1063</v>
      </c>
      <c r="F28" s="43" t="s">
        <v>679</v>
      </c>
      <c r="G28" s="43">
        <v>1</v>
      </c>
      <c r="H28" s="43" t="s">
        <v>2875</v>
      </c>
      <c r="I28" s="43">
        <v>0</v>
      </c>
      <c r="J28" s="43">
        <v>1653</v>
      </c>
      <c r="K28" s="43" t="s">
        <v>1055</v>
      </c>
      <c r="L28" s="43">
        <v>1653</v>
      </c>
      <c r="M28" s="43">
        <v>0</v>
      </c>
      <c r="N28" s="43">
        <v>1653</v>
      </c>
      <c r="O28" s="43" t="s">
        <v>3142</v>
      </c>
      <c r="P28" s="43" t="s">
        <v>2876</v>
      </c>
      <c r="Q28" s="43" t="s">
        <v>2876</v>
      </c>
      <c r="R28" s="43" t="s">
        <v>3143</v>
      </c>
      <c r="S28" s="43" t="s">
        <v>3135</v>
      </c>
      <c r="T28" s="43" t="s">
        <v>2877</v>
      </c>
      <c r="U28" s="43" t="s">
        <v>2878</v>
      </c>
      <c r="V28" s="43" t="s">
        <v>3144</v>
      </c>
      <c r="W28" s="43">
        <v>102.85</v>
      </c>
      <c r="X28" s="43">
        <v>0</v>
      </c>
      <c r="Y28" s="43" t="s">
        <v>3143</v>
      </c>
      <c r="Z28" s="43" t="s">
        <v>3135</v>
      </c>
      <c r="AA28" s="43"/>
      <c r="AB28" s="43"/>
      <c r="AC28" s="43"/>
      <c r="AD28" s="43" t="s">
        <v>2879</v>
      </c>
      <c r="AE28" s="43" t="s">
        <v>3135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 t="s">
        <v>2871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/>
      <c r="AR28" s="43">
        <v>0</v>
      </c>
      <c r="AS28" s="43">
        <v>0</v>
      </c>
      <c r="AT28" s="43">
        <v>0</v>
      </c>
      <c r="AU28" s="43" t="s">
        <v>628</v>
      </c>
      <c r="AV28" s="43" t="s">
        <v>638</v>
      </c>
      <c r="AW28" s="43" t="s">
        <v>639</v>
      </c>
      <c r="AX28" s="43" t="s">
        <v>31</v>
      </c>
      <c r="AY28" s="43" t="s">
        <v>2872</v>
      </c>
      <c r="AZ28" s="43">
        <v>0</v>
      </c>
      <c r="BA28" s="43">
        <v>0</v>
      </c>
      <c r="BB28" s="43">
        <v>596</v>
      </c>
      <c r="BC28" s="43" t="s">
        <v>3135</v>
      </c>
      <c r="BD28" s="43" t="s">
        <v>2870</v>
      </c>
      <c r="BE28" s="43" t="s">
        <v>2873</v>
      </c>
      <c r="BF28" s="43"/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 t="s">
        <v>2874</v>
      </c>
      <c r="BO28" s="44">
        <v>46216.651388888888</v>
      </c>
      <c r="BP28" s="43">
        <v>1653</v>
      </c>
    </row>
    <row r="29" spans="1:68" x14ac:dyDescent="0.35">
      <c r="A29" s="76"/>
      <c r="B29" s="43" t="s">
        <v>1052</v>
      </c>
      <c r="C29" s="43" t="s">
        <v>3127</v>
      </c>
      <c r="D29" s="43" t="s">
        <v>3145</v>
      </c>
      <c r="E29" s="43" t="s">
        <v>1063</v>
      </c>
      <c r="F29" s="43" t="s">
        <v>679</v>
      </c>
      <c r="G29" s="43">
        <v>1</v>
      </c>
      <c r="H29" s="43" t="s">
        <v>2875</v>
      </c>
      <c r="I29" s="43">
        <v>0</v>
      </c>
      <c r="J29" s="43">
        <v>178</v>
      </c>
      <c r="K29" s="43" t="s">
        <v>1055</v>
      </c>
      <c r="L29" s="43">
        <v>178</v>
      </c>
      <c r="M29" s="43">
        <v>0</v>
      </c>
      <c r="N29" s="43">
        <f>178</f>
        <v>178</v>
      </c>
      <c r="O29" s="43" t="s">
        <v>3132</v>
      </c>
      <c r="P29" s="43" t="s">
        <v>2876</v>
      </c>
      <c r="Q29" s="43" t="s">
        <v>2876</v>
      </c>
      <c r="R29" s="43" t="s">
        <v>3146</v>
      </c>
      <c r="S29" s="77">
        <v>46333</v>
      </c>
      <c r="T29" s="43" t="s">
        <v>2877</v>
      </c>
      <c r="U29" s="43" t="s">
        <v>2878</v>
      </c>
      <c r="V29" s="43" t="s">
        <v>3147</v>
      </c>
      <c r="W29" s="43">
        <v>103.097528089888</v>
      </c>
      <c r="X29" s="43">
        <v>0</v>
      </c>
      <c r="Y29" s="43" t="s">
        <v>3146</v>
      </c>
      <c r="Z29" s="77">
        <v>46333</v>
      </c>
      <c r="AA29" s="43"/>
      <c r="AB29" s="43"/>
      <c r="AC29" s="43"/>
      <c r="AD29" s="43" t="s">
        <v>2879</v>
      </c>
      <c r="AE29" s="77">
        <v>46333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 t="s">
        <v>2871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/>
      <c r="AR29" s="43">
        <v>0</v>
      </c>
      <c r="AS29" s="43">
        <v>0</v>
      </c>
      <c r="AT29" s="43">
        <v>0</v>
      </c>
      <c r="AU29" s="43" t="s">
        <v>628</v>
      </c>
      <c r="AV29" s="43" t="s">
        <v>638</v>
      </c>
      <c r="AW29" s="43" t="s">
        <v>639</v>
      </c>
      <c r="AX29" s="43" t="s">
        <v>31</v>
      </c>
      <c r="AY29" s="43" t="s">
        <v>2872</v>
      </c>
      <c r="AZ29" s="43">
        <v>0</v>
      </c>
      <c r="BA29" s="43">
        <v>0</v>
      </c>
      <c r="BB29" s="43">
        <v>589</v>
      </c>
      <c r="BC29" s="77">
        <v>46333</v>
      </c>
      <c r="BD29" s="43" t="s">
        <v>2870</v>
      </c>
      <c r="BE29" s="43" t="s">
        <v>2873</v>
      </c>
      <c r="BF29" s="43"/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 t="s">
        <v>2874</v>
      </c>
      <c r="BO29" s="44">
        <v>46214.68472222222</v>
      </c>
      <c r="BP29" s="43">
        <v>178</v>
      </c>
    </row>
    <row r="30" spans="1:68" x14ac:dyDescent="0.35">
      <c r="A30" s="76"/>
      <c r="B30" s="43" t="s">
        <v>1052</v>
      </c>
      <c r="C30" s="43" t="s">
        <v>3127</v>
      </c>
      <c r="D30" s="43" t="s">
        <v>3145</v>
      </c>
      <c r="E30" s="43" t="s">
        <v>1070</v>
      </c>
      <c r="F30" s="43" t="s">
        <v>859</v>
      </c>
      <c r="G30" s="43">
        <v>2</v>
      </c>
      <c r="H30" s="43" t="s">
        <v>2875</v>
      </c>
      <c r="I30" s="43">
        <v>0</v>
      </c>
      <c r="J30" s="43">
        <v>285</v>
      </c>
      <c r="K30" s="43" t="s">
        <v>1055</v>
      </c>
      <c r="L30" s="43">
        <v>285</v>
      </c>
      <c r="M30" s="43">
        <v>0</v>
      </c>
      <c r="N30" s="43">
        <f>285</f>
        <v>285</v>
      </c>
      <c r="O30" s="43" t="s">
        <v>3132</v>
      </c>
      <c r="P30" s="43" t="s">
        <v>2876</v>
      </c>
      <c r="Q30" s="43" t="s">
        <v>2876</v>
      </c>
      <c r="R30" s="43" t="s">
        <v>3146</v>
      </c>
      <c r="S30" s="77">
        <v>46333</v>
      </c>
      <c r="T30" s="43" t="s">
        <v>2877</v>
      </c>
      <c r="U30" s="43" t="s">
        <v>2878</v>
      </c>
      <c r="V30" s="43" t="s">
        <v>3147</v>
      </c>
      <c r="W30" s="43">
        <v>148.47</v>
      </c>
      <c r="X30" s="43">
        <v>0</v>
      </c>
      <c r="Y30" s="43" t="s">
        <v>3146</v>
      </c>
      <c r="Z30" s="77">
        <v>46333</v>
      </c>
      <c r="AA30" s="43"/>
      <c r="AB30" s="43"/>
      <c r="AC30" s="43"/>
      <c r="AD30" s="43" t="s">
        <v>2879</v>
      </c>
      <c r="AE30" s="77">
        <v>46333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 t="s">
        <v>2871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/>
      <c r="AR30" s="43">
        <v>0</v>
      </c>
      <c r="AS30" s="43">
        <v>0</v>
      </c>
      <c r="AT30" s="43">
        <v>0</v>
      </c>
      <c r="AU30" s="43" t="s">
        <v>628</v>
      </c>
      <c r="AV30" s="43" t="s">
        <v>638</v>
      </c>
      <c r="AW30" s="43" t="s">
        <v>652</v>
      </c>
      <c r="AX30" s="43" t="s">
        <v>31</v>
      </c>
      <c r="AY30" s="43" t="s">
        <v>2872</v>
      </c>
      <c r="AZ30" s="43">
        <v>0</v>
      </c>
      <c r="BA30" s="43">
        <v>0</v>
      </c>
      <c r="BB30" s="43">
        <v>589</v>
      </c>
      <c r="BC30" s="77">
        <v>46333</v>
      </c>
      <c r="BD30" s="43" t="s">
        <v>2870</v>
      </c>
      <c r="BE30" s="43" t="s">
        <v>2873</v>
      </c>
      <c r="BF30" s="43"/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 t="s">
        <v>2874</v>
      </c>
      <c r="BO30" s="44">
        <v>46214.68472222222</v>
      </c>
      <c r="BP30" s="43">
        <v>285</v>
      </c>
    </row>
    <row r="31" spans="1:68" x14ac:dyDescent="0.35">
      <c r="A31" s="76"/>
      <c r="B31" s="43" t="s">
        <v>1052</v>
      </c>
      <c r="C31" s="43" t="s">
        <v>3127</v>
      </c>
      <c r="D31" s="43" t="s">
        <v>3145</v>
      </c>
      <c r="E31" s="43" t="s">
        <v>3148</v>
      </c>
      <c r="F31" s="43" t="s">
        <v>818</v>
      </c>
      <c r="G31" s="43">
        <v>3</v>
      </c>
      <c r="H31" s="43" t="s">
        <v>2875</v>
      </c>
      <c r="I31" s="43">
        <v>0</v>
      </c>
      <c r="J31" s="43">
        <v>118.3</v>
      </c>
      <c r="K31" s="43" t="s">
        <v>1055</v>
      </c>
      <c r="L31" s="43">
        <v>118.3</v>
      </c>
      <c r="M31" s="43">
        <v>0</v>
      </c>
      <c r="N31" s="43">
        <v>118.3</v>
      </c>
      <c r="O31" s="43" t="s">
        <v>3132</v>
      </c>
      <c r="P31" s="43" t="s">
        <v>2876</v>
      </c>
      <c r="Q31" s="43" t="s">
        <v>2876</v>
      </c>
      <c r="R31" s="43" t="s">
        <v>3146</v>
      </c>
      <c r="S31" s="77">
        <v>46333</v>
      </c>
      <c r="T31" s="43" t="s">
        <v>2877</v>
      </c>
      <c r="U31" s="43" t="s">
        <v>2878</v>
      </c>
      <c r="V31" s="43" t="s">
        <v>3147</v>
      </c>
      <c r="W31" s="43">
        <v>160</v>
      </c>
      <c r="X31" s="43">
        <v>0</v>
      </c>
      <c r="Y31" s="43" t="s">
        <v>3146</v>
      </c>
      <c r="Z31" s="77">
        <v>46333</v>
      </c>
      <c r="AA31" s="43"/>
      <c r="AB31" s="43"/>
      <c r="AC31" s="43"/>
      <c r="AD31" s="43" t="s">
        <v>2879</v>
      </c>
      <c r="AE31" s="77">
        <v>46333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 t="s">
        <v>2871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/>
      <c r="AR31" s="43">
        <v>0</v>
      </c>
      <c r="AS31" s="43">
        <v>0</v>
      </c>
      <c r="AT31" s="43">
        <v>0</v>
      </c>
      <c r="AU31" s="43" t="s">
        <v>628</v>
      </c>
      <c r="AV31" s="43" t="s">
        <v>627</v>
      </c>
      <c r="AW31" s="43" t="s">
        <v>629</v>
      </c>
      <c r="AX31" s="43" t="s">
        <v>31</v>
      </c>
      <c r="AY31" s="43" t="s">
        <v>2872</v>
      </c>
      <c r="AZ31" s="43">
        <v>0</v>
      </c>
      <c r="BA31" s="43">
        <v>0</v>
      </c>
      <c r="BB31" s="43">
        <v>589</v>
      </c>
      <c r="BC31" s="77">
        <v>46333</v>
      </c>
      <c r="BD31" s="43" t="s">
        <v>2870</v>
      </c>
      <c r="BE31" s="43" t="s">
        <v>2873</v>
      </c>
      <c r="BF31" s="43"/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 t="s">
        <v>2874</v>
      </c>
      <c r="BO31" s="44">
        <v>46214.68472222222</v>
      </c>
      <c r="BP31" s="43">
        <v>118.3</v>
      </c>
    </row>
    <row r="32" spans="1:68" x14ac:dyDescent="0.35">
      <c r="A32" s="76"/>
      <c r="B32" s="43" t="s">
        <v>1052</v>
      </c>
      <c r="C32" s="43" t="s">
        <v>3153</v>
      </c>
      <c r="D32" s="43" t="s">
        <v>3169</v>
      </c>
      <c r="E32" s="43" t="s">
        <v>1063</v>
      </c>
      <c r="F32" s="43" t="s">
        <v>679</v>
      </c>
      <c r="G32" s="43">
        <v>1</v>
      </c>
      <c r="H32" s="43" t="s">
        <v>2875</v>
      </c>
      <c r="I32" s="43">
        <v>0</v>
      </c>
      <c r="J32" s="43">
        <v>2063</v>
      </c>
      <c r="K32" s="43" t="s">
        <v>1055</v>
      </c>
      <c r="L32" s="43">
        <v>2063</v>
      </c>
      <c r="M32" s="43">
        <v>0</v>
      </c>
      <c r="N32" s="43">
        <v>2063</v>
      </c>
      <c r="O32" s="43" t="s">
        <v>3170</v>
      </c>
      <c r="P32" s="43" t="s">
        <v>2876</v>
      </c>
      <c r="Q32" s="43" t="s">
        <v>2876</v>
      </c>
      <c r="R32" s="43" t="s">
        <v>3171</v>
      </c>
      <c r="S32" s="43" t="s">
        <v>3127</v>
      </c>
      <c r="T32" s="43" t="s">
        <v>2877</v>
      </c>
      <c r="U32" s="43" t="s">
        <v>2878</v>
      </c>
      <c r="V32" s="43" t="s">
        <v>3172</v>
      </c>
      <c r="W32" s="43">
        <v>138.99622879302001</v>
      </c>
      <c r="X32" s="43">
        <v>0</v>
      </c>
      <c r="Y32" s="43" t="s">
        <v>3171</v>
      </c>
      <c r="Z32" s="43" t="s">
        <v>3127</v>
      </c>
      <c r="AA32" s="43"/>
      <c r="AB32" s="43"/>
      <c r="AC32" s="43"/>
      <c r="AD32" s="43" t="s">
        <v>2879</v>
      </c>
      <c r="AE32" s="43" t="s">
        <v>3127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 t="s">
        <v>2871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/>
      <c r="AR32" s="43">
        <v>0</v>
      </c>
      <c r="AS32" s="43">
        <v>0</v>
      </c>
      <c r="AT32" s="43">
        <v>0</v>
      </c>
      <c r="AU32" s="43" t="s">
        <v>628</v>
      </c>
      <c r="AV32" s="43" t="s">
        <v>638</v>
      </c>
      <c r="AW32" s="43" t="s">
        <v>639</v>
      </c>
      <c r="AX32" s="43" t="s">
        <v>31</v>
      </c>
      <c r="AY32" s="43" t="s">
        <v>2872</v>
      </c>
      <c r="AZ32" s="43">
        <v>0</v>
      </c>
      <c r="BA32" s="43">
        <v>0</v>
      </c>
      <c r="BB32" s="43">
        <v>601</v>
      </c>
      <c r="BC32" s="43" t="s">
        <v>3127</v>
      </c>
      <c r="BD32" s="43" t="s">
        <v>2870</v>
      </c>
      <c r="BE32" s="43" t="s">
        <v>2873</v>
      </c>
      <c r="BF32" s="43"/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 t="s">
        <v>2874</v>
      </c>
      <c r="BO32" s="44">
        <v>46217.620833333334</v>
      </c>
      <c r="BP32" s="43">
        <v>2063</v>
      </c>
    </row>
    <row r="33" spans="1:68" ht="14.5" customHeight="1" x14ac:dyDescent="0.35">
      <c r="A33" s="76"/>
      <c r="B33" s="43" t="s">
        <v>1052</v>
      </c>
      <c r="C33" s="43" t="s">
        <v>3153</v>
      </c>
      <c r="D33" s="43" t="s">
        <v>3169</v>
      </c>
      <c r="E33" s="43" t="s">
        <v>1070</v>
      </c>
      <c r="F33" s="43" t="s">
        <v>859</v>
      </c>
      <c r="G33" s="43">
        <v>2</v>
      </c>
      <c r="H33" s="43" t="s">
        <v>2875</v>
      </c>
      <c r="I33" s="43">
        <v>0</v>
      </c>
      <c r="J33" s="43">
        <v>1614</v>
      </c>
      <c r="K33" s="43" t="s">
        <v>1055</v>
      </c>
      <c r="L33" s="43">
        <v>1614</v>
      </c>
      <c r="M33" s="43">
        <v>0</v>
      </c>
      <c r="N33" s="43">
        <f>1614</f>
        <v>1614</v>
      </c>
      <c r="O33" s="43" t="s">
        <v>3170</v>
      </c>
      <c r="P33" s="43" t="s">
        <v>2876</v>
      </c>
      <c r="Q33" s="43" t="s">
        <v>2876</v>
      </c>
      <c r="R33" s="43" t="s">
        <v>3171</v>
      </c>
      <c r="S33" s="43" t="s">
        <v>3127</v>
      </c>
      <c r="T33" s="43" t="s">
        <v>2877</v>
      </c>
      <c r="U33" s="43" t="s">
        <v>2878</v>
      </c>
      <c r="V33" s="43" t="s">
        <v>3172</v>
      </c>
      <c r="W33" s="43">
        <v>142.00761462205699</v>
      </c>
      <c r="X33" s="43">
        <v>0</v>
      </c>
      <c r="Y33" s="43" t="s">
        <v>3171</v>
      </c>
      <c r="Z33" s="43" t="s">
        <v>3127</v>
      </c>
      <c r="AA33" s="43"/>
      <c r="AB33" s="43"/>
      <c r="AC33" s="43"/>
      <c r="AD33" s="43" t="s">
        <v>2879</v>
      </c>
      <c r="AE33" s="43" t="s">
        <v>3127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 t="s">
        <v>2871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/>
      <c r="AR33" s="43">
        <v>0</v>
      </c>
      <c r="AS33" s="43">
        <v>0</v>
      </c>
      <c r="AT33" s="43">
        <v>0</v>
      </c>
      <c r="AU33" s="43" t="s">
        <v>628</v>
      </c>
      <c r="AV33" s="43" t="s">
        <v>638</v>
      </c>
      <c r="AW33" s="43" t="s">
        <v>652</v>
      </c>
      <c r="AX33" s="43" t="s">
        <v>31</v>
      </c>
      <c r="AY33" s="43" t="s">
        <v>2872</v>
      </c>
      <c r="AZ33" s="43">
        <v>0</v>
      </c>
      <c r="BA33" s="43">
        <v>0</v>
      </c>
      <c r="BB33" s="43">
        <v>601</v>
      </c>
      <c r="BC33" s="43" t="s">
        <v>3127</v>
      </c>
      <c r="BD33" s="43" t="s">
        <v>2870</v>
      </c>
      <c r="BE33" s="43" t="s">
        <v>2873</v>
      </c>
      <c r="BF33" s="43"/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 t="s">
        <v>2874</v>
      </c>
      <c r="BO33" s="44">
        <v>46217.620833333334</v>
      </c>
      <c r="BP33" s="43">
        <v>1614</v>
      </c>
    </row>
    <row r="34" spans="1:68" x14ac:dyDescent="0.35">
      <c r="A34" s="76"/>
      <c r="B34" s="43" t="s">
        <v>1052</v>
      </c>
      <c r="C34" s="43" t="s">
        <v>3173</v>
      </c>
      <c r="D34" s="43" t="s">
        <v>3174</v>
      </c>
      <c r="E34" s="43" t="s">
        <v>2825</v>
      </c>
      <c r="F34" s="43" t="s">
        <v>818</v>
      </c>
      <c r="G34" s="43">
        <v>1</v>
      </c>
      <c r="H34" s="43" t="s">
        <v>2875</v>
      </c>
      <c r="I34" s="43">
        <v>0</v>
      </c>
      <c r="J34" s="43">
        <v>1963</v>
      </c>
      <c r="K34" s="43" t="s">
        <v>1055</v>
      </c>
      <c r="L34" s="43">
        <v>1963</v>
      </c>
      <c r="M34" s="43">
        <v>0</v>
      </c>
      <c r="N34" s="43">
        <v>1963</v>
      </c>
      <c r="O34" s="43" t="s">
        <v>3175</v>
      </c>
      <c r="P34" s="43" t="s">
        <v>2876</v>
      </c>
      <c r="Q34" s="43" t="s">
        <v>2876</v>
      </c>
      <c r="R34" s="43" t="s">
        <v>3176</v>
      </c>
      <c r="S34" s="43" t="s">
        <v>3153</v>
      </c>
      <c r="T34" s="43" t="s">
        <v>2877</v>
      </c>
      <c r="U34" s="43" t="s">
        <v>2878</v>
      </c>
      <c r="V34" s="43" t="s">
        <v>3177</v>
      </c>
      <c r="W34" s="43">
        <v>177</v>
      </c>
      <c r="X34" s="43">
        <v>0</v>
      </c>
      <c r="Y34" s="43" t="s">
        <v>3176</v>
      </c>
      <c r="Z34" s="43" t="s">
        <v>3153</v>
      </c>
      <c r="AA34" s="43"/>
      <c r="AB34" s="43"/>
      <c r="AC34" s="43"/>
      <c r="AD34" s="43" t="s">
        <v>2879</v>
      </c>
      <c r="AE34" s="43" t="s">
        <v>3153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 t="s">
        <v>2871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/>
      <c r="AR34" s="43">
        <v>0</v>
      </c>
      <c r="AS34" s="43">
        <v>0</v>
      </c>
      <c r="AT34" s="43">
        <v>0</v>
      </c>
      <c r="AU34" s="43" t="s">
        <v>628</v>
      </c>
      <c r="AV34" s="43" t="s">
        <v>627</v>
      </c>
      <c r="AW34" s="43" t="s">
        <v>629</v>
      </c>
      <c r="AX34" s="43" t="s">
        <v>31</v>
      </c>
      <c r="AY34" s="43" t="s">
        <v>2872</v>
      </c>
      <c r="AZ34" s="43">
        <v>0</v>
      </c>
      <c r="BA34" s="43">
        <v>0</v>
      </c>
      <c r="BB34" s="43">
        <v>614</v>
      </c>
      <c r="BC34" s="43" t="s">
        <v>3153</v>
      </c>
      <c r="BD34" s="43" t="s">
        <v>2870</v>
      </c>
      <c r="BE34" s="43" t="s">
        <v>2873</v>
      </c>
      <c r="BF34" s="43"/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 t="s">
        <v>2874</v>
      </c>
      <c r="BO34" s="44">
        <v>46218.439583333333</v>
      </c>
      <c r="BP34" s="43">
        <v>1963</v>
      </c>
    </row>
    <row r="35" spans="1:68" x14ac:dyDescent="0.35">
      <c r="A35" s="76"/>
      <c r="B35" s="43" t="s">
        <v>1052</v>
      </c>
      <c r="C35" s="43" t="s">
        <v>3183</v>
      </c>
      <c r="D35" s="43" t="s">
        <v>3210</v>
      </c>
      <c r="E35" s="43" t="s">
        <v>1063</v>
      </c>
      <c r="F35" s="43" t="s">
        <v>679</v>
      </c>
      <c r="G35" s="43">
        <v>4</v>
      </c>
      <c r="H35" s="43" t="s">
        <v>2875</v>
      </c>
      <c r="I35" s="43">
        <v>0</v>
      </c>
      <c r="J35" s="43">
        <v>1058.7</v>
      </c>
      <c r="K35" s="43" t="s">
        <v>1055</v>
      </c>
      <c r="L35" s="43">
        <v>1058.7</v>
      </c>
      <c r="M35" s="43">
        <v>0</v>
      </c>
      <c r="N35" s="43">
        <v>1058.7</v>
      </c>
      <c r="O35" s="43" t="s">
        <v>3211</v>
      </c>
      <c r="P35" s="43" t="s">
        <v>2876</v>
      </c>
      <c r="Q35" s="43" t="s">
        <v>2876</v>
      </c>
      <c r="R35" s="43" t="s">
        <v>3212</v>
      </c>
      <c r="S35" s="43" t="s">
        <v>3173</v>
      </c>
      <c r="T35" s="43" t="s">
        <v>2877</v>
      </c>
      <c r="U35" s="43" t="s">
        <v>2878</v>
      </c>
      <c r="V35" s="43" t="s">
        <v>3213</v>
      </c>
      <c r="W35" s="43">
        <v>138.996042316048</v>
      </c>
      <c r="X35" s="43">
        <v>0</v>
      </c>
      <c r="Y35" s="43" t="s">
        <v>3212</v>
      </c>
      <c r="Z35" s="43" t="s">
        <v>3173</v>
      </c>
      <c r="AA35" s="43"/>
      <c r="AB35" s="43"/>
      <c r="AC35" s="43"/>
      <c r="AD35" s="43" t="s">
        <v>2879</v>
      </c>
      <c r="AE35" s="43" t="s">
        <v>3173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 t="s">
        <v>2871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/>
      <c r="AR35" s="43">
        <v>0</v>
      </c>
      <c r="AS35" s="43">
        <v>0</v>
      </c>
      <c r="AT35" s="43">
        <v>0</v>
      </c>
      <c r="AU35" s="43" t="s">
        <v>628</v>
      </c>
      <c r="AV35" s="43" t="s">
        <v>638</v>
      </c>
      <c r="AW35" s="43" t="s">
        <v>639</v>
      </c>
      <c r="AX35" s="43" t="s">
        <v>31</v>
      </c>
      <c r="AY35" s="43" t="s">
        <v>2872</v>
      </c>
      <c r="AZ35" s="43">
        <v>0</v>
      </c>
      <c r="BA35" s="43">
        <v>0</v>
      </c>
      <c r="BB35" s="43">
        <v>619</v>
      </c>
      <c r="BC35" s="43" t="s">
        <v>3173</v>
      </c>
      <c r="BD35" s="43" t="s">
        <v>2870</v>
      </c>
      <c r="BE35" s="43" t="s">
        <v>2873</v>
      </c>
      <c r="BF35" s="43"/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 t="s">
        <v>2874</v>
      </c>
      <c r="BO35" s="44">
        <v>46219.61041666667</v>
      </c>
      <c r="BP35" s="43">
        <v>1058.7</v>
      </c>
    </row>
    <row r="36" spans="1:68" x14ac:dyDescent="0.35">
      <c r="A36" s="76"/>
      <c r="B36" s="43" t="s">
        <v>1052</v>
      </c>
      <c r="C36" s="43" t="s">
        <v>3183</v>
      </c>
      <c r="D36" s="43" t="s">
        <v>3210</v>
      </c>
      <c r="E36" s="43" t="s">
        <v>1068</v>
      </c>
      <c r="F36" s="43" t="s">
        <v>728</v>
      </c>
      <c r="G36" s="43">
        <v>2</v>
      </c>
      <c r="H36" s="43" t="s">
        <v>2875</v>
      </c>
      <c r="I36" s="43">
        <v>0</v>
      </c>
      <c r="J36" s="43">
        <v>201.1</v>
      </c>
      <c r="K36" s="43" t="s">
        <v>1055</v>
      </c>
      <c r="L36" s="43">
        <v>201.1</v>
      </c>
      <c r="M36" s="43">
        <v>0</v>
      </c>
      <c r="N36" s="43">
        <v>201.1</v>
      </c>
      <c r="O36" s="43" t="s">
        <v>3211</v>
      </c>
      <c r="P36" s="43" t="s">
        <v>2876</v>
      </c>
      <c r="Q36" s="43" t="s">
        <v>2876</v>
      </c>
      <c r="R36" s="43" t="s">
        <v>3212</v>
      </c>
      <c r="S36" s="43" t="s">
        <v>3173</v>
      </c>
      <c r="T36" s="43" t="s">
        <v>2877</v>
      </c>
      <c r="U36" s="43" t="s">
        <v>2878</v>
      </c>
      <c r="V36" s="43" t="s">
        <v>3213</v>
      </c>
      <c r="W36" s="43">
        <v>174.6</v>
      </c>
      <c r="X36" s="43">
        <v>0</v>
      </c>
      <c r="Y36" s="43" t="s">
        <v>3212</v>
      </c>
      <c r="Z36" s="43" t="s">
        <v>3173</v>
      </c>
      <c r="AA36" s="43"/>
      <c r="AB36" s="43"/>
      <c r="AC36" s="43"/>
      <c r="AD36" s="43" t="s">
        <v>2879</v>
      </c>
      <c r="AE36" s="43" t="s">
        <v>3173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 t="s">
        <v>2871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/>
      <c r="AR36" s="43">
        <v>0</v>
      </c>
      <c r="AS36" s="43">
        <v>0</v>
      </c>
      <c r="AT36" s="43">
        <v>0</v>
      </c>
      <c r="AU36" s="43" t="s">
        <v>628</v>
      </c>
      <c r="AV36" s="43" t="s">
        <v>706</v>
      </c>
      <c r="AW36" s="43" t="s">
        <v>729</v>
      </c>
      <c r="AX36" s="43" t="s">
        <v>31</v>
      </c>
      <c r="AY36" s="43" t="s">
        <v>2872</v>
      </c>
      <c r="AZ36" s="43">
        <v>0</v>
      </c>
      <c r="BA36" s="43">
        <v>0</v>
      </c>
      <c r="BB36" s="43">
        <v>619</v>
      </c>
      <c r="BC36" s="43" t="s">
        <v>3173</v>
      </c>
      <c r="BD36" s="43" t="s">
        <v>2870</v>
      </c>
      <c r="BE36" s="43" t="s">
        <v>2873</v>
      </c>
      <c r="BF36" s="43"/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 t="s">
        <v>2874</v>
      </c>
      <c r="BO36" s="44">
        <v>46219.61041666667</v>
      </c>
      <c r="BP36" s="43">
        <v>201.1</v>
      </c>
    </row>
    <row r="37" spans="1:68" x14ac:dyDescent="0.35">
      <c r="A37" s="76"/>
      <c r="B37" s="43" t="s">
        <v>1052</v>
      </c>
      <c r="C37" s="43" t="s">
        <v>3183</v>
      </c>
      <c r="D37" s="43" t="s">
        <v>3210</v>
      </c>
      <c r="E37" s="43" t="s">
        <v>1070</v>
      </c>
      <c r="F37" s="43" t="s">
        <v>859</v>
      </c>
      <c r="G37" s="43">
        <v>1</v>
      </c>
      <c r="H37" s="43" t="s">
        <v>2875</v>
      </c>
      <c r="I37" s="43">
        <v>0</v>
      </c>
      <c r="J37" s="43">
        <v>2369</v>
      </c>
      <c r="K37" s="43" t="s">
        <v>1055</v>
      </c>
      <c r="L37" s="43">
        <v>2369</v>
      </c>
      <c r="M37" s="43">
        <v>0</v>
      </c>
      <c r="N37" s="43">
        <v>2369</v>
      </c>
      <c r="O37" s="43" t="s">
        <v>3211</v>
      </c>
      <c r="P37" s="43" t="s">
        <v>2876</v>
      </c>
      <c r="Q37" s="43" t="s">
        <v>2876</v>
      </c>
      <c r="R37" s="43" t="s">
        <v>3212</v>
      </c>
      <c r="S37" s="43" t="s">
        <v>3173</v>
      </c>
      <c r="T37" s="43" t="s">
        <v>2877</v>
      </c>
      <c r="U37" s="43" t="s">
        <v>2878</v>
      </c>
      <c r="V37" s="43" t="s">
        <v>3213</v>
      </c>
      <c r="W37" s="43">
        <v>142.00791051076399</v>
      </c>
      <c r="X37" s="43">
        <v>0</v>
      </c>
      <c r="Y37" s="43" t="s">
        <v>3212</v>
      </c>
      <c r="Z37" s="43" t="s">
        <v>3173</v>
      </c>
      <c r="AA37" s="43"/>
      <c r="AB37" s="43"/>
      <c r="AC37" s="43"/>
      <c r="AD37" s="43" t="s">
        <v>2879</v>
      </c>
      <c r="AE37" s="43" t="s">
        <v>3173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 t="s">
        <v>2871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/>
      <c r="AR37" s="43">
        <v>0</v>
      </c>
      <c r="AS37" s="43">
        <v>0</v>
      </c>
      <c r="AT37" s="43">
        <v>0</v>
      </c>
      <c r="AU37" s="43" t="s">
        <v>628</v>
      </c>
      <c r="AV37" s="43" t="s">
        <v>638</v>
      </c>
      <c r="AW37" s="43" t="s">
        <v>652</v>
      </c>
      <c r="AX37" s="43" t="s">
        <v>31</v>
      </c>
      <c r="AY37" s="43" t="s">
        <v>2872</v>
      </c>
      <c r="AZ37" s="43">
        <v>0</v>
      </c>
      <c r="BA37" s="43">
        <v>0</v>
      </c>
      <c r="BB37" s="43">
        <v>619</v>
      </c>
      <c r="BC37" s="43" t="s">
        <v>3173</v>
      </c>
      <c r="BD37" s="43" t="s">
        <v>2870</v>
      </c>
      <c r="BE37" s="43" t="s">
        <v>2873</v>
      </c>
      <c r="BF37" s="43"/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 t="s">
        <v>2874</v>
      </c>
      <c r="BO37" s="44">
        <v>46219.61041666667</v>
      </c>
      <c r="BP37" s="43">
        <v>2369</v>
      </c>
    </row>
    <row r="38" spans="1:68" x14ac:dyDescent="0.35">
      <c r="A38" s="76"/>
      <c r="B38" s="43" t="s">
        <v>1052</v>
      </c>
      <c r="C38" s="43" t="s">
        <v>3183</v>
      </c>
      <c r="D38" s="43" t="s">
        <v>3210</v>
      </c>
      <c r="E38" s="43" t="s">
        <v>2908</v>
      </c>
      <c r="F38" s="43" t="s">
        <v>728</v>
      </c>
      <c r="G38" s="43">
        <v>3</v>
      </c>
      <c r="H38" s="43" t="s">
        <v>2875</v>
      </c>
      <c r="I38" s="43">
        <v>0</v>
      </c>
      <c r="J38" s="43">
        <v>444</v>
      </c>
      <c r="K38" s="43" t="s">
        <v>1055</v>
      </c>
      <c r="L38" s="43">
        <v>444</v>
      </c>
      <c r="M38" s="43">
        <v>0</v>
      </c>
      <c r="N38" s="43">
        <v>444</v>
      </c>
      <c r="O38" s="43" t="s">
        <v>3211</v>
      </c>
      <c r="P38" s="43" t="s">
        <v>2876</v>
      </c>
      <c r="Q38" s="43" t="s">
        <v>2876</v>
      </c>
      <c r="R38" s="43" t="s">
        <v>3212</v>
      </c>
      <c r="S38" s="43" t="s">
        <v>3173</v>
      </c>
      <c r="T38" s="43" t="s">
        <v>2877</v>
      </c>
      <c r="U38" s="43" t="s">
        <v>2878</v>
      </c>
      <c r="V38" s="43" t="s">
        <v>3213</v>
      </c>
      <c r="W38" s="43">
        <v>160.59468468468501</v>
      </c>
      <c r="X38" s="43">
        <v>0</v>
      </c>
      <c r="Y38" s="43" t="s">
        <v>3212</v>
      </c>
      <c r="Z38" s="43" t="s">
        <v>3173</v>
      </c>
      <c r="AA38" s="43"/>
      <c r="AB38" s="43"/>
      <c r="AC38" s="43"/>
      <c r="AD38" s="43" t="s">
        <v>2879</v>
      </c>
      <c r="AE38" s="43" t="s">
        <v>3173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 t="s">
        <v>2871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/>
      <c r="AR38" s="43">
        <v>0</v>
      </c>
      <c r="AS38" s="43">
        <v>0</v>
      </c>
      <c r="AT38" s="43">
        <v>0</v>
      </c>
      <c r="AU38" s="43" t="s">
        <v>628</v>
      </c>
      <c r="AV38" s="43" t="s">
        <v>2909</v>
      </c>
      <c r="AW38" s="43" t="s">
        <v>180</v>
      </c>
      <c r="AX38" s="43" t="s">
        <v>31</v>
      </c>
      <c r="AY38" s="43" t="s">
        <v>2872</v>
      </c>
      <c r="AZ38" s="43">
        <v>0</v>
      </c>
      <c r="BA38" s="43">
        <v>0</v>
      </c>
      <c r="BB38" s="43">
        <v>619</v>
      </c>
      <c r="BC38" s="43" t="s">
        <v>3173</v>
      </c>
      <c r="BD38" s="43" t="s">
        <v>2870</v>
      </c>
      <c r="BE38" s="43" t="s">
        <v>2873</v>
      </c>
      <c r="BF38" s="43"/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 t="s">
        <v>2874</v>
      </c>
      <c r="BO38" s="44">
        <v>46219.61041666667</v>
      </c>
      <c r="BP38" s="43">
        <v>444</v>
      </c>
    </row>
    <row r="39" spans="1:68" x14ac:dyDescent="0.35">
      <c r="A39" s="76"/>
      <c r="B39" s="43" t="s">
        <v>1052</v>
      </c>
      <c r="C39" s="43" t="s">
        <v>3186</v>
      </c>
      <c r="D39" s="43" t="s">
        <v>3214</v>
      </c>
      <c r="E39" s="43" t="s">
        <v>2414</v>
      </c>
      <c r="F39" s="43" t="s">
        <v>611</v>
      </c>
      <c r="G39" s="43">
        <v>1</v>
      </c>
      <c r="H39" s="43" t="s">
        <v>2875</v>
      </c>
      <c r="I39" s="43">
        <v>0</v>
      </c>
      <c r="J39" s="43">
        <v>1500</v>
      </c>
      <c r="K39" s="43" t="s">
        <v>1055</v>
      </c>
      <c r="L39" s="43">
        <v>1500</v>
      </c>
      <c r="M39" s="43">
        <v>0</v>
      </c>
      <c r="N39" s="43">
        <v>1500</v>
      </c>
      <c r="O39" s="43" t="s">
        <v>3175</v>
      </c>
      <c r="P39" s="43" t="s">
        <v>3086</v>
      </c>
      <c r="Q39" s="43" t="s">
        <v>3086</v>
      </c>
      <c r="R39" s="43" t="s">
        <v>3215</v>
      </c>
      <c r="S39" s="43" t="s">
        <v>3183</v>
      </c>
      <c r="T39" s="43" t="s">
        <v>2877</v>
      </c>
      <c r="U39" s="43" t="s">
        <v>2878</v>
      </c>
      <c r="V39" s="43" t="s">
        <v>3216</v>
      </c>
      <c r="W39" s="43">
        <v>194.99</v>
      </c>
      <c r="X39" s="43">
        <v>0</v>
      </c>
      <c r="Y39" s="43" t="s">
        <v>3215</v>
      </c>
      <c r="Z39" s="43" t="s">
        <v>3183</v>
      </c>
      <c r="AA39" s="43"/>
      <c r="AB39" s="43"/>
      <c r="AC39" s="43"/>
      <c r="AD39" s="43" t="s">
        <v>3089</v>
      </c>
      <c r="AE39" s="43" t="s">
        <v>3217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 t="s">
        <v>2871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/>
      <c r="AR39" s="43">
        <v>0</v>
      </c>
      <c r="AS39" s="43">
        <v>0</v>
      </c>
      <c r="AT39" s="43">
        <v>0</v>
      </c>
      <c r="AU39" s="43" t="s">
        <v>31</v>
      </c>
      <c r="AV39" s="43" t="s">
        <v>1032</v>
      </c>
      <c r="AW39" s="43" t="s">
        <v>55</v>
      </c>
      <c r="AX39" s="43" t="s">
        <v>31</v>
      </c>
      <c r="AY39" s="43" t="s">
        <v>2872</v>
      </c>
      <c r="AZ39" s="43">
        <v>0</v>
      </c>
      <c r="BA39" s="43">
        <v>0</v>
      </c>
      <c r="BB39" s="43">
        <v>623</v>
      </c>
      <c r="BC39" s="43" t="s">
        <v>3183</v>
      </c>
      <c r="BD39" s="43" t="s">
        <v>2865</v>
      </c>
      <c r="BE39" s="43" t="s">
        <v>2873</v>
      </c>
      <c r="BF39" s="43"/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 t="s">
        <v>2874</v>
      </c>
      <c r="BO39" s="44">
        <v>46220.388194444444</v>
      </c>
      <c r="BP39" s="43">
        <v>1500</v>
      </c>
    </row>
    <row r="40" spans="1:68" x14ac:dyDescent="0.35">
      <c r="A40" s="76"/>
      <c r="B40" s="43" t="s">
        <v>1052</v>
      </c>
      <c r="C40" s="43" t="s">
        <v>3186</v>
      </c>
      <c r="D40" s="43" t="s">
        <v>3218</v>
      </c>
      <c r="E40" s="43" t="s">
        <v>1070</v>
      </c>
      <c r="F40" s="43" t="s">
        <v>859</v>
      </c>
      <c r="G40" s="43">
        <v>3</v>
      </c>
      <c r="H40" s="43" t="s">
        <v>2875</v>
      </c>
      <c r="I40" s="43">
        <v>0</v>
      </c>
      <c r="J40" s="43">
        <v>3887</v>
      </c>
      <c r="K40" s="43" t="s">
        <v>1055</v>
      </c>
      <c r="L40" s="43">
        <v>3887</v>
      </c>
      <c r="M40" s="43">
        <v>0</v>
      </c>
      <c r="N40" s="43">
        <v>3887</v>
      </c>
      <c r="O40" s="43" t="s">
        <v>3175</v>
      </c>
      <c r="P40" s="43" t="s">
        <v>2876</v>
      </c>
      <c r="Q40" s="43" t="s">
        <v>2876</v>
      </c>
      <c r="R40" s="43" t="s">
        <v>3219</v>
      </c>
      <c r="S40" s="43" t="s">
        <v>3183</v>
      </c>
      <c r="T40" s="43" t="s">
        <v>2877</v>
      </c>
      <c r="U40" s="43" t="s">
        <v>2878</v>
      </c>
      <c r="V40" s="43" t="s">
        <v>3220</v>
      </c>
      <c r="W40" s="43">
        <v>142.007905839979</v>
      </c>
      <c r="X40" s="43">
        <v>0</v>
      </c>
      <c r="Y40" s="43" t="s">
        <v>3219</v>
      </c>
      <c r="Z40" s="43" t="s">
        <v>3183</v>
      </c>
      <c r="AA40" s="43"/>
      <c r="AB40" s="43"/>
      <c r="AC40" s="43"/>
      <c r="AD40" s="43" t="s">
        <v>2879</v>
      </c>
      <c r="AE40" s="43" t="s">
        <v>3183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 t="s">
        <v>2871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/>
      <c r="AR40" s="43">
        <v>0</v>
      </c>
      <c r="AS40" s="43">
        <v>0</v>
      </c>
      <c r="AT40" s="43">
        <v>0</v>
      </c>
      <c r="AU40" s="43" t="s">
        <v>628</v>
      </c>
      <c r="AV40" s="43" t="s">
        <v>638</v>
      </c>
      <c r="AW40" s="43" t="s">
        <v>652</v>
      </c>
      <c r="AX40" s="43" t="s">
        <v>31</v>
      </c>
      <c r="AY40" s="43" t="s">
        <v>2872</v>
      </c>
      <c r="AZ40" s="43">
        <v>0</v>
      </c>
      <c r="BA40" s="43">
        <v>0</v>
      </c>
      <c r="BB40" s="43">
        <v>624</v>
      </c>
      <c r="BC40" s="43" t="s">
        <v>3183</v>
      </c>
      <c r="BD40" s="43" t="s">
        <v>2870</v>
      </c>
      <c r="BE40" s="43" t="s">
        <v>2873</v>
      </c>
      <c r="BF40" s="43"/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 t="s">
        <v>2874</v>
      </c>
      <c r="BO40" s="44">
        <v>46220.495138888888</v>
      </c>
      <c r="BP40" s="43">
        <v>3887</v>
      </c>
    </row>
    <row r="41" spans="1:68" x14ac:dyDescent="0.35">
      <c r="A41" s="76"/>
      <c r="B41" s="43" t="s">
        <v>1052</v>
      </c>
      <c r="C41" s="43" t="s">
        <v>3186</v>
      </c>
      <c r="D41" s="43" t="s">
        <v>3218</v>
      </c>
      <c r="E41" s="43" t="s">
        <v>1068</v>
      </c>
      <c r="F41" s="43" t="s">
        <v>728</v>
      </c>
      <c r="G41" s="43">
        <v>2</v>
      </c>
      <c r="H41" s="43" t="s">
        <v>2875</v>
      </c>
      <c r="I41" s="43">
        <v>0</v>
      </c>
      <c r="J41" s="43">
        <v>123</v>
      </c>
      <c r="K41" s="43" t="s">
        <v>1055</v>
      </c>
      <c r="L41" s="43">
        <v>123</v>
      </c>
      <c r="M41" s="43">
        <v>0</v>
      </c>
      <c r="N41" s="43">
        <v>123</v>
      </c>
      <c r="O41" s="43" t="s">
        <v>3175</v>
      </c>
      <c r="P41" s="43" t="s">
        <v>2876</v>
      </c>
      <c r="Q41" s="43" t="s">
        <v>2876</v>
      </c>
      <c r="R41" s="43" t="s">
        <v>3219</v>
      </c>
      <c r="S41" s="43" t="s">
        <v>3183</v>
      </c>
      <c r="T41" s="43" t="s">
        <v>2877</v>
      </c>
      <c r="U41" s="43" t="s">
        <v>2878</v>
      </c>
      <c r="V41" s="43" t="s">
        <v>3220</v>
      </c>
      <c r="W41" s="43">
        <v>174.601788617886</v>
      </c>
      <c r="X41" s="43">
        <v>0</v>
      </c>
      <c r="Y41" s="43" t="s">
        <v>3219</v>
      </c>
      <c r="Z41" s="43" t="s">
        <v>3183</v>
      </c>
      <c r="AA41" s="43"/>
      <c r="AB41" s="43"/>
      <c r="AC41" s="43"/>
      <c r="AD41" s="43" t="s">
        <v>2879</v>
      </c>
      <c r="AE41" s="43" t="s">
        <v>3183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 t="s">
        <v>2871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/>
      <c r="AR41" s="43">
        <v>0</v>
      </c>
      <c r="AS41" s="43">
        <v>0</v>
      </c>
      <c r="AT41" s="43">
        <v>0</v>
      </c>
      <c r="AU41" s="43" t="s">
        <v>628</v>
      </c>
      <c r="AV41" s="43" t="s">
        <v>706</v>
      </c>
      <c r="AW41" s="43" t="s">
        <v>729</v>
      </c>
      <c r="AX41" s="43" t="s">
        <v>31</v>
      </c>
      <c r="AY41" s="43" t="s">
        <v>2872</v>
      </c>
      <c r="AZ41" s="43">
        <v>0</v>
      </c>
      <c r="BA41" s="43">
        <v>0</v>
      </c>
      <c r="BB41" s="43">
        <v>624</v>
      </c>
      <c r="BC41" s="43" t="s">
        <v>3183</v>
      </c>
      <c r="BD41" s="43" t="s">
        <v>2870</v>
      </c>
      <c r="BE41" s="43" t="s">
        <v>2873</v>
      </c>
      <c r="BF41" s="43"/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 t="s">
        <v>2874</v>
      </c>
      <c r="BO41" s="44">
        <v>46220.495138888888</v>
      </c>
      <c r="BP41" s="43">
        <v>123</v>
      </c>
    </row>
    <row r="42" spans="1:68" ht="15" customHeight="1" x14ac:dyDescent="0.35">
      <c r="A42" s="76"/>
      <c r="B42" s="43" t="s">
        <v>1052</v>
      </c>
      <c r="C42" s="43" t="s">
        <v>3186</v>
      </c>
      <c r="D42" s="43" t="s">
        <v>3218</v>
      </c>
      <c r="E42" s="43" t="s">
        <v>1066</v>
      </c>
      <c r="F42" s="43" t="s">
        <v>818</v>
      </c>
      <c r="G42" s="43">
        <v>1</v>
      </c>
      <c r="H42" s="43" t="s">
        <v>2875</v>
      </c>
      <c r="I42" s="43">
        <v>0</v>
      </c>
      <c r="J42" s="43">
        <v>2188.3000000000002</v>
      </c>
      <c r="K42" s="43" t="s">
        <v>1055</v>
      </c>
      <c r="L42" s="43">
        <v>2188.3000000000002</v>
      </c>
      <c r="M42" s="43">
        <v>0</v>
      </c>
      <c r="N42" s="43">
        <v>2188.3000000000002</v>
      </c>
      <c r="O42" s="43" t="s">
        <v>3175</v>
      </c>
      <c r="P42" s="43" t="s">
        <v>2876</v>
      </c>
      <c r="Q42" s="43" t="s">
        <v>2876</v>
      </c>
      <c r="R42" s="43" t="s">
        <v>3219</v>
      </c>
      <c r="S42" s="43" t="s">
        <v>3183</v>
      </c>
      <c r="T42" s="43" t="s">
        <v>2877</v>
      </c>
      <c r="U42" s="43" t="s">
        <v>2878</v>
      </c>
      <c r="V42" s="43" t="s">
        <v>3220</v>
      </c>
      <c r="W42" s="43">
        <v>148.64430379746801</v>
      </c>
      <c r="X42" s="43">
        <v>0</v>
      </c>
      <c r="Y42" s="43" t="s">
        <v>3219</v>
      </c>
      <c r="Z42" s="43" t="s">
        <v>3183</v>
      </c>
      <c r="AA42" s="43"/>
      <c r="AB42" s="43"/>
      <c r="AC42" s="43"/>
      <c r="AD42" s="43" t="s">
        <v>2879</v>
      </c>
      <c r="AE42" s="43" t="s">
        <v>3183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 t="s">
        <v>2871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/>
      <c r="AR42" s="43">
        <v>0</v>
      </c>
      <c r="AS42" s="43">
        <v>0</v>
      </c>
      <c r="AT42" s="43">
        <v>0</v>
      </c>
      <c r="AU42" s="43" t="s">
        <v>628</v>
      </c>
      <c r="AV42" s="43" t="s">
        <v>627</v>
      </c>
      <c r="AW42" s="43" t="s">
        <v>629</v>
      </c>
      <c r="AX42" s="43" t="s">
        <v>31</v>
      </c>
      <c r="AY42" s="43" t="s">
        <v>2872</v>
      </c>
      <c r="AZ42" s="43">
        <v>0</v>
      </c>
      <c r="BA42" s="43">
        <v>0</v>
      </c>
      <c r="BB42" s="43">
        <v>624</v>
      </c>
      <c r="BC42" s="43" t="s">
        <v>3183</v>
      </c>
      <c r="BD42" s="43" t="s">
        <v>2870</v>
      </c>
      <c r="BE42" s="43" t="s">
        <v>2873</v>
      </c>
      <c r="BF42" s="43"/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 t="s">
        <v>2874</v>
      </c>
      <c r="BO42" s="44">
        <v>46220.495138888888</v>
      </c>
      <c r="BP42" s="43">
        <v>2188.3000000000002</v>
      </c>
    </row>
    <row r="43" spans="1:68" ht="15" customHeight="1" x14ac:dyDescent="0.35">
      <c r="A43" s="76"/>
      <c r="B43" s="43" t="s">
        <v>1052</v>
      </c>
      <c r="C43" s="43" t="s">
        <v>3221</v>
      </c>
      <c r="D43" s="43" t="s">
        <v>3222</v>
      </c>
      <c r="E43" s="43" t="s">
        <v>1063</v>
      </c>
      <c r="F43" s="43" t="s">
        <v>679</v>
      </c>
      <c r="G43" s="43">
        <v>1</v>
      </c>
      <c r="H43" s="43" t="s">
        <v>2875</v>
      </c>
      <c r="I43" s="43">
        <v>0</v>
      </c>
      <c r="J43" s="43">
        <v>1763</v>
      </c>
      <c r="K43" s="43" t="s">
        <v>1055</v>
      </c>
      <c r="L43" s="43">
        <v>1763</v>
      </c>
      <c r="M43" s="43">
        <v>0</v>
      </c>
      <c r="N43" s="43">
        <v>1763</v>
      </c>
      <c r="O43" s="43" t="s">
        <v>3223</v>
      </c>
      <c r="P43" s="43" t="s">
        <v>2876</v>
      </c>
      <c r="Q43" s="43" t="s">
        <v>2876</v>
      </c>
      <c r="R43" s="43" t="s">
        <v>3224</v>
      </c>
      <c r="S43" s="43" t="s">
        <v>3186</v>
      </c>
      <c r="T43" s="43" t="s">
        <v>2877</v>
      </c>
      <c r="U43" s="43" t="s">
        <v>2878</v>
      </c>
      <c r="V43" s="43" t="s">
        <v>3225</v>
      </c>
      <c r="W43" s="43">
        <v>138.99626772546799</v>
      </c>
      <c r="X43" s="43">
        <v>0</v>
      </c>
      <c r="Y43" s="43" t="s">
        <v>3224</v>
      </c>
      <c r="Z43" s="43" t="s">
        <v>3186</v>
      </c>
      <c r="AA43" s="43"/>
      <c r="AB43" s="43"/>
      <c r="AC43" s="43"/>
      <c r="AD43" s="43" t="s">
        <v>2879</v>
      </c>
      <c r="AE43" s="43" t="s">
        <v>3186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 t="s">
        <v>2871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/>
      <c r="AR43" s="43">
        <v>0</v>
      </c>
      <c r="AS43" s="43">
        <v>0</v>
      </c>
      <c r="AT43" s="43">
        <v>0</v>
      </c>
      <c r="AU43" s="43" t="s">
        <v>628</v>
      </c>
      <c r="AV43" s="43" t="s">
        <v>638</v>
      </c>
      <c r="AW43" s="43" t="s">
        <v>639</v>
      </c>
      <c r="AX43" s="43" t="s">
        <v>31</v>
      </c>
      <c r="AY43" s="43" t="s">
        <v>2872</v>
      </c>
      <c r="AZ43" s="43">
        <v>0</v>
      </c>
      <c r="BA43" s="43">
        <v>0</v>
      </c>
      <c r="BB43" s="43">
        <v>630</v>
      </c>
      <c r="BC43" s="43" t="s">
        <v>3186</v>
      </c>
      <c r="BD43" s="43" t="s">
        <v>2870</v>
      </c>
      <c r="BE43" s="43" t="s">
        <v>2873</v>
      </c>
      <c r="BF43" s="43"/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3">
        <v>0</v>
      </c>
      <c r="BM43" s="43">
        <v>0</v>
      </c>
      <c r="BN43" s="43" t="s">
        <v>2874</v>
      </c>
      <c r="BO43" s="44">
        <v>46221.493750000001</v>
      </c>
      <c r="BP43" s="43">
        <v>1763</v>
      </c>
    </row>
    <row r="44" spans="1:68" ht="15" customHeight="1" x14ac:dyDescent="0.35">
      <c r="A44" s="76"/>
      <c r="B44" s="43" t="s">
        <v>1052</v>
      </c>
      <c r="C44" s="43" t="s">
        <v>3221</v>
      </c>
      <c r="D44" s="43" t="s">
        <v>3222</v>
      </c>
      <c r="E44" s="43" t="s">
        <v>1068</v>
      </c>
      <c r="F44" s="43" t="s">
        <v>728</v>
      </c>
      <c r="G44" s="43">
        <v>2</v>
      </c>
      <c r="H44" s="43" t="s">
        <v>2875</v>
      </c>
      <c r="I44" s="43">
        <v>0</v>
      </c>
      <c r="J44" s="43">
        <v>6952</v>
      </c>
      <c r="K44" s="43" t="s">
        <v>1055</v>
      </c>
      <c r="L44" s="43">
        <v>6952</v>
      </c>
      <c r="M44" s="43">
        <v>0</v>
      </c>
      <c r="N44" s="43">
        <v>6952</v>
      </c>
      <c r="O44" s="43" t="s">
        <v>3223</v>
      </c>
      <c r="P44" s="43" t="s">
        <v>2876</v>
      </c>
      <c r="Q44" s="43" t="s">
        <v>2876</v>
      </c>
      <c r="R44" s="43" t="s">
        <v>3224</v>
      </c>
      <c r="S44" s="43" t="s">
        <v>3186</v>
      </c>
      <c r="T44" s="43" t="s">
        <v>2877</v>
      </c>
      <c r="U44" s="43" t="s">
        <v>2878</v>
      </c>
      <c r="V44" s="43" t="s">
        <v>3225</v>
      </c>
      <c r="W44" s="43">
        <v>174.60197065592601</v>
      </c>
      <c r="X44" s="43">
        <v>0</v>
      </c>
      <c r="Y44" s="43" t="s">
        <v>3224</v>
      </c>
      <c r="Z44" s="43" t="s">
        <v>3186</v>
      </c>
      <c r="AA44" s="43"/>
      <c r="AB44" s="43"/>
      <c r="AC44" s="43"/>
      <c r="AD44" s="43" t="s">
        <v>2879</v>
      </c>
      <c r="AE44" s="43" t="s">
        <v>3186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 t="s">
        <v>2871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/>
      <c r="AR44" s="43">
        <v>0</v>
      </c>
      <c r="AS44" s="43">
        <v>0</v>
      </c>
      <c r="AT44" s="43">
        <v>0</v>
      </c>
      <c r="AU44" s="43" t="s">
        <v>628</v>
      </c>
      <c r="AV44" s="43" t="s">
        <v>706</v>
      </c>
      <c r="AW44" s="43" t="s">
        <v>729</v>
      </c>
      <c r="AX44" s="43" t="s">
        <v>31</v>
      </c>
      <c r="AY44" s="43" t="s">
        <v>2872</v>
      </c>
      <c r="AZ44" s="43">
        <v>0</v>
      </c>
      <c r="BA44" s="43">
        <v>0</v>
      </c>
      <c r="BB44" s="43">
        <v>630</v>
      </c>
      <c r="BC44" s="43" t="s">
        <v>3186</v>
      </c>
      <c r="BD44" s="43" t="s">
        <v>2870</v>
      </c>
      <c r="BE44" s="43" t="s">
        <v>2873</v>
      </c>
      <c r="BF44" s="43"/>
      <c r="BG44" s="43">
        <v>0</v>
      </c>
      <c r="BH44" s="43">
        <v>0</v>
      </c>
      <c r="BI44" s="43">
        <v>0</v>
      </c>
      <c r="BJ44" s="43">
        <v>0</v>
      </c>
      <c r="BK44" s="43">
        <v>0</v>
      </c>
      <c r="BL44" s="43">
        <v>0</v>
      </c>
      <c r="BM44" s="43">
        <v>0</v>
      </c>
      <c r="BN44" s="43" t="s">
        <v>2874</v>
      </c>
      <c r="BO44" s="44">
        <v>46221.493750000001</v>
      </c>
      <c r="BP44" s="43">
        <v>6952</v>
      </c>
    </row>
    <row r="45" spans="1:68" ht="15" customHeight="1" x14ac:dyDescent="0.35">
      <c r="A45" s="76"/>
      <c r="B45" s="43" t="s">
        <v>1052</v>
      </c>
      <c r="C45" s="43" t="s">
        <v>3221</v>
      </c>
      <c r="D45" s="43" t="s">
        <v>3222</v>
      </c>
      <c r="E45" s="43" t="s">
        <v>2908</v>
      </c>
      <c r="F45" s="43" t="s">
        <v>728</v>
      </c>
      <c r="G45" s="43">
        <v>4</v>
      </c>
      <c r="H45" s="43" t="s">
        <v>2875</v>
      </c>
      <c r="I45" s="43">
        <v>0</v>
      </c>
      <c r="J45" s="43">
        <v>10.7</v>
      </c>
      <c r="K45" s="43" t="s">
        <v>1055</v>
      </c>
      <c r="L45" s="43">
        <v>10.7</v>
      </c>
      <c r="M45" s="43">
        <v>0</v>
      </c>
      <c r="N45" s="43">
        <v>10.7</v>
      </c>
      <c r="O45" s="43" t="s">
        <v>3223</v>
      </c>
      <c r="P45" s="43" t="s">
        <v>2876</v>
      </c>
      <c r="Q45" s="43" t="s">
        <v>2876</v>
      </c>
      <c r="R45" s="43" t="s">
        <v>3224</v>
      </c>
      <c r="S45" s="43" t="s">
        <v>3186</v>
      </c>
      <c r="T45" s="43" t="s">
        <v>2877</v>
      </c>
      <c r="U45" s="43" t="s">
        <v>2878</v>
      </c>
      <c r="V45" s="43" t="s">
        <v>3225</v>
      </c>
      <c r="W45" s="43">
        <v>350</v>
      </c>
      <c r="X45" s="43">
        <v>0</v>
      </c>
      <c r="Y45" s="43" t="s">
        <v>3224</v>
      </c>
      <c r="Z45" s="43" t="s">
        <v>3186</v>
      </c>
      <c r="AA45" s="43"/>
      <c r="AB45" s="43"/>
      <c r="AC45" s="43"/>
      <c r="AD45" s="43" t="s">
        <v>2879</v>
      </c>
      <c r="AE45" s="43" t="s">
        <v>3186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 t="s">
        <v>2871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/>
      <c r="AR45" s="43">
        <v>0</v>
      </c>
      <c r="AS45" s="43">
        <v>0</v>
      </c>
      <c r="AT45" s="43">
        <v>0</v>
      </c>
      <c r="AU45" s="43" t="s">
        <v>628</v>
      </c>
      <c r="AV45" s="43" t="s">
        <v>2909</v>
      </c>
      <c r="AW45" s="43" t="s">
        <v>180</v>
      </c>
      <c r="AX45" s="43" t="s">
        <v>31</v>
      </c>
      <c r="AY45" s="43" t="s">
        <v>2872</v>
      </c>
      <c r="AZ45" s="43">
        <v>0</v>
      </c>
      <c r="BA45" s="43">
        <v>0</v>
      </c>
      <c r="BB45" s="43">
        <v>630</v>
      </c>
      <c r="BC45" s="43" t="s">
        <v>3186</v>
      </c>
      <c r="BD45" s="43" t="s">
        <v>2870</v>
      </c>
      <c r="BE45" s="43" t="s">
        <v>2873</v>
      </c>
      <c r="BF45" s="43"/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 t="s">
        <v>2874</v>
      </c>
      <c r="BO45" s="44">
        <v>46221.493750000001</v>
      </c>
      <c r="BP45" s="43">
        <v>10.7</v>
      </c>
    </row>
    <row r="46" spans="1:68" ht="15" customHeight="1" x14ac:dyDescent="0.35">
      <c r="A46" s="76"/>
      <c r="B46" s="43" t="s">
        <v>1052</v>
      </c>
      <c r="C46" s="43" t="s">
        <v>3221</v>
      </c>
      <c r="D46" s="43" t="s">
        <v>3222</v>
      </c>
      <c r="E46" s="43" t="s">
        <v>1070</v>
      </c>
      <c r="F46" s="43" t="s">
        <v>859</v>
      </c>
      <c r="G46" s="43">
        <v>3</v>
      </c>
      <c r="H46" s="43" t="s">
        <v>2875</v>
      </c>
      <c r="I46" s="43">
        <v>0</v>
      </c>
      <c r="J46" s="43">
        <v>1157</v>
      </c>
      <c r="K46" s="43" t="s">
        <v>1055</v>
      </c>
      <c r="L46" s="43">
        <v>1157</v>
      </c>
      <c r="M46" s="43">
        <v>0</v>
      </c>
      <c r="N46" s="43">
        <v>1157</v>
      </c>
      <c r="O46" s="43" t="s">
        <v>3223</v>
      </c>
      <c r="P46" s="43" t="s">
        <v>2876</v>
      </c>
      <c r="Q46" s="43" t="s">
        <v>2876</v>
      </c>
      <c r="R46" s="43" t="s">
        <v>3224</v>
      </c>
      <c r="S46" s="43" t="s">
        <v>3186</v>
      </c>
      <c r="T46" s="43" t="s">
        <v>2877</v>
      </c>
      <c r="U46" s="43" t="s">
        <v>2878</v>
      </c>
      <c r="V46" s="43" t="s">
        <v>3225</v>
      </c>
      <c r="W46" s="43">
        <v>142.00767502160801</v>
      </c>
      <c r="X46" s="43">
        <v>0</v>
      </c>
      <c r="Y46" s="43" t="s">
        <v>3224</v>
      </c>
      <c r="Z46" s="43" t="s">
        <v>3186</v>
      </c>
      <c r="AA46" s="43"/>
      <c r="AB46" s="43"/>
      <c r="AC46" s="43"/>
      <c r="AD46" s="43" t="s">
        <v>2879</v>
      </c>
      <c r="AE46" s="43" t="s">
        <v>3186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 t="s">
        <v>2871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/>
      <c r="AR46" s="43">
        <v>0</v>
      </c>
      <c r="AS46" s="43">
        <v>0</v>
      </c>
      <c r="AT46" s="43">
        <v>0</v>
      </c>
      <c r="AU46" s="43" t="s">
        <v>628</v>
      </c>
      <c r="AV46" s="43" t="s">
        <v>638</v>
      </c>
      <c r="AW46" s="43" t="s">
        <v>652</v>
      </c>
      <c r="AX46" s="43" t="s">
        <v>31</v>
      </c>
      <c r="AY46" s="43" t="s">
        <v>2872</v>
      </c>
      <c r="AZ46" s="43">
        <v>0</v>
      </c>
      <c r="BA46" s="43">
        <v>0</v>
      </c>
      <c r="BB46" s="43">
        <v>630</v>
      </c>
      <c r="BC46" s="43" t="s">
        <v>3186</v>
      </c>
      <c r="BD46" s="43" t="s">
        <v>2870</v>
      </c>
      <c r="BE46" s="43" t="s">
        <v>2873</v>
      </c>
      <c r="BF46" s="43"/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 t="s">
        <v>2874</v>
      </c>
      <c r="BO46" s="44">
        <v>46221.493750000001</v>
      </c>
      <c r="BP46" s="43">
        <v>1157</v>
      </c>
    </row>
    <row r="47" spans="1:68" ht="15" customHeight="1" x14ac:dyDescent="0.35">
      <c r="A47" s="76"/>
      <c r="B47" s="43" t="s">
        <v>1052</v>
      </c>
      <c r="C47" s="43" t="s">
        <v>3234</v>
      </c>
      <c r="D47" s="43" t="s">
        <v>3235</v>
      </c>
      <c r="E47" s="43" t="s">
        <v>1068</v>
      </c>
      <c r="F47" s="43" t="s">
        <v>728</v>
      </c>
      <c r="G47" s="43">
        <v>3</v>
      </c>
      <c r="H47" s="43" t="s">
        <v>2875</v>
      </c>
      <c r="I47" s="43">
        <v>0</v>
      </c>
      <c r="J47" s="43">
        <v>303</v>
      </c>
      <c r="K47" s="43" t="s">
        <v>1055</v>
      </c>
      <c r="L47" s="43">
        <v>303</v>
      </c>
      <c r="M47" s="43">
        <v>0</v>
      </c>
      <c r="N47" s="43">
        <v>303</v>
      </c>
      <c r="O47" s="43" t="s">
        <v>3236</v>
      </c>
      <c r="P47" s="43" t="s">
        <v>2876</v>
      </c>
      <c r="Q47" s="43" t="s">
        <v>2876</v>
      </c>
      <c r="R47" s="43" t="s">
        <v>3237</v>
      </c>
      <c r="S47" s="43" t="s">
        <v>3221</v>
      </c>
      <c r="T47" s="43" t="s">
        <v>2877</v>
      </c>
      <c r="U47" s="43" t="s">
        <v>2878</v>
      </c>
      <c r="V47" s="43" t="s">
        <v>3238</v>
      </c>
      <c r="W47" s="43">
        <v>174.60122112211201</v>
      </c>
      <c r="X47" s="43">
        <v>0</v>
      </c>
      <c r="Y47" s="43" t="s">
        <v>3237</v>
      </c>
      <c r="Z47" s="43" t="s">
        <v>3221</v>
      </c>
      <c r="AA47" s="43"/>
      <c r="AB47" s="43"/>
      <c r="AC47" s="43"/>
      <c r="AD47" s="43" t="s">
        <v>2879</v>
      </c>
      <c r="AE47" s="43" t="s">
        <v>3221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 t="s">
        <v>2871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/>
      <c r="AR47" s="43">
        <v>0</v>
      </c>
      <c r="AS47" s="43">
        <v>0</v>
      </c>
      <c r="AT47" s="43">
        <v>0</v>
      </c>
      <c r="AU47" s="43" t="s">
        <v>628</v>
      </c>
      <c r="AV47" s="43" t="s">
        <v>706</v>
      </c>
      <c r="AW47" s="43" t="s">
        <v>729</v>
      </c>
      <c r="AX47" s="43" t="s">
        <v>31</v>
      </c>
      <c r="AY47" s="43" t="s">
        <v>2872</v>
      </c>
      <c r="AZ47" s="43">
        <v>0</v>
      </c>
      <c r="BA47" s="43">
        <v>0</v>
      </c>
      <c r="BB47" s="43">
        <v>639</v>
      </c>
      <c r="BC47" s="43" t="s">
        <v>3221</v>
      </c>
      <c r="BD47" s="43" t="s">
        <v>2870</v>
      </c>
      <c r="BE47" s="43" t="s">
        <v>2873</v>
      </c>
      <c r="BF47" s="43"/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 t="s">
        <v>2874</v>
      </c>
      <c r="BO47" s="44">
        <v>46223.463194444441</v>
      </c>
      <c r="BP47" s="43">
        <v>303</v>
      </c>
    </row>
    <row r="48" spans="1:68" ht="15" customHeight="1" x14ac:dyDescent="0.35">
      <c r="A48" s="76"/>
      <c r="B48" s="43" t="s">
        <v>1052</v>
      </c>
      <c r="C48" s="43" t="s">
        <v>3234</v>
      </c>
      <c r="D48" s="43" t="s">
        <v>3235</v>
      </c>
      <c r="E48" s="43" t="s">
        <v>1070</v>
      </c>
      <c r="F48" s="43" t="s">
        <v>859</v>
      </c>
      <c r="G48" s="43">
        <v>2</v>
      </c>
      <c r="H48" s="43" t="s">
        <v>2875</v>
      </c>
      <c r="I48" s="43">
        <v>0</v>
      </c>
      <c r="J48" s="43">
        <v>3710.3</v>
      </c>
      <c r="K48" s="43" t="s">
        <v>1055</v>
      </c>
      <c r="L48" s="43">
        <v>3710.3</v>
      </c>
      <c r="M48" s="43">
        <v>0</v>
      </c>
      <c r="N48" s="43">
        <v>3710.3</v>
      </c>
      <c r="O48" s="43" t="s">
        <v>3236</v>
      </c>
      <c r="P48" s="43" t="s">
        <v>2876</v>
      </c>
      <c r="Q48" s="43" t="s">
        <v>2876</v>
      </c>
      <c r="R48" s="43" t="s">
        <v>3237</v>
      </c>
      <c r="S48" s="43" t="s">
        <v>3221</v>
      </c>
      <c r="T48" s="43" t="s">
        <v>2877</v>
      </c>
      <c r="U48" s="43" t="s">
        <v>2878</v>
      </c>
      <c r="V48" s="43" t="s">
        <v>3238</v>
      </c>
      <c r="W48" s="43">
        <v>142.00770827156799</v>
      </c>
      <c r="X48" s="43">
        <v>0</v>
      </c>
      <c r="Y48" s="43" t="s">
        <v>3237</v>
      </c>
      <c r="Z48" s="43" t="s">
        <v>3221</v>
      </c>
      <c r="AA48" s="43"/>
      <c r="AB48" s="43"/>
      <c r="AC48" s="43"/>
      <c r="AD48" s="43" t="s">
        <v>2879</v>
      </c>
      <c r="AE48" s="43" t="s">
        <v>3221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3" t="s">
        <v>2871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/>
      <c r="AR48" s="43">
        <v>0</v>
      </c>
      <c r="AS48" s="43">
        <v>0</v>
      </c>
      <c r="AT48" s="43">
        <v>0</v>
      </c>
      <c r="AU48" s="43" t="s">
        <v>628</v>
      </c>
      <c r="AV48" s="43" t="s">
        <v>638</v>
      </c>
      <c r="AW48" s="43" t="s">
        <v>652</v>
      </c>
      <c r="AX48" s="43" t="s">
        <v>31</v>
      </c>
      <c r="AY48" s="43" t="s">
        <v>2872</v>
      </c>
      <c r="AZ48" s="43">
        <v>0</v>
      </c>
      <c r="BA48" s="43">
        <v>0</v>
      </c>
      <c r="BB48" s="43">
        <v>639</v>
      </c>
      <c r="BC48" s="43" t="s">
        <v>3221</v>
      </c>
      <c r="BD48" s="43" t="s">
        <v>2870</v>
      </c>
      <c r="BE48" s="43" t="s">
        <v>2873</v>
      </c>
      <c r="BF48" s="43"/>
      <c r="BG48" s="43">
        <v>0</v>
      </c>
      <c r="BH48" s="43">
        <v>0</v>
      </c>
      <c r="BI48" s="43">
        <v>0</v>
      </c>
      <c r="BJ48" s="43">
        <v>0</v>
      </c>
      <c r="BK48" s="43">
        <v>0</v>
      </c>
      <c r="BL48" s="43">
        <v>0</v>
      </c>
      <c r="BM48" s="43">
        <v>0</v>
      </c>
      <c r="BN48" s="43" t="s">
        <v>2874</v>
      </c>
      <c r="BO48" s="44">
        <v>46223.463194444441</v>
      </c>
      <c r="BP48" s="43">
        <v>3710.3</v>
      </c>
    </row>
    <row r="49" spans="1:68" ht="15" customHeight="1" x14ac:dyDescent="0.35">
      <c r="A49" s="76"/>
      <c r="B49" s="43" t="s">
        <v>1052</v>
      </c>
      <c r="C49" s="43" t="s">
        <v>3234</v>
      </c>
      <c r="D49" s="43" t="s">
        <v>3235</v>
      </c>
      <c r="E49" s="43" t="s">
        <v>1065</v>
      </c>
      <c r="F49" s="43" t="s">
        <v>773</v>
      </c>
      <c r="G49" s="43">
        <v>1</v>
      </c>
      <c r="H49" s="43" t="s">
        <v>2875</v>
      </c>
      <c r="I49" s="43">
        <v>0</v>
      </c>
      <c r="J49" s="43">
        <v>1845</v>
      </c>
      <c r="K49" s="43" t="s">
        <v>1055</v>
      </c>
      <c r="L49" s="43">
        <v>1845</v>
      </c>
      <c r="M49" s="43">
        <v>0</v>
      </c>
      <c r="N49" s="43">
        <v>1845</v>
      </c>
      <c r="O49" s="43" t="s">
        <v>3236</v>
      </c>
      <c r="P49" s="43" t="s">
        <v>2876</v>
      </c>
      <c r="Q49" s="43" t="s">
        <v>2876</v>
      </c>
      <c r="R49" s="43" t="s">
        <v>3237</v>
      </c>
      <c r="S49" s="43" t="s">
        <v>3221</v>
      </c>
      <c r="T49" s="43" t="s">
        <v>2877</v>
      </c>
      <c r="U49" s="43" t="s">
        <v>2878</v>
      </c>
      <c r="V49" s="43" t="s">
        <v>3238</v>
      </c>
      <c r="W49" s="43">
        <v>134.49962601626001</v>
      </c>
      <c r="X49" s="43">
        <v>0</v>
      </c>
      <c r="Y49" s="43" t="s">
        <v>3237</v>
      </c>
      <c r="Z49" s="43" t="s">
        <v>3221</v>
      </c>
      <c r="AA49" s="43"/>
      <c r="AB49" s="43"/>
      <c r="AC49" s="43"/>
      <c r="AD49" s="43" t="s">
        <v>2879</v>
      </c>
      <c r="AE49" s="43" t="s">
        <v>3221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 t="s">
        <v>2871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/>
      <c r="AR49" s="43">
        <v>0</v>
      </c>
      <c r="AS49" s="43">
        <v>0</v>
      </c>
      <c r="AT49" s="43">
        <v>0</v>
      </c>
      <c r="AU49" s="43" t="s">
        <v>628</v>
      </c>
      <c r="AV49" s="43" t="s">
        <v>771</v>
      </c>
      <c r="AW49" s="43" t="s">
        <v>773</v>
      </c>
      <c r="AX49" s="43" t="s">
        <v>31</v>
      </c>
      <c r="AY49" s="43" t="s">
        <v>2872</v>
      </c>
      <c r="AZ49" s="43">
        <v>0</v>
      </c>
      <c r="BA49" s="43">
        <v>0</v>
      </c>
      <c r="BB49" s="43">
        <v>639</v>
      </c>
      <c r="BC49" s="43" t="s">
        <v>3221</v>
      </c>
      <c r="BD49" s="43" t="s">
        <v>2870</v>
      </c>
      <c r="BE49" s="43" t="s">
        <v>2873</v>
      </c>
      <c r="BF49" s="43"/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 t="s">
        <v>2874</v>
      </c>
      <c r="BO49" s="44">
        <v>46223.463194444441</v>
      </c>
      <c r="BP49" s="43">
        <v>1845</v>
      </c>
    </row>
    <row r="50" spans="1:68" ht="15" customHeight="1" x14ac:dyDescent="0.35">
      <c r="A50" s="76"/>
      <c r="B50" s="43" t="s">
        <v>1052</v>
      </c>
      <c r="C50" s="43" t="s">
        <v>3242</v>
      </c>
      <c r="D50" s="43" t="s">
        <v>3249</v>
      </c>
      <c r="E50" s="43" t="s">
        <v>1068</v>
      </c>
      <c r="F50" s="43" t="s">
        <v>728</v>
      </c>
      <c r="G50" s="43">
        <v>2</v>
      </c>
      <c r="H50" s="43" t="s">
        <v>2875</v>
      </c>
      <c r="I50" s="43">
        <v>0</v>
      </c>
      <c r="J50" s="43">
        <v>3485.5</v>
      </c>
      <c r="K50" s="43" t="s">
        <v>1055</v>
      </c>
      <c r="L50" s="43">
        <v>3485.5</v>
      </c>
      <c r="M50" s="43">
        <v>0</v>
      </c>
      <c r="N50" s="43">
        <v>3485.5</v>
      </c>
      <c r="O50" s="43" t="s">
        <v>3250</v>
      </c>
      <c r="P50" s="43" t="s">
        <v>2876</v>
      </c>
      <c r="Q50" s="43" t="s">
        <v>2876</v>
      </c>
      <c r="R50" s="43" t="s">
        <v>3251</v>
      </c>
      <c r="S50" s="43" t="s">
        <v>3234</v>
      </c>
      <c r="T50" s="43" t="s">
        <v>2877</v>
      </c>
      <c r="U50" s="43" t="s">
        <v>2878</v>
      </c>
      <c r="V50" s="43" t="s">
        <v>3252</v>
      </c>
      <c r="W50" s="43">
        <v>174.60183044039599</v>
      </c>
      <c r="X50" s="43">
        <v>0</v>
      </c>
      <c r="Y50" s="43" t="s">
        <v>3251</v>
      </c>
      <c r="Z50" s="43" t="s">
        <v>3234</v>
      </c>
      <c r="AA50" s="43"/>
      <c r="AB50" s="43"/>
      <c r="AC50" s="43"/>
      <c r="AD50" s="43" t="s">
        <v>2879</v>
      </c>
      <c r="AE50" s="43" t="s">
        <v>3234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 t="s">
        <v>2871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/>
      <c r="AR50" s="43">
        <v>0</v>
      </c>
      <c r="AS50" s="43">
        <v>0</v>
      </c>
      <c r="AT50" s="43">
        <v>0</v>
      </c>
      <c r="AU50" s="43" t="s">
        <v>628</v>
      </c>
      <c r="AV50" s="43" t="s">
        <v>706</v>
      </c>
      <c r="AW50" s="43" t="s">
        <v>729</v>
      </c>
      <c r="AX50" s="43" t="s">
        <v>31</v>
      </c>
      <c r="AY50" s="43" t="s">
        <v>2872</v>
      </c>
      <c r="AZ50" s="43">
        <v>0</v>
      </c>
      <c r="BA50" s="43">
        <v>0</v>
      </c>
      <c r="BB50" s="43">
        <v>652</v>
      </c>
      <c r="BC50" s="43" t="s">
        <v>3234</v>
      </c>
      <c r="BD50" s="43" t="s">
        <v>2870</v>
      </c>
      <c r="BE50" s="43" t="s">
        <v>2873</v>
      </c>
      <c r="BF50" s="43"/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 t="s">
        <v>2874</v>
      </c>
      <c r="BO50" s="44">
        <v>46224.479861111111</v>
      </c>
      <c r="BP50" s="43">
        <v>3485.5</v>
      </c>
    </row>
    <row r="51" spans="1:68" ht="15" customHeight="1" x14ac:dyDescent="0.35">
      <c r="A51" s="76"/>
      <c r="B51" s="43" t="s">
        <v>1052</v>
      </c>
      <c r="C51" s="43" t="s">
        <v>3242</v>
      </c>
      <c r="D51" s="43" t="s">
        <v>3249</v>
      </c>
      <c r="E51" s="43" t="s">
        <v>1063</v>
      </c>
      <c r="F51" s="43" t="s">
        <v>679</v>
      </c>
      <c r="G51" s="43">
        <v>1</v>
      </c>
      <c r="H51" s="43" t="s">
        <v>2875</v>
      </c>
      <c r="I51" s="43">
        <v>0</v>
      </c>
      <c r="J51" s="43">
        <v>3134</v>
      </c>
      <c r="K51" s="43" t="s">
        <v>1055</v>
      </c>
      <c r="L51" s="43">
        <v>3134</v>
      </c>
      <c r="M51" s="43">
        <v>0</v>
      </c>
      <c r="N51" s="43">
        <v>3134</v>
      </c>
      <c r="O51" s="43" t="s">
        <v>3250</v>
      </c>
      <c r="P51" s="43" t="s">
        <v>2876</v>
      </c>
      <c r="Q51" s="43" t="s">
        <v>2876</v>
      </c>
      <c r="R51" s="43" t="s">
        <v>3251</v>
      </c>
      <c r="S51" s="43" t="s">
        <v>3234</v>
      </c>
      <c r="T51" s="43" t="s">
        <v>2877</v>
      </c>
      <c r="U51" s="43" t="s">
        <v>2878</v>
      </c>
      <c r="V51" s="43" t="s">
        <v>3252</v>
      </c>
      <c r="W51" s="43">
        <v>138.97536694320399</v>
      </c>
      <c r="X51" s="43">
        <v>0</v>
      </c>
      <c r="Y51" s="43" t="s">
        <v>3251</v>
      </c>
      <c r="Z51" s="43" t="s">
        <v>3234</v>
      </c>
      <c r="AA51" s="43"/>
      <c r="AB51" s="43"/>
      <c r="AC51" s="43"/>
      <c r="AD51" s="43" t="s">
        <v>2879</v>
      </c>
      <c r="AE51" s="43" t="s">
        <v>3234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 t="s">
        <v>2871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/>
      <c r="AR51" s="43">
        <v>0</v>
      </c>
      <c r="AS51" s="43">
        <v>0</v>
      </c>
      <c r="AT51" s="43">
        <v>0</v>
      </c>
      <c r="AU51" s="43" t="s">
        <v>628</v>
      </c>
      <c r="AV51" s="43" t="s">
        <v>638</v>
      </c>
      <c r="AW51" s="43" t="s">
        <v>639</v>
      </c>
      <c r="AX51" s="43" t="s">
        <v>31</v>
      </c>
      <c r="AY51" s="43" t="s">
        <v>2872</v>
      </c>
      <c r="AZ51" s="43">
        <v>0</v>
      </c>
      <c r="BA51" s="43">
        <v>0</v>
      </c>
      <c r="BB51" s="43">
        <v>652</v>
      </c>
      <c r="BC51" s="43" t="s">
        <v>3234</v>
      </c>
      <c r="BD51" s="43" t="s">
        <v>2870</v>
      </c>
      <c r="BE51" s="43" t="s">
        <v>2873</v>
      </c>
      <c r="BF51" s="43"/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 t="s">
        <v>2874</v>
      </c>
      <c r="BO51" s="44">
        <v>46224.479861111111</v>
      </c>
      <c r="BP51" s="43">
        <v>3134</v>
      </c>
    </row>
    <row r="52" spans="1:68" ht="15" customHeight="1" x14ac:dyDescent="0.35">
      <c r="A52" s="506"/>
      <c r="B52" s="505" t="s">
        <v>1052</v>
      </c>
      <c r="C52" s="505" t="s">
        <v>3256</v>
      </c>
      <c r="D52" s="505" t="s">
        <v>3259</v>
      </c>
      <c r="E52" s="505" t="s">
        <v>1068</v>
      </c>
      <c r="F52" s="505" t="s">
        <v>728</v>
      </c>
      <c r="G52" s="505">
        <v>1</v>
      </c>
      <c r="H52" s="505" t="s">
        <v>2875</v>
      </c>
      <c r="I52" s="505">
        <v>0</v>
      </c>
      <c r="J52" s="505">
        <v>382</v>
      </c>
      <c r="K52" s="505" t="s">
        <v>1055</v>
      </c>
      <c r="L52" s="505">
        <v>382</v>
      </c>
      <c r="M52" s="505">
        <v>0</v>
      </c>
      <c r="N52" s="505">
        <v>382</v>
      </c>
      <c r="O52" s="505" t="s">
        <v>3260</v>
      </c>
      <c r="P52" s="505" t="s">
        <v>2876</v>
      </c>
      <c r="Q52" s="505" t="s">
        <v>2876</v>
      </c>
      <c r="R52" s="505" t="s">
        <v>3261</v>
      </c>
      <c r="S52" s="505" t="s">
        <v>3242</v>
      </c>
      <c r="T52" s="505" t="s">
        <v>2877</v>
      </c>
      <c r="U52" s="505" t="s">
        <v>2878</v>
      </c>
      <c r="V52" s="505" t="s">
        <v>3262</v>
      </c>
      <c r="W52" s="505">
        <v>174.602696335079</v>
      </c>
      <c r="X52" s="505">
        <v>0</v>
      </c>
      <c r="Y52" s="505" t="s">
        <v>3261</v>
      </c>
      <c r="Z52" s="505" t="s">
        <v>3242</v>
      </c>
      <c r="AA52" s="505"/>
      <c r="AB52" s="505"/>
      <c r="AC52" s="505"/>
      <c r="AD52" s="505" t="s">
        <v>2879</v>
      </c>
      <c r="AE52" s="505" t="s">
        <v>3242</v>
      </c>
      <c r="AF52" s="505">
        <v>0</v>
      </c>
      <c r="AG52" s="505">
        <v>0</v>
      </c>
      <c r="AH52" s="505">
        <v>0</v>
      </c>
      <c r="AI52" s="505">
        <v>0</v>
      </c>
      <c r="AJ52" s="505">
        <v>0</v>
      </c>
      <c r="AK52" s="505" t="s">
        <v>2871</v>
      </c>
      <c r="AL52" s="505">
        <v>0</v>
      </c>
      <c r="AM52" s="505">
        <v>0</v>
      </c>
      <c r="AN52" s="505">
        <v>0</v>
      </c>
      <c r="AO52" s="505">
        <v>0</v>
      </c>
      <c r="AP52" s="505">
        <v>0</v>
      </c>
      <c r="AQ52" s="505"/>
      <c r="AR52" s="505">
        <v>0</v>
      </c>
      <c r="AS52" s="505">
        <v>0</v>
      </c>
      <c r="AT52" s="505">
        <v>0</v>
      </c>
      <c r="AU52" s="505" t="s">
        <v>628</v>
      </c>
      <c r="AV52" s="505" t="s">
        <v>706</v>
      </c>
      <c r="AW52" s="505" t="s">
        <v>729</v>
      </c>
      <c r="AX52" s="505" t="s">
        <v>31</v>
      </c>
      <c r="AY52" s="505" t="s">
        <v>2872</v>
      </c>
      <c r="AZ52" s="505">
        <v>0</v>
      </c>
      <c r="BA52" s="505">
        <v>0</v>
      </c>
      <c r="BB52" s="505">
        <v>656</v>
      </c>
      <c r="BC52" s="505" t="s">
        <v>3242</v>
      </c>
      <c r="BD52" s="505" t="s">
        <v>2870</v>
      </c>
      <c r="BE52" s="505" t="s">
        <v>2873</v>
      </c>
      <c r="BF52" s="505"/>
      <c r="BG52" s="505">
        <v>0</v>
      </c>
      <c r="BH52" s="505">
        <v>0</v>
      </c>
      <c r="BI52" s="505">
        <v>0</v>
      </c>
      <c r="BJ52" s="505">
        <v>0</v>
      </c>
      <c r="BK52" s="505">
        <v>0</v>
      </c>
      <c r="BL52" s="505">
        <v>0</v>
      </c>
      <c r="BM52" s="505">
        <v>0</v>
      </c>
      <c r="BN52" s="505" t="s">
        <v>2874</v>
      </c>
      <c r="BO52" s="507">
        <v>46225.459722222222</v>
      </c>
      <c r="BP52" s="505">
        <v>382</v>
      </c>
    </row>
    <row r="53" spans="1:68" ht="15" customHeight="1" x14ac:dyDescent="0.35">
      <c r="A53" s="506"/>
      <c r="B53" s="505" t="s">
        <v>1052</v>
      </c>
      <c r="C53" s="505" t="s">
        <v>3256</v>
      </c>
      <c r="D53" s="505" t="s">
        <v>3259</v>
      </c>
      <c r="E53" s="505" t="s">
        <v>1070</v>
      </c>
      <c r="F53" s="505" t="s">
        <v>859</v>
      </c>
      <c r="G53" s="505">
        <v>2</v>
      </c>
      <c r="H53" s="505" t="s">
        <v>2875</v>
      </c>
      <c r="I53" s="505">
        <v>0</v>
      </c>
      <c r="J53" s="505">
        <v>2479</v>
      </c>
      <c r="K53" s="505" t="s">
        <v>1055</v>
      </c>
      <c r="L53" s="505">
        <v>2479</v>
      </c>
      <c r="M53" s="505">
        <v>0</v>
      </c>
      <c r="N53" s="505">
        <v>2479</v>
      </c>
      <c r="O53" s="505" t="s">
        <v>3260</v>
      </c>
      <c r="P53" s="505" t="s">
        <v>2876</v>
      </c>
      <c r="Q53" s="505" t="s">
        <v>2876</v>
      </c>
      <c r="R53" s="505" t="s">
        <v>3261</v>
      </c>
      <c r="S53" s="505" t="s">
        <v>3242</v>
      </c>
      <c r="T53" s="505" t="s">
        <v>2877</v>
      </c>
      <c r="U53" s="505" t="s">
        <v>2878</v>
      </c>
      <c r="V53" s="505" t="s">
        <v>3262</v>
      </c>
      <c r="W53" s="505">
        <v>142.00798305768501</v>
      </c>
      <c r="X53" s="505">
        <v>0</v>
      </c>
      <c r="Y53" s="505" t="s">
        <v>3261</v>
      </c>
      <c r="Z53" s="505" t="s">
        <v>3242</v>
      </c>
      <c r="AA53" s="505"/>
      <c r="AB53" s="505"/>
      <c r="AC53" s="505"/>
      <c r="AD53" s="505" t="s">
        <v>2879</v>
      </c>
      <c r="AE53" s="505" t="s">
        <v>3242</v>
      </c>
      <c r="AF53" s="505">
        <v>0</v>
      </c>
      <c r="AG53" s="505">
        <v>0</v>
      </c>
      <c r="AH53" s="505">
        <v>0</v>
      </c>
      <c r="AI53" s="505">
        <v>0</v>
      </c>
      <c r="AJ53" s="505">
        <v>0</v>
      </c>
      <c r="AK53" s="505" t="s">
        <v>2871</v>
      </c>
      <c r="AL53" s="505">
        <v>0</v>
      </c>
      <c r="AM53" s="505">
        <v>0</v>
      </c>
      <c r="AN53" s="505">
        <v>0</v>
      </c>
      <c r="AO53" s="505">
        <v>0</v>
      </c>
      <c r="AP53" s="505">
        <v>0</v>
      </c>
      <c r="AQ53" s="505"/>
      <c r="AR53" s="505">
        <v>0</v>
      </c>
      <c r="AS53" s="505">
        <v>0</v>
      </c>
      <c r="AT53" s="505">
        <v>0</v>
      </c>
      <c r="AU53" s="505" t="s">
        <v>628</v>
      </c>
      <c r="AV53" s="505" t="s">
        <v>638</v>
      </c>
      <c r="AW53" s="505" t="s">
        <v>652</v>
      </c>
      <c r="AX53" s="505" t="s">
        <v>31</v>
      </c>
      <c r="AY53" s="505" t="s">
        <v>2872</v>
      </c>
      <c r="AZ53" s="505">
        <v>0</v>
      </c>
      <c r="BA53" s="505">
        <v>0</v>
      </c>
      <c r="BB53" s="505">
        <v>656</v>
      </c>
      <c r="BC53" s="505" t="s">
        <v>3242</v>
      </c>
      <c r="BD53" s="505" t="s">
        <v>2870</v>
      </c>
      <c r="BE53" s="505" t="s">
        <v>2873</v>
      </c>
      <c r="BF53" s="505"/>
      <c r="BG53" s="505">
        <v>0</v>
      </c>
      <c r="BH53" s="505">
        <v>0</v>
      </c>
      <c r="BI53" s="505">
        <v>0</v>
      </c>
      <c r="BJ53" s="505">
        <v>0</v>
      </c>
      <c r="BK53" s="505">
        <v>0</v>
      </c>
      <c r="BL53" s="505">
        <v>0</v>
      </c>
      <c r="BM53" s="505">
        <v>0</v>
      </c>
      <c r="BN53" s="505" t="s">
        <v>2874</v>
      </c>
      <c r="BO53" s="507">
        <v>46225.459722222222</v>
      </c>
      <c r="BP53" s="505">
        <v>2479</v>
      </c>
    </row>
    <row r="54" spans="1:68" ht="15" customHeight="1" x14ac:dyDescent="0.35">
      <c r="A54" s="76"/>
      <c r="B54" s="43" t="s">
        <v>1052</v>
      </c>
      <c r="C54" s="43" t="s">
        <v>3275</v>
      </c>
      <c r="D54" s="43" t="s">
        <v>3276</v>
      </c>
      <c r="E54" s="43" t="s">
        <v>1068</v>
      </c>
      <c r="F54" s="43" t="s">
        <v>728</v>
      </c>
      <c r="G54" s="43">
        <v>5</v>
      </c>
      <c r="H54" s="43" t="s">
        <v>2875</v>
      </c>
      <c r="I54" s="43">
        <v>0</v>
      </c>
      <c r="J54" s="43">
        <v>6980.4</v>
      </c>
      <c r="K54" s="43" t="s">
        <v>1055</v>
      </c>
      <c r="L54" s="43">
        <v>6980.4</v>
      </c>
      <c r="M54" s="43">
        <v>0</v>
      </c>
      <c r="N54" s="43">
        <v>6980.4</v>
      </c>
      <c r="O54" s="43" t="s">
        <v>3053</v>
      </c>
      <c r="P54" s="43" t="s">
        <v>3277</v>
      </c>
      <c r="Q54" s="43" t="s">
        <v>3277</v>
      </c>
      <c r="R54" s="43" t="s">
        <v>3278</v>
      </c>
      <c r="S54" s="43" t="s">
        <v>3267</v>
      </c>
      <c r="T54" s="43" t="s">
        <v>2877</v>
      </c>
      <c r="U54" s="43" t="s">
        <v>2878</v>
      </c>
      <c r="V54" s="43" t="s">
        <v>3279</v>
      </c>
      <c r="W54" s="43">
        <v>174.601780700246</v>
      </c>
      <c r="X54" s="43">
        <v>0</v>
      </c>
      <c r="Y54" s="43" t="s">
        <v>3278</v>
      </c>
      <c r="Z54" s="43" t="s">
        <v>3267</v>
      </c>
      <c r="AA54" s="43"/>
      <c r="AB54" s="43"/>
      <c r="AC54" s="43"/>
      <c r="AD54" s="43" t="s">
        <v>2879</v>
      </c>
      <c r="AE54" s="43" t="s">
        <v>3267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 t="s">
        <v>2871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/>
      <c r="AR54" s="43">
        <v>0</v>
      </c>
      <c r="AS54" s="43">
        <v>0</v>
      </c>
      <c r="AT54" s="43">
        <v>0</v>
      </c>
      <c r="AU54" s="43" t="s">
        <v>628</v>
      </c>
      <c r="AV54" s="43" t="s">
        <v>706</v>
      </c>
      <c r="AW54" s="43" t="s">
        <v>729</v>
      </c>
      <c r="AX54" s="43" t="s">
        <v>31</v>
      </c>
      <c r="AY54" s="43" t="s">
        <v>2872</v>
      </c>
      <c r="AZ54" s="43">
        <v>0</v>
      </c>
      <c r="BA54" s="43">
        <v>0</v>
      </c>
      <c r="BB54" s="43">
        <v>664</v>
      </c>
      <c r="BC54" s="43" t="s">
        <v>3267</v>
      </c>
      <c r="BD54" s="43" t="s">
        <v>3280</v>
      </c>
      <c r="BE54" s="43" t="s">
        <v>2873</v>
      </c>
      <c r="BF54" s="43"/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0</v>
      </c>
      <c r="BN54" s="43" t="s">
        <v>2874</v>
      </c>
      <c r="BO54" s="44">
        <v>46227.494444444441</v>
      </c>
      <c r="BP54" s="43">
        <v>6980.4</v>
      </c>
    </row>
    <row r="55" spans="1:68" ht="15" customHeight="1" x14ac:dyDescent="0.35">
      <c r="A55" s="76"/>
      <c r="B55" s="43" t="s">
        <v>1052</v>
      </c>
      <c r="C55" s="43" t="s">
        <v>3275</v>
      </c>
      <c r="D55" s="43" t="s">
        <v>3276</v>
      </c>
      <c r="E55" s="43" t="s">
        <v>1070</v>
      </c>
      <c r="F55" s="43" t="s">
        <v>859</v>
      </c>
      <c r="G55" s="43">
        <v>3</v>
      </c>
      <c r="H55" s="43" t="s">
        <v>2875</v>
      </c>
      <c r="I55" s="43">
        <v>0</v>
      </c>
      <c r="J55" s="43">
        <v>4164</v>
      </c>
      <c r="K55" s="43" t="s">
        <v>1055</v>
      </c>
      <c r="L55" s="43">
        <v>4164</v>
      </c>
      <c r="M55" s="43">
        <v>0</v>
      </c>
      <c r="N55" s="43">
        <f>4164</f>
        <v>4164</v>
      </c>
      <c r="O55" s="43" t="s">
        <v>3053</v>
      </c>
      <c r="P55" s="43" t="s">
        <v>3277</v>
      </c>
      <c r="Q55" s="43" t="s">
        <v>3277</v>
      </c>
      <c r="R55" s="43" t="s">
        <v>3278</v>
      </c>
      <c r="S55" s="43" t="s">
        <v>3267</v>
      </c>
      <c r="T55" s="43" t="s">
        <v>2877</v>
      </c>
      <c r="U55" s="43" t="s">
        <v>2878</v>
      </c>
      <c r="V55" s="43" t="s">
        <v>3279</v>
      </c>
      <c r="W55" s="43">
        <v>142.00772814601299</v>
      </c>
      <c r="X55" s="43">
        <v>0</v>
      </c>
      <c r="Y55" s="43" t="s">
        <v>3278</v>
      </c>
      <c r="Z55" s="43" t="s">
        <v>3267</v>
      </c>
      <c r="AA55" s="43"/>
      <c r="AB55" s="43"/>
      <c r="AC55" s="43"/>
      <c r="AD55" s="43" t="s">
        <v>2879</v>
      </c>
      <c r="AE55" s="43" t="s">
        <v>3267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 t="s">
        <v>2871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/>
      <c r="AR55" s="43">
        <v>0</v>
      </c>
      <c r="AS55" s="43">
        <v>0</v>
      </c>
      <c r="AT55" s="43">
        <v>0</v>
      </c>
      <c r="AU55" s="43" t="s">
        <v>628</v>
      </c>
      <c r="AV55" s="43" t="s">
        <v>638</v>
      </c>
      <c r="AW55" s="43" t="s">
        <v>652</v>
      </c>
      <c r="AX55" s="43" t="s">
        <v>31</v>
      </c>
      <c r="AY55" s="43" t="s">
        <v>2872</v>
      </c>
      <c r="AZ55" s="43">
        <v>0</v>
      </c>
      <c r="BA55" s="43">
        <v>0</v>
      </c>
      <c r="BB55" s="43">
        <v>664</v>
      </c>
      <c r="BC55" s="43" t="s">
        <v>3267</v>
      </c>
      <c r="BD55" s="43" t="s">
        <v>3280</v>
      </c>
      <c r="BE55" s="43" t="s">
        <v>2873</v>
      </c>
      <c r="BF55" s="43"/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 t="s">
        <v>2874</v>
      </c>
      <c r="BO55" s="44">
        <v>46227.494444444441</v>
      </c>
      <c r="BP55" s="43">
        <v>4164</v>
      </c>
    </row>
    <row r="56" spans="1:68" ht="15" customHeight="1" x14ac:dyDescent="0.35">
      <c r="A56" s="76"/>
      <c r="B56" s="43" t="s">
        <v>1052</v>
      </c>
      <c r="C56" s="43" t="s">
        <v>3275</v>
      </c>
      <c r="D56" s="43" t="s">
        <v>3276</v>
      </c>
      <c r="E56" s="43" t="s">
        <v>1063</v>
      </c>
      <c r="F56" s="43" t="s">
        <v>679</v>
      </c>
      <c r="G56" s="43">
        <v>2</v>
      </c>
      <c r="H56" s="43" t="s">
        <v>2875</v>
      </c>
      <c r="I56" s="43">
        <v>0</v>
      </c>
      <c r="J56" s="43">
        <v>2698</v>
      </c>
      <c r="K56" s="43" t="s">
        <v>1055</v>
      </c>
      <c r="L56" s="43">
        <v>2698</v>
      </c>
      <c r="M56" s="43">
        <v>0</v>
      </c>
      <c r="N56" s="43">
        <v>2698</v>
      </c>
      <c r="O56" s="43" t="s">
        <v>3053</v>
      </c>
      <c r="P56" s="43" t="s">
        <v>3277</v>
      </c>
      <c r="Q56" s="43" t="s">
        <v>3277</v>
      </c>
      <c r="R56" s="43" t="s">
        <v>3278</v>
      </c>
      <c r="S56" s="43" t="s">
        <v>3267</v>
      </c>
      <c r="T56" s="43" t="s">
        <v>2877</v>
      </c>
      <c r="U56" s="43" t="s">
        <v>2878</v>
      </c>
      <c r="V56" s="43" t="s">
        <v>3279</v>
      </c>
      <c r="W56" s="43">
        <v>138.941071163825</v>
      </c>
      <c r="X56" s="43">
        <v>0</v>
      </c>
      <c r="Y56" s="43" t="s">
        <v>3278</v>
      </c>
      <c r="Z56" s="43" t="s">
        <v>3267</v>
      </c>
      <c r="AA56" s="43"/>
      <c r="AB56" s="43"/>
      <c r="AC56" s="43"/>
      <c r="AD56" s="43" t="s">
        <v>2879</v>
      </c>
      <c r="AE56" s="43" t="s">
        <v>3267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 t="s">
        <v>2871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/>
      <c r="AR56" s="43">
        <v>0</v>
      </c>
      <c r="AS56" s="43">
        <v>0</v>
      </c>
      <c r="AT56" s="43">
        <v>0</v>
      </c>
      <c r="AU56" s="43" t="s">
        <v>628</v>
      </c>
      <c r="AV56" s="43" t="s">
        <v>638</v>
      </c>
      <c r="AW56" s="43" t="s">
        <v>639</v>
      </c>
      <c r="AX56" s="43" t="s">
        <v>31</v>
      </c>
      <c r="AY56" s="43" t="s">
        <v>2872</v>
      </c>
      <c r="AZ56" s="43">
        <v>0</v>
      </c>
      <c r="BA56" s="43">
        <v>0</v>
      </c>
      <c r="BB56" s="43">
        <v>664</v>
      </c>
      <c r="BC56" s="43" t="s">
        <v>3267</v>
      </c>
      <c r="BD56" s="43" t="s">
        <v>3280</v>
      </c>
      <c r="BE56" s="43" t="s">
        <v>2873</v>
      </c>
      <c r="BF56" s="43"/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 t="s">
        <v>2874</v>
      </c>
      <c r="BO56" s="44">
        <v>46227.494444444441</v>
      </c>
      <c r="BP56" s="43">
        <v>2698</v>
      </c>
    </row>
    <row r="57" spans="1:68" ht="15" customHeight="1" x14ac:dyDescent="0.35">
      <c r="A57" s="76"/>
      <c r="B57" s="43" t="s">
        <v>1052</v>
      </c>
      <c r="C57" s="43" t="s">
        <v>3275</v>
      </c>
      <c r="D57" s="43" t="s">
        <v>3276</v>
      </c>
      <c r="E57" s="43" t="s">
        <v>1066</v>
      </c>
      <c r="F57" s="43" t="s">
        <v>818</v>
      </c>
      <c r="G57" s="43">
        <v>4</v>
      </c>
      <c r="H57" s="43" t="s">
        <v>2875</v>
      </c>
      <c r="I57" s="43">
        <v>0</v>
      </c>
      <c r="J57" s="43">
        <v>2166.1999999999998</v>
      </c>
      <c r="K57" s="43" t="s">
        <v>1055</v>
      </c>
      <c r="L57" s="43">
        <v>2166.1999999999998</v>
      </c>
      <c r="M57" s="43">
        <v>0</v>
      </c>
      <c r="N57" s="43">
        <v>2166.1999999999998</v>
      </c>
      <c r="O57" s="43" t="s">
        <v>3053</v>
      </c>
      <c r="P57" s="43" t="s">
        <v>3277</v>
      </c>
      <c r="Q57" s="43" t="s">
        <v>3277</v>
      </c>
      <c r="R57" s="43" t="s">
        <v>3278</v>
      </c>
      <c r="S57" s="43" t="s">
        <v>3267</v>
      </c>
      <c r="T57" s="43" t="s">
        <v>2877</v>
      </c>
      <c r="U57" s="43" t="s">
        <v>2878</v>
      </c>
      <c r="V57" s="43" t="s">
        <v>3279</v>
      </c>
      <c r="W57" s="43">
        <v>148.73006647585601</v>
      </c>
      <c r="X57" s="43">
        <v>0</v>
      </c>
      <c r="Y57" s="43" t="s">
        <v>3278</v>
      </c>
      <c r="Z57" s="43" t="s">
        <v>3267</v>
      </c>
      <c r="AA57" s="43"/>
      <c r="AB57" s="43"/>
      <c r="AC57" s="43"/>
      <c r="AD57" s="43" t="s">
        <v>2879</v>
      </c>
      <c r="AE57" s="43" t="s">
        <v>3267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 t="s">
        <v>2871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/>
      <c r="AR57" s="43">
        <v>0</v>
      </c>
      <c r="AS57" s="43">
        <v>0</v>
      </c>
      <c r="AT57" s="43">
        <v>0</v>
      </c>
      <c r="AU57" s="43" t="s">
        <v>628</v>
      </c>
      <c r="AV57" s="43" t="s">
        <v>627</v>
      </c>
      <c r="AW57" s="43" t="s">
        <v>629</v>
      </c>
      <c r="AX57" s="43" t="s">
        <v>31</v>
      </c>
      <c r="AY57" s="43" t="s">
        <v>2872</v>
      </c>
      <c r="AZ57" s="43">
        <v>0</v>
      </c>
      <c r="BA57" s="43">
        <v>0</v>
      </c>
      <c r="BB57" s="43">
        <v>664</v>
      </c>
      <c r="BC57" s="43" t="s">
        <v>3267</v>
      </c>
      <c r="BD57" s="43" t="s">
        <v>3280</v>
      </c>
      <c r="BE57" s="43" t="s">
        <v>2873</v>
      </c>
      <c r="BF57" s="43"/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 t="s">
        <v>2874</v>
      </c>
      <c r="BO57" s="44">
        <v>46227.494444444441</v>
      </c>
      <c r="BP57" s="43">
        <v>2166.1999999999998</v>
      </c>
    </row>
    <row r="58" spans="1:68" ht="15" customHeight="1" x14ac:dyDescent="0.35">
      <c r="A58" s="76"/>
      <c r="B58" s="43" t="s">
        <v>1052</v>
      </c>
      <c r="C58" s="43" t="s">
        <v>3275</v>
      </c>
      <c r="D58" s="43" t="s">
        <v>3276</v>
      </c>
      <c r="E58" s="43" t="s">
        <v>2908</v>
      </c>
      <c r="F58" s="43" t="s">
        <v>728</v>
      </c>
      <c r="G58" s="43">
        <v>1</v>
      </c>
      <c r="H58" s="43" t="s">
        <v>2875</v>
      </c>
      <c r="I58" s="43">
        <v>0</v>
      </c>
      <c r="J58" s="43">
        <v>104</v>
      </c>
      <c r="K58" s="43" t="s">
        <v>1055</v>
      </c>
      <c r="L58" s="43">
        <v>104</v>
      </c>
      <c r="M58" s="43">
        <v>0</v>
      </c>
      <c r="N58" s="43">
        <v>104</v>
      </c>
      <c r="O58" s="43" t="s">
        <v>3053</v>
      </c>
      <c r="P58" s="43" t="s">
        <v>3277</v>
      </c>
      <c r="Q58" s="43" t="s">
        <v>3277</v>
      </c>
      <c r="R58" s="43" t="s">
        <v>3278</v>
      </c>
      <c r="S58" s="43" t="s">
        <v>3267</v>
      </c>
      <c r="T58" s="43" t="s">
        <v>2877</v>
      </c>
      <c r="U58" s="43" t="s">
        <v>2878</v>
      </c>
      <c r="V58" s="43" t="s">
        <v>3279</v>
      </c>
      <c r="W58" s="43">
        <v>160.59528846153799</v>
      </c>
      <c r="X58" s="43">
        <v>0</v>
      </c>
      <c r="Y58" s="43" t="s">
        <v>3278</v>
      </c>
      <c r="Z58" s="43" t="s">
        <v>3267</v>
      </c>
      <c r="AA58" s="43"/>
      <c r="AB58" s="43"/>
      <c r="AC58" s="43"/>
      <c r="AD58" s="43" t="s">
        <v>2879</v>
      </c>
      <c r="AE58" s="43" t="s">
        <v>3267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 t="s">
        <v>2871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/>
      <c r="AR58" s="43">
        <v>0</v>
      </c>
      <c r="AS58" s="43">
        <v>0</v>
      </c>
      <c r="AT58" s="43">
        <v>0</v>
      </c>
      <c r="AU58" s="43" t="s">
        <v>628</v>
      </c>
      <c r="AV58" s="43" t="s">
        <v>2909</v>
      </c>
      <c r="AW58" s="43" t="s">
        <v>180</v>
      </c>
      <c r="AX58" s="43" t="s">
        <v>31</v>
      </c>
      <c r="AY58" s="43" t="s">
        <v>2872</v>
      </c>
      <c r="AZ58" s="43">
        <v>0</v>
      </c>
      <c r="BA58" s="43">
        <v>0</v>
      </c>
      <c r="BB58" s="43">
        <v>664</v>
      </c>
      <c r="BC58" s="43" t="s">
        <v>3267</v>
      </c>
      <c r="BD58" s="43" t="s">
        <v>3280</v>
      </c>
      <c r="BE58" s="43" t="s">
        <v>2873</v>
      </c>
      <c r="BF58" s="43"/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 t="s">
        <v>2874</v>
      </c>
      <c r="BO58" s="44">
        <v>46227.494444444441</v>
      </c>
      <c r="BP58" s="43">
        <v>104</v>
      </c>
    </row>
    <row r="59" spans="1:68" ht="15" customHeight="1" x14ac:dyDescent="0.35">
      <c r="A59" s="76"/>
      <c r="B59" s="43" t="s">
        <v>1052</v>
      </c>
      <c r="C59" s="43" t="s">
        <v>3312</v>
      </c>
      <c r="D59" s="43" t="s">
        <v>3313</v>
      </c>
      <c r="E59" s="43" t="s">
        <v>2756</v>
      </c>
      <c r="F59" s="39" t="s">
        <v>611</v>
      </c>
      <c r="G59" s="43">
        <v>1</v>
      </c>
      <c r="H59" s="43" t="s">
        <v>2875</v>
      </c>
      <c r="I59" s="43">
        <v>0</v>
      </c>
      <c r="J59" s="43">
        <v>2475</v>
      </c>
      <c r="K59" s="43" t="s">
        <v>1055</v>
      </c>
      <c r="L59" s="43">
        <v>2475</v>
      </c>
      <c r="M59" s="43">
        <v>0</v>
      </c>
      <c r="N59" s="43">
        <v>2475</v>
      </c>
      <c r="O59" s="43" t="s">
        <v>3107</v>
      </c>
      <c r="P59" s="43" t="s">
        <v>3086</v>
      </c>
      <c r="Q59" s="43" t="s">
        <v>3086</v>
      </c>
      <c r="R59" s="43" t="s">
        <v>3314</v>
      </c>
      <c r="S59" s="43" t="s">
        <v>3275</v>
      </c>
      <c r="T59" s="43" t="s">
        <v>2877</v>
      </c>
      <c r="U59" s="43" t="s">
        <v>2878</v>
      </c>
      <c r="V59" s="43" t="s">
        <v>3315</v>
      </c>
      <c r="W59" s="43">
        <v>195</v>
      </c>
      <c r="X59" s="43">
        <v>0</v>
      </c>
      <c r="Y59" s="43" t="s">
        <v>3314</v>
      </c>
      <c r="Z59" s="43" t="s">
        <v>3275</v>
      </c>
      <c r="AA59" s="43"/>
      <c r="AB59" s="43"/>
      <c r="AC59" s="43"/>
      <c r="AD59" s="43" t="s">
        <v>3089</v>
      </c>
      <c r="AE59" s="43" t="s">
        <v>3316</v>
      </c>
      <c r="AF59" s="43">
        <v>0</v>
      </c>
      <c r="AG59" s="43">
        <v>0</v>
      </c>
      <c r="AH59" s="43">
        <v>0</v>
      </c>
      <c r="AI59" s="43">
        <v>0</v>
      </c>
      <c r="AJ59" s="43">
        <v>0</v>
      </c>
      <c r="AK59" s="43" t="s">
        <v>2871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/>
      <c r="AR59" s="43">
        <v>0</v>
      </c>
      <c r="AS59" s="43">
        <v>0</v>
      </c>
      <c r="AT59" s="43">
        <v>0</v>
      </c>
      <c r="AU59" s="43" t="s">
        <v>31</v>
      </c>
      <c r="AV59" s="43" t="s">
        <v>1032</v>
      </c>
      <c r="AW59" s="43" t="s">
        <v>55</v>
      </c>
      <c r="AX59" s="43" t="s">
        <v>31</v>
      </c>
      <c r="AY59" s="43" t="s">
        <v>2872</v>
      </c>
      <c r="AZ59" s="43">
        <v>0</v>
      </c>
      <c r="BA59" s="43">
        <v>0</v>
      </c>
      <c r="BB59" s="43">
        <v>669</v>
      </c>
      <c r="BC59" s="43" t="s">
        <v>3275</v>
      </c>
      <c r="BD59" s="43" t="s">
        <v>2865</v>
      </c>
      <c r="BE59" s="43" t="s">
        <v>2873</v>
      </c>
      <c r="BF59" s="43"/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 t="s">
        <v>2874</v>
      </c>
      <c r="BO59" s="44">
        <v>46228.427083333336</v>
      </c>
      <c r="BP59" s="43">
        <v>2475</v>
      </c>
    </row>
    <row r="60" spans="1:68" ht="15" customHeight="1" x14ac:dyDescent="0.35">
      <c r="A60" s="76"/>
      <c r="B60" s="43" t="s">
        <v>1052</v>
      </c>
      <c r="C60" s="43" t="s">
        <v>3312</v>
      </c>
      <c r="D60" s="43" t="s">
        <v>3313</v>
      </c>
      <c r="E60" s="43" t="s">
        <v>3317</v>
      </c>
      <c r="F60" s="43" t="s">
        <v>1059</v>
      </c>
      <c r="G60" s="43">
        <v>2</v>
      </c>
      <c r="H60" s="43" t="s">
        <v>2875</v>
      </c>
      <c r="I60" s="43">
        <v>0</v>
      </c>
      <c r="J60" s="43">
        <v>5000</v>
      </c>
      <c r="K60" s="43" t="s">
        <v>1055</v>
      </c>
      <c r="L60" s="43">
        <v>5000</v>
      </c>
      <c r="M60" s="43">
        <v>0</v>
      </c>
      <c r="N60" s="43">
        <v>5000</v>
      </c>
      <c r="O60" s="43" t="s">
        <v>3107</v>
      </c>
      <c r="P60" s="43" t="s">
        <v>3086</v>
      </c>
      <c r="Q60" s="43" t="s">
        <v>3086</v>
      </c>
      <c r="R60" s="43" t="s">
        <v>3314</v>
      </c>
      <c r="S60" s="43" t="s">
        <v>3275</v>
      </c>
      <c r="T60" s="43" t="s">
        <v>2877</v>
      </c>
      <c r="U60" s="43" t="s">
        <v>2878</v>
      </c>
      <c r="V60" s="43" t="s">
        <v>3315</v>
      </c>
      <c r="W60" s="43">
        <v>115</v>
      </c>
      <c r="X60" s="43">
        <v>0</v>
      </c>
      <c r="Y60" s="43" t="s">
        <v>3314</v>
      </c>
      <c r="Z60" s="43" t="s">
        <v>3275</v>
      </c>
      <c r="AA60" s="43"/>
      <c r="AB60" s="43"/>
      <c r="AC60" s="43"/>
      <c r="AD60" s="43" t="s">
        <v>3089</v>
      </c>
      <c r="AE60" s="43" t="s">
        <v>3316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 t="s">
        <v>2871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/>
      <c r="AR60" s="43">
        <v>0</v>
      </c>
      <c r="AS60" s="43">
        <v>0</v>
      </c>
      <c r="AT60" s="43">
        <v>0</v>
      </c>
      <c r="AU60" s="43" t="s">
        <v>31</v>
      </c>
      <c r="AV60" s="43" t="s">
        <v>1032</v>
      </c>
      <c r="AW60" s="43" t="s">
        <v>1059</v>
      </c>
      <c r="AX60" s="43" t="s">
        <v>31</v>
      </c>
      <c r="AY60" s="43"/>
      <c r="AZ60" s="43">
        <v>0</v>
      </c>
      <c r="BA60" s="43">
        <v>0</v>
      </c>
      <c r="BB60" s="43">
        <v>669</v>
      </c>
      <c r="BC60" s="43" t="s">
        <v>3275</v>
      </c>
      <c r="BD60" s="43" t="s">
        <v>2865</v>
      </c>
      <c r="BE60" s="43" t="s">
        <v>2873</v>
      </c>
      <c r="BF60" s="43"/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 t="s">
        <v>2874</v>
      </c>
      <c r="BO60" s="44">
        <v>46228.427083333336</v>
      </c>
      <c r="BP60" s="43">
        <v>5000</v>
      </c>
    </row>
    <row r="61" spans="1:68" ht="15" customHeight="1" x14ac:dyDescent="0.35">
      <c r="A61" s="76"/>
      <c r="B61" s="43" t="s">
        <v>1052</v>
      </c>
      <c r="C61" s="43" t="s">
        <v>3312</v>
      </c>
      <c r="D61" s="43" t="s">
        <v>3318</v>
      </c>
      <c r="E61" s="43" t="s">
        <v>2908</v>
      </c>
      <c r="F61" s="43" t="s">
        <v>728</v>
      </c>
      <c r="G61" s="43">
        <v>1</v>
      </c>
      <c r="H61" s="43" t="s">
        <v>2875</v>
      </c>
      <c r="I61" s="43">
        <v>0</v>
      </c>
      <c r="J61" s="43">
        <v>311.8</v>
      </c>
      <c r="K61" s="43" t="s">
        <v>1055</v>
      </c>
      <c r="L61" s="43">
        <v>311.8</v>
      </c>
      <c r="M61" s="43">
        <v>0</v>
      </c>
      <c r="N61" s="43">
        <f>311.8</f>
        <v>311.8</v>
      </c>
      <c r="O61" s="43" t="s">
        <v>3319</v>
      </c>
      <c r="P61" s="43" t="s">
        <v>2876</v>
      </c>
      <c r="Q61" s="43" t="s">
        <v>2876</v>
      </c>
      <c r="R61" s="43" t="s">
        <v>3320</v>
      </c>
      <c r="S61" s="43" t="s">
        <v>3275</v>
      </c>
      <c r="T61" s="43" t="s">
        <v>2877</v>
      </c>
      <c r="U61" s="43" t="s">
        <v>2878</v>
      </c>
      <c r="V61" s="43" t="s">
        <v>3321</v>
      </c>
      <c r="W61" s="43">
        <v>160.59631173829399</v>
      </c>
      <c r="X61" s="43">
        <v>0</v>
      </c>
      <c r="Y61" s="43" t="s">
        <v>3320</v>
      </c>
      <c r="Z61" s="43" t="s">
        <v>3275</v>
      </c>
      <c r="AA61" s="43"/>
      <c r="AB61" s="43"/>
      <c r="AC61" s="43"/>
      <c r="AD61" s="43" t="s">
        <v>2879</v>
      </c>
      <c r="AE61" s="43" t="s">
        <v>3275</v>
      </c>
      <c r="AF61" s="43">
        <v>0</v>
      </c>
      <c r="AG61" s="43">
        <v>0</v>
      </c>
      <c r="AH61" s="43">
        <v>0</v>
      </c>
      <c r="AI61" s="43">
        <v>0</v>
      </c>
      <c r="AJ61" s="43">
        <v>0</v>
      </c>
      <c r="AK61" s="43" t="s">
        <v>2871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/>
      <c r="AR61" s="43">
        <v>0</v>
      </c>
      <c r="AS61" s="43">
        <v>0</v>
      </c>
      <c r="AT61" s="43">
        <v>0</v>
      </c>
      <c r="AU61" s="43" t="s">
        <v>628</v>
      </c>
      <c r="AV61" s="43" t="s">
        <v>2909</v>
      </c>
      <c r="AW61" s="43" t="s">
        <v>180</v>
      </c>
      <c r="AX61" s="43" t="s">
        <v>31</v>
      </c>
      <c r="AY61" s="43" t="s">
        <v>2872</v>
      </c>
      <c r="AZ61" s="43">
        <v>0</v>
      </c>
      <c r="BA61" s="43">
        <v>0</v>
      </c>
      <c r="BB61" s="43">
        <v>670</v>
      </c>
      <c r="BC61" s="43" t="s">
        <v>3275</v>
      </c>
      <c r="BD61" s="43" t="s">
        <v>2870</v>
      </c>
      <c r="BE61" s="43" t="s">
        <v>2873</v>
      </c>
      <c r="BF61" s="43"/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 t="s">
        <v>2874</v>
      </c>
      <c r="BO61" s="44">
        <v>46228.43472222222</v>
      </c>
      <c r="BP61" s="43">
        <v>311.8</v>
      </c>
    </row>
    <row r="62" spans="1:68" ht="15" customHeight="1" x14ac:dyDescent="0.35">
      <c r="A62" s="76"/>
      <c r="B62" s="43" t="s">
        <v>1052</v>
      </c>
      <c r="C62" s="43" t="s">
        <v>3312</v>
      </c>
      <c r="D62" s="43" t="s">
        <v>3318</v>
      </c>
      <c r="E62" s="43" t="s">
        <v>1065</v>
      </c>
      <c r="F62" s="43" t="s">
        <v>773</v>
      </c>
      <c r="G62" s="43">
        <v>3</v>
      </c>
      <c r="H62" s="43" t="s">
        <v>2875</v>
      </c>
      <c r="I62" s="43">
        <v>0</v>
      </c>
      <c r="J62" s="43">
        <v>495.8</v>
      </c>
      <c r="K62" s="43" t="s">
        <v>1055</v>
      </c>
      <c r="L62" s="43">
        <v>495.8</v>
      </c>
      <c r="M62" s="43">
        <v>0</v>
      </c>
      <c r="N62" s="43">
        <f>495.8</f>
        <v>495.8</v>
      </c>
      <c r="O62" s="43" t="s">
        <v>3319</v>
      </c>
      <c r="P62" s="43" t="s">
        <v>2876</v>
      </c>
      <c r="Q62" s="43" t="s">
        <v>2876</v>
      </c>
      <c r="R62" s="43" t="s">
        <v>3320</v>
      </c>
      <c r="S62" s="43" t="s">
        <v>3275</v>
      </c>
      <c r="T62" s="43" t="s">
        <v>2877</v>
      </c>
      <c r="U62" s="43" t="s">
        <v>2878</v>
      </c>
      <c r="V62" s="43" t="s">
        <v>3321</v>
      </c>
      <c r="W62" s="43">
        <v>134.50008067769301</v>
      </c>
      <c r="X62" s="43">
        <v>0</v>
      </c>
      <c r="Y62" s="43" t="s">
        <v>3320</v>
      </c>
      <c r="Z62" s="43" t="s">
        <v>3275</v>
      </c>
      <c r="AA62" s="43"/>
      <c r="AB62" s="43"/>
      <c r="AC62" s="43"/>
      <c r="AD62" s="43" t="s">
        <v>2879</v>
      </c>
      <c r="AE62" s="43" t="s">
        <v>3275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 t="s">
        <v>2871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/>
      <c r="AR62" s="43">
        <v>0</v>
      </c>
      <c r="AS62" s="43">
        <v>0</v>
      </c>
      <c r="AT62" s="43">
        <v>0</v>
      </c>
      <c r="AU62" s="43" t="s">
        <v>628</v>
      </c>
      <c r="AV62" s="43" t="s">
        <v>771</v>
      </c>
      <c r="AW62" s="43" t="s">
        <v>773</v>
      </c>
      <c r="AX62" s="43" t="s">
        <v>31</v>
      </c>
      <c r="AY62" s="43" t="s">
        <v>2872</v>
      </c>
      <c r="AZ62" s="43">
        <v>0</v>
      </c>
      <c r="BA62" s="43">
        <v>0</v>
      </c>
      <c r="BB62" s="43">
        <v>670</v>
      </c>
      <c r="BC62" s="43" t="s">
        <v>3275</v>
      </c>
      <c r="BD62" s="43" t="s">
        <v>2870</v>
      </c>
      <c r="BE62" s="43" t="s">
        <v>2873</v>
      </c>
      <c r="BF62" s="43"/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 t="s">
        <v>2874</v>
      </c>
      <c r="BO62" s="44">
        <v>46228.43472222222</v>
      </c>
      <c r="BP62" s="43">
        <v>495.8</v>
      </c>
    </row>
    <row r="63" spans="1:68" ht="15" customHeight="1" x14ac:dyDescent="0.35">
      <c r="A63" s="76"/>
      <c r="B63" s="43" t="s">
        <v>1052</v>
      </c>
      <c r="C63" s="43" t="s">
        <v>3312</v>
      </c>
      <c r="D63" s="43" t="s">
        <v>3318</v>
      </c>
      <c r="E63" s="43" t="s">
        <v>1063</v>
      </c>
      <c r="F63" s="43" t="s">
        <v>679</v>
      </c>
      <c r="G63" s="43">
        <v>4</v>
      </c>
      <c r="H63" s="43" t="s">
        <v>2875</v>
      </c>
      <c r="I63" s="43">
        <v>0</v>
      </c>
      <c r="J63" s="43">
        <v>268</v>
      </c>
      <c r="K63" s="43" t="s">
        <v>1055</v>
      </c>
      <c r="L63" s="43">
        <v>268</v>
      </c>
      <c r="M63" s="43">
        <v>0</v>
      </c>
      <c r="N63" s="43">
        <f>268</f>
        <v>268</v>
      </c>
      <c r="O63" s="43" t="s">
        <v>3319</v>
      </c>
      <c r="P63" s="43" t="s">
        <v>2876</v>
      </c>
      <c r="Q63" s="43" t="s">
        <v>2876</v>
      </c>
      <c r="R63" s="43" t="s">
        <v>3320</v>
      </c>
      <c r="S63" s="43" t="s">
        <v>3275</v>
      </c>
      <c r="T63" s="43" t="s">
        <v>2877</v>
      </c>
      <c r="U63" s="43" t="s">
        <v>2878</v>
      </c>
      <c r="V63" s="43" t="s">
        <v>3321</v>
      </c>
      <c r="W63" s="43">
        <v>103.04</v>
      </c>
      <c r="X63" s="43">
        <v>0</v>
      </c>
      <c r="Y63" s="43" t="s">
        <v>3320</v>
      </c>
      <c r="Z63" s="43" t="s">
        <v>3275</v>
      </c>
      <c r="AA63" s="43"/>
      <c r="AB63" s="43"/>
      <c r="AC63" s="43"/>
      <c r="AD63" s="43" t="s">
        <v>2879</v>
      </c>
      <c r="AE63" s="43" t="s">
        <v>3275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 t="s">
        <v>2871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/>
      <c r="AR63" s="43">
        <v>0</v>
      </c>
      <c r="AS63" s="43">
        <v>0</v>
      </c>
      <c r="AT63" s="43">
        <v>0</v>
      </c>
      <c r="AU63" s="43" t="s">
        <v>628</v>
      </c>
      <c r="AV63" s="43" t="s">
        <v>638</v>
      </c>
      <c r="AW63" s="43" t="s">
        <v>639</v>
      </c>
      <c r="AX63" s="43" t="s">
        <v>31</v>
      </c>
      <c r="AY63" s="43" t="s">
        <v>2872</v>
      </c>
      <c r="AZ63" s="43">
        <v>0</v>
      </c>
      <c r="BA63" s="43">
        <v>0</v>
      </c>
      <c r="BB63" s="43">
        <v>670</v>
      </c>
      <c r="BC63" s="43" t="s">
        <v>3275</v>
      </c>
      <c r="BD63" s="43" t="s">
        <v>2870</v>
      </c>
      <c r="BE63" s="43" t="s">
        <v>2873</v>
      </c>
      <c r="BF63" s="43"/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 t="s">
        <v>2874</v>
      </c>
      <c r="BO63" s="44">
        <v>46228.43472222222</v>
      </c>
      <c r="BP63" s="43">
        <v>268</v>
      </c>
    </row>
    <row r="64" spans="1:68" ht="15" customHeight="1" x14ac:dyDescent="0.35">
      <c r="A64" s="76"/>
      <c r="B64" s="43" t="s">
        <v>1052</v>
      </c>
      <c r="C64" s="43" t="s">
        <v>3312</v>
      </c>
      <c r="D64" s="43" t="s">
        <v>3318</v>
      </c>
      <c r="E64" s="43" t="s">
        <v>1070</v>
      </c>
      <c r="F64" s="43" t="s">
        <v>859</v>
      </c>
      <c r="G64" s="43">
        <v>2</v>
      </c>
      <c r="H64" s="43" t="s">
        <v>2875</v>
      </c>
      <c r="I64" s="43">
        <v>0</v>
      </c>
      <c r="J64" s="43">
        <v>3592.8</v>
      </c>
      <c r="K64" s="43" t="s">
        <v>1055</v>
      </c>
      <c r="L64" s="43">
        <v>3592.8</v>
      </c>
      <c r="M64" s="43">
        <v>0</v>
      </c>
      <c r="N64" s="43">
        <v>3592.8</v>
      </c>
      <c r="O64" s="43" t="s">
        <v>3319</v>
      </c>
      <c r="P64" s="43" t="s">
        <v>2876</v>
      </c>
      <c r="Q64" s="43" t="s">
        <v>2876</v>
      </c>
      <c r="R64" s="43" t="s">
        <v>3320</v>
      </c>
      <c r="S64" s="43" t="s">
        <v>3275</v>
      </c>
      <c r="T64" s="43" t="s">
        <v>2877</v>
      </c>
      <c r="U64" s="43" t="s">
        <v>2878</v>
      </c>
      <c r="V64" s="43" t="s">
        <v>3321</v>
      </c>
      <c r="W64" s="43">
        <v>142.746646069918</v>
      </c>
      <c r="X64" s="43">
        <v>0</v>
      </c>
      <c r="Y64" s="43" t="s">
        <v>3320</v>
      </c>
      <c r="Z64" s="43" t="s">
        <v>3275</v>
      </c>
      <c r="AA64" s="43"/>
      <c r="AB64" s="43"/>
      <c r="AC64" s="43"/>
      <c r="AD64" s="43" t="s">
        <v>2879</v>
      </c>
      <c r="AE64" s="43" t="s">
        <v>3275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3" t="s">
        <v>2871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/>
      <c r="AR64" s="43">
        <v>0</v>
      </c>
      <c r="AS64" s="43">
        <v>0</v>
      </c>
      <c r="AT64" s="43">
        <v>0</v>
      </c>
      <c r="AU64" s="43" t="s">
        <v>628</v>
      </c>
      <c r="AV64" s="43" t="s">
        <v>638</v>
      </c>
      <c r="AW64" s="43" t="s">
        <v>652</v>
      </c>
      <c r="AX64" s="43" t="s">
        <v>31</v>
      </c>
      <c r="AY64" s="43" t="s">
        <v>2872</v>
      </c>
      <c r="AZ64" s="43">
        <v>0</v>
      </c>
      <c r="BA64" s="43">
        <v>0</v>
      </c>
      <c r="BB64" s="43">
        <v>670</v>
      </c>
      <c r="BC64" s="43" t="s">
        <v>3275</v>
      </c>
      <c r="BD64" s="43" t="s">
        <v>2870</v>
      </c>
      <c r="BE64" s="43" t="s">
        <v>2873</v>
      </c>
      <c r="BF64" s="43"/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 t="s">
        <v>2874</v>
      </c>
      <c r="BO64" s="44">
        <v>46228.43472222222</v>
      </c>
      <c r="BP64" s="43">
        <v>3592.8</v>
      </c>
    </row>
    <row r="65" spans="1:69" ht="15" customHeight="1" x14ac:dyDescent="0.35">
      <c r="A65" s="76"/>
      <c r="B65" s="43" t="s">
        <v>1052</v>
      </c>
      <c r="C65" s="43" t="s">
        <v>3337</v>
      </c>
      <c r="D65" s="43" t="s">
        <v>3338</v>
      </c>
      <c r="E65" s="43" t="s">
        <v>1063</v>
      </c>
      <c r="F65" s="43" t="s">
        <v>679</v>
      </c>
      <c r="G65" s="43">
        <v>4</v>
      </c>
      <c r="H65" s="43" t="s">
        <v>2875</v>
      </c>
      <c r="I65" s="43">
        <v>0</v>
      </c>
      <c r="J65" s="43">
        <v>5258</v>
      </c>
      <c r="K65" s="43" t="s">
        <v>1055</v>
      </c>
      <c r="L65" s="43">
        <v>5258</v>
      </c>
      <c r="M65" s="43">
        <v>0</v>
      </c>
      <c r="N65" s="43">
        <v>5258</v>
      </c>
      <c r="O65" s="43" t="s">
        <v>3339</v>
      </c>
      <c r="P65" s="43" t="s">
        <v>2876</v>
      </c>
      <c r="Q65" s="43" t="s">
        <v>2876</v>
      </c>
      <c r="R65" s="43" t="s">
        <v>3340</v>
      </c>
      <c r="S65" s="43" t="s">
        <v>3312</v>
      </c>
      <c r="T65" s="43" t="s">
        <v>2877</v>
      </c>
      <c r="U65" s="43" t="s">
        <v>2878</v>
      </c>
      <c r="V65" s="43" t="s">
        <v>3341</v>
      </c>
      <c r="W65" s="43">
        <v>138.941000380373</v>
      </c>
      <c r="X65" s="43">
        <v>0</v>
      </c>
      <c r="Y65" s="43" t="s">
        <v>3340</v>
      </c>
      <c r="Z65" s="43" t="s">
        <v>3312</v>
      </c>
      <c r="AA65" s="43"/>
      <c r="AB65" s="43"/>
      <c r="AC65" s="43"/>
      <c r="AD65" s="43" t="s">
        <v>2879</v>
      </c>
      <c r="AE65" s="43" t="s">
        <v>3312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 t="s">
        <v>2871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/>
      <c r="AR65" s="43">
        <v>0</v>
      </c>
      <c r="AS65" s="43">
        <v>0</v>
      </c>
      <c r="AT65" s="43">
        <v>0</v>
      </c>
      <c r="AU65" s="43" t="s">
        <v>628</v>
      </c>
      <c r="AV65" s="43" t="s">
        <v>638</v>
      </c>
      <c r="AW65" s="43" t="s">
        <v>639</v>
      </c>
      <c r="AX65" s="43" t="s">
        <v>31</v>
      </c>
      <c r="AY65" s="43" t="s">
        <v>2872</v>
      </c>
      <c r="AZ65" s="43">
        <v>0</v>
      </c>
      <c r="BA65" s="43">
        <v>0</v>
      </c>
      <c r="BB65" s="43">
        <v>683</v>
      </c>
      <c r="BC65" s="43" t="s">
        <v>3312</v>
      </c>
      <c r="BD65" s="43" t="s">
        <v>2870</v>
      </c>
      <c r="BE65" s="43" t="s">
        <v>2873</v>
      </c>
      <c r="BF65" s="43"/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 t="s">
        <v>2874</v>
      </c>
      <c r="BO65" s="44">
        <v>46230.606944444444</v>
      </c>
      <c r="BP65" s="43">
        <v>5258</v>
      </c>
    </row>
    <row r="66" spans="1:69" ht="15" customHeight="1" x14ac:dyDescent="0.35">
      <c r="A66" s="76"/>
      <c r="B66" s="43" t="s">
        <v>1052</v>
      </c>
      <c r="C66" s="43" t="s">
        <v>3337</v>
      </c>
      <c r="D66" s="43" t="s">
        <v>3338</v>
      </c>
      <c r="E66" s="43" t="s">
        <v>3342</v>
      </c>
      <c r="F66" s="43" t="s">
        <v>679</v>
      </c>
      <c r="G66" s="43">
        <v>6</v>
      </c>
      <c r="H66" s="43" t="s">
        <v>2875</v>
      </c>
      <c r="I66" s="43">
        <v>0</v>
      </c>
      <c r="J66" s="43">
        <v>30</v>
      </c>
      <c r="K66" s="43" t="s">
        <v>1055</v>
      </c>
      <c r="L66" s="43">
        <v>30</v>
      </c>
      <c r="M66" s="43">
        <v>0</v>
      </c>
      <c r="N66" s="43">
        <v>30</v>
      </c>
      <c r="O66" s="43" t="s">
        <v>3339</v>
      </c>
      <c r="P66" s="43" t="s">
        <v>2876</v>
      </c>
      <c r="Q66" s="43" t="s">
        <v>2876</v>
      </c>
      <c r="R66" s="43" t="s">
        <v>3340</v>
      </c>
      <c r="S66" s="43" t="s">
        <v>3312</v>
      </c>
      <c r="T66" s="43" t="s">
        <v>2877</v>
      </c>
      <c r="U66" s="43" t="s">
        <v>2878</v>
      </c>
      <c r="V66" s="43" t="s">
        <v>3341</v>
      </c>
      <c r="W66" s="43">
        <v>138.941</v>
      </c>
      <c r="X66" s="43">
        <v>0</v>
      </c>
      <c r="Y66" s="43" t="s">
        <v>3340</v>
      </c>
      <c r="Z66" s="43" t="s">
        <v>3312</v>
      </c>
      <c r="AA66" s="43"/>
      <c r="AB66" s="43"/>
      <c r="AC66" s="43"/>
      <c r="AD66" s="43" t="s">
        <v>2879</v>
      </c>
      <c r="AE66" s="43" t="s">
        <v>3312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 t="s">
        <v>2871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/>
      <c r="AR66" s="43">
        <v>0</v>
      </c>
      <c r="AS66" s="43">
        <v>0</v>
      </c>
      <c r="AT66" s="43">
        <v>0</v>
      </c>
      <c r="AU66" s="43" t="s">
        <v>628</v>
      </c>
      <c r="AV66" s="43" t="s">
        <v>638</v>
      </c>
      <c r="AW66" s="43" t="s">
        <v>639</v>
      </c>
      <c r="AX66" s="43" t="s">
        <v>31</v>
      </c>
      <c r="AY66" s="43" t="s">
        <v>2872</v>
      </c>
      <c r="AZ66" s="43">
        <v>0</v>
      </c>
      <c r="BA66" s="43">
        <v>0</v>
      </c>
      <c r="BB66" s="43">
        <v>683</v>
      </c>
      <c r="BC66" s="43" t="s">
        <v>3312</v>
      </c>
      <c r="BD66" s="43" t="s">
        <v>2870</v>
      </c>
      <c r="BE66" s="43" t="s">
        <v>2873</v>
      </c>
      <c r="BF66" s="43"/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 t="s">
        <v>2874</v>
      </c>
      <c r="BO66" s="44">
        <v>46230.606944444444</v>
      </c>
      <c r="BP66" s="43">
        <v>30</v>
      </c>
    </row>
    <row r="67" spans="1:69" ht="15" customHeight="1" x14ac:dyDescent="0.35">
      <c r="A67" s="76"/>
      <c r="B67" s="43" t="s">
        <v>1052</v>
      </c>
      <c r="C67" s="43" t="s">
        <v>3337</v>
      </c>
      <c r="D67" s="43" t="s">
        <v>3338</v>
      </c>
      <c r="E67" s="43" t="s">
        <v>1070</v>
      </c>
      <c r="F67" s="43" t="s">
        <v>859</v>
      </c>
      <c r="G67" s="43">
        <v>5</v>
      </c>
      <c r="H67" s="43" t="s">
        <v>2875</v>
      </c>
      <c r="I67" s="43">
        <v>0</v>
      </c>
      <c r="J67" s="43">
        <v>6551</v>
      </c>
      <c r="K67" s="43" t="s">
        <v>1055</v>
      </c>
      <c r="L67" s="43">
        <v>6551</v>
      </c>
      <c r="M67" s="43">
        <v>0</v>
      </c>
      <c r="N67" s="43">
        <v>6551</v>
      </c>
      <c r="O67" s="43" t="s">
        <v>3339</v>
      </c>
      <c r="P67" s="43" t="s">
        <v>2876</v>
      </c>
      <c r="Q67" s="43" t="s">
        <v>2876</v>
      </c>
      <c r="R67" s="43" t="s">
        <v>3340</v>
      </c>
      <c r="S67" s="43" t="s">
        <v>3312</v>
      </c>
      <c r="T67" s="43" t="s">
        <v>2877</v>
      </c>
      <c r="U67" s="43" t="s">
        <v>2878</v>
      </c>
      <c r="V67" s="43" t="s">
        <v>3341</v>
      </c>
      <c r="W67" s="43">
        <v>142.007499618379</v>
      </c>
      <c r="X67" s="43">
        <v>0</v>
      </c>
      <c r="Y67" s="43" t="s">
        <v>3340</v>
      </c>
      <c r="Z67" s="43" t="s">
        <v>3312</v>
      </c>
      <c r="AA67" s="43"/>
      <c r="AB67" s="43"/>
      <c r="AC67" s="43"/>
      <c r="AD67" s="43" t="s">
        <v>2879</v>
      </c>
      <c r="AE67" s="43" t="s">
        <v>3312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 t="s">
        <v>2871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/>
      <c r="AR67" s="43">
        <v>0</v>
      </c>
      <c r="AS67" s="43">
        <v>0</v>
      </c>
      <c r="AT67" s="43">
        <v>0</v>
      </c>
      <c r="AU67" s="43" t="s">
        <v>628</v>
      </c>
      <c r="AV67" s="43" t="s">
        <v>638</v>
      </c>
      <c r="AW67" s="43" t="s">
        <v>652</v>
      </c>
      <c r="AX67" s="43" t="s">
        <v>31</v>
      </c>
      <c r="AY67" s="43" t="s">
        <v>2872</v>
      </c>
      <c r="AZ67" s="43">
        <v>0</v>
      </c>
      <c r="BA67" s="43">
        <v>0</v>
      </c>
      <c r="BB67" s="43">
        <v>683</v>
      </c>
      <c r="BC67" s="43" t="s">
        <v>3312</v>
      </c>
      <c r="BD67" s="43" t="s">
        <v>2870</v>
      </c>
      <c r="BE67" s="43" t="s">
        <v>2873</v>
      </c>
      <c r="BF67" s="43"/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 t="s">
        <v>2874</v>
      </c>
      <c r="BO67" s="44">
        <v>46230.606944444444</v>
      </c>
      <c r="BP67" s="43">
        <v>6551</v>
      </c>
    </row>
    <row r="68" spans="1:69" ht="15" customHeight="1" x14ac:dyDescent="0.35">
      <c r="A68" s="76"/>
      <c r="B68" s="43" t="s">
        <v>1052</v>
      </c>
      <c r="C68" s="43" t="s">
        <v>3337</v>
      </c>
      <c r="D68" s="43" t="s">
        <v>3338</v>
      </c>
      <c r="E68" s="43" t="s">
        <v>1068</v>
      </c>
      <c r="F68" s="43" t="s">
        <v>728</v>
      </c>
      <c r="G68" s="43">
        <v>1</v>
      </c>
      <c r="H68" s="43" t="s">
        <v>2875</v>
      </c>
      <c r="I68" s="43">
        <v>0</v>
      </c>
      <c r="J68" s="43">
        <v>3545.5</v>
      </c>
      <c r="K68" s="43" t="s">
        <v>1055</v>
      </c>
      <c r="L68" s="43">
        <v>3545.5</v>
      </c>
      <c r="M68" s="43">
        <v>0</v>
      </c>
      <c r="N68" s="43">
        <v>3545.5</v>
      </c>
      <c r="O68" s="43" t="s">
        <v>3339</v>
      </c>
      <c r="P68" s="43" t="s">
        <v>2876</v>
      </c>
      <c r="Q68" s="43" t="s">
        <v>2876</v>
      </c>
      <c r="R68" s="43" t="s">
        <v>3340</v>
      </c>
      <c r="S68" s="43" t="s">
        <v>3312</v>
      </c>
      <c r="T68" s="43" t="s">
        <v>2877</v>
      </c>
      <c r="U68" s="43" t="s">
        <v>2878</v>
      </c>
      <c r="V68" s="43" t="s">
        <v>3341</v>
      </c>
      <c r="W68" s="43">
        <v>174.60170074742601</v>
      </c>
      <c r="X68" s="43">
        <v>0</v>
      </c>
      <c r="Y68" s="43" t="s">
        <v>3340</v>
      </c>
      <c r="Z68" s="43" t="s">
        <v>3312</v>
      </c>
      <c r="AA68" s="43"/>
      <c r="AB68" s="43"/>
      <c r="AC68" s="43"/>
      <c r="AD68" s="43" t="s">
        <v>2879</v>
      </c>
      <c r="AE68" s="43" t="s">
        <v>3312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 t="s">
        <v>2871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/>
      <c r="AR68" s="43">
        <v>0</v>
      </c>
      <c r="AS68" s="43">
        <v>0</v>
      </c>
      <c r="AT68" s="43">
        <v>0</v>
      </c>
      <c r="AU68" s="43" t="s">
        <v>628</v>
      </c>
      <c r="AV68" s="43" t="s">
        <v>706</v>
      </c>
      <c r="AW68" s="43" t="s">
        <v>729</v>
      </c>
      <c r="AX68" s="43" t="s">
        <v>31</v>
      </c>
      <c r="AY68" s="43" t="s">
        <v>2872</v>
      </c>
      <c r="AZ68" s="43">
        <v>0</v>
      </c>
      <c r="BA68" s="43">
        <v>0</v>
      </c>
      <c r="BB68" s="43">
        <v>683</v>
      </c>
      <c r="BC68" s="43" t="s">
        <v>3312</v>
      </c>
      <c r="BD68" s="43" t="s">
        <v>2870</v>
      </c>
      <c r="BE68" s="43" t="s">
        <v>2873</v>
      </c>
      <c r="BF68" s="43"/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 t="s">
        <v>2874</v>
      </c>
      <c r="BO68" s="44">
        <v>46230.606944444444</v>
      </c>
      <c r="BP68" s="43">
        <v>3545.5</v>
      </c>
    </row>
    <row r="69" spans="1:69" ht="15" customHeight="1" x14ac:dyDescent="0.35">
      <c r="A69" s="76"/>
      <c r="B69" s="43" t="s">
        <v>1052</v>
      </c>
      <c r="C69" s="43" t="s">
        <v>3337</v>
      </c>
      <c r="D69" s="43" t="s">
        <v>3338</v>
      </c>
      <c r="E69" s="43" t="s">
        <v>1065</v>
      </c>
      <c r="F69" s="43" t="s">
        <v>773</v>
      </c>
      <c r="G69" s="43">
        <v>3</v>
      </c>
      <c r="H69" s="43" t="s">
        <v>2875</v>
      </c>
      <c r="I69" s="43">
        <v>0</v>
      </c>
      <c r="J69" s="43">
        <v>1092</v>
      </c>
      <c r="K69" s="43" t="s">
        <v>1055</v>
      </c>
      <c r="L69" s="43">
        <v>1092</v>
      </c>
      <c r="M69" s="43">
        <v>0</v>
      </c>
      <c r="N69" s="43">
        <v>1092</v>
      </c>
      <c r="O69" s="43" t="s">
        <v>3339</v>
      </c>
      <c r="P69" s="43" t="s">
        <v>2876</v>
      </c>
      <c r="Q69" s="43" t="s">
        <v>2876</v>
      </c>
      <c r="R69" s="43" t="s">
        <v>3340</v>
      </c>
      <c r="S69" s="43" t="s">
        <v>3312</v>
      </c>
      <c r="T69" s="43" t="s">
        <v>2877</v>
      </c>
      <c r="U69" s="43" t="s">
        <v>2878</v>
      </c>
      <c r="V69" s="43" t="s">
        <v>3341</v>
      </c>
      <c r="W69" s="43">
        <v>134.499597069597</v>
      </c>
      <c r="X69" s="43">
        <v>0</v>
      </c>
      <c r="Y69" s="43" t="s">
        <v>3340</v>
      </c>
      <c r="Z69" s="43" t="s">
        <v>3312</v>
      </c>
      <c r="AA69" s="43"/>
      <c r="AB69" s="43"/>
      <c r="AC69" s="43"/>
      <c r="AD69" s="43" t="s">
        <v>2879</v>
      </c>
      <c r="AE69" s="43" t="s">
        <v>3312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 t="s">
        <v>2871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/>
      <c r="AR69" s="43">
        <v>0</v>
      </c>
      <c r="AS69" s="43">
        <v>0</v>
      </c>
      <c r="AT69" s="43">
        <v>0</v>
      </c>
      <c r="AU69" s="43" t="s">
        <v>628</v>
      </c>
      <c r="AV69" s="43" t="s">
        <v>771</v>
      </c>
      <c r="AW69" s="43" t="s">
        <v>773</v>
      </c>
      <c r="AX69" s="43" t="s">
        <v>31</v>
      </c>
      <c r="AY69" s="43" t="s">
        <v>2872</v>
      </c>
      <c r="AZ69" s="43">
        <v>0</v>
      </c>
      <c r="BA69" s="43">
        <v>0</v>
      </c>
      <c r="BB69" s="43">
        <v>683</v>
      </c>
      <c r="BC69" s="43" t="s">
        <v>3312</v>
      </c>
      <c r="BD69" s="43" t="s">
        <v>2870</v>
      </c>
      <c r="BE69" s="43" t="s">
        <v>2873</v>
      </c>
      <c r="BF69" s="43"/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 t="s">
        <v>2874</v>
      </c>
      <c r="BO69" s="44">
        <v>46230.606944444444</v>
      </c>
      <c r="BP69" s="43">
        <v>1092</v>
      </c>
    </row>
    <row r="70" spans="1:69" ht="15" customHeight="1" x14ac:dyDescent="0.35">
      <c r="A70" s="76"/>
      <c r="B70" s="43" t="s">
        <v>1052</v>
      </c>
      <c r="C70" s="43" t="s">
        <v>3337</v>
      </c>
      <c r="D70" s="43" t="s">
        <v>3338</v>
      </c>
      <c r="E70" s="43" t="s">
        <v>2908</v>
      </c>
      <c r="F70" s="43" t="s">
        <v>728</v>
      </c>
      <c r="G70" s="43">
        <v>2</v>
      </c>
      <c r="H70" s="43" t="s">
        <v>2875</v>
      </c>
      <c r="I70" s="43">
        <v>0</v>
      </c>
      <c r="J70" s="43">
        <v>187</v>
      </c>
      <c r="K70" s="43" t="s">
        <v>1055</v>
      </c>
      <c r="L70" s="43">
        <v>187</v>
      </c>
      <c r="M70" s="43">
        <v>0</v>
      </c>
      <c r="N70" s="43">
        <v>187</v>
      </c>
      <c r="O70" s="43" t="s">
        <v>3339</v>
      </c>
      <c r="P70" s="43" t="s">
        <v>2876</v>
      </c>
      <c r="Q70" s="43" t="s">
        <v>2876</v>
      </c>
      <c r="R70" s="43" t="s">
        <v>3340</v>
      </c>
      <c r="S70" s="43" t="s">
        <v>3312</v>
      </c>
      <c r="T70" s="43" t="s">
        <v>2877</v>
      </c>
      <c r="U70" s="43" t="s">
        <v>2878</v>
      </c>
      <c r="V70" s="43" t="s">
        <v>3341</v>
      </c>
      <c r="W70" s="43">
        <v>160.595026737968</v>
      </c>
      <c r="X70" s="43">
        <v>0</v>
      </c>
      <c r="Y70" s="43" t="s">
        <v>3340</v>
      </c>
      <c r="Z70" s="43" t="s">
        <v>3312</v>
      </c>
      <c r="AA70" s="43"/>
      <c r="AB70" s="43"/>
      <c r="AC70" s="43"/>
      <c r="AD70" s="43" t="s">
        <v>2879</v>
      </c>
      <c r="AE70" s="43" t="s">
        <v>3312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 t="s">
        <v>2871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/>
      <c r="AR70" s="43">
        <v>0</v>
      </c>
      <c r="AS70" s="43">
        <v>0</v>
      </c>
      <c r="AT70" s="43">
        <v>0</v>
      </c>
      <c r="AU70" s="43" t="s">
        <v>628</v>
      </c>
      <c r="AV70" s="43" t="s">
        <v>2909</v>
      </c>
      <c r="AW70" s="43" t="s">
        <v>180</v>
      </c>
      <c r="AX70" s="43" t="s">
        <v>31</v>
      </c>
      <c r="AY70" s="43" t="s">
        <v>2872</v>
      </c>
      <c r="AZ70" s="43">
        <v>0</v>
      </c>
      <c r="BA70" s="43">
        <v>0</v>
      </c>
      <c r="BB70" s="43">
        <v>683</v>
      </c>
      <c r="BC70" s="43" t="s">
        <v>3312</v>
      </c>
      <c r="BD70" s="43" t="s">
        <v>2870</v>
      </c>
      <c r="BE70" s="43" t="s">
        <v>2873</v>
      </c>
      <c r="BF70" s="43"/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 t="s">
        <v>2874</v>
      </c>
      <c r="BO70" s="44">
        <v>46230.606944444444</v>
      </c>
      <c r="BP70" s="43">
        <v>187</v>
      </c>
    </row>
    <row r="71" spans="1:69" ht="15" customHeight="1" x14ac:dyDescent="0.35">
      <c r="A71" s="76"/>
      <c r="B71" s="43" t="s">
        <v>1052</v>
      </c>
      <c r="C71" s="43" t="s">
        <v>3335</v>
      </c>
      <c r="D71" s="43" t="s">
        <v>3343</v>
      </c>
      <c r="E71" s="43" t="s">
        <v>2790</v>
      </c>
      <c r="F71" s="43" t="s">
        <v>374</v>
      </c>
      <c r="G71" s="43">
        <v>1</v>
      </c>
      <c r="H71" s="43" t="s">
        <v>2875</v>
      </c>
      <c r="I71" s="43">
        <v>0</v>
      </c>
      <c r="J71" s="43">
        <v>2000</v>
      </c>
      <c r="K71" s="43" t="s">
        <v>1055</v>
      </c>
      <c r="L71" s="43">
        <v>2000</v>
      </c>
      <c r="M71" s="43">
        <v>0</v>
      </c>
      <c r="N71" s="43">
        <v>2000</v>
      </c>
      <c r="O71" s="43" t="s">
        <v>3175</v>
      </c>
      <c r="P71" s="43" t="s">
        <v>3086</v>
      </c>
      <c r="Q71" s="43" t="s">
        <v>3086</v>
      </c>
      <c r="R71" s="43" t="s">
        <v>3344</v>
      </c>
      <c r="S71" s="43" t="s">
        <v>3337</v>
      </c>
      <c r="T71" s="43" t="s">
        <v>2877</v>
      </c>
      <c r="U71" s="43" t="s">
        <v>2878</v>
      </c>
      <c r="V71" s="43" t="s">
        <v>3345</v>
      </c>
      <c r="W71" s="43">
        <v>163.72</v>
      </c>
      <c r="X71" s="43">
        <v>0</v>
      </c>
      <c r="Y71" s="43" t="s">
        <v>3344</v>
      </c>
      <c r="Z71" s="43" t="s">
        <v>3337</v>
      </c>
      <c r="AA71" s="43"/>
      <c r="AB71" s="43"/>
      <c r="AC71" s="43"/>
      <c r="AD71" s="43" t="s">
        <v>3089</v>
      </c>
      <c r="AE71" s="43" t="s">
        <v>3346</v>
      </c>
      <c r="AF71" s="43">
        <v>0</v>
      </c>
      <c r="AG71" s="43">
        <v>0</v>
      </c>
      <c r="AH71" s="43">
        <v>0</v>
      </c>
      <c r="AI71" s="43">
        <v>0</v>
      </c>
      <c r="AJ71" s="43">
        <v>0</v>
      </c>
      <c r="AK71" s="43" t="s">
        <v>2871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/>
      <c r="AR71" s="43">
        <v>0</v>
      </c>
      <c r="AS71" s="43">
        <v>0</v>
      </c>
      <c r="AT71" s="43">
        <v>0</v>
      </c>
      <c r="AU71" s="43" t="s">
        <v>31</v>
      </c>
      <c r="AV71" s="43" t="s">
        <v>1032</v>
      </c>
      <c r="AW71" s="43" t="s">
        <v>1072</v>
      </c>
      <c r="AX71" s="43" t="s">
        <v>31</v>
      </c>
      <c r="AY71" s="43" t="s">
        <v>2872</v>
      </c>
      <c r="AZ71" s="43">
        <v>0</v>
      </c>
      <c r="BA71" s="43">
        <v>0</v>
      </c>
      <c r="BB71" s="43">
        <v>686</v>
      </c>
      <c r="BC71" s="43" t="s">
        <v>3337</v>
      </c>
      <c r="BD71" s="43" t="s">
        <v>2865</v>
      </c>
      <c r="BE71" s="43" t="s">
        <v>2873</v>
      </c>
      <c r="BF71" s="43"/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</v>
      </c>
      <c r="BN71" s="43" t="s">
        <v>2874</v>
      </c>
      <c r="BO71" s="44">
        <v>46231.45208333333</v>
      </c>
      <c r="BP71" s="43">
        <v>2000</v>
      </c>
    </row>
    <row r="72" spans="1:69" ht="15" customHeight="1" x14ac:dyDescent="0.35">
      <c r="A72" s="76"/>
      <c r="B72" s="43" t="s">
        <v>1052</v>
      </c>
      <c r="C72" s="43" t="s">
        <v>3335</v>
      </c>
      <c r="D72" s="43" t="s">
        <v>3347</v>
      </c>
      <c r="E72" s="43" t="s">
        <v>1066</v>
      </c>
      <c r="F72" s="43" t="s">
        <v>818</v>
      </c>
      <c r="G72" s="43">
        <v>1</v>
      </c>
      <c r="H72" s="43" t="s">
        <v>2875</v>
      </c>
      <c r="I72" s="43">
        <v>0</v>
      </c>
      <c r="J72" s="43">
        <v>1185.23</v>
      </c>
      <c r="K72" s="43" t="s">
        <v>1055</v>
      </c>
      <c r="L72" s="43">
        <v>1185.23</v>
      </c>
      <c r="M72" s="43">
        <v>0</v>
      </c>
      <c r="N72" s="43">
        <v>1185.23</v>
      </c>
      <c r="O72" s="43" t="s">
        <v>3348</v>
      </c>
      <c r="P72" s="43" t="s">
        <v>2876</v>
      </c>
      <c r="Q72" s="43" t="s">
        <v>2876</v>
      </c>
      <c r="R72" s="43" t="s">
        <v>3349</v>
      </c>
      <c r="S72" s="43" t="s">
        <v>3337</v>
      </c>
      <c r="T72" s="43" t="s">
        <v>2877</v>
      </c>
      <c r="U72" s="43" t="s">
        <v>2878</v>
      </c>
      <c r="V72" s="43" t="s">
        <v>3350</v>
      </c>
      <c r="W72" s="43">
        <v>146.99265965255699</v>
      </c>
      <c r="X72" s="43">
        <v>0</v>
      </c>
      <c r="Y72" s="43" t="s">
        <v>3349</v>
      </c>
      <c r="Z72" s="43" t="s">
        <v>3337</v>
      </c>
      <c r="AA72" s="43"/>
      <c r="AB72" s="43"/>
      <c r="AC72" s="43"/>
      <c r="AD72" s="43" t="s">
        <v>2879</v>
      </c>
      <c r="AE72" s="43" t="s">
        <v>3337</v>
      </c>
      <c r="AF72" s="43">
        <v>0</v>
      </c>
      <c r="AG72" s="43">
        <v>0</v>
      </c>
      <c r="AH72" s="43">
        <v>0</v>
      </c>
      <c r="AI72" s="43">
        <v>0</v>
      </c>
      <c r="AJ72" s="43">
        <v>0</v>
      </c>
      <c r="AK72" s="43" t="s">
        <v>2871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/>
      <c r="AR72" s="43">
        <v>0</v>
      </c>
      <c r="AS72" s="43">
        <v>0</v>
      </c>
      <c r="AT72" s="43">
        <v>0</v>
      </c>
      <c r="AU72" s="43" t="s">
        <v>628</v>
      </c>
      <c r="AV72" s="43" t="s">
        <v>627</v>
      </c>
      <c r="AW72" s="43" t="s">
        <v>629</v>
      </c>
      <c r="AX72" s="43" t="s">
        <v>31</v>
      </c>
      <c r="AY72" s="43" t="s">
        <v>2872</v>
      </c>
      <c r="AZ72" s="43">
        <v>0</v>
      </c>
      <c r="BA72" s="43">
        <v>0</v>
      </c>
      <c r="BB72" s="43">
        <v>687</v>
      </c>
      <c r="BC72" s="43" t="s">
        <v>3337</v>
      </c>
      <c r="BD72" s="43" t="s">
        <v>2870</v>
      </c>
      <c r="BE72" s="43" t="s">
        <v>2873</v>
      </c>
      <c r="BF72" s="43"/>
      <c r="BG72" s="43">
        <v>0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0</v>
      </c>
      <c r="BN72" s="43" t="s">
        <v>2874</v>
      </c>
      <c r="BO72" s="44">
        <v>46231.472222222219</v>
      </c>
      <c r="BP72" s="43">
        <v>1185.23</v>
      </c>
    </row>
    <row r="73" spans="1:69" ht="15" customHeight="1" x14ac:dyDescent="0.35">
      <c r="A73" s="76"/>
      <c r="B73" s="43" t="s">
        <v>1052</v>
      </c>
      <c r="C73" s="43" t="s">
        <v>3335</v>
      </c>
      <c r="D73" s="43" t="s">
        <v>3347</v>
      </c>
      <c r="E73" s="43" t="s">
        <v>1068</v>
      </c>
      <c r="F73" s="43" t="s">
        <v>728</v>
      </c>
      <c r="G73" s="43">
        <v>2</v>
      </c>
      <c r="H73" s="43" t="s">
        <v>2875</v>
      </c>
      <c r="I73" s="43">
        <v>0</v>
      </c>
      <c r="J73" s="43">
        <v>930</v>
      </c>
      <c r="K73" s="43" t="s">
        <v>1055</v>
      </c>
      <c r="L73" s="43">
        <v>930</v>
      </c>
      <c r="M73" s="43">
        <v>0</v>
      </c>
      <c r="N73" s="43">
        <v>930</v>
      </c>
      <c r="O73" s="43" t="s">
        <v>3348</v>
      </c>
      <c r="P73" s="43" t="s">
        <v>2876</v>
      </c>
      <c r="Q73" s="43" t="s">
        <v>2876</v>
      </c>
      <c r="R73" s="43" t="s">
        <v>3349</v>
      </c>
      <c r="S73" s="43" t="s">
        <v>3337</v>
      </c>
      <c r="T73" s="43" t="s">
        <v>2877</v>
      </c>
      <c r="U73" s="43" t="s">
        <v>2878</v>
      </c>
      <c r="V73" s="43" t="s">
        <v>3350</v>
      </c>
      <c r="W73" s="43">
        <v>174.60164516129001</v>
      </c>
      <c r="X73" s="43">
        <v>0</v>
      </c>
      <c r="Y73" s="43" t="s">
        <v>3349</v>
      </c>
      <c r="Z73" s="43" t="s">
        <v>3337</v>
      </c>
      <c r="AA73" s="43"/>
      <c r="AB73" s="43"/>
      <c r="AC73" s="43"/>
      <c r="AD73" s="43" t="s">
        <v>2879</v>
      </c>
      <c r="AE73" s="43" t="s">
        <v>3337</v>
      </c>
      <c r="AF73" s="43">
        <v>0</v>
      </c>
      <c r="AG73" s="43">
        <v>0</v>
      </c>
      <c r="AH73" s="43">
        <v>0</v>
      </c>
      <c r="AI73" s="43">
        <v>0</v>
      </c>
      <c r="AJ73" s="43">
        <v>0</v>
      </c>
      <c r="AK73" s="43" t="s">
        <v>2871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/>
      <c r="AR73" s="43">
        <v>0</v>
      </c>
      <c r="AS73" s="43">
        <v>0</v>
      </c>
      <c r="AT73" s="43">
        <v>0</v>
      </c>
      <c r="AU73" s="43" t="s">
        <v>628</v>
      </c>
      <c r="AV73" s="43" t="s">
        <v>706</v>
      </c>
      <c r="AW73" s="43" t="s">
        <v>729</v>
      </c>
      <c r="AX73" s="43" t="s">
        <v>31</v>
      </c>
      <c r="AY73" s="43" t="s">
        <v>2872</v>
      </c>
      <c r="AZ73" s="43">
        <v>0</v>
      </c>
      <c r="BA73" s="43">
        <v>0</v>
      </c>
      <c r="BB73" s="43">
        <v>687</v>
      </c>
      <c r="BC73" s="43" t="s">
        <v>3337</v>
      </c>
      <c r="BD73" s="43" t="s">
        <v>2870</v>
      </c>
      <c r="BE73" s="43" t="s">
        <v>2873</v>
      </c>
      <c r="BF73" s="43"/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 t="s">
        <v>2874</v>
      </c>
      <c r="BO73" s="44">
        <v>46231.472222222219</v>
      </c>
      <c r="BP73" s="43">
        <v>930</v>
      </c>
    </row>
    <row r="74" spans="1:69" ht="15" customHeight="1" x14ac:dyDescent="0.35">
      <c r="A74" s="76"/>
      <c r="B74" s="43" t="s">
        <v>1052</v>
      </c>
      <c r="C74" s="43" t="s">
        <v>3335</v>
      </c>
      <c r="D74" s="43" t="s">
        <v>3347</v>
      </c>
      <c r="E74" s="43" t="s">
        <v>1070</v>
      </c>
      <c r="F74" s="43" t="s">
        <v>859</v>
      </c>
      <c r="G74" s="43">
        <v>3</v>
      </c>
      <c r="H74" s="43" t="s">
        <v>2875</v>
      </c>
      <c r="I74" s="43">
        <v>0</v>
      </c>
      <c r="J74" s="43">
        <v>2382</v>
      </c>
      <c r="K74" s="43" t="s">
        <v>1055</v>
      </c>
      <c r="L74" s="43">
        <v>2382</v>
      </c>
      <c r="M74" s="43">
        <v>0</v>
      </c>
      <c r="N74" s="43">
        <v>2382</v>
      </c>
      <c r="O74" s="43" t="s">
        <v>3348</v>
      </c>
      <c r="P74" s="43" t="s">
        <v>2876</v>
      </c>
      <c r="Q74" s="43" t="s">
        <v>2876</v>
      </c>
      <c r="R74" s="43" t="s">
        <v>3349</v>
      </c>
      <c r="S74" s="43" t="s">
        <v>3337</v>
      </c>
      <c r="T74" s="43" t="s">
        <v>2877</v>
      </c>
      <c r="U74" s="43" t="s">
        <v>2878</v>
      </c>
      <c r="V74" s="43" t="s">
        <v>3350</v>
      </c>
      <c r="W74" s="43">
        <v>142.00091099916</v>
      </c>
      <c r="X74" s="43">
        <v>0</v>
      </c>
      <c r="Y74" s="43" t="s">
        <v>3349</v>
      </c>
      <c r="Z74" s="43" t="s">
        <v>3337</v>
      </c>
      <c r="AA74" s="43"/>
      <c r="AB74" s="43"/>
      <c r="AC74" s="43"/>
      <c r="AD74" s="43" t="s">
        <v>2879</v>
      </c>
      <c r="AE74" s="43" t="s">
        <v>3337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 t="s">
        <v>2871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/>
      <c r="AR74" s="43">
        <v>0</v>
      </c>
      <c r="AS74" s="43">
        <v>0</v>
      </c>
      <c r="AT74" s="43">
        <v>0</v>
      </c>
      <c r="AU74" s="43" t="s">
        <v>628</v>
      </c>
      <c r="AV74" s="43" t="s">
        <v>638</v>
      </c>
      <c r="AW74" s="43" t="s">
        <v>652</v>
      </c>
      <c r="AX74" s="43" t="s">
        <v>31</v>
      </c>
      <c r="AY74" s="43" t="s">
        <v>2872</v>
      </c>
      <c r="AZ74" s="43">
        <v>0</v>
      </c>
      <c r="BA74" s="43">
        <v>0</v>
      </c>
      <c r="BB74" s="43">
        <v>687</v>
      </c>
      <c r="BC74" s="43" t="s">
        <v>3337</v>
      </c>
      <c r="BD74" s="43" t="s">
        <v>2870</v>
      </c>
      <c r="BE74" s="43" t="s">
        <v>2873</v>
      </c>
      <c r="BF74" s="43"/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 t="s">
        <v>2874</v>
      </c>
      <c r="BO74" s="44">
        <v>46231.472222222219</v>
      </c>
      <c r="BP74" s="43">
        <v>2382</v>
      </c>
    </row>
    <row r="75" spans="1:69" x14ac:dyDescent="0.35">
      <c r="A75" s="76"/>
      <c r="B75" s="43" t="s">
        <v>1052</v>
      </c>
      <c r="C75" s="43" t="s">
        <v>3335</v>
      </c>
      <c r="D75" s="43" t="s">
        <v>3347</v>
      </c>
      <c r="E75" s="43" t="s">
        <v>2825</v>
      </c>
      <c r="F75" s="43" t="s">
        <v>818</v>
      </c>
      <c r="G75" s="43">
        <v>4</v>
      </c>
      <c r="H75" s="43" t="s">
        <v>2875</v>
      </c>
      <c r="I75" s="43">
        <v>0</v>
      </c>
      <c r="J75" s="43">
        <v>2019.7</v>
      </c>
      <c r="K75" s="43" t="s">
        <v>1055</v>
      </c>
      <c r="L75" s="43">
        <v>2019.7</v>
      </c>
      <c r="M75" s="43">
        <v>0</v>
      </c>
      <c r="N75" s="43">
        <v>2019.7</v>
      </c>
      <c r="O75" s="43" t="s">
        <v>3348</v>
      </c>
      <c r="P75" s="43" t="s">
        <v>2876</v>
      </c>
      <c r="Q75" s="43" t="s">
        <v>2876</v>
      </c>
      <c r="R75" s="43" t="s">
        <v>3349</v>
      </c>
      <c r="S75" s="43" t="s">
        <v>3337</v>
      </c>
      <c r="T75" s="43" t="s">
        <v>2877</v>
      </c>
      <c r="U75" s="43" t="s">
        <v>2878</v>
      </c>
      <c r="V75" s="43" t="s">
        <v>3350</v>
      </c>
      <c r="W75" s="43">
        <v>137</v>
      </c>
      <c r="X75" s="43">
        <v>0</v>
      </c>
      <c r="Y75" s="43" t="s">
        <v>3349</v>
      </c>
      <c r="Z75" s="43" t="s">
        <v>3337</v>
      </c>
      <c r="AA75" s="43"/>
      <c r="AB75" s="43"/>
      <c r="AC75" s="43"/>
      <c r="AD75" s="43" t="s">
        <v>2879</v>
      </c>
      <c r="AE75" s="43" t="s">
        <v>3337</v>
      </c>
      <c r="AF75" s="43">
        <v>0</v>
      </c>
      <c r="AG75" s="43">
        <v>0</v>
      </c>
      <c r="AH75" s="43">
        <v>0</v>
      </c>
      <c r="AI75" s="43">
        <v>0</v>
      </c>
      <c r="AJ75" s="43">
        <v>0</v>
      </c>
      <c r="AK75" s="43" t="s">
        <v>2871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/>
      <c r="AR75" s="43">
        <v>0</v>
      </c>
      <c r="AS75" s="43">
        <v>0</v>
      </c>
      <c r="AT75" s="43">
        <v>0</v>
      </c>
      <c r="AU75" s="43" t="s">
        <v>628</v>
      </c>
      <c r="AV75" s="43" t="s">
        <v>627</v>
      </c>
      <c r="AW75" s="43" t="s">
        <v>629</v>
      </c>
      <c r="AX75" s="43" t="s">
        <v>31</v>
      </c>
      <c r="AY75" s="43" t="s">
        <v>2872</v>
      </c>
      <c r="AZ75" s="43">
        <v>0</v>
      </c>
      <c r="BA75" s="43">
        <v>0</v>
      </c>
      <c r="BB75" s="43">
        <v>687</v>
      </c>
      <c r="BC75" s="43" t="s">
        <v>3337</v>
      </c>
      <c r="BD75" s="43" t="s">
        <v>2870</v>
      </c>
      <c r="BE75" s="43" t="s">
        <v>2873</v>
      </c>
      <c r="BF75" s="43"/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 t="s">
        <v>2874</v>
      </c>
      <c r="BO75" s="44">
        <v>46231.472222222219</v>
      </c>
      <c r="BP75" s="43">
        <v>2019.7</v>
      </c>
    </row>
    <row r="76" spans="1:69" ht="15" customHeight="1" x14ac:dyDescent="0.35">
      <c r="A76" s="76"/>
      <c r="B76" s="43" t="s">
        <v>1052</v>
      </c>
      <c r="C76" s="43" t="s">
        <v>3351</v>
      </c>
      <c r="D76" s="43" t="s">
        <v>3352</v>
      </c>
      <c r="E76" s="43" t="s">
        <v>1070</v>
      </c>
      <c r="F76" s="43" t="s">
        <v>859</v>
      </c>
      <c r="G76" s="43">
        <v>1</v>
      </c>
      <c r="H76" s="43" t="s">
        <v>2875</v>
      </c>
      <c r="I76" s="43">
        <v>0</v>
      </c>
      <c r="J76" s="43">
        <v>4404</v>
      </c>
      <c r="K76" s="43" t="s">
        <v>1055</v>
      </c>
      <c r="L76" s="43">
        <v>4404</v>
      </c>
      <c r="M76" s="43">
        <v>0</v>
      </c>
      <c r="N76" s="43">
        <v>4404</v>
      </c>
      <c r="O76" s="43" t="s">
        <v>3353</v>
      </c>
      <c r="P76" s="43" t="s">
        <v>2876</v>
      </c>
      <c r="Q76" s="43" t="s">
        <v>2876</v>
      </c>
      <c r="R76" s="43" t="s">
        <v>3354</v>
      </c>
      <c r="S76" s="43" t="s">
        <v>3335</v>
      </c>
      <c r="T76" s="43" t="s">
        <v>2877</v>
      </c>
      <c r="U76" s="43" t="s">
        <v>2878</v>
      </c>
      <c r="V76" s="43" t="s">
        <v>3355</v>
      </c>
      <c r="W76" s="43">
        <v>142.00094686648501</v>
      </c>
      <c r="X76" s="43">
        <v>0</v>
      </c>
      <c r="Y76" s="43" t="s">
        <v>3354</v>
      </c>
      <c r="Z76" s="43" t="s">
        <v>3335</v>
      </c>
      <c r="AA76" s="43"/>
      <c r="AB76" s="43"/>
      <c r="AC76" s="43"/>
      <c r="AD76" s="43" t="s">
        <v>2879</v>
      </c>
      <c r="AE76" s="43" t="s">
        <v>3335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 t="s">
        <v>2871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/>
      <c r="AR76" s="43">
        <v>0</v>
      </c>
      <c r="AS76" s="43">
        <v>0</v>
      </c>
      <c r="AT76" s="43">
        <v>0</v>
      </c>
      <c r="AU76" s="43" t="s">
        <v>628</v>
      </c>
      <c r="AV76" s="43" t="s">
        <v>638</v>
      </c>
      <c r="AW76" s="43" t="s">
        <v>652</v>
      </c>
      <c r="AX76" s="43" t="s">
        <v>31</v>
      </c>
      <c r="AY76" s="43" t="s">
        <v>2872</v>
      </c>
      <c r="AZ76" s="43">
        <v>0</v>
      </c>
      <c r="BA76" s="43">
        <v>0</v>
      </c>
      <c r="BB76" s="43">
        <v>706</v>
      </c>
      <c r="BC76" s="43" t="s">
        <v>3335</v>
      </c>
      <c r="BD76" s="43" t="s">
        <v>2870</v>
      </c>
      <c r="BE76" s="43" t="s">
        <v>2873</v>
      </c>
      <c r="BF76" s="43"/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 t="s">
        <v>2874</v>
      </c>
      <c r="BO76" s="44">
        <v>46232.445833333331</v>
      </c>
      <c r="BP76" s="43">
        <v>4404</v>
      </c>
    </row>
    <row r="77" spans="1:69" x14ac:dyDescent="0.35">
      <c r="A77" s="76"/>
      <c r="B77" s="43" t="s">
        <v>1052</v>
      </c>
      <c r="C77" s="43" t="s">
        <v>3366</v>
      </c>
      <c r="D77" s="43" t="s">
        <v>3367</v>
      </c>
      <c r="E77" s="43" t="s">
        <v>1063</v>
      </c>
      <c r="F77" s="43" t="s">
        <v>679</v>
      </c>
      <c r="G77" s="43">
        <v>1</v>
      </c>
      <c r="H77" s="43" t="s">
        <v>2875</v>
      </c>
      <c r="I77" s="43">
        <v>0</v>
      </c>
      <c r="J77" s="43">
        <v>966</v>
      </c>
      <c r="K77" s="43" t="s">
        <v>1055</v>
      </c>
      <c r="L77" s="43">
        <v>966</v>
      </c>
      <c r="M77" s="43">
        <v>0</v>
      </c>
      <c r="N77" s="43">
        <v>966</v>
      </c>
      <c r="O77" s="43" t="s">
        <v>3081</v>
      </c>
      <c r="P77" s="43" t="s">
        <v>2876</v>
      </c>
      <c r="Q77" s="43" t="s">
        <v>2876</v>
      </c>
      <c r="R77" s="43" t="s">
        <v>3368</v>
      </c>
      <c r="S77" s="43" t="s">
        <v>3351</v>
      </c>
      <c r="T77" s="43" t="s">
        <v>2877</v>
      </c>
      <c r="U77" s="43" t="s">
        <v>2878</v>
      </c>
      <c r="V77" s="43" t="s">
        <v>3369</v>
      </c>
      <c r="W77" s="43">
        <v>103.04</v>
      </c>
      <c r="X77" s="43">
        <v>0</v>
      </c>
      <c r="Y77" s="43" t="s">
        <v>3368</v>
      </c>
      <c r="Z77" s="43" t="s">
        <v>3351</v>
      </c>
      <c r="AA77" s="43"/>
      <c r="AB77" s="43"/>
      <c r="AC77" s="43"/>
      <c r="AD77" s="43" t="s">
        <v>2879</v>
      </c>
      <c r="AE77" s="43" t="s">
        <v>3351</v>
      </c>
      <c r="AF77" s="43">
        <v>0</v>
      </c>
      <c r="AG77" s="43">
        <v>0</v>
      </c>
      <c r="AH77" s="43">
        <v>0</v>
      </c>
      <c r="AI77" s="43">
        <v>0</v>
      </c>
      <c r="AJ77" s="43">
        <v>0</v>
      </c>
      <c r="AK77" s="43" t="s">
        <v>2871</v>
      </c>
      <c r="AL77" s="43">
        <v>0</v>
      </c>
      <c r="AM77" s="43">
        <v>0</v>
      </c>
      <c r="AN77" s="43">
        <v>0</v>
      </c>
      <c r="AO77" s="43">
        <v>0</v>
      </c>
      <c r="AP77" s="43">
        <v>0</v>
      </c>
      <c r="AQ77" s="43"/>
      <c r="AR77" s="43">
        <v>0</v>
      </c>
      <c r="AS77" s="43">
        <v>0</v>
      </c>
      <c r="AT77" s="43">
        <v>0</v>
      </c>
      <c r="AU77" s="43" t="s">
        <v>628</v>
      </c>
      <c r="AV77" s="43" t="s">
        <v>638</v>
      </c>
      <c r="AW77" s="43" t="s">
        <v>639</v>
      </c>
      <c r="AX77" s="43" t="s">
        <v>31</v>
      </c>
      <c r="AY77" s="43" t="s">
        <v>2872</v>
      </c>
      <c r="AZ77" s="43">
        <v>0</v>
      </c>
      <c r="BA77" s="43">
        <v>0</v>
      </c>
      <c r="BB77" s="43">
        <v>718</v>
      </c>
      <c r="BC77" s="43" t="s">
        <v>3351</v>
      </c>
      <c r="BD77" s="43" t="s">
        <v>2870</v>
      </c>
      <c r="BE77" s="43" t="s">
        <v>2873</v>
      </c>
      <c r="BF77" s="43"/>
      <c r="BG77" s="43">
        <v>0</v>
      </c>
      <c r="BH77" s="43">
        <v>0</v>
      </c>
      <c r="BI77" s="43">
        <v>0</v>
      </c>
      <c r="BJ77" s="43">
        <v>0</v>
      </c>
      <c r="BK77" s="43">
        <v>0</v>
      </c>
      <c r="BL77" s="43">
        <v>0</v>
      </c>
      <c r="BM77" s="43">
        <v>0</v>
      </c>
      <c r="BN77" s="43" t="s">
        <v>2874</v>
      </c>
      <c r="BO77" s="44">
        <v>46233.504861111112</v>
      </c>
      <c r="BP77" s="43">
        <v>966</v>
      </c>
      <c r="BQ77" s="505">
        <v>966</v>
      </c>
    </row>
    <row r="78" spans="1:69" x14ac:dyDescent="0.35">
      <c r="A78" s="76"/>
      <c r="B78" s="43" t="s">
        <v>1052</v>
      </c>
      <c r="C78" s="43" t="s">
        <v>3366</v>
      </c>
      <c r="D78" s="43" t="s">
        <v>3385</v>
      </c>
      <c r="E78" s="43" t="s">
        <v>3195</v>
      </c>
      <c r="F78" s="43" t="s">
        <v>1059</v>
      </c>
      <c r="G78" s="43">
        <v>1</v>
      </c>
      <c r="H78" s="43" t="s">
        <v>2875</v>
      </c>
      <c r="I78" s="43">
        <v>0</v>
      </c>
      <c r="J78" s="43">
        <v>108000</v>
      </c>
      <c r="K78" s="43" t="s">
        <v>1055</v>
      </c>
      <c r="L78" s="43">
        <v>108000</v>
      </c>
      <c r="M78" s="43">
        <v>0</v>
      </c>
      <c r="N78" s="43">
        <v>108000</v>
      </c>
      <c r="O78" s="43" t="s">
        <v>3306</v>
      </c>
      <c r="P78" s="43" t="s">
        <v>2876</v>
      </c>
      <c r="Q78" s="43" t="s">
        <v>2876</v>
      </c>
      <c r="R78" s="43" t="s">
        <v>3386</v>
      </c>
      <c r="S78" s="43" t="s">
        <v>3366</v>
      </c>
      <c r="T78" s="43" t="s">
        <v>2877</v>
      </c>
      <c r="U78" s="43" t="s">
        <v>2878</v>
      </c>
      <c r="V78" s="43" t="s">
        <v>3387</v>
      </c>
      <c r="W78" s="43">
        <v>123.81319444444399</v>
      </c>
      <c r="X78" s="43">
        <v>0</v>
      </c>
      <c r="Y78" s="43" t="s">
        <v>3386</v>
      </c>
      <c r="Z78" s="43" t="s">
        <v>3366</v>
      </c>
      <c r="AA78" s="43"/>
      <c r="AB78" s="43"/>
      <c r="AC78" s="43"/>
      <c r="AD78" s="43" t="s">
        <v>2879</v>
      </c>
      <c r="AE78" s="43" t="s">
        <v>3366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 t="s">
        <v>2871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/>
      <c r="AR78" s="43">
        <v>0</v>
      </c>
      <c r="AS78" s="43">
        <v>0</v>
      </c>
      <c r="AT78" s="43">
        <v>0</v>
      </c>
      <c r="AU78" s="43" t="s">
        <v>31</v>
      </c>
      <c r="AV78" s="43" t="s">
        <v>1032</v>
      </c>
      <c r="AW78" s="43" t="s">
        <v>1059</v>
      </c>
      <c r="AX78" s="43" t="s">
        <v>31</v>
      </c>
      <c r="AY78" s="43"/>
      <c r="AZ78" s="43">
        <v>0</v>
      </c>
      <c r="BA78" s="43">
        <v>0</v>
      </c>
      <c r="BB78" s="43">
        <v>727</v>
      </c>
      <c r="BC78" s="43" t="s">
        <v>3366</v>
      </c>
      <c r="BD78" s="43" t="s">
        <v>2870</v>
      </c>
      <c r="BE78" s="43" t="s">
        <v>2873</v>
      </c>
      <c r="BF78" s="43"/>
      <c r="BG78" s="43">
        <v>0</v>
      </c>
      <c r="BH78" s="43">
        <v>0</v>
      </c>
      <c r="BI78" s="43">
        <v>0</v>
      </c>
      <c r="BJ78" s="43">
        <v>0</v>
      </c>
      <c r="BK78" s="43">
        <v>0</v>
      </c>
      <c r="BL78" s="43">
        <v>0</v>
      </c>
      <c r="BM78" s="43">
        <v>0</v>
      </c>
      <c r="BN78" s="43" t="s">
        <v>2874</v>
      </c>
      <c r="BO78" s="44">
        <v>46234.675000000003</v>
      </c>
      <c r="BP78" s="43">
        <v>108000</v>
      </c>
    </row>
    <row r="79" spans="1:69" x14ac:dyDescent="0.35">
      <c r="A79" s="76"/>
      <c r="B79" s="43" t="s">
        <v>1052</v>
      </c>
      <c r="C79" s="43" t="s">
        <v>3366</v>
      </c>
      <c r="D79" s="43" t="s">
        <v>3388</v>
      </c>
      <c r="E79" s="43" t="s">
        <v>1065</v>
      </c>
      <c r="F79" s="43" t="s">
        <v>773</v>
      </c>
      <c r="G79" s="43">
        <v>2</v>
      </c>
      <c r="H79" s="43" t="s">
        <v>2875</v>
      </c>
      <c r="I79" s="43">
        <v>0</v>
      </c>
      <c r="J79" s="43">
        <v>930.5</v>
      </c>
      <c r="K79" s="43" t="s">
        <v>1055</v>
      </c>
      <c r="L79" s="43">
        <v>930.5</v>
      </c>
      <c r="M79" s="43">
        <v>0</v>
      </c>
      <c r="N79" s="43">
        <v>930.5</v>
      </c>
      <c r="O79" s="43" t="s">
        <v>3389</v>
      </c>
      <c r="P79" s="43" t="s">
        <v>2876</v>
      </c>
      <c r="Q79" s="43" t="s">
        <v>2876</v>
      </c>
      <c r="R79" s="43" t="s">
        <v>3390</v>
      </c>
      <c r="S79" s="43" t="s">
        <v>3366</v>
      </c>
      <c r="T79" s="43" t="s">
        <v>2877</v>
      </c>
      <c r="U79" s="43" t="s">
        <v>2878</v>
      </c>
      <c r="V79" s="43" t="s">
        <v>3391</v>
      </c>
      <c r="W79" s="43">
        <v>134.49932294465299</v>
      </c>
      <c r="X79" s="43">
        <v>0</v>
      </c>
      <c r="Y79" s="43" t="s">
        <v>3390</v>
      </c>
      <c r="Z79" s="43" t="s">
        <v>3366</v>
      </c>
      <c r="AA79" s="43"/>
      <c r="AB79" s="43"/>
      <c r="AC79" s="43"/>
      <c r="AD79" s="43" t="s">
        <v>2879</v>
      </c>
      <c r="AE79" s="43" t="s">
        <v>3366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 t="s">
        <v>2871</v>
      </c>
      <c r="AL79" s="43">
        <v>0</v>
      </c>
      <c r="AM79" s="43">
        <v>0</v>
      </c>
      <c r="AN79" s="43">
        <v>0</v>
      </c>
      <c r="AO79" s="43">
        <v>0</v>
      </c>
      <c r="AP79" s="43">
        <v>0</v>
      </c>
      <c r="AQ79" s="43"/>
      <c r="AR79" s="43">
        <v>0</v>
      </c>
      <c r="AS79" s="43">
        <v>0</v>
      </c>
      <c r="AT79" s="43">
        <v>0</v>
      </c>
      <c r="AU79" s="43" t="s">
        <v>628</v>
      </c>
      <c r="AV79" s="43" t="s">
        <v>771</v>
      </c>
      <c r="AW79" s="43" t="s">
        <v>773</v>
      </c>
      <c r="AX79" s="43" t="s">
        <v>31</v>
      </c>
      <c r="AY79" s="43" t="s">
        <v>2872</v>
      </c>
      <c r="AZ79" s="43">
        <v>0</v>
      </c>
      <c r="BA79" s="43">
        <v>0</v>
      </c>
      <c r="BB79" s="43">
        <v>726</v>
      </c>
      <c r="BC79" s="43" t="s">
        <v>3366</v>
      </c>
      <c r="BD79" s="43" t="s">
        <v>2870</v>
      </c>
      <c r="BE79" s="43" t="s">
        <v>2873</v>
      </c>
      <c r="BF79" s="43"/>
      <c r="BG79" s="43">
        <v>0</v>
      </c>
      <c r="BH79" s="43">
        <v>0</v>
      </c>
      <c r="BI79" s="43">
        <v>0</v>
      </c>
      <c r="BJ79" s="43">
        <v>0</v>
      </c>
      <c r="BK79" s="43">
        <v>0</v>
      </c>
      <c r="BL79" s="43">
        <v>0</v>
      </c>
      <c r="BM79" s="43">
        <v>0</v>
      </c>
      <c r="BN79" s="43" t="s">
        <v>2874</v>
      </c>
      <c r="BO79" s="44">
        <v>46234.680555555555</v>
      </c>
      <c r="BP79" s="43">
        <v>930.5</v>
      </c>
    </row>
    <row r="80" spans="1:69" x14ac:dyDescent="0.35">
      <c r="A80" s="76"/>
      <c r="B80" s="43" t="s">
        <v>1052</v>
      </c>
      <c r="C80" s="43" t="s">
        <v>3366</v>
      </c>
      <c r="D80" s="43" t="s">
        <v>3388</v>
      </c>
      <c r="E80" s="43" t="s">
        <v>1070</v>
      </c>
      <c r="F80" s="43" t="s">
        <v>859</v>
      </c>
      <c r="G80" s="43">
        <v>3</v>
      </c>
      <c r="H80" s="43" t="s">
        <v>2875</v>
      </c>
      <c r="I80" s="43">
        <v>0</v>
      </c>
      <c r="J80" s="43">
        <v>5252</v>
      </c>
      <c r="K80" s="43" t="s">
        <v>1055</v>
      </c>
      <c r="L80" s="43">
        <v>5252</v>
      </c>
      <c r="M80" s="43">
        <v>0</v>
      </c>
      <c r="N80" s="43">
        <v>5252</v>
      </c>
      <c r="O80" s="43" t="s">
        <v>3389</v>
      </c>
      <c r="P80" s="43" t="s">
        <v>2876</v>
      </c>
      <c r="Q80" s="43" t="s">
        <v>2876</v>
      </c>
      <c r="R80" s="43" t="s">
        <v>3390</v>
      </c>
      <c r="S80" s="43" t="s">
        <v>3366</v>
      </c>
      <c r="T80" s="43" t="s">
        <v>2877</v>
      </c>
      <c r="U80" s="43" t="s">
        <v>2878</v>
      </c>
      <c r="V80" s="43" t="s">
        <v>3391</v>
      </c>
      <c r="W80" s="43">
        <v>142.000957730388</v>
      </c>
      <c r="X80" s="43">
        <v>0</v>
      </c>
      <c r="Y80" s="43" t="s">
        <v>3390</v>
      </c>
      <c r="Z80" s="43" t="s">
        <v>3366</v>
      </c>
      <c r="AA80" s="43"/>
      <c r="AB80" s="43"/>
      <c r="AC80" s="43"/>
      <c r="AD80" s="43" t="s">
        <v>2879</v>
      </c>
      <c r="AE80" s="43" t="s">
        <v>3366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 t="s">
        <v>2871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/>
      <c r="AR80" s="43">
        <v>0</v>
      </c>
      <c r="AS80" s="43">
        <v>0</v>
      </c>
      <c r="AT80" s="43">
        <v>0</v>
      </c>
      <c r="AU80" s="43" t="s">
        <v>628</v>
      </c>
      <c r="AV80" s="43" t="s">
        <v>638</v>
      </c>
      <c r="AW80" s="43" t="s">
        <v>652</v>
      </c>
      <c r="AX80" s="43" t="s">
        <v>31</v>
      </c>
      <c r="AY80" s="43" t="s">
        <v>2872</v>
      </c>
      <c r="AZ80" s="43">
        <v>0</v>
      </c>
      <c r="BA80" s="43">
        <v>0</v>
      </c>
      <c r="BB80" s="43">
        <v>726</v>
      </c>
      <c r="BC80" s="43" t="s">
        <v>3366</v>
      </c>
      <c r="BD80" s="43" t="s">
        <v>2870</v>
      </c>
      <c r="BE80" s="43" t="s">
        <v>2873</v>
      </c>
      <c r="BF80" s="43"/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 t="s">
        <v>2874</v>
      </c>
      <c r="BO80" s="44">
        <v>46234.680555555555</v>
      </c>
      <c r="BP80" s="43">
        <v>5252</v>
      </c>
    </row>
    <row r="81" spans="1:68" ht="14.5" customHeight="1" x14ac:dyDescent="0.35">
      <c r="A81" s="76"/>
      <c r="B81" s="43" t="s">
        <v>1052</v>
      </c>
      <c r="C81" s="43" t="s">
        <v>3366</v>
      </c>
      <c r="D81" s="43" t="s">
        <v>3388</v>
      </c>
      <c r="E81" s="43" t="s">
        <v>1063</v>
      </c>
      <c r="F81" s="43" t="s">
        <v>679</v>
      </c>
      <c r="G81" s="43">
        <v>1</v>
      </c>
      <c r="H81" s="43" t="s">
        <v>2875</v>
      </c>
      <c r="I81" s="43">
        <v>0</v>
      </c>
      <c r="J81" s="43">
        <v>3403</v>
      </c>
      <c r="K81" s="43" t="s">
        <v>1055</v>
      </c>
      <c r="L81" s="43">
        <v>3403</v>
      </c>
      <c r="M81" s="43">
        <v>0</v>
      </c>
      <c r="N81" s="43">
        <v>3403</v>
      </c>
      <c r="O81" s="43" t="s">
        <v>3389</v>
      </c>
      <c r="P81" s="43" t="s">
        <v>2876</v>
      </c>
      <c r="Q81" s="43" t="s">
        <v>2876</v>
      </c>
      <c r="R81" s="43" t="s">
        <v>3390</v>
      </c>
      <c r="S81" s="43" t="s">
        <v>3366</v>
      </c>
      <c r="T81" s="43" t="s">
        <v>2877</v>
      </c>
      <c r="U81" s="43" t="s">
        <v>2878</v>
      </c>
      <c r="V81" s="43" t="s">
        <v>3391</v>
      </c>
      <c r="W81" s="43">
        <v>138.941054951513</v>
      </c>
      <c r="X81" s="43">
        <v>0</v>
      </c>
      <c r="Y81" s="43" t="s">
        <v>3390</v>
      </c>
      <c r="Z81" s="43" t="s">
        <v>3366</v>
      </c>
      <c r="AA81" s="43"/>
      <c r="AB81" s="43"/>
      <c r="AC81" s="43"/>
      <c r="AD81" s="43" t="s">
        <v>2879</v>
      </c>
      <c r="AE81" s="43" t="s">
        <v>3366</v>
      </c>
      <c r="AF81" s="43">
        <v>0</v>
      </c>
      <c r="AG81" s="43">
        <v>0</v>
      </c>
      <c r="AH81" s="43">
        <v>0</v>
      </c>
      <c r="AI81" s="43">
        <v>0</v>
      </c>
      <c r="AJ81" s="43">
        <v>0</v>
      </c>
      <c r="AK81" s="43" t="s">
        <v>2871</v>
      </c>
      <c r="AL81" s="43">
        <v>0</v>
      </c>
      <c r="AM81" s="43">
        <v>0</v>
      </c>
      <c r="AN81" s="43">
        <v>0</v>
      </c>
      <c r="AO81" s="43">
        <v>0</v>
      </c>
      <c r="AP81" s="43">
        <v>0</v>
      </c>
      <c r="AQ81" s="43"/>
      <c r="AR81" s="43">
        <v>0</v>
      </c>
      <c r="AS81" s="43">
        <v>0</v>
      </c>
      <c r="AT81" s="43">
        <v>0</v>
      </c>
      <c r="AU81" s="43" t="s">
        <v>628</v>
      </c>
      <c r="AV81" s="43" t="s">
        <v>638</v>
      </c>
      <c r="AW81" s="43" t="s">
        <v>639</v>
      </c>
      <c r="AX81" s="43" t="s">
        <v>31</v>
      </c>
      <c r="AY81" s="43" t="s">
        <v>2872</v>
      </c>
      <c r="AZ81" s="43">
        <v>0</v>
      </c>
      <c r="BA81" s="43">
        <v>0</v>
      </c>
      <c r="BB81" s="43">
        <v>726</v>
      </c>
      <c r="BC81" s="43" t="s">
        <v>3366</v>
      </c>
      <c r="BD81" s="43" t="s">
        <v>2870</v>
      </c>
      <c r="BE81" s="43" t="s">
        <v>2873</v>
      </c>
      <c r="BF81" s="43"/>
      <c r="BG81" s="43">
        <v>0</v>
      </c>
      <c r="BH81" s="43">
        <v>0</v>
      </c>
      <c r="BI81" s="43">
        <v>0</v>
      </c>
      <c r="BJ81" s="43">
        <v>0</v>
      </c>
      <c r="BK81" s="43">
        <v>0</v>
      </c>
      <c r="BL81" s="43">
        <v>0</v>
      </c>
      <c r="BM81" s="43">
        <v>0</v>
      </c>
      <c r="BN81" s="43" t="s">
        <v>2874</v>
      </c>
      <c r="BO81" s="44">
        <v>46234.680555555555</v>
      </c>
      <c r="BP81" s="43">
        <v>3403</v>
      </c>
    </row>
    <row r="82" spans="1:68" x14ac:dyDescent="0.35">
      <c r="A82" s="76"/>
      <c r="B82" s="43" t="s">
        <v>1052</v>
      </c>
      <c r="C82" s="43" t="s">
        <v>3366</v>
      </c>
      <c r="D82" s="43" t="s">
        <v>3388</v>
      </c>
      <c r="E82" s="43" t="s">
        <v>1066</v>
      </c>
      <c r="F82" s="43" t="s">
        <v>818</v>
      </c>
      <c r="G82" s="43">
        <v>5</v>
      </c>
      <c r="H82" s="43" t="s">
        <v>2875</v>
      </c>
      <c r="I82" s="43">
        <v>0</v>
      </c>
      <c r="J82" s="43">
        <v>1128.8</v>
      </c>
      <c r="K82" s="43" t="s">
        <v>1055</v>
      </c>
      <c r="L82" s="43">
        <v>1128.8</v>
      </c>
      <c r="M82" s="43">
        <v>0</v>
      </c>
      <c r="N82" s="43">
        <v>1128.8</v>
      </c>
      <c r="O82" s="43" t="s">
        <v>3389</v>
      </c>
      <c r="P82" s="43" t="s">
        <v>2876</v>
      </c>
      <c r="Q82" s="43" t="s">
        <v>2876</v>
      </c>
      <c r="R82" s="43" t="s">
        <v>3390</v>
      </c>
      <c r="S82" s="43" t="s">
        <v>3366</v>
      </c>
      <c r="T82" s="43" t="s">
        <v>2877</v>
      </c>
      <c r="U82" s="43" t="s">
        <v>2878</v>
      </c>
      <c r="V82" s="43" t="s">
        <v>3391</v>
      </c>
      <c r="W82" s="43">
        <v>148.55801736357199</v>
      </c>
      <c r="X82" s="43">
        <v>0</v>
      </c>
      <c r="Y82" s="43" t="s">
        <v>3390</v>
      </c>
      <c r="Z82" s="43" t="s">
        <v>3366</v>
      </c>
      <c r="AA82" s="43"/>
      <c r="AB82" s="43"/>
      <c r="AC82" s="43"/>
      <c r="AD82" s="43" t="s">
        <v>2879</v>
      </c>
      <c r="AE82" s="43" t="s">
        <v>3366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 t="s">
        <v>2871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/>
      <c r="AR82" s="43">
        <v>0</v>
      </c>
      <c r="AS82" s="43">
        <v>0</v>
      </c>
      <c r="AT82" s="43">
        <v>0</v>
      </c>
      <c r="AU82" s="43" t="s">
        <v>628</v>
      </c>
      <c r="AV82" s="43" t="s">
        <v>627</v>
      </c>
      <c r="AW82" s="43" t="s">
        <v>629</v>
      </c>
      <c r="AX82" s="43" t="s">
        <v>31</v>
      </c>
      <c r="AY82" s="43" t="s">
        <v>2872</v>
      </c>
      <c r="AZ82" s="43">
        <v>0</v>
      </c>
      <c r="BA82" s="43">
        <v>0</v>
      </c>
      <c r="BB82" s="43">
        <v>726</v>
      </c>
      <c r="BC82" s="43" t="s">
        <v>3366</v>
      </c>
      <c r="BD82" s="43" t="s">
        <v>2870</v>
      </c>
      <c r="BE82" s="43" t="s">
        <v>2873</v>
      </c>
      <c r="BF82" s="43"/>
      <c r="BG82" s="43">
        <v>0</v>
      </c>
      <c r="BH82" s="43">
        <v>0</v>
      </c>
      <c r="BI82" s="43">
        <v>0</v>
      </c>
      <c r="BJ82" s="43">
        <v>0</v>
      </c>
      <c r="BK82" s="43">
        <v>0</v>
      </c>
      <c r="BL82" s="43">
        <v>0</v>
      </c>
      <c r="BM82" s="43">
        <v>0</v>
      </c>
      <c r="BN82" s="43" t="s">
        <v>2874</v>
      </c>
      <c r="BO82" s="44">
        <v>46234.680555555555</v>
      </c>
      <c r="BP82" s="43">
        <v>1128.8</v>
      </c>
    </row>
    <row r="83" spans="1:68" x14ac:dyDescent="0.35">
      <c r="A83" s="76"/>
      <c r="B83" s="43" t="s">
        <v>1052</v>
      </c>
      <c r="C83" s="43" t="s">
        <v>3366</v>
      </c>
      <c r="D83" s="43" t="s">
        <v>3388</v>
      </c>
      <c r="E83" s="43" t="s">
        <v>1068</v>
      </c>
      <c r="F83" s="43" t="s">
        <v>728</v>
      </c>
      <c r="G83" s="43">
        <v>4</v>
      </c>
      <c r="H83" s="43" t="s">
        <v>2875</v>
      </c>
      <c r="I83" s="43">
        <v>0</v>
      </c>
      <c r="J83" s="43">
        <v>2594</v>
      </c>
      <c r="K83" s="43" t="s">
        <v>1055</v>
      </c>
      <c r="L83" s="43">
        <v>2594</v>
      </c>
      <c r="M83" s="43">
        <v>0</v>
      </c>
      <c r="N83" s="43">
        <v>2594</v>
      </c>
      <c r="O83" s="43" t="s">
        <v>3389</v>
      </c>
      <c r="P83" s="43" t="s">
        <v>2876</v>
      </c>
      <c r="Q83" s="43" t="s">
        <v>2876</v>
      </c>
      <c r="R83" s="43" t="s">
        <v>3390</v>
      </c>
      <c r="S83" s="43" t="s">
        <v>3366</v>
      </c>
      <c r="T83" s="43" t="s">
        <v>2877</v>
      </c>
      <c r="U83" s="43" t="s">
        <v>2878</v>
      </c>
      <c r="V83" s="43" t="s">
        <v>3391</v>
      </c>
      <c r="W83" s="43">
        <v>174.60205859676199</v>
      </c>
      <c r="X83" s="43">
        <v>0</v>
      </c>
      <c r="Y83" s="43" t="s">
        <v>3390</v>
      </c>
      <c r="Z83" s="43" t="s">
        <v>3366</v>
      </c>
      <c r="AA83" s="43"/>
      <c r="AB83" s="43"/>
      <c r="AC83" s="43"/>
      <c r="AD83" s="43" t="s">
        <v>2879</v>
      </c>
      <c r="AE83" s="43" t="s">
        <v>3366</v>
      </c>
      <c r="AF83" s="43">
        <v>0</v>
      </c>
      <c r="AG83" s="43">
        <v>0</v>
      </c>
      <c r="AH83" s="43">
        <v>0</v>
      </c>
      <c r="AI83" s="43">
        <v>0</v>
      </c>
      <c r="AJ83" s="43">
        <v>0</v>
      </c>
      <c r="AK83" s="43" t="s">
        <v>2871</v>
      </c>
      <c r="AL83" s="43">
        <v>0</v>
      </c>
      <c r="AM83" s="43">
        <v>0</v>
      </c>
      <c r="AN83" s="43">
        <v>0</v>
      </c>
      <c r="AO83" s="43">
        <v>0</v>
      </c>
      <c r="AP83" s="43">
        <v>0</v>
      </c>
      <c r="AQ83" s="43"/>
      <c r="AR83" s="43">
        <v>0</v>
      </c>
      <c r="AS83" s="43">
        <v>0</v>
      </c>
      <c r="AT83" s="43">
        <v>0</v>
      </c>
      <c r="AU83" s="43" t="s">
        <v>628</v>
      </c>
      <c r="AV83" s="43" t="s">
        <v>706</v>
      </c>
      <c r="AW83" s="43" t="s">
        <v>729</v>
      </c>
      <c r="AX83" s="43" t="s">
        <v>31</v>
      </c>
      <c r="AY83" s="43" t="s">
        <v>2872</v>
      </c>
      <c r="AZ83" s="43">
        <v>0</v>
      </c>
      <c r="BA83" s="43">
        <v>0</v>
      </c>
      <c r="BB83" s="43">
        <v>726</v>
      </c>
      <c r="BC83" s="43" t="s">
        <v>3366</v>
      </c>
      <c r="BD83" s="43" t="s">
        <v>2870</v>
      </c>
      <c r="BE83" s="43" t="s">
        <v>2873</v>
      </c>
      <c r="BF83" s="43"/>
      <c r="BG83" s="43">
        <v>0</v>
      </c>
      <c r="BH83" s="43">
        <v>0</v>
      </c>
      <c r="BI83" s="43">
        <v>0</v>
      </c>
      <c r="BJ83" s="43">
        <v>0</v>
      </c>
      <c r="BK83" s="43">
        <v>0</v>
      </c>
      <c r="BL83" s="43">
        <v>0</v>
      </c>
      <c r="BM83" s="43">
        <v>0</v>
      </c>
      <c r="BN83" s="43" t="s">
        <v>2874</v>
      </c>
      <c r="BO83" s="44">
        <v>46234.680555555555</v>
      </c>
      <c r="BP83" s="43">
        <v>2594</v>
      </c>
    </row>
    <row r="84" spans="1:68" x14ac:dyDescent="0.35">
      <c r="A84" s="195"/>
      <c r="B84" s="230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</row>
    <row r="85" spans="1:68" x14ac:dyDescent="0.35">
      <c r="A85" s="195"/>
      <c r="B85" s="230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</row>
    <row r="86" spans="1:68" ht="15" customHeight="1" x14ac:dyDescent="0.35">
      <c r="A86" s="195"/>
      <c r="B86" s="230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40"/>
    </row>
    <row r="87" spans="1:68" ht="14.5" customHeight="1" x14ac:dyDescent="0.35">
      <c r="A87" s="195"/>
      <c r="B87" s="230"/>
      <c r="C87" s="195"/>
      <c r="D87" s="195"/>
      <c r="E87" s="195"/>
      <c r="F87" s="195"/>
      <c r="G87" s="195"/>
      <c r="H87" s="176"/>
      <c r="I87" s="195"/>
      <c r="J87" s="195"/>
      <c r="K87" s="195"/>
      <c r="L87" s="195"/>
      <c r="M87" s="195"/>
      <c r="N87" s="195"/>
      <c r="O87" s="195"/>
      <c r="P87" s="195"/>
      <c r="Q87" s="140"/>
    </row>
    <row r="88" spans="1:68" x14ac:dyDescent="0.35">
      <c r="A88" s="195"/>
      <c r="B88" s="230"/>
      <c r="C88" s="195"/>
      <c r="D88" s="195"/>
      <c r="E88" s="195"/>
      <c r="F88" s="195"/>
      <c r="G88" s="195"/>
      <c r="H88" s="232"/>
      <c r="I88" s="195"/>
      <c r="J88" s="195"/>
      <c r="K88" s="195"/>
      <c r="L88" s="195"/>
      <c r="M88" s="195"/>
      <c r="N88" s="195"/>
      <c r="O88" s="195"/>
      <c r="P88" s="195"/>
      <c r="Q88" s="140"/>
    </row>
    <row r="89" spans="1:68" ht="15" customHeight="1" x14ac:dyDescent="0.35">
      <c r="A89" s="195"/>
      <c r="B89" s="230"/>
      <c r="C89" s="195"/>
      <c r="D89" s="195"/>
      <c r="E89" s="195"/>
      <c r="F89" s="195"/>
      <c r="G89" s="195"/>
      <c r="H89" s="232"/>
      <c r="I89" s="195"/>
      <c r="J89" s="195"/>
      <c r="K89" s="195"/>
      <c r="L89" s="195"/>
      <c r="M89" s="195"/>
      <c r="N89" s="195"/>
      <c r="O89" s="195"/>
      <c r="P89" s="195"/>
      <c r="Q89" s="140"/>
    </row>
    <row r="90" spans="1:68" x14ac:dyDescent="0.35">
      <c r="A90" s="195"/>
      <c r="B90" s="230"/>
      <c r="C90" s="195"/>
      <c r="D90" s="195"/>
      <c r="E90" s="195"/>
      <c r="F90" s="195"/>
      <c r="G90" s="195"/>
      <c r="H90" s="176"/>
      <c r="I90" s="195"/>
      <c r="J90" s="195"/>
      <c r="K90" s="195"/>
      <c r="L90" s="195"/>
      <c r="M90" s="195"/>
      <c r="N90" s="195"/>
      <c r="O90" s="195"/>
      <c r="P90" s="195"/>
      <c r="Q90" s="140"/>
    </row>
    <row r="91" spans="1:68" x14ac:dyDescent="0.35">
      <c r="A91" s="195"/>
      <c r="B91" s="230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40"/>
    </row>
    <row r="92" spans="1:68" x14ac:dyDescent="0.35">
      <c r="A92" s="195"/>
      <c r="B92" s="230"/>
      <c r="C92" s="195"/>
      <c r="D92" s="195"/>
      <c r="E92" s="195"/>
      <c r="F92" s="195"/>
      <c r="G92" s="195"/>
      <c r="H92" s="176"/>
      <c r="I92" s="195"/>
      <c r="J92" s="195"/>
      <c r="K92" s="195"/>
      <c r="L92" s="195"/>
      <c r="M92" s="195"/>
      <c r="N92" s="195"/>
      <c r="O92" s="195"/>
      <c r="P92" s="195"/>
      <c r="Q92" s="140"/>
    </row>
    <row r="93" spans="1:68" x14ac:dyDescent="0.35">
      <c r="A93" s="195"/>
      <c r="B93" s="230"/>
      <c r="C93" s="195"/>
      <c r="D93" s="195"/>
      <c r="E93" s="195"/>
      <c r="F93" s="195"/>
      <c r="G93" s="195"/>
      <c r="H93" s="176"/>
      <c r="I93" s="195"/>
      <c r="J93" s="195"/>
      <c r="K93" s="195"/>
      <c r="L93" s="195"/>
      <c r="M93" s="195"/>
      <c r="N93" s="195"/>
      <c r="O93" s="195"/>
      <c r="P93" s="195"/>
      <c r="Q93" s="140"/>
    </row>
    <row r="94" spans="1:68" ht="15" customHeight="1" x14ac:dyDescent="0.35">
      <c r="A94" s="195"/>
      <c r="B94" s="230"/>
      <c r="C94" s="195"/>
      <c r="D94" s="195"/>
      <c r="E94" s="195"/>
      <c r="F94" s="195"/>
      <c r="G94" s="195"/>
      <c r="H94" s="176"/>
      <c r="I94" s="195"/>
      <c r="J94" s="195"/>
      <c r="K94" s="195"/>
      <c r="L94" s="195"/>
      <c r="M94" s="195"/>
      <c r="N94" s="195"/>
      <c r="O94" s="195"/>
      <c r="P94" s="195"/>
    </row>
    <row r="95" spans="1:68" x14ac:dyDescent="0.35">
      <c r="A95" s="195"/>
      <c r="B95" s="230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</row>
    <row r="96" spans="1:68" x14ac:dyDescent="0.35">
      <c r="A96" s="195"/>
      <c r="B96" s="230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40"/>
    </row>
    <row r="97" spans="1:17" x14ac:dyDescent="0.35">
      <c r="A97" s="195"/>
      <c r="B97" s="230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40"/>
    </row>
    <row r="98" spans="1:17" x14ac:dyDescent="0.35">
      <c r="A98" s="195"/>
      <c r="B98" s="230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40"/>
    </row>
    <row r="99" spans="1:17" x14ac:dyDescent="0.35">
      <c r="A99" s="195"/>
      <c r="B99" s="230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40"/>
    </row>
    <row r="100" spans="1:17" x14ac:dyDescent="0.35">
      <c r="A100" s="195"/>
      <c r="B100" s="230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40"/>
    </row>
    <row r="101" spans="1:17" x14ac:dyDescent="0.35">
      <c r="A101" s="195"/>
      <c r="B101" s="230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40"/>
    </row>
    <row r="102" spans="1:17" ht="15" customHeight="1" x14ac:dyDescent="0.35">
      <c r="A102" s="195"/>
      <c r="B102" s="230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40"/>
    </row>
    <row r="103" spans="1:17" x14ac:dyDescent="0.35">
      <c r="A103" s="195"/>
      <c r="B103" s="230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40"/>
    </row>
    <row r="104" spans="1:17" x14ac:dyDescent="0.35">
      <c r="A104" s="195"/>
      <c r="B104" s="230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40"/>
    </row>
    <row r="105" spans="1:17" x14ac:dyDescent="0.35">
      <c r="A105" s="195"/>
      <c r="B105" s="230"/>
      <c r="C105" s="195"/>
      <c r="D105" s="195"/>
      <c r="E105" s="195"/>
      <c r="F105" s="195"/>
      <c r="G105" s="195"/>
      <c r="H105" s="176"/>
      <c r="I105" s="195"/>
      <c r="J105" s="195"/>
      <c r="K105" s="195"/>
      <c r="L105" s="195"/>
      <c r="M105" s="195"/>
      <c r="N105" s="195"/>
      <c r="O105" s="195"/>
      <c r="P105" s="195"/>
    </row>
    <row r="106" spans="1:17" x14ac:dyDescent="0.35">
      <c r="A106" s="195"/>
      <c r="B106" s="230"/>
      <c r="C106" s="195"/>
      <c r="D106" s="195"/>
      <c r="E106" s="195"/>
      <c r="F106" s="195"/>
      <c r="G106" s="195"/>
      <c r="H106" s="176"/>
      <c r="I106" s="195"/>
      <c r="J106" s="195"/>
      <c r="K106" s="195"/>
      <c r="L106" s="195"/>
      <c r="M106" s="195"/>
      <c r="N106" s="195"/>
      <c r="O106" s="195"/>
      <c r="P106" s="195"/>
    </row>
    <row r="107" spans="1:17" ht="15" customHeight="1" x14ac:dyDescent="0.35">
      <c r="A107" s="195"/>
      <c r="B107" s="230"/>
      <c r="C107" s="195"/>
      <c r="D107" s="195"/>
      <c r="E107" s="195"/>
      <c r="F107" s="195"/>
      <c r="G107" s="195"/>
      <c r="H107" s="232"/>
      <c r="I107" s="195"/>
      <c r="J107" s="195"/>
      <c r="K107" s="195"/>
      <c r="L107" s="195"/>
      <c r="M107" s="195"/>
      <c r="N107" s="195"/>
      <c r="O107" s="195"/>
      <c r="P107" s="195"/>
    </row>
    <row r="108" spans="1:17" x14ac:dyDescent="0.35">
      <c r="A108" s="195"/>
      <c r="B108" s="230"/>
      <c r="C108" s="195"/>
      <c r="D108" s="195"/>
      <c r="E108" s="195"/>
      <c r="F108" s="195"/>
      <c r="G108" s="195"/>
      <c r="H108" s="195"/>
      <c r="I108" s="229"/>
      <c r="J108" s="195"/>
      <c r="K108" s="195"/>
      <c r="L108" s="195"/>
      <c r="M108" s="195"/>
      <c r="N108" s="195"/>
      <c r="O108" s="195"/>
      <c r="P108" s="195"/>
    </row>
    <row r="109" spans="1:17" x14ac:dyDescent="0.35">
      <c r="A109" s="195"/>
      <c r="B109" s="230"/>
      <c r="C109" s="195"/>
      <c r="D109" s="195"/>
      <c r="E109" s="195"/>
      <c r="F109" s="195"/>
      <c r="G109" s="195"/>
      <c r="H109" s="195"/>
      <c r="I109" s="229"/>
      <c r="J109" s="195"/>
      <c r="K109" s="195"/>
      <c r="L109" s="195"/>
      <c r="M109" s="195"/>
      <c r="N109" s="195"/>
      <c r="O109" s="195"/>
      <c r="P109" s="195"/>
    </row>
    <row r="110" spans="1:17" x14ac:dyDescent="0.35">
      <c r="A110" s="195"/>
      <c r="B110" s="230"/>
      <c r="C110" s="195"/>
      <c r="D110" s="195"/>
      <c r="E110" s="195"/>
      <c r="F110" s="195"/>
      <c r="G110" s="195"/>
      <c r="H110" s="195"/>
      <c r="I110" s="229"/>
      <c r="J110" s="195"/>
      <c r="K110" s="195"/>
      <c r="L110" s="195"/>
      <c r="M110" s="195"/>
      <c r="N110" s="195"/>
      <c r="O110" s="195"/>
      <c r="P110" s="195"/>
    </row>
    <row r="111" spans="1:17" x14ac:dyDescent="0.35">
      <c r="A111" s="195"/>
      <c r="B111" s="230"/>
      <c r="C111" s="195"/>
      <c r="D111" s="195"/>
      <c r="E111" s="195"/>
      <c r="F111" s="195"/>
      <c r="G111" s="195"/>
      <c r="H111" s="195"/>
      <c r="I111" s="229"/>
      <c r="J111" s="195"/>
      <c r="K111" s="195"/>
      <c r="L111" s="195"/>
      <c r="M111" s="195"/>
      <c r="N111" s="195"/>
      <c r="O111" s="195"/>
      <c r="P111" s="195"/>
    </row>
    <row r="112" spans="1:17" x14ac:dyDescent="0.35">
      <c r="A112" s="195"/>
      <c r="B112" s="230"/>
      <c r="C112" s="195"/>
      <c r="D112" s="195"/>
      <c r="E112" s="195"/>
      <c r="F112" s="195"/>
      <c r="G112" s="195"/>
      <c r="H112" s="195"/>
      <c r="I112" s="229"/>
      <c r="J112" s="195"/>
      <c r="K112" s="195"/>
      <c r="L112" s="195"/>
      <c r="M112" s="195"/>
      <c r="N112" s="195"/>
      <c r="O112" s="195"/>
      <c r="P112" s="195"/>
    </row>
    <row r="113" spans="1:17" x14ac:dyDescent="0.35">
      <c r="A113" s="195"/>
      <c r="B113" s="230"/>
      <c r="C113" s="195"/>
      <c r="D113" s="195"/>
      <c r="E113" s="195"/>
      <c r="F113" s="195"/>
      <c r="G113" s="195"/>
      <c r="H113" s="195"/>
      <c r="I113" s="229"/>
      <c r="J113" s="195"/>
      <c r="K113" s="195"/>
      <c r="L113" s="195"/>
      <c r="M113" s="195"/>
      <c r="N113" s="195"/>
      <c r="O113" s="195"/>
      <c r="P113" s="195"/>
      <c r="Q113" s="140"/>
    </row>
    <row r="114" spans="1:17" ht="14.5" customHeight="1" x14ac:dyDescent="0.35">
      <c r="A114" s="195"/>
      <c r="B114" s="230"/>
      <c r="C114" s="195"/>
      <c r="D114" s="195"/>
      <c r="E114" s="195"/>
      <c r="F114" s="195"/>
      <c r="G114" s="195"/>
      <c r="H114" s="195"/>
      <c r="I114" s="229"/>
      <c r="J114" s="195"/>
      <c r="K114" s="195"/>
      <c r="L114" s="195"/>
      <c r="M114" s="195"/>
      <c r="N114" s="195"/>
      <c r="O114" s="195"/>
      <c r="P114" s="195"/>
      <c r="Q114" s="140"/>
    </row>
    <row r="115" spans="1:17" x14ac:dyDescent="0.35">
      <c r="A115" s="195"/>
      <c r="B115" s="230"/>
      <c r="C115" s="195"/>
      <c r="D115" s="195"/>
      <c r="E115" s="195"/>
      <c r="F115" s="195"/>
      <c r="G115" s="195"/>
      <c r="H115" s="195"/>
      <c r="I115" s="229"/>
      <c r="J115" s="195"/>
      <c r="K115" s="195"/>
      <c r="L115" s="195"/>
      <c r="M115" s="195"/>
      <c r="N115" s="195"/>
      <c r="O115" s="195"/>
      <c r="P115" s="195"/>
      <c r="Q115" s="140"/>
    </row>
    <row r="116" spans="1:17" x14ac:dyDescent="0.35">
      <c r="A116" s="195"/>
      <c r="B116" s="230"/>
      <c r="C116" s="195"/>
      <c r="D116" s="195"/>
      <c r="E116" s="195"/>
      <c r="F116" s="195"/>
      <c r="G116" s="195"/>
      <c r="H116" s="195"/>
      <c r="I116" s="229"/>
      <c r="J116" s="195"/>
      <c r="K116" s="195"/>
      <c r="L116" s="195"/>
      <c r="M116" s="195"/>
      <c r="N116" s="195"/>
      <c r="O116" s="195"/>
      <c r="P116" s="195"/>
    </row>
    <row r="117" spans="1:17" x14ac:dyDescent="0.35">
      <c r="A117" s="195"/>
      <c r="B117" s="230"/>
      <c r="C117" s="195"/>
      <c r="D117" s="195"/>
      <c r="E117" s="195"/>
      <c r="F117" s="195"/>
      <c r="G117" s="195"/>
      <c r="H117" s="195"/>
      <c r="I117" s="229"/>
      <c r="J117" s="195"/>
      <c r="K117" s="195"/>
      <c r="L117" s="195"/>
      <c r="M117" s="195"/>
      <c r="N117" s="195"/>
      <c r="O117" s="195"/>
      <c r="P117" s="195"/>
    </row>
    <row r="118" spans="1:17" x14ac:dyDescent="0.35">
      <c r="A118" s="195"/>
      <c r="B118" s="230"/>
      <c r="C118" s="195"/>
      <c r="D118" s="195"/>
      <c r="E118" s="195"/>
      <c r="F118" s="195"/>
      <c r="G118" s="195"/>
      <c r="H118" s="195"/>
      <c r="I118" s="229"/>
      <c r="J118" s="195"/>
      <c r="K118" s="195"/>
      <c r="L118" s="195"/>
      <c r="M118" s="195"/>
      <c r="N118" s="195"/>
      <c r="O118" s="195"/>
      <c r="P118" s="195"/>
    </row>
    <row r="119" spans="1:17" x14ac:dyDescent="0.35">
      <c r="A119" s="195"/>
      <c r="B119" s="230"/>
      <c r="C119" s="195"/>
      <c r="D119" s="195"/>
      <c r="E119" s="195"/>
      <c r="F119" s="195"/>
      <c r="G119" s="195"/>
      <c r="H119" s="195"/>
      <c r="I119" s="229"/>
      <c r="J119" s="195"/>
      <c r="K119" s="195"/>
      <c r="L119" s="195"/>
      <c r="M119" s="195"/>
      <c r="N119" s="195"/>
      <c r="O119" s="195"/>
      <c r="P119" s="195"/>
    </row>
    <row r="120" spans="1:17" ht="15" customHeight="1" x14ac:dyDescent="0.35">
      <c r="A120" s="195"/>
      <c r="B120" s="230"/>
      <c r="C120" s="195"/>
      <c r="D120" s="195"/>
      <c r="E120" s="195"/>
      <c r="F120" s="195"/>
      <c r="G120" s="195"/>
      <c r="H120" s="195"/>
      <c r="I120" s="229"/>
      <c r="J120" s="195"/>
      <c r="K120" s="195"/>
      <c r="L120" s="195"/>
      <c r="M120" s="195"/>
      <c r="N120" s="195"/>
      <c r="O120" s="195"/>
      <c r="P120" s="195"/>
    </row>
    <row r="121" spans="1:17" x14ac:dyDescent="0.35">
      <c r="A121" s="195"/>
      <c r="B121" s="230"/>
      <c r="C121" s="195"/>
      <c r="D121" s="195"/>
      <c r="E121" s="195"/>
      <c r="F121" s="195"/>
      <c r="G121" s="195"/>
      <c r="H121" s="195"/>
      <c r="I121" s="229"/>
      <c r="J121" s="195"/>
      <c r="K121" s="195"/>
      <c r="L121" s="195"/>
      <c r="M121" s="195"/>
      <c r="N121" s="195"/>
      <c r="O121" s="195"/>
      <c r="P121" s="195"/>
    </row>
    <row r="122" spans="1:17" x14ac:dyDescent="0.35">
      <c r="A122" s="195"/>
      <c r="B122" s="230"/>
      <c r="C122" s="195"/>
      <c r="D122" s="195"/>
      <c r="E122" s="195"/>
      <c r="F122" s="195"/>
      <c r="G122" s="195"/>
      <c r="H122" s="195"/>
      <c r="I122" s="229"/>
      <c r="J122" s="195"/>
      <c r="K122" s="195"/>
      <c r="L122" s="195"/>
      <c r="M122" s="195"/>
      <c r="N122" s="195"/>
      <c r="O122" s="195"/>
      <c r="P122" s="195"/>
    </row>
    <row r="123" spans="1:17" x14ac:dyDescent="0.35">
      <c r="A123" s="195"/>
      <c r="B123" s="230"/>
      <c r="C123" s="195"/>
      <c r="D123" s="195"/>
      <c r="E123" s="195"/>
      <c r="F123" s="195"/>
      <c r="G123" s="195"/>
      <c r="H123" s="195"/>
      <c r="I123" s="229"/>
      <c r="J123" s="195"/>
      <c r="K123" s="195"/>
      <c r="L123" s="195"/>
      <c r="M123" s="195"/>
      <c r="N123" s="195"/>
      <c r="O123" s="195"/>
      <c r="P123" s="195"/>
    </row>
    <row r="124" spans="1:17" x14ac:dyDescent="0.35">
      <c r="A124" s="195"/>
      <c r="B124" s="230"/>
      <c r="C124" s="195"/>
      <c r="D124" s="195"/>
      <c r="E124" s="195"/>
      <c r="F124" s="195"/>
      <c r="G124" s="195"/>
      <c r="H124" s="195"/>
      <c r="I124" s="229"/>
      <c r="J124" s="195"/>
      <c r="K124" s="195"/>
      <c r="L124" s="195"/>
      <c r="M124" s="195"/>
      <c r="N124" s="195"/>
      <c r="O124" s="195"/>
      <c r="P124" s="195"/>
    </row>
    <row r="125" spans="1:17" x14ac:dyDescent="0.35">
      <c r="A125" s="195"/>
      <c r="B125" s="230"/>
      <c r="C125" s="195"/>
      <c r="D125" s="195"/>
      <c r="E125" s="195"/>
      <c r="F125" s="195"/>
      <c r="G125" s="195"/>
      <c r="H125" s="195"/>
      <c r="I125" s="229"/>
      <c r="J125" s="195"/>
      <c r="K125" s="195"/>
      <c r="L125" s="195"/>
      <c r="M125" s="195"/>
      <c r="N125" s="195"/>
      <c r="O125" s="195"/>
      <c r="P125" s="195"/>
    </row>
    <row r="126" spans="1:17" x14ac:dyDescent="0.35">
      <c r="A126" s="195"/>
      <c r="B126" s="230"/>
      <c r="C126" s="195"/>
      <c r="D126" s="195"/>
      <c r="E126" s="195"/>
      <c r="F126" s="195"/>
      <c r="G126" s="195"/>
      <c r="H126" s="195"/>
      <c r="I126" s="231"/>
      <c r="J126" s="195"/>
      <c r="K126" s="195"/>
      <c r="L126" s="195"/>
      <c r="M126" s="195"/>
      <c r="N126" s="195"/>
      <c r="O126" s="195"/>
      <c r="P126" s="195"/>
    </row>
    <row r="127" spans="1:17" x14ac:dyDescent="0.35">
      <c r="A127" s="195"/>
      <c r="B127" s="230"/>
      <c r="C127" s="195"/>
      <c r="D127" s="195"/>
      <c r="E127" s="195"/>
      <c r="F127" s="195"/>
      <c r="G127" s="195"/>
      <c r="H127" s="195"/>
      <c r="I127" s="231"/>
      <c r="J127" s="195"/>
      <c r="K127" s="195"/>
      <c r="L127" s="195"/>
      <c r="M127" s="195"/>
      <c r="N127" s="195"/>
      <c r="O127" s="195"/>
      <c r="P127" s="195"/>
    </row>
    <row r="128" spans="1:17" x14ac:dyDescent="0.35">
      <c r="A128" s="195"/>
      <c r="B128" s="230"/>
      <c r="C128" s="195"/>
      <c r="D128" s="195"/>
      <c r="E128" s="195"/>
      <c r="F128" s="195"/>
      <c r="G128" s="195"/>
      <c r="H128" s="195"/>
      <c r="I128" s="231"/>
      <c r="J128" s="195"/>
      <c r="K128" s="195"/>
      <c r="L128" s="195"/>
      <c r="M128" s="195"/>
      <c r="N128" s="195"/>
      <c r="O128" s="195"/>
      <c r="P128" s="195"/>
    </row>
    <row r="129" spans="1:16" x14ac:dyDescent="0.35">
      <c r="A129" s="195"/>
      <c r="B129" s="230"/>
      <c r="C129" s="195"/>
      <c r="D129" s="195"/>
      <c r="E129" s="195"/>
      <c r="F129" s="195"/>
      <c r="G129" s="195"/>
      <c r="H129" s="195"/>
      <c r="I129" s="231"/>
      <c r="J129" s="195"/>
      <c r="K129" s="195"/>
      <c r="L129" s="195"/>
      <c r="M129" s="195"/>
      <c r="N129" s="195"/>
      <c r="O129" s="195"/>
      <c r="P129" s="195"/>
    </row>
    <row r="130" spans="1:16" x14ac:dyDescent="0.35">
      <c r="A130" s="195"/>
      <c r="B130" s="230"/>
      <c r="C130" s="195"/>
      <c r="D130" s="195"/>
      <c r="E130" s="195"/>
      <c r="F130" s="195"/>
      <c r="G130" s="195"/>
      <c r="H130" s="195"/>
      <c r="I130" s="231"/>
      <c r="J130" s="195"/>
      <c r="K130" s="195"/>
      <c r="L130" s="195"/>
      <c r="M130" s="195"/>
      <c r="N130" s="195"/>
      <c r="O130" s="195"/>
      <c r="P130" s="195"/>
    </row>
    <row r="131" spans="1:16" x14ac:dyDescent="0.35">
      <c r="A131" s="195"/>
      <c r="B131" s="230"/>
      <c r="C131" s="195"/>
      <c r="D131" s="195"/>
      <c r="E131" s="195"/>
      <c r="F131" s="195"/>
      <c r="G131" s="195"/>
      <c r="H131" s="195"/>
      <c r="I131" s="231"/>
      <c r="J131" s="195"/>
      <c r="K131" s="195"/>
      <c r="L131" s="195"/>
      <c r="M131" s="195"/>
      <c r="N131" s="195"/>
      <c r="O131" s="195"/>
      <c r="P131" s="195"/>
    </row>
    <row r="132" spans="1:16" x14ac:dyDescent="0.35">
      <c r="A132" s="195"/>
      <c r="B132" s="230"/>
      <c r="C132" s="195"/>
      <c r="D132" s="195"/>
      <c r="E132" s="195"/>
      <c r="F132" s="195"/>
      <c r="G132" s="195"/>
      <c r="H132" s="195"/>
      <c r="I132" s="231"/>
      <c r="J132" s="195"/>
      <c r="K132" s="195"/>
      <c r="L132" s="195"/>
      <c r="M132" s="195"/>
      <c r="N132" s="195"/>
      <c r="O132" s="195"/>
      <c r="P132" s="195"/>
    </row>
    <row r="133" spans="1:16" x14ac:dyDescent="0.35">
      <c r="A133" s="195"/>
      <c r="B133" s="230"/>
      <c r="C133" s="195"/>
      <c r="D133" s="195"/>
      <c r="E133" s="195"/>
      <c r="F133" s="195"/>
      <c r="G133" s="195"/>
      <c r="H133" s="195"/>
      <c r="I133" s="229"/>
      <c r="J133" s="195"/>
      <c r="K133" s="195"/>
      <c r="L133" s="195"/>
      <c r="M133" s="195"/>
      <c r="N133" s="195"/>
      <c r="O133" s="195"/>
      <c r="P133" s="195"/>
    </row>
    <row r="134" spans="1:16" x14ac:dyDescent="0.35">
      <c r="A134" s="195"/>
      <c r="B134" s="230"/>
      <c r="C134" s="195"/>
      <c r="D134" s="195"/>
      <c r="E134" s="195"/>
      <c r="F134" s="195"/>
      <c r="G134" s="195"/>
      <c r="H134" s="195"/>
      <c r="I134" s="229"/>
      <c r="J134" s="195"/>
      <c r="K134" s="195"/>
      <c r="L134" s="195"/>
      <c r="M134" s="195"/>
      <c r="N134" s="195"/>
      <c r="O134" s="195"/>
      <c r="P134" s="195"/>
    </row>
    <row r="135" spans="1:16" x14ac:dyDescent="0.35">
      <c r="A135" s="195"/>
      <c r="B135" s="230"/>
      <c r="C135" s="195"/>
      <c r="D135" s="195"/>
      <c r="E135" s="195"/>
      <c r="F135" s="195"/>
      <c r="G135" s="195"/>
      <c r="H135" s="195"/>
      <c r="I135" s="229"/>
      <c r="J135" s="195"/>
      <c r="K135" s="195"/>
      <c r="L135" s="195"/>
      <c r="M135" s="195"/>
      <c r="N135" s="195"/>
      <c r="O135" s="195"/>
      <c r="P135" s="195"/>
    </row>
    <row r="136" spans="1:16" x14ac:dyDescent="0.35">
      <c r="A136" s="195"/>
      <c r="B136" s="230"/>
      <c r="C136" s="195"/>
      <c r="D136" s="195"/>
      <c r="E136" s="195"/>
      <c r="F136" s="195"/>
      <c r="G136" s="195"/>
      <c r="H136" s="195"/>
      <c r="I136" s="229"/>
      <c r="J136" s="195"/>
      <c r="K136" s="195"/>
      <c r="L136" s="195"/>
      <c r="M136" s="195"/>
      <c r="N136" s="195"/>
      <c r="O136" s="195"/>
      <c r="P136" s="195"/>
    </row>
    <row r="137" spans="1:16" x14ac:dyDescent="0.35">
      <c r="A137" s="195"/>
      <c r="B137" s="230"/>
      <c r="C137" s="195"/>
      <c r="D137" s="195"/>
      <c r="E137" s="195"/>
      <c r="F137" s="195"/>
      <c r="G137" s="195"/>
      <c r="H137" s="195"/>
      <c r="I137" s="229"/>
      <c r="J137" s="195"/>
      <c r="K137" s="195"/>
      <c r="L137" s="195"/>
      <c r="M137" s="195"/>
      <c r="N137" s="195"/>
      <c r="O137" s="195"/>
      <c r="P137" s="195"/>
    </row>
    <row r="138" spans="1:16" x14ac:dyDescent="0.35">
      <c r="A138" s="195"/>
      <c r="B138" s="230"/>
      <c r="C138" s="195"/>
      <c r="D138" s="195"/>
      <c r="E138" s="195"/>
      <c r="F138" s="195"/>
      <c r="G138" s="195"/>
      <c r="H138" s="195"/>
      <c r="I138" s="229"/>
      <c r="J138" s="195"/>
      <c r="K138" s="195"/>
      <c r="L138" s="195"/>
      <c r="M138" s="195"/>
      <c r="N138" s="195"/>
      <c r="O138" s="195"/>
      <c r="P138" s="195"/>
    </row>
    <row r="139" spans="1:16" x14ac:dyDescent="0.35">
      <c r="A139" s="195"/>
      <c r="B139" s="230"/>
      <c r="C139" s="195"/>
      <c r="D139" s="195"/>
      <c r="E139" s="195"/>
      <c r="F139" s="195"/>
      <c r="G139" s="195"/>
      <c r="H139" s="195"/>
      <c r="I139" s="229"/>
      <c r="J139" s="195"/>
      <c r="K139" s="195"/>
      <c r="L139" s="195"/>
      <c r="M139" s="195"/>
      <c r="N139" s="195"/>
      <c r="O139" s="195"/>
      <c r="P139" s="195"/>
    </row>
    <row r="140" spans="1:16" x14ac:dyDescent="0.35">
      <c r="A140" s="195"/>
      <c r="B140" s="230"/>
      <c r="C140" s="195"/>
      <c r="D140" s="195"/>
      <c r="E140" s="195"/>
      <c r="F140" s="195"/>
      <c r="G140" s="195"/>
      <c r="H140" s="195"/>
      <c r="I140" s="229"/>
      <c r="J140" s="195"/>
      <c r="K140" s="195"/>
      <c r="L140" s="195"/>
      <c r="M140" s="195"/>
      <c r="N140" s="195"/>
      <c r="O140" s="195"/>
      <c r="P140" s="195"/>
    </row>
    <row r="141" spans="1:16" x14ac:dyDescent="0.35">
      <c r="A141" s="195"/>
      <c r="B141" s="230"/>
      <c r="C141" s="195"/>
      <c r="D141" s="195"/>
      <c r="E141" s="195"/>
      <c r="F141" s="195"/>
      <c r="G141" s="195"/>
      <c r="H141" s="195"/>
      <c r="I141" s="229"/>
      <c r="J141" s="195"/>
      <c r="K141" s="195"/>
      <c r="L141" s="195"/>
      <c r="M141" s="195"/>
      <c r="N141" s="195"/>
      <c r="O141" s="195"/>
      <c r="P141" s="195"/>
    </row>
    <row r="142" spans="1:16" x14ac:dyDescent="0.35">
      <c r="A142" s="195"/>
      <c r="B142" s="230"/>
      <c r="C142" s="195"/>
      <c r="D142" s="195"/>
      <c r="E142" s="195"/>
      <c r="F142" s="195"/>
      <c r="G142" s="195"/>
      <c r="H142" s="195"/>
      <c r="I142" s="229"/>
      <c r="J142" s="195"/>
      <c r="K142" s="195"/>
      <c r="L142" s="195"/>
      <c r="M142" s="195"/>
      <c r="N142" s="195"/>
      <c r="O142" s="195"/>
      <c r="P142" s="195"/>
    </row>
    <row r="143" spans="1:16" x14ac:dyDescent="0.35">
      <c r="A143" s="195"/>
      <c r="B143" s="230"/>
      <c r="C143" s="195"/>
      <c r="D143" s="195"/>
      <c r="E143" s="195"/>
      <c r="F143" s="195"/>
      <c r="G143" s="195"/>
      <c r="H143" s="195"/>
      <c r="I143" s="229"/>
      <c r="J143" s="195"/>
      <c r="K143" s="195"/>
      <c r="L143" s="195"/>
      <c r="M143" s="195"/>
      <c r="N143" s="195"/>
      <c r="O143" s="195"/>
      <c r="P143" s="195"/>
    </row>
    <row r="144" spans="1:16" x14ac:dyDescent="0.35">
      <c r="A144" s="195"/>
      <c r="B144" s="230"/>
      <c r="C144" s="195"/>
      <c r="D144" s="195"/>
      <c r="E144" s="195"/>
      <c r="F144" s="195"/>
      <c r="G144" s="195"/>
      <c r="H144" s="195"/>
      <c r="I144" s="229"/>
      <c r="J144" s="195"/>
      <c r="K144" s="195"/>
      <c r="L144" s="195"/>
      <c r="M144" s="195"/>
      <c r="N144" s="195"/>
      <c r="O144" s="195"/>
      <c r="P144" s="195"/>
    </row>
    <row r="145" spans="1:16" x14ac:dyDescent="0.35">
      <c r="A145" s="195"/>
      <c r="B145" s="230"/>
      <c r="C145" s="195"/>
      <c r="D145" s="195"/>
      <c r="E145" s="195"/>
      <c r="F145" s="195"/>
      <c r="G145" s="195"/>
      <c r="H145" s="195"/>
      <c r="I145" s="229"/>
      <c r="J145" s="195"/>
      <c r="K145" s="195"/>
      <c r="L145" s="195"/>
      <c r="M145" s="195"/>
      <c r="N145" s="195"/>
      <c r="O145" s="195"/>
      <c r="P145" s="195"/>
    </row>
    <row r="146" spans="1:16" x14ac:dyDescent="0.35">
      <c r="A146" s="195"/>
      <c r="B146" s="230"/>
      <c r="C146" s="195"/>
      <c r="D146" s="195"/>
      <c r="E146" s="195"/>
      <c r="F146" s="195"/>
      <c r="G146" s="195"/>
      <c r="H146" s="195"/>
      <c r="I146" s="229"/>
      <c r="J146" s="195"/>
      <c r="K146" s="195"/>
      <c r="L146" s="195"/>
      <c r="M146" s="195"/>
      <c r="N146" s="195"/>
      <c r="O146" s="195"/>
      <c r="P146" s="195"/>
    </row>
    <row r="147" spans="1:16" x14ac:dyDescent="0.35">
      <c r="A147" s="195"/>
      <c r="B147" s="230"/>
      <c r="C147" s="195"/>
      <c r="D147" s="195"/>
      <c r="E147" s="195"/>
      <c r="F147" s="195"/>
      <c r="G147" s="195"/>
      <c r="H147" s="195"/>
      <c r="I147" s="229"/>
      <c r="J147" s="195"/>
      <c r="K147" s="195"/>
      <c r="L147" s="195"/>
      <c r="M147" s="195"/>
      <c r="N147" s="195"/>
      <c r="O147" s="195"/>
      <c r="P147" s="195"/>
    </row>
    <row r="148" spans="1:16" x14ac:dyDescent="0.35">
      <c r="A148" s="195"/>
      <c r="B148" s="230"/>
      <c r="C148" s="195"/>
      <c r="D148" s="195"/>
      <c r="E148" s="195"/>
      <c r="F148" s="195"/>
      <c r="G148" s="195"/>
      <c r="H148" s="195"/>
      <c r="I148" s="229"/>
      <c r="J148" s="195"/>
      <c r="K148" s="195"/>
      <c r="L148" s="195"/>
      <c r="M148" s="195"/>
      <c r="N148" s="195"/>
      <c r="O148" s="195"/>
      <c r="P148" s="195"/>
    </row>
    <row r="149" spans="1:16" x14ac:dyDescent="0.35">
      <c r="A149" s="195"/>
      <c r="B149" s="230"/>
      <c r="C149" s="195"/>
      <c r="D149" s="195"/>
      <c r="E149" s="195"/>
      <c r="F149" s="195"/>
      <c r="G149" s="195"/>
      <c r="H149" s="195"/>
      <c r="I149" s="229"/>
      <c r="J149" s="195"/>
      <c r="K149" s="195"/>
      <c r="L149" s="195"/>
      <c r="M149" s="195"/>
      <c r="N149" s="195"/>
      <c r="O149" s="195"/>
      <c r="P149" s="195"/>
    </row>
    <row r="150" spans="1:16" ht="15" customHeight="1" x14ac:dyDescent="0.35">
      <c r="A150" s="195"/>
      <c r="B150" s="230"/>
      <c r="C150" s="195"/>
      <c r="D150" s="195"/>
      <c r="E150" s="195"/>
      <c r="F150" s="195"/>
      <c r="G150" s="195"/>
      <c r="H150" s="195"/>
      <c r="I150" s="229"/>
      <c r="J150" s="195"/>
      <c r="K150" s="195"/>
      <c r="L150" s="195"/>
      <c r="M150" s="195"/>
      <c r="N150" s="195"/>
      <c r="O150" s="195"/>
      <c r="P150" s="195"/>
    </row>
    <row r="151" spans="1:16" x14ac:dyDescent="0.35">
      <c r="A151" s="195"/>
      <c r="B151" s="230"/>
      <c r="C151" s="195"/>
      <c r="D151" s="195"/>
      <c r="E151" s="195"/>
      <c r="F151" s="195"/>
      <c r="G151" s="195"/>
      <c r="H151" s="195"/>
      <c r="I151" s="229"/>
      <c r="J151" s="195"/>
      <c r="K151" s="195"/>
      <c r="L151" s="195"/>
      <c r="M151" s="195"/>
      <c r="N151" s="195"/>
      <c r="O151" s="195"/>
      <c r="P151" s="195"/>
    </row>
    <row r="152" spans="1:16" x14ac:dyDescent="0.35">
      <c r="A152" s="195"/>
      <c r="B152" s="230"/>
      <c r="C152" s="195"/>
      <c r="D152" s="195"/>
      <c r="E152" s="195"/>
      <c r="F152" s="195"/>
      <c r="G152" s="195"/>
      <c r="H152" s="195"/>
      <c r="I152" s="229"/>
      <c r="J152" s="195"/>
      <c r="K152" s="195"/>
      <c r="L152" s="195"/>
      <c r="M152" s="195"/>
      <c r="N152" s="195"/>
      <c r="O152" s="195"/>
      <c r="P152" s="195"/>
    </row>
    <row r="153" spans="1:16" x14ac:dyDescent="0.35">
      <c r="A153" s="195"/>
      <c r="B153" s="230"/>
      <c r="C153" s="195"/>
      <c r="D153" s="195"/>
      <c r="E153" s="195"/>
      <c r="F153" s="195"/>
      <c r="G153" s="195"/>
      <c r="H153" s="195"/>
      <c r="I153" s="229"/>
      <c r="J153" s="195"/>
      <c r="K153" s="195"/>
      <c r="L153" s="195"/>
      <c r="M153" s="195"/>
      <c r="N153" s="195"/>
      <c r="O153" s="195"/>
      <c r="P153" s="195"/>
    </row>
    <row r="154" spans="1:16" x14ac:dyDescent="0.35">
      <c r="A154" s="195"/>
      <c r="B154" s="230"/>
      <c r="C154" s="195"/>
      <c r="D154" s="195"/>
      <c r="E154" s="195"/>
      <c r="F154" s="195"/>
      <c r="G154" s="195"/>
      <c r="H154" s="195"/>
      <c r="I154" s="229"/>
      <c r="J154" s="195"/>
      <c r="K154" s="195"/>
      <c r="L154" s="195"/>
      <c r="M154" s="195"/>
      <c r="N154" s="203"/>
      <c r="O154" s="195"/>
      <c r="P154" s="195"/>
    </row>
    <row r="155" spans="1:16" x14ac:dyDescent="0.35">
      <c r="A155" s="195"/>
      <c r="B155" s="230"/>
      <c r="C155" s="195"/>
      <c r="D155" s="195"/>
      <c r="E155" s="195"/>
      <c r="F155" s="195"/>
      <c r="G155" s="195"/>
      <c r="H155" s="195"/>
      <c r="I155" s="229"/>
      <c r="J155" s="195"/>
      <c r="K155" s="195"/>
      <c r="L155" s="195"/>
      <c r="M155" s="195"/>
      <c r="N155" s="195"/>
      <c r="O155" s="195"/>
      <c r="P155" s="195"/>
    </row>
    <row r="156" spans="1:16" x14ac:dyDescent="0.35">
      <c r="A156" s="195"/>
      <c r="B156" s="230"/>
      <c r="C156" s="195"/>
      <c r="D156" s="195"/>
      <c r="E156" s="195"/>
      <c r="F156" s="195"/>
      <c r="G156" s="195"/>
      <c r="H156" s="195"/>
      <c r="I156" s="229"/>
      <c r="J156" s="195"/>
      <c r="K156" s="195"/>
      <c r="L156" s="195"/>
      <c r="M156" s="195"/>
      <c r="N156" s="195"/>
      <c r="O156" s="195"/>
      <c r="P156" s="195"/>
    </row>
    <row r="157" spans="1:16" x14ac:dyDescent="0.35">
      <c r="A157" s="195"/>
      <c r="B157" s="230"/>
      <c r="C157" s="195"/>
      <c r="D157" s="195"/>
      <c r="E157" s="195"/>
      <c r="F157" s="195"/>
      <c r="G157" s="195"/>
      <c r="H157" s="195"/>
      <c r="I157" s="229"/>
      <c r="J157" s="195"/>
      <c r="K157" s="195"/>
      <c r="L157" s="195"/>
      <c r="M157" s="195"/>
      <c r="N157" s="195"/>
      <c r="O157" s="195"/>
      <c r="P157" s="195"/>
    </row>
    <row r="158" spans="1:16" x14ac:dyDescent="0.35">
      <c r="A158" s="195"/>
      <c r="B158" s="230"/>
      <c r="C158" s="195"/>
      <c r="D158" s="195"/>
      <c r="E158" s="195"/>
      <c r="F158" s="195"/>
      <c r="G158" s="195"/>
      <c r="H158" s="195"/>
      <c r="I158" s="229"/>
      <c r="J158" s="195"/>
      <c r="K158" s="195"/>
      <c r="L158" s="195"/>
      <c r="M158" s="195"/>
      <c r="N158" s="195"/>
      <c r="O158" s="195"/>
      <c r="P158" s="195"/>
    </row>
    <row r="159" spans="1:16" x14ac:dyDescent="0.35">
      <c r="A159" s="195"/>
      <c r="B159" s="230"/>
      <c r="C159" s="195"/>
      <c r="D159" s="195"/>
      <c r="E159" s="195"/>
      <c r="F159" s="195"/>
      <c r="G159" s="195"/>
      <c r="H159" s="195"/>
      <c r="I159" s="229"/>
      <c r="J159" s="195"/>
      <c r="K159" s="195"/>
      <c r="L159" s="195"/>
      <c r="M159" s="195"/>
      <c r="N159" s="195"/>
      <c r="O159" s="195"/>
      <c r="P159" s="195"/>
    </row>
    <row r="160" spans="1:16" x14ac:dyDescent="0.35">
      <c r="A160" s="195"/>
      <c r="B160" s="230"/>
      <c r="C160" s="195"/>
      <c r="D160" s="195"/>
      <c r="E160" s="195"/>
      <c r="F160" s="195"/>
      <c r="G160" s="195"/>
      <c r="H160" s="195"/>
      <c r="I160" s="229"/>
      <c r="J160" s="195"/>
      <c r="K160" s="195"/>
      <c r="L160" s="195"/>
      <c r="M160" s="195"/>
      <c r="N160" s="195"/>
      <c r="O160" s="195"/>
      <c r="P160" s="195"/>
    </row>
    <row r="161" spans="1:16" x14ac:dyDescent="0.35">
      <c r="A161" s="195"/>
      <c r="B161" s="230"/>
      <c r="C161" s="195"/>
      <c r="D161" s="195"/>
      <c r="E161" s="195"/>
      <c r="F161" s="195"/>
      <c r="G161" s="195"/>
      <c r="H161" s="195"/>
      <c r="I161" s="229"/>
      <c r="J161" s="195"/>
      <c r="K161" s="195"/>
      <c r="L161" s="195"/>
      <c r="M161" s="195"/>
      <c r="N161" s="195"/>
      <c r="O161" s="195"/>
      <c r="P161" s="195"/>
    </row>
    <row r="162" spans="1:16" x14ac:dyDescent="0.35">
      <c r="A162" s="195"/>
      <c r="B162" s="230"/>
      <c r="C162" s="195"/>
      <c r="D162" s="195"/>
      <c r="E162" s="195"/>
      <c r="F162" s="195"/>
      <c r="G162" s="195"/>
      <c r="H162" s="195"/>
      <c r="I162" s="229"/>
      <c r="J162" s="195"/>
      <c r="K162" s="195"/>
      <c r="L162" s="195"/>
      <c r="M162" s="195"/>
      <c r="N162" s="195"/>
      <c r="O162" s="195"/>
      <c r="P162" s="195"/>
    </row>
    <row r="163" spans="1:16" x14ac:dyDescent="0.35">
      <c r="A163" s="195"/>
      <c r="B163" s="230"/>
      <c r="C163" s="195"/>
      <c r="D163" s="195"/>
      <c r="E163" s="195"/>
      <c r="F163" s="195"/>
      <c r="G163" s="195"/>
      <c r="H163" s="195"/>
      <c r="I163" s="229"/>
      <c r="J163" s="195"/>
      <c r="K163" s="195"/>
      <c r="L163" s="195"/>
      <c r="M163" s="195"/>
      <c r="N163" s="195"/>
      <c r="O163" s="195"/>
      <c r="P163" s="195"/>
    </row>
    <row r="164" spans="1:16" x14ac:dyDescent="0.35">
      <c r="A164" s="195"/>
      <c r="B164" s="230"/>
      <c r="C164" s="195"/>
      <c r="D164" s="195"/>
      <c r="E164" s="195"/>
      <c r="F164" s="195"/>
      <c r="G164" s="195"/>
      <c r="H164" s="195"/>
      <c r="I164" s="229"/>
      <c r="J164" s="195"/>
      <c r="K164" s="195"/>
      <c r="L164" s="195"/>
      <c r="M164" s="195"/>
      <c r="N164" s="195"/>
      <c r="O164" s="195"/>
      <c r="P164" s="195"/>
    </row>
    <row r="165" spans="1:16" x14ac:dyDescent="0.35">
      <c r="A165" s="195"/>
      <c r="B165" s="230"/>
      <c r="C165" s="195"/>
      <c r="D165" s="195"/>
      <c r="E165" s="195"/>
      <c r="F165" s="195"/>
      <c r="G165" s="195"/>
      <c r="H165" s="195"/>
      <c r="I165" s="229"/>
      <c r="J165" s="195"/>
      <c r="K165" s="195"/>
      <c r="L165" s="195"/>
      <c r="M165" s="195"/>
      <c r="N165" s="195"/>
      <c r="O165" s="195"/>
      <c r="P165" s="195"/>
    </row>
    <row r="166" spans="1:16" x14ac:dyDescent="0.35">
      <c r="A166" s="195"/>
      <c r="B166" s="230"/>
      <c r="C166" s="195"/>
      <c r="D166" s="195"/>
      <c r="E166" s="195"/>
      <c r="F166" s="195"/>
      <c r="G166" s="195"/>
      <c r="H166" s="195"/>
      <c r="I166" s="229"/>
      <c r="J166" s="195"/>
      <c r="K166" s="195"/>
      <c r="L166" s="195"/>
      <c r="M166" s="195"/>
      <c r="N166" s="195"/>
      <c r="O166" s="195"/>
      <c r="P166" s="195"/>
    </row>
    <row r="167" spans="1:16" x14ac:dyDescent="0.35">
      <c r="A167" s="195"/>
      <c r="B167" s="230"/>
      <c r="C167" s="195"/>
      <c r="D167" s="195"/>
      <c r="E167" s="195"/>
      <c r="F167" s="195"/>
      <c r="G167" s="195"/>
      <c r="H167" s="195"/>
      <c r="I167" s="229"/>
      <c r="J167" s="195"/>
      <c r="K167" s="195"/>
      <c r="L167" s="195"/>
      <c r="M167" s="195"/>
      <c r="N167" s="195"/>
      <c r="O167" s="195"/>
      <c r="P167" s="195"/>
    </row>
    <row r="168" spans="1:16" x14ac:dyDescent="0.35">
      <c r="A168" s="195"/>
      <c r="B168" s="230"/>
      <c r="C168" s="195"/>
      <c r="D168" s="195"/>
      <c r="E168" s="195"/>
      <c r="F168" s="195"/>
      <c r="G168" s="195"/>
      <c r="H168" s="195"/>
      <c r="I168" s="229"/>
      <c r="J168" s="195"/>
      <c r="K168" s="195"/>
      <c r="L168" s="195"/>
      <c r="M168" s="195"/>
      <c r="N168" s="195"/>
      <c r="O168" s="195"/>
      <c r="P168" s="195"/>
    </row>
    <row r="169" spans="1:16" x14ac:dyDescent="0.35">
      <c r="A169" s="195"/>
      <c r="B169" s="230"/>
      <c r="C169" s="195"/>
      <c r="D169" s="195"/>
      <c r="E169" s="195"/>
      <c r="F169" s="195"/>
      <c r="G169" s="195"/>
      <c r="H169" s="195"/>
      <c r="I169" s="229"/>
      <c r="J169" s="195"/>
      <c r="K169" s="195"/>
      <c r="L169" s="195"/>
      <c r="M169" s="195"/>
      <c r="N169" s="195"/>
      <c r="O169" s="195"/>
      <c r="P169" s="195"/>
    </row>
    <row r="170" spans="1:16" x14ac:dyDescent="0.35">
      <c r="A170" s="195"/>
      <c r="B170" s="230"/>
      <c r="C170" s="195"/>
      <c r="D170" s="195"/>
      <c r="E170" s="195"/>
      <c r="F170" s="195"/>
      <c r="G170" s="195"/>
      <c r="H170" s="195"/>
      <c r="I170" s="229"/>
      <c r="J170" s="195"/>
      <c r="K170" s="195"/>
      <c r="L170" s="195"/>
      <c r="M170" s="195"/>
      <c r="N170" s="195"/>
      <c r="O170" s="195"/>
      <c r="P170" s="195"/>
    </row>
    <row r="171" spans="1:16" x14ac:dyDescent="0.35">
      <c r="A171" s="195"/>
      <c r="B171" s="230"/>
      <c r="C171" s="195"/>
      <c r="D171" s="195"/>
      <c r="E171" s="195"/>
      <c r="F171" s="195"/>
      <c r="G171" s="195"/>
      <c r="H171" s="195"/>
      <c r="I171" s="229"/>
      <c r="J171" s="195"/>
      <c r="K171" s="195"/>
      <c r="L171" s="195"/>
      <c r="M171" s="195"/>
      <c r="N171" s="195"/>
      <c r="O171" s="195"/>
      <c r="P171" s="195"/>
    </row>
    <row r="172" spans="1:16" x14ac:dyDescent="0.35">
      <c r="A172" s="195"/>
      <c r="B172" s="230"/>
      <c r="C172" s="195"/>
      <c r="D172" s="195"/>
      <c r="E172" s="195"/>
      <c r="F172" s="195"/>
      <c r="G172" s="195"/>
      <c r="H172" s="195"/>
      <c r="I172" s="229"/>
      <c r="J172" s="195"/>
      <c r="K172" s="195"/>
      <c r="L172" s="195"/>
      <c r="M172" s="195"/>
      <c r="N172" s="195"/>
      <c r="O172" s="195"/>
      <c r="P172" s="195"/>
    </row>
    <row r="173" spans="1:16" x14ac:dyDescent="0.35">
      <c r="A173" s="195"/>
      <c r="B173" s="230"/>
      <c r="C173" s="195"/>
      <c r="D173" s="195"/>
      <c r="E173" s="195"/>
      <c r="F173" s="195"/>
      <c r="G173" s="195"/>
      <c r="H173" s="195"/>
      <c r="I173" s="229"/>
      <c r="J173" s="195"/>
      <c r="K173" s="195"/>
      <c r="L173" s="195"/>
      <c r="M173" s="195"/>
      <c r="N173" s="195"/>
      <c r="O173" s="195"/>
      <c r="P173" s="195"/>
    </row>
    <row r="174" spans="1:16" x14ac:dyDescent="0.35">
      <c r="A174" s="195"/>
      <c r="B174" s="230"/>
      <c r="C174" s="195"/>
      <c r="D174" s="195"/>
      <c r="E174" s="195"/>
      <c r="F174" s="195"/>
      <c r="G174" s="195"/>
      <c r="H174" s="195"/>
      <c r="I174" s="229"/>
      <c r="J174" s="195"/>
      <c r="K174" s="195"/>
      <c r="L174" s="195"/>
      <c r="M174" s="195"/>
      <c r="N174" s="195"/>
      <c r="O174" s="195"/>
      <c r="P174" s="195"/>
    </row>
    <row r="175" spans="1:16" x14ac:dyDescent="0.35">
      <c r="A175" s="195"/>
      <c r="B175" s="230"/>
      <c r="C175" s="195"/>
      <c r="D175" s="195"/>
      <c r="E175" s="195"/>
      <c r="F175" s="195"/>
      <c r="G175" s="195"/>
      <c r="H175" s="195"/>
      <c r="I175" s="229"/>
      <c r="J175" s="195"/>
      <c r="K175" s="195"/>
      <c r="L175" s="195"/>
      <c r="M175" s="195"/>
      <c r="N175" s="195"/>
      <c r="O175" s="195"/>
      <c r="P175" s="195"/>
    </row>
  </sheetData>
  <autoFilter ref="B1:BP40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1"/>
  <sheetViews>
    <sheetView workbookViewId="0">
      <pane xSplit="2" ySplit="2" topLeftCell="Q3" activePane="bottomRight" state="frozen"/>
      <selection activeCell="F1006" sqref="F1006:F1078"/>
      <selection pane="topRight" activeCell="F1006" sqref="F1006:F1078"/>
      <selection pane="bottomLeft" activeCell="F1006" sqref="F1006:F1078"/>
      <selection pane="bottomRight" activeCell="X7" sqref="X7"/>
    </sheetView>
  </sheetViews>
  <sheetFormatPr defaultRowHeight="14.5" x14ac:dyDescent="0.35"/>
  <cols>
    <col min="1" max="1" width="5.26953125" style="211" customWidth="1"/>
    <col min="2" max="2" width="14.1796875" style="203" customWidth="1"/>
    <col min="3" max="3" width="9.81640625" style="211" customWidth="1"/>
    <col min="4" max="4" width="11.7265625" style="211" customWidth="1"/>
    <col min="5" max="5" width="9" style="211" bestFit="1" customWidth="1"/>
    <col min="6" max="6" width="8.453125" style="211" bestFit="1" customWidth="1"/>
    <col min="7" max="7" width="10.1796875" style="132" bestFit="1" customWidth="1"/>
    <col min="8" max="10" width="12.1796875" style="132" customWidth="1"/>
    <col min="11" max="11" width="10.1796875" style="132" customWidth="1"/>
    <col min="12" max="12" width="11" style="132" bestFit="1" customWidth="1"/>
    <col min="13" max="16" width="11" style="132" customWidth="1"/>
    <col min="17" max="17" width="9.26953125" style="132" bestFit="1" customWidth="1"/>
    <col min="18" max="18" width="9.26953125" style="132" customWidth="1"/>
    <col min="19" max="19" width="11.1796875" style="132" customWidth="1"/>
    <col min="20" max="20" width="4" style="132" customWidth="1"/>
    <col min="21" max="21" width="10" style="132" customWidth="1"/>
    <col min="22" max="22" width="11.54296875" style="132" customWidth="1"/>
    <col min="23" max="23" width="9.81640625" style="132" customWidth="1"/>
    <col min="24" max="24" width="8.54296875" style="132" bestFit="1" customWidth="1"/>
    <col min="25" max="25" width="11.1796875" style="132" customWidth="1"/>
    <col min="26" max="26" width="10.36328125" style="132" bestFit="1" customWidth="1"/>
    <col min="27" max="28" width="10" style="132" bestFit="1" customWidth="1"/>
    <col min="29" max="29" width="9.54296875" style="132" bestFit="1" customWidth="1"/>
    <col min="30" max="16384" width="8.7265625" style="132"/>
  </cols>
  <sheetData>
    <row r="1" spans="1:29" ht="15" customHeight="1" x14ac:dyDescent="0.35">
      <c r="A1" s="560" t="s">
        <v>1338</v>
      </c>
      <c r="B1" s="560" t="s">
        <v>2341</v>
      </c>
      <c r="C1" s="560" t="s">
        <v>2340</v>
      </c>
      <c r="D1" s="560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223"/>
      <c r="S1" s="560" t="s">
        <v>2339</v>
      </c>
      <c r="T1" s="227"/>
      <c r="U1" s="560" t="s">
        <v>2338</v>
      </c>
      <c r="V1" s="560" t="s">
        <v>2337</v>
      </c>
      <c r="W1" s="560" t="s">
        <v>2336</v>
      </c>
      <c r="X1" s="560" t="s">
        <v>1076</v>
      </c>
      <c r="Y1" s="560" t="s">
        <v>2335</v>
      </c>
    </row>
    <row r="2" spans="1:29" ht="87.75" customHeight="1" x14ac:dyDescent="0.35">
      <c r="A2" s="560"/>
      <c r="B2" s="560"/>
      <c r="C2" s="221" t="s">
        <v>1073</v>
      </c>
      <c r="D2" s="226" t="s">
        <v>2334</v>
      </c>
      <c r="E2" s="225" t="s">
        <v>710</v>
      </c>
      <c r="F2" s="225" t="s">
        <v>1953</v>
      </c>
      <c r="G2" s="225" t="s">
        <v>2333</v>
      </c>
      <c r="H2" s="225" t="s">
        <v>2332</v>
      </c>
      <c r="I2" s="225" t="s">
        <v>2331</v>
      </c>
      <c r="J2" s="225" t="s">
        <v>46</v>
      </c>
      <c r="K2" s="225" t="s">
        <v>1342</v>
      </c>
      <c r="L2" s="225" t="s">
        <v>2330</v>
      </c>
      <c r="M2" s="225" t="s">
        <v>1074</v>
      </c>
      <c r="N2" s="225" t="s">
        <v>1184</v>
      </c>
      <c r="O2" s="225" t="s">
        <v>2329</v>
      </c>
      <c r="P2" s="225" t="s">
        <v>2265</v>
      </c>
      <c r="Q2" s="225" t="s">
        <v>1064</v>
      </c>
      <c r="R2" s="225" t="s">
        <v>40</v>
      </c>
      <c r="S2" s="560"/>
      <c r="T2" s="224"/>
      <c r="U2" s="561"/>
      <c r="V2" s="560"/>
      <c r="W2" s="560"/>
      <c r="X2" s="560"/>
      <c r="Y2" s="560"/>
      <c r="Z2" s="132" t="s">
        <v>2488</v>
      </c>
    </row>
    <row r="3" spans="1:29" x14ac:dyDescent="0.35">
      <c r="A3" s="223"/>
      <c r="B3" s="222" t="s">
        <v>2328</v>
      </c>
      <c r="C3" s="221" t="s">
        <v>1055</v>
      </c>
      <c r="D3" s="221" t="s">
        <v>1055</v>
      </c>
      <c r="E3" s="221" t="s">
        <v>1055</v>
      </c>
      <c r="F3" s="221" t="s">
        <v>1055</v>
      </c>
      <c r="G3" s="221" t="s">
        <v>1055</v>
      </c>
      <c r="H3" s="221" t="s">
        <v>1055</v>
      </c>
      <c r="I3" s="221" t="s">
        <v>1055</v>
      </c>
      <c r="J3" s="221" t="s">
        <v>1055</v>
      </c>
      <c r="K3" s="221" t="s">
        <v>1055</v>
      </c>
      <c r="L3" s="221" t="s">
        <v>1055</v>
      </c>
      <c r="M3" s="221" t="s">
        <v>1055</v>
      </c>
      <c r="N3" s="221" t="s">
        <v>1055</v>
      </c>
      <c r="O3" s="221" t="s">
        <v>1055</v>
      </c>
      <c r="P3" s="221"/>
      <c r="Q3" s="221" t="s">
        <v>1055</v>
      </c>
      <c r="R3" s="221" t="s">
        <v>1055</v>
      </c>
      <c r="S3" s="221" t="s">
        <v>1055</v>
      </c>
      <c r="T3" s="221"/>
      <c r="U3" s="221" t="s">
        <v>1055</v>
      </c>
      <c r="V3" s="221" t="s">
        <v>1055</v>
      </c>
      <c r="W3" s="221" t="s">
        <v>1055</v>
      </c>
      <c r="X3" s="221" t="s">
        <v>1055</v>
      </c>
      <c r="Y3" s="220">
        <v>657884.23</v>
      </c>
    </row>
    <row r="4" spans="1:29" x14ac:dyDescent="0.35">
      <c r="A4" s="146">
        <v>1</v>
      </c>
      <c r="B4" s="219" t="s">
        <v>2327</v>
      </c>
      <c r="C4" s="218">
        <v>47218.899999999994</v>
      </c>
      <c r="D4" s="218">
        <v>39624.800000000003</v>
      </c>
      <c r="E4" s="218">
        <v>81</v>
      </c>
      <c r="F4" s="218">
        <v>700</v>
      </c>
      <c r="G4" s="218">
        <v>6575</v>
      </c>
      <c r="H4" s="218">
        <v>0</v>
      </c>
      <c r="I4" s="218">
        <v>196000</v>
      </c>
      <c r="J4" s="218">
        <v>0</v>
      </c>
      <c r="K4" s="218">
        <v>18916</v>
      </c>
      <c r="L4" s="218">
        <v>13674.699999999999</v>
      </c>
      <c r="M4" s="218">
        <v>3000</v>
      </c>
      <c r="N4" s="218">
        <v>6000</v>
      </c>
      <c r="O4" s="218">
        <v>0</v>
      </c>
      <c r="P4" s="218">
        <v>0</v>
      </c>
      <c r="Q4" s="218">
        <v>8730.6</v>
      </c>
      <c r="R4" s="218">
        <v>0</v>
      </c>
      <c r="S4" s="216">
        <f t="shared" ref="S4:S15" si="0">SUM(C4:R4)</f>
        <v>340521</v>
      </c>
      <c r="T4" s="216"/>
      <c r="U4" s="137">
        <f t="shared" ref="U4:U15" si="1">+Y3</f>
        <v>657884.23</v>
      </c>
      <c r="V4" s="142">
        <f t="shared" ref="V4:V15" si="2">+S4</f>
        <v>340521</v>
      </c>
      <c r="W4" s="215">
        <v>262003</v>
      </c>
      <c r="X4" s="215">
        <v>20774</v>
      </c>
      <c r="Y4" s="137">
        <f>+U4+V4-W4-X4+0.01</f>
        <v>715628.24</v>
      </c>
      <c r="Z4" s="406">
        <v>261837</v>
      </c>
      <c r="AA4" s="140">
        <f>+W4-Z4</f>
        <v>166</v>
      </c>
    </row>
    <row r="5" spans="1:29" x14ac:dyDescent="0.35">
      <c r="A5" s="146">
        <f t="shared" ref="A5:A15" si="3">+A4+1</f>
        <v>2</v>
      </c>
      <c r="B5" s="219" t="s">
        <v>2326</v>
      </c>
      <c r="C5" s="218">
        <v>42872.100000000006</v>
      </c>
      <c r="D5" s="218">
        <v>79673.2</v>
      </c>
      <c r="E5" s="218">
        <v>468.90000000000003</v>
      </c>
      <c r="F5" s="218">
        <v>0</v>
      </c>
      <c r="G5" s="218">
        <v>800</v>
      </c>
      <c r="H5" s="218">
        <v>0</v>
      </c>
      <c r="I5" s="218">
        <v>0</v>
      </c>
      <c r="J5" s="218">
        <v>0</v>
      </c>
      <c r="K5" s="218">
        <v>2331</v>
      </c>
      <c r="L5" s="218">
        <v>15419.3</v>
      </c>
      <c r="M5" s="218">
        <v>1000</v>
      </c>
      <c r="N5" s="218">
        <v>2000</v>
      </c>
      <c r="O5" s="218">
        <v>0</v>
      </c>
      <c r="P5" s="218">
        <v>0</v>
      </c>
      <c r="Q5" s="218">
        <v>135746.04999999999</v>
      </c>
      <c r="R5" s="218">
        <v>0</v>
      </c>
      <c r="S5" s="216">
        <f t="shared" si="0"/>
        <v>280310.55</v>
      </c>
      <c r="T5" s="216"/>
      <c r="U5" s="137">
        <f t="shared" si="1"/>
        <v>715628.24</v>
      </c>
      <c r="V5" s="142">
        <f t="shared" si="2"/>
        <v>280310.55</v>
      </c>
      <c r="W5" s="215">
        <v>251582</v>
      </c>
      <c r="X5" s="215">
        <v>7291.97</v>
      </c>
      <c r="Y5" s="137">
        <f t="shared" ref="Y5:Y15" si="4">+U5+V5-W5-X5</f>
        <v>737064.82000000007</v>
      </c>
      <c r="Z5" s="140">
        <v>253837</v>
      </c>
      <c r="AA5" s="140">
        <f t="shared" ref="AA5:AA10" si="5">+W5-Z5</f>
        <v>-2255</v>
      </c>
    </row>
    <row r="6" spans="1:29" x14ac:dyDescent="0.35">
      <c r="A6" s="146">
        <f t="shared" si="3"/>
        <v>3</v>
      </c>
      <c r="B6" s="219" t="s">
        <v>2325</v>
      </c>
      <c r="C6" s="218">
        <v>55526.8</v>
      </c>
      <c r="D6" s="218">
        <v>50844.13</v>
      </c>
      <c r="E6" s="218">
        <v>171.4</v>
      </c>
      <c r="F6" s="218">
        <v>325</v>
      </c>
      <c r="G6" s="218">
        <v>8000</v>
      </c>
      <c r="H6" s="218">
        <v>0</v>
      </c>
      <c r="I6" s="218">
        <v>1250</v>
      </c>
      <c r="J6" s="218">
        <v>0</v>
      </c>
      <c r="K6" s="218">
        <v>24413</v>
      </c>
      <c r="L6" s="218">
        <v>17110.84</v>
      </c>
      <c r="M6" s="218">
        <v>0</v>
      </c>
      <c r="N6" s="218">
        <v>0</v>
      </c>
      <c r="O6" s="218">
        <v>0</v>
      </c>
      <c r="P6" s="218">
        <v>0</v>
      </c>
      <c r="Q6" s="218">
        <v>10984.1</v>
      </c>
      <c r="R6" s="218">
        <v>0</v>
      </c>
      <c r="S6" s="216">
        <f t="shared" si="0"/>
        <v>168625.27</v>
      </c>
      <c r="T6" s="216"/>
      <c r="U6" s="137">
        <f t="shared" si="1"/>
        <v>737064.82000000007</v>
      </c>
      <c r="V6" s="142">
        <f t="shared" si="2"/>
        <v>168625.27</v>
      </c>
      <c r="W6" s="215">
        <v>283931.32</v>
      </c>
      <c r="X6" s="215">
        <v>10251</v>
      </c>
      <c r="Y6" s="137">
        <f t="shared" si="4"/>
        <v>611507.77</v>
      </c>
      <c r="Z6" s="465">
        <v>306443</v>
      </c>
      <c r="AA6" s="140">
        <f t="shared" si="5"/>
        <v>-22511.679999999993</v>
      </c>
    </row>
    <row r="7" spans="1:29" x14ac:dyDescent="0.35">
      <c r="A7" s="146">
        <f t="shared" si="3"/>
        <v>4</v>
      </c>
      <c r="B7" s="219" t="s">
        <v>2324</v>
      </c>
      <c r="C7" s="218">
        <f>+GETPIVOTDATA("Acceptedqty",'Job Received'!$A$1,"Itemname","PP UL Fabric With UV")</f>
        <v>30749.300000000003</v>
      </c>
      <c r="D7" s="218">
        <f>+GETPIVOTDATA("Acceptedqty",'Job Received'!$A$1,"Itemname","LDPE/LLDPE Bags/Liner")</f>
        <v>36603.67</v>
      </c>
      <c r="E7" s="218">
        <f>+GETPIVOTDATA("Acceptedqty",'Job Received'!$A$1,"Itemname","Webbing")</f>
        <v>100</v>
      </c>
      <c r="F7" s="218">
        <f>+GETPIVOTDATA("Acceptedqty",'Job Received'!$A$1,"Itemname","MB Karnavati Polyplast Blue")</f>
        <v>150</v>
      </c>
      <c r="G7" s="218">
        <f>+GETPIVOTDATA("Acceptedqty",'Job Received'!$A$1,"Itemname","UV Arguvin FG 626 LD")</f>
        <v>3975</v>
      </c>
      <c r="H7" s="218">
        <v>0</v>
      </c>
      <c r="I7" s="218">
        <f>+GETPIVOTDATA("Acceptedqty",'Job Received'!$A$1,"Itemname","PP Granules")</f>
        <v>117000</v>
      </c>
      <c r="J7" s="218">
        <f>+GETPIVOTDATA("Acceptedqty",'Job Received'!$A$1,"Itemname","LDPE Sumitomo L705")</f>
        <v>2000</v>
      </c>
      <c r="K7" s="218">
        <f>+GETPIVOTDATA("Acceptedqty",'Job Received'!$A$1,"Itemname","PP Lam Fabric With UV")</f>
        <v>50112.1</v>
      </c>
      <c r="L7" s="218">
        <f>+GETPIVOTDATA("Acceptedqty",'Job Received'!$A$1,"Itemname","PP MF Yarn Twisted")</f>
        <v>17007.23</v>
      </c>
      <c r="M7" s="218">
        <v>0</v>
      </c>
      <c r="N7" s="218">
        <v>0</v>
      </c>
      <c r="O7" s="218">
        <v>0</v>
      </c>
      <c r="P7" s="218">
        <v>0</v>
      </c>
      <c r="Q7" s="218">
        <f>+GETPIVOTDATA("Acceptedqty",'Job Received'!$A$1,"Itemname","PP Tapes")</f>
        <v>8814.4000000000015</v>
      </c>
      <c r="R7" s="218">
        <v>0</v>
      </c>
      <c r="S7" s="216">
        <f t="shared" si="0"/>
        <v>266511.7</v>
      </c>
      <c r="T7" s="216"/>
      <c r="U7" s="137">
        <f t="shared" si="1"/>
        <v>611507.77</v>
      </c>
      <c r="V7" s="142">
        <f t="shared" si="2"/>
        <v>266511.7</v>
      </c>
      <c r="W7" s="215">
        <f>+GETPIVOTDATA("Sum of Quantity",'JOB issued'!$A$1,"sales Group Name","Jambo Bag/Fibc Bag Mfr (Kg)")</f>
        <v>417716.33999999985</v>
      </c>
      <c r="X7" s="215">
        <f>+GETPIVOTDATA("Sum of Quantity",'JOB issued'!$A$1,"sales Group Name","Scrap")</f>
        <v>10643</v>
      </c>
      <c r="Y7" s="137">
        <f t="shared" si="4"/>
        <v>449660.13000000012</v>
      </c>
      <c r="Z7" s="494">
        <v>392491</v>
      </c>
      <c r="AA7" s="140">
        <f t="shared" si="5"/>
        <v>25225.339999999851</v>
      </c>
    </row>
    <row r="8" spans="1:29" hidden="1" x14ac:dyDescent="0.35">
      <c r="A8" s="146">
        <f t="shared" si="3"/>
        <v>5</v>
      </c>
      <c r="B8" s="219" t="s">
        <v>2323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6">
        <f t="shared" si="0"/>
        <v>0</v>
      </c>
      <c r="T8" s="216"/>
      <c r="U8" s="137">
        <f t="shared" si="1"/>
        <v>449660.13000000012</v>
      </c>
      <c r="V8" s="142">
        <f t="shared" si="2"/>
        <v>0</v>
      </c>
      <c r="W8" s="215"/>
      <c r="X8" s="215"/>
      <c r="Y8" s="137">
        <f t="shared" si="4"/>
        <v>449660.13000000012</v>
      </c>
      <c r="Z8" s="140"/>
      <c r="AA8" s="140">
        <f t="shared" si="5"/>
        <v>0</v>
      </c>
    </row>
    <row r="9" spans="1:29" hidden="1" x14ac:dyDescent="0.35">
      <c r="A9" s="146">
        <f t="shared" si="3"/>
        <v>6</v>
      </c>
      <c r="B9" s="219" t="s">
        <v>2322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6">
        <f t="shared" si="0"/>
        <v>0</v>
      </c>
      <c r="T9" s="216"/>
      <c r="U9" s="137">
        <f t="shared" si="1"/>
        <v>449660.13000000012</v>
      </c>
      <c r="V9" s="142">
        <f t="shared" si="2"/>
        <v>0</v>
      </c>
      <c r="W9" s="215"/>
      <c r="X9" s="215"/>
      <c r="Y9" s="137">
        <f t="shared" si="4"/>
        <v>449660.13000000012</v>
      </c>
      <c r="Z9" s="140"/>
      <c r="AA9" s="140">
        <f t="shared" si="5"/>
        <v>0</v>
      </c>
    </row>
    <row r="10" spans="1:29" hidden="1" x14ac:dyDescent="0.35">
      <c r="A10" s="146">
        <f t="shared" si="3"/>
        <v>7</v>
      </c>
      <c r="B10" s="219" t="s">
        <v>2321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6">
        <f t="shared" si="0"/>
        <v>0</v>
      </c>
      <c r="T10" s="216"/>
      <c r="U10" s="137">
        <f t="shared" si="1"/>
        <v>449660.13000000012</v>
      </c>
      <c r="V10" s="142">
        <f t="shared" si="2"/>
        <v>0</v>
      </c>
      <c r="W10" s="215"/>
      <c r="X10" s="215"/>
      <c r="Y10" s="137">
        <f t="shared" si="4"/>
        <v>449660.13000000012</v>
      </c>
      <c r="Z10" s="140"/>
      <c r="AA10" s="140">
        <f t="shared" si="5"/>
        <v>0</v>
      </c>
    </row>
    <row r="11" spans="1:29" hidden="1" x14ac:dyDescent="0.35">
      <c r="A11" s="146">
        <f t="shared" si="3"/>
        <v>8</v>
      </c>
      <c r="B11" s="219" t="s">
        <v>2320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6">
        <f t="shared" si="0"/>
        <v>0</v>
      </c>
      <c r="T11" s="216"/>
      <c r="U11" s="137">
        <f t="shared" si="1"/>
        <v>449660.13000000012</v>
      </c>
      <c r="V11" s="142">
        <f t="shared" si="2"/>
        <v>0</v>
      </c>
      <c r="W11" s="215"/>
      <c r="X11" s="215"/>
      <c r="Y11" s="137">
        <f t="shared" si="4"/>
        <v>449660.13000000012</v>
      </c>
      <c r="Z11" s="140"/>
      <c r="AA11" s="140">
        <f>+W11-Z11</f>
        <v>0</v>
      </c>
    </row>
    <row r="12" spans="1:29" ht="15" hidden="1" customHeight="1" x14ac:dyDescent="0.35">
      <c r="A12" s="146">
        <f t="shared" si="3"/>
        <v>9</v>
      </c>
      <c r="B12" s="219" t="s">
        <v>2319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6">
        <f t="shared" si="0"/>
        <v>0</v>
      </c>
      <c r="T12" s="216"/>
      <c r="U12" s="137">
        <f t="shared" si="1"/>
        <v>449660.13000000012</v>
      </c>
      <c r="V12" s="142">
        <f t="shared" si="2"/>
        <v>0</v>
      </c>
      <c r="W12" s="215"/>
      <c r="X12" s="215"/>
      <c r="Y12" s="137">
        <f t="shared" si="4"/>
        <v>449660.13000000012</v>
      </c>
      <c r="Z12" s="140"/>
      <c r="AA12" s="140">
        <f>+W12-Z12</f>
        <v>0</v>
      </c>
    </row>
    <row r="13" spans="1:29" hidden="1" x14ac:dyDescent="0.35">
      <c r="A13" s="146">
        <f t="shared" si="3"/>
        <v>10</v>
      </c>
      <c r="B13" s="219" t="s">
        <v>2318</v>
      </c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6">
        <f t="shared" si="0"/>
        <v>0</v>
      </c>
      <c r="T13" s="216"/>
      <c r="U13" s="137">
        <f t="shared" si="1"/>
        <v>449660.13000000012</v>
      </c>
      <c r="V13" s="142">
        <f t="shared" si="2"/>
        <v>0</v>
      </c>
      <c r="W13" s="215"/>
      <c r="X13" s="215"/>
      <c r="Y13" s="137">
        <f t="shared" si="4"/>
        <v>449660.13000000012</v>
      </c>
      <c r="Z13" s="140"/>
      <c r="AA13" s="140">
        <f>+W13-Z13</f>
        <v>0</v>
      </c>
    </row>
    <row r="14" spans="1:29" hidden="1" x14ac:dyDescent="0.35">
      <c r="A14" s="146">
        <f t="shared" si="3"/>
        <v>11</v>
      </c>
      <c r="B14" s="219" t="s">
        <v>2317</v>
      </c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6">
        <f t="shared" si="0"/>
        <v>0</v>
      </c>
      <c r="T14" s="216"/>
      <c r="U14" s="137">
        <f t="shared" si="1"/>
        <v>449660.13000000012</v>
      </c>
      <c r="V14" s="142">
        <f t="shared" si="2"/>
        <v>0</v>
      </c>
      <c r="W14" s="215"/>
      <c r="X14" s="215"/>
      <c r="Y14" s="137">
        <f t="shared" si="4"/>
        <v>449660.13000000012</v>
      </c>
      <c r="Z14" s="338"/>
      <c r="AA14" s="140">
        <f>+W14-Z14</f>
        <v>0</v>
      </c>
    </row>
    <row r="15" spans="1:29" hidden="1" x14ac:dyDescent="0.35">
      <c r="A15" s="146">
        <f t="shared" si="3"/>
        <v>12</v>
      </c>
      <c r="B15" s="219" t="s">
        <v>2316</v>
      </c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7">
        <f t="shared" si="0"/>
        <v>0</v>
      </c>
      <c r="T15" s="216"/>
      <c r="U15" s="137">
        <f t="shared" si="1"/>
        <v>449660.13000000012</v>
      </c>
      <c r="V15" s="142">
        <f t="shared" si="2"/>
        <v>0</v>
      </c>
      <c r="W15" s="215"/>
      <c r="X15" s="215"/>
      <c r="Y15" s="137">
        <f t="shared" si="4"/>
        <v>449660.13000000012</v>
      </c>
      <c r="Z15" s="338"/>
      <c r="AA15" s="140">
        <f>+W15-Z15</f>
        <v>0</v>
      </c>
      <c r="AC15" s="140"/>
    </row>
    <row r="16" spans="1:29" x14ac:dyDescent="0.35">
      <c r="S16" s="140"/>
      <c r="U16" s="140"/>
      <c r="V16" s="140"/>
      <c r="W16" s="140"/>
      <c r="X16" s="140"/>
      <c r="Y16" s="140"/>
      <c r="Z16" s="140"/>
      <c r="AA16" s="140"/>
      <c r="AB16" s="140"/>
      <c r="AC16" s="140"/>
    </row>
    <row r="17" spans="1:29" ht="15" hidden="1" customHeight="1" x14ac:dyDescent="0.35">
      <c r="S17" s="140"/>
      <c r="U17" s="138" t="s">
        <v>1094</v>
      </c>
      <c r="V17" s="558" t="s">
        <v>1077</v>
      </c>
      <c r="W17" s="558"/>
      <c r="X17" s="558"/>
      <c r="Y17" s="212">
        <f>+'[1]Received from PIL 1165'!N427</f>
        <v>0</v>
      </c>
      <c r="Z17" s="140"/>
      <c r="AB17" s="140"/>
      <c r="AC17" s="140"/>
    </row>
    <row r="18" spans="1:29" ht="15" hidden="1" customHeight="1" x14ac:dyDescent="0.35">
      <c r="S18" s="140"/>
      <c r="U18" s="168"/>
      <c r="V18" s="214"/>
      <c r="W18" s="214"/>
      <c r="X18" s="214"/>
      <c r="Y18" s="213"/>
      <c r="Z18" s="140"/>
      <c r="AB18" s="140"/>
      <c r="AC18" s="140"/>
    </row>
    <row r="19" spans="1:29" ht="15" hidden="1" customHeight="1" x14ac:dyDescent="0.35">
      <c r="S19" s="140"/>
      <c r="U19" s="138" t="s">
        <v>1094</v>
      </c>
      <c r="V19" s="558" t="s">
        <v>1077</v>
      </c>
      <c r="W19" s="558"/>
      <c r="X19" s="558"/>
      <c r="Y19" s="212">
        <f>+'Received from PIL 1060'!N362</f>
        <v>0</v>
      </c>
      <c r="Z19" s="140"/>
      <c r="AA19" s="140"/>
      <c r="AB19" s="140"/>
      <c r="AC19" s="140"/>
    </row>
    <row r="20" spans="1:29" ht="15" hidden="1" customHeight="1" x14ac:dyDescent="0.35">
      <c r="A20" s="240"/>
      <c r="C20" s="240"/>
      <c r="D20" s="240"/>
      <c r="E20" s="240"/>
      <c r="F20" s="240"/>
      <c r="S20" s="140"/>
      <c r="U20" s="168"/>
      <c r="V20" s="214"/>
      <c r="W20" s="214"/>
      <c r="X20" s="214"/>
      <c r="Y20" s="213"/>
      <c r="Z20" s="140"/>
      <c r="AB20" s="140"/>
      <c r="AC20" s="140"/>
    </row>
    <row r="21" spans="1:29" ht="15" customHeight="1" x14ac:dyDescent="0.35">
      <c r="A21" s="240"/>
      <c r="C21" s="240"/>
      <c r="D21" s="240"/>
      <c r="E21" s="240"/>
      <c r="F21" s="240"/>
      <c r="S21" s="140"/>
      <c r="U21" s="138" t="s">
        <v>1094</v>
      </c>
      <c r="V21" s="558" t="s">
        <v>1077</v>
      </c>
      <c r="W21" s="558"/>
      <c r="X21" s="558"/>
      <c r="Y21" s="212">
        <f>+'Received from PIL 836'!N313</f>
        <v>277529.40000000014</v>
      </c>
      <c r="Z21" s="140"/>
      <c r="AA21" s="140">
        <f>SUM(AA4:AA16)</f>
        <v>624.65999999985797</v>
      </c>
      <c r="AB21" s="140"/>
      <c r="AC21" s="140"/>
    </row>
    <row r="22" spans="1:29" ht="15" customHeight="1" x14ac:dyDescent="0.35">
      <c r="S22" s="140" t="s">
        <v>2315</v>
      </c>
      <c r="U22" s="168"/>
      <c r="V22" s="214"/>
      <c r="W22" s="214"/>
      <c r="X22" s="214"/>
      <c r="Y22" s="213"/>
      <c r="Z22" s="140"/>
      <c r="AB22" s="140"/>
      <c r="AC22" s="140"/>
    </row>
    <row r="23" spans="1:29" ht="15" customHeight="1" x14ac:dyDescent="0.35">
      <c r="S23" s="140"/>
      <c r="U23" s="138" t="s">
        <v>1034</v>
      </c>
      <c r="V23" s="558" t="s">
        <v>1077</v>
      </c>
      <c r="W23" s="558"/>
      <c r="X23" s="558"/>
      <c r="Y23" s="212">
        <f>+'Received from KPW3'!N4301</f>
        <v>172130.73000000417</v>
      </c>
      <c r="Z23" s="140"/>
      <c r="AB23" s="140"/>
      <c r="AC23" s="140"/>
    </row>
    <row r="24" spans="1:29" ht="15" hidden="1" customHeight="1" x14ac:dyDescent="0.35">
      <c r="S24" s="140"/>
      <c r="U24" s="168"/>
      <c r="V24" s="214"/>
      <c r="W24" s="214"/>
      <c r="X24" s="214"/>
      <c r="Y24" s="213"/>
      <c r="Z24" s="140"/>
      <c r="AB24" s="140"/>
      <c r="AC24" s="140"/>
    </row>
    <row r="25" spans="1:29" ht="15" hidden="1" customHeight="1" x14ac:dyDescent="0.35">
      <c r="S25" s="140"/>
      <c r="U25" s="138" t="s">
        <v>2314</v>
      </c>
      <c r="V25" s="558" t="s">
        <v>1077</v>
      </c>
      <c r="W25" s="558"/>
      <c r="X25" s="558"/>
      <c r="Y25" s="212">
        <f>+'[1]Received from PPL 1594'!N193</f>
        <v>0</v>
      </c>
      <c r="Z25" s="140"/>
      <c r="AB25" s="140"/>
      <c r="AC25" s="140"/>
    </row>
    <row r="26" spans="1:29" ht="15" customHeight="1" x14ac:dyDescent="0.35">
      <c r="S26" s="140"/>
      <c r="U26" s="133"/>
      <c r="V26" s="142"/>
      <c r="W26" s="142"/>
      <c r="X26" s="142"/>
      <c r="Y26" s="142"/>
      <c r="AC26" s="140"/>
    </row>
    <row r="27" spans="1:29" x14ac:dyDescent="0.35">
      <c r="N27" s="140"/>
      <c r="O27" s="140"/>
      <c r="P27" s="140"/>
      <c r="U27" s="133"/>
      <c r="V27" s="559" t="s">
        <v>2313</v>
      </c>
      <c r="W27" s="559"/>
      <c r="X27" s="559"/>
      <c r="Y27" s="137">
        <f>Y23+Y25+Y17+Y19+Y21</f>
        <v>449660.13000000431</v>
      </c>
    </row>
    <row r="28" spans="1:29" x14ac:dyDescent="0.35">
      <c r="N28" s="140"/>
      <c r="O28" s="140"/>
      <c r="P28" s="140"/>
      <c r="U28" s="133"/>
      <c r="V28" s="133"/>
      <c r="W28" s="133"/>
      <c r="X28" s="133"/>
      <c r="Y28" s="133"/>
    </row>
    <row r="29" spans="1:29" x14ac:dyDescent="0.35">
      <c r="N29" s="140"/>
      <c r="O29" s="140"/>
      <c r="P29" s="140"/>
      <c r="U29" s="133"/>
      <c r="V29" s="559" t="s">
        <v>2312</v>
      </c>
      <c r="W29" s="559"/>
      <c r="X29" s="559"/>
      <c r="Y29" s="137">
        <f>+Y15-Y27</f>
        <v>-4.1909515857696533E-9</v>
      </c>
    </row>
    <row r="30" spans="1:29" x14ac:dyDescent="0.35">
      <c r="N30" s="140"/>
      <c r="O30" s="140"/>
      <c r="P30" s="140"/>
    </row>
    <row r="31" spans="1:29" x14ac:dyDescent="0.35">
      <c r="N31" s="140"/>
      <c r="O31" s="140"/>
      <c r="P31" s="140"/>
    </row>
  </sheetData>
  <mergeCells count="16">
    <mergeCell ref="Y1:Y2"/>
    <mergeCell ref="U1:U2"/>
    <mergeCell ref="C1:Q1"/>
    <mergeCell ref="S1:S2"/>
    <mergeCell ref="A1:A2"/>
    <mergeCell ref="B1:B2"/>
    <mergeCell ref="V1:V2"/>
    <mergeCell ref="V23:X23"/>
    <mergeCell ref="V27:X27"/>
    <mergeCell ref="V29:X29"/>
    <mergeCell ref="W1:W2"/>
    <mergeCell ref="X1:X2"/>
    <mergeCell ref="V25:X25"/>
    <mergeCell ref="V17:X17"/>
    <mergeCell ref="V19:X19"/>
    <mergeCell ref="V21:X21"/>
  </mergeCells>
  <pageMargins left="0.24" right="0.16" top="0.75" bottom="0.75" header="0.3" footer="0.3"/>
  <pageSetup paperSize="9"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"/>
  <sheetViews>
    <sheetView topLeftCell="A2" zoomScaleNormal="100" workbookViewId="0">
      <selection activeCell="B3" sqref="B3"/>
    </sheetView>
  </sheetViews>
  <sheetFormatPr defaultColWidth="9.1796875" defaultRowHeight="14.5" x14ac:dyDescent="0.35"/>
  <cols>
    <col min="1" max="1" width="21.54296875" style="206" customWidth="1"/>
    <col min="2" max="2" width="31" style="206" customWidth="1"/>
    <col min="3" max="3" width="29.26953125" style="206" customWidth="1"/>
    <col min="4" max="4" width="11.54296875" style="206" customWidth="1"/>
    <col min="5" max="5" width="16.453125" style="203" bestFit="1" customWidth="1"/>
    <col min="6" max="6" width="20.36328125" style="206" bestFit="1" customWidth="1"/>
    <col min="7" max="7" width="34.7265625" style="206" bestFit="1" customWidth="1"/>
    <col min="8" max="8" width="13.1796875" style="206" bestFit="1" customWidth="1"/>
    <col min="9" max="9" width="13.26953125" style="206" bestFit="1" customWidth="1"/>
    <col min="10" max="10" width="11.90625" style="206" bestFit="1" customWidth="1"/>
    <col min="11" max="11" width="16.36328125" style="206" bestFit="1" customWidth="1"/>
    <col min="12" max="12" width="15.36328125" style="206" bestFit="1" customWidth="1"/>
    <col min="13" max="13" width="70.54296875" style="206" bestFit="1" customWidth="1"/>
    <col min="14" max="14" width="70.90625" style="206" bestFit="1" customWidth="1"/>
    <col min="15" max="15" width="26.6328125" style="206" bestFit="1" customWidth="1"/>
    <col min="16" max="16" width="15" style="206" bestFit="1" customWidth="1"/>
    <col min="17" max="17" width="10.1796875" style="206" bestFit="1" customWidth="1"/>
    <col min="18" max="18" width="16" style="206" bestFit="1" customWidth="1"/>
    <col min="19" max="19" width="19.6328125" style="206" bestFit="1" customWidth="1"/>
    <col min="20" max="20" width="27.08984375" style="206" bestFit="1" customWidth="1"/>
    <col min="21" max="21" width="8.6328125" style="206" bestFit="1" customWidth="1"/>
    <col min="22" max="16384" width="9.1796875" style="206"/>
  </cols>
  <sheetData>
    <row r="1" spans="1:6" ht="15.5" x14ac:dyDescent="0.35">
      <c r="A1" s="526" t="s">
        <v>1051</v>
      </c>
      <c r="B1" s="526" t="s">
        <v>2310</v>
      </c>
      <c r="C1" s="527"/>
      <c r="D1" s="527"/>
      <c r="E1" s="39"/>
      <c r="F1" s="39"/>
    </row>
    <row r="2" spans="1:6" ht="15.5" x14ac:dyDescent="0.35">
      <c r="A2" s="526" t="s">
        <v>965</v>
      </c>
      <c r="B2" s="527" t="s">
        <v>1060</v>
      </c>
      <c r="C2" s="525" t="s">
        <v>1053</v>
      </c>
      <c r="D2" s="527" t="s">
        <v>966</v>
      </c>
      <c r="E2" s="39"/>
      <c r="F2" s="39"/>
    </row>
    <row r="3" spans="1:6" ht="15.5" x14ac:dyDescent="0.35">
      <c r="A3" s="523" t="s">
        <v>678</v>
      </c>
      <c r="B3" s="524">
        <v>2097.6999999999998</v>
      </c>
      <c r="C3" s="524"/>
      <c r="D3" s="528">
        <v>2097.6999999999998</v>
      </c>
      <c r="E3" s="39"/>
      <c r="F3" s="265"/>
    </row>
    <row r="4" spans="1:6" ht="15.5" x14ac:dyDescent="0.35">
      <c r="A4" s="523" t="s">
        <v>728</v>
      </c>
      <c r="B4" s="524">
        <v>14049.9</v>
      </c>
      <c r="C4" s="524"/>
      <c r="D4" s="528">
        <v>14049.9</v>
      </c>
      <c r="E4" s="39"/>
      <c r="F4" s="265"/>
    </row>
    <row r="5" spans="1:6" ht="15.5" x14ac:dyDescent="0.35">
      <c r="A5" s="523" t="s">
        <v>642</v>
      </c>
      <c r="B5" s="524">
        <v>602.79999999999995</v>
      </c>
      <c r="C5" s="524"/>
      <c r="D5" s="528">
        <v>602.79999999999995</v>
      </c>
      <c r="E5" s="39"/>
      <c r="F5" s="265"/>
    </row>
    <row r="6" spans="1:6" ht="15.5" x14ac:dyDescent="0.35">
      <c r="A6" s="523" t="s">
        <v>859</v>
      </c>
      <c r="B6" s="524">
        <v>27104.799999999999</v>
      </c>
      <c r="C6" s="524"/>
      <c r="D6" s="528">
        <v>27104.799999999999</v>
      </c>
      <c r="E6" s="39"/>
      <c r="F6" s="265"/>
    </row>
    <row r="7" spans="1:6" ht="15.5" x14ac:dyDescent="0.35">
      <c r="A7" s="523" t="s">
        <v>818</v>
      </c>
      <c r="B7" s="524">
        <v>4480.2299999999996</v>
      </c>
      <c r="C7" s="524">
        <v>1707.9</v>
      </c>
      <c r="D7" s="528">
        <v>6188.1299999999992</v>
      </c>
      <c r="E7" s="39"/>
      <c r="F7" s="265"/>
    </row>
    <row r="8" spans="1:6" ht="15.5" x14ac:dyDescent="0.35">
      <c r="A8" s="523" t="s">
        <v>773</v>
      </c>
      <c r="B8" s="524">
        <v>2518.3000000000002</v>
      </c>
      <c r="C8" s="524"/>
      <c r="D8" s="528">
        <v>2518.3000000000002</v>
      </c>
      <c r="E8" s="39"/>
      <c r="F8" s="265"/>
    </row>
    <row r="9" spans="1:6" ht="15.5" x14ac:dyDescent="0.35">
      <c r="A9" s="523" t="s">
        <v>679</v>
      </c>
      <c r="B9" s="524">
        <v>13277</v>
      </c>
      <c r="C9" s="524"/>
      <c r="D9" s="528">
        <v>13277</v>
      </c>
      <c r="E9" s="39"/>
      <c r="F9" s="265"/>
    </row>
    <row r="10" spans="1:6" ht="15.5" x14ac:dyDescent="0.35">
      <c r="A10" s="523" t="s">
        <v>709</v>
      </c>
      <c r="B10" s="524"/>
      <c r="C10" s="524">
        <v>1771.8</v>
      </c>
      <c r="D10" s="528">
        <v>1771.8</v>
      </c>
      <c r="E10" s="39"/>
      <c r="F10" s="265"/>
    </row>
    <row r="11" spans="1:6" ht="15.5" x14ac:dyDescent="0.35">
      <c r="A11" s="523" t="s">
        <v>1059</v>
      </c>
      <c r="B11" s="524">
        <v>108000</v>
      </c>
      <c r="C11" s="524">
        <v>233299.7</v>
      </c>
      <c r="D11" s="528">
        <v>341299.7</v>
      </c>
      <c r="E11" s="39"/>
      <c r="F11" s="265"/>
    </row>
    <row r="12" spans="1:6" ht="15.5" x14ac:dyDescent="0.35">
      <c r="A12" s="523" t="s">
        <v>55</v>
      </c>
      <c r="B12" s="524"/>
      <c r="C12" s="524">
        <v>25550</v>
      </c>
      <c r="D12" s="528">
        <v>25550</v>
      </c>
      <c r="E12" s="39"/>
      <c r="F12" s="265"/>
    </row>
    <row r="13" spans="1:6" ht="15.5" x14ac:dyDescent="0.35">
      <c r="A13" s="523" t="s">
        <v>1072</v>
      </c>
      <c r="B13" s="524"/>
      <c r="C13" s="524">
        <v>15000</v>
      </c>
      <c r="D13" s="528">
        <v>15000</v>
      </c>
      <c r="E13" s="39"/>
      <c r="F13" s="265"/>
    </row>
    <row r="14" spans="1:6" ht="15.5" x14ac:dyDescent="0.35">
      <c r="A14" s="523" t="s">
        <v>2724</v>
      </c>
      <c r="B14" s="524"/>
      <c r="C14" s="524">
        <v>200</v>
      </c>
      <c r="D14" s="528">
        <v>200</v>
      </c>
    </row>
    <row r="15" spans="1:6" ht="15.5" x14ac:dyDescent="0.35">
      <c r="A15" s="523" t="s">
        <v>966</v>
      </c>
      <c r="B15" s="524">
        <v>172130.72999999998</v>
      </c>
      <c r="C15" s="524">
        <v>277529.40000000002</v>
      </c>
      <c r="D15" s="524">
        <v>449660.13</v>
      </c>
      <c r="E15" s="39"/>
    </row>
    <row r="16" spans="1:6" x14ac:dyDescent="0.35">
      <c r="A16"/>
      <c r="B16"/>
      <c r="C16"/>
      <c r="D16"/>
      <c r="E16" s="39"/>
    </row>
    <row r="17" spans="1:6" x14ac:dyDescent="0.35">
      <c r="A17"/>
      <c r="B17"/>
      <c r="C17"/>
      <c r="D17"/>
      <c r="E17" s="39"/>
    </row>
    <row r="18" spans="1:6" x14ac:dyDescent="0.35">
      <c r="A18"/>
      <c r="B18"/>
      <c r="C18"/>
      <c r="D18"/>
      <c r="E18" s="39"/>
      <c r="F18" s="233"/>
    </row>
    <row r="19" spans="1:6" x14ac:dyDescent="0.35">
      <c r="A19" s="419"/>
      <c r="B19" s="419"/>
      <c r="C19" s="419"/>
      <c r="D19" s="419"/>
      <c r="E19" s="39"/>
    </row>
    <row r="20" spans="1:6" x14ac:dyDescent="0.35">
      <c r="A20" s="419"/>
      <c r="B20" s="419"/>
      <c r="C20" s="419"/>
      <c r="D20" s="233">
        <f>+'Received from KPW3'!N4299+'Received from PIL 836'!N311</f>
        <v>449660.13000000006</v>
      </c>
      <c r="E20" s="39"/>
    </row>
    <row r="21" spans="1:6" x14ac:dyDescent="0.35">
      <c r="A21" s="419"/>
      <c r="B21" s="419"/>
      <c r="C21" s="419"/>
      <c r="D21" s="233"/>
      <c r="E21" s="39"/>
    </row>
    <row r="22" spans="1:6" x14ac:dyDescent="0.35">
      <c r="A22" s="419"/>
      <c r="B22" s="419"/>
      <c r="C22" s="419"/>
      <c r="D22" s="233">
        <f>D15-D20</f>
        <v>0</v>
      </c>
      <c r="E22" s="39" t="s">
        <v>970</v>
      </c>
    </row>
    <row r="36" spans="1:21" x14ac:dyDescent="0.35">
      <c r="A36" s="209"/>
      <c r="B36" s="209" t="s">
        <v>1038</v>
      </c>
      <c r="C36" s="209" t="s">
        <v>1039</v>
      </c>
      <c r="D36" s="209" t="s">
        <v>1040</v>
      </c>
      <c r="E36" s="210" t="s">
        <v>1041</v>
      </c>
      <c r="F36" s="209" t="s">
        <v>1042</v>
      </c>
      <c r="G36" s="209" t="s">
        <v>1043</v>
      </c>
      <c r="H36" s="209" t="s">
        <v>1044</v>
      </c>
      <c r="I36" s="209" t="s">
        <v>979</v>
      </c>
      <c r="J36" s="209" t="s">
        <v>1045</v>
      </c>
      <c r="K36" s="209" t="s">
        <v>1046</v>
      </c>
      <c r="L36" s="209" t="s">
        <v>1047</v>
      </c>
      <c r="M36" s="209" t="s">
        <v>1048</v>
      </c>
      <c r="N36" s="209" t="s">
        <v>1049</v>
      </c>
      <c r="O36" s="209" t="s">
        <v>1050</v>
      </c>
      <c r="P36" s="209" t="s">
        <v>2364</v>
      </c>
      <c r="Q36" s="209" t="s">
        <v>972</v>
      </c>
      <c r="R36" s="209" t="s">
        <v>943</v>
      </c>
      <c r="S36" s="209" t="s">
        <v>2365</v>
      </c>
      <c r="T36" s="209" t="s">
        <v>2366</v>
      </c>
      <c r="U36" s="209" t="s">
        <v>2367</v>
      </c>
    </row>
    <row r="37" spans="1:21" x14ac:dyDescent="0.35">
      <c r="A37" s="209"/>
      <c r="B37" s="43" t="s">
        <v>2880</v>
      </c>
      <c r="C37" s="43" t="s">
        <v>1052</v>
      </c>
      <c r="D37" s="43" t="s">
        <v>1060</v>
      </c>
      <c r="E37" s="98">
        <v>96</v>
      </c>
      <c r="F37" s="77">
        <v>46234</v>
      </c>
      <c r="G37" s="43" t="s">
        <v>1061</v>
      </c>
      <c r="H37" s="43">
        <v>39269080</v>
      </c>
      <c r="I37" s="43">
        <v>3403</v>
      </c>
      <c r="J37" s="43" t="s">
        <v>1055</v>
      </c>
      <c r="K37" s="43">
        <v>3403</v>
      </c>
      <c r="L37" s="43">
        <v>14113</v>
      </c>
      <c r="M37" s="43" t="s">
        <v>1056</v>
      </c>
      <c r="N37" s="43" t="s">
        <v>1062</v>
      </c>
      <c r="O37" s="43" t="s">
        <v>2492</v>
      </c>
      <c r="P37" s="43" t="s">
        <v>1063</v>
      </c>
      <c r="Q37" s="43" t="s">
        <v>628</v>
      </c>
      <c r="R37" s="43" t="s">
        <v>638</v>
      </c>
      <c r="S37" s="43" t="s">
        <v>639</v>
      </c>
      <c r="T37" s="43" t="s">
        <v>679</v>
      </c>
      <c r="U37" s="43" t="b">
        <v>0</v>
      </c>
    </row>
    <row r="38" spans="1:21" x14ac:dyDescent="0.35">
      <c r="A38" s="209"/>
      <c r="B38" s="43" t="s">
        <v>2880</v>
      </c>
      <c r="C38" s="43" t="s">
        <v>1052</v>
      </c>
      <c r="D38" s="43" t="s">
        <v>1060</v>
      </c>
      <c r="E38" s="98" t="s">
        <v>3392</v>
      </c>
      <c r="F38" s="77">
        <v>46234</v>
      </c>
      <c r="G38" s="43" t="s">
        <v>1064</v>
      </c>
      <c r="H38" s="43">
        <v>39199090</v>
      </c>
      <c r="I38" s="43">
        <v>930.5</v>
      </c>
      <c r="J38" s="43" t="s">
        <v>1055</v>
      </c>
      <c r="K38" s="43">
        <v>930.5</v>
      </c>
      <c r="L38" s="43">
        <v>14113</v>
      </c>
      <c r="M38" s="43" t="s">
        <v>1056</v>
      </c>
      <c r="N38" s="43" t="s">
        <v>1062</v>
      </c>
      <c r="O38" s="43" t="s">
        <v>2492</v>
      </c>
      <c r="P38" s="43" t="s">
        <v>1065</v>
      </c>
      <c r="Q38" s="43" t="s">
        <v>628</v>
      </c>
      <c r="R38" s="43" t="s">
        <v>771</v>
      </c>
      <c r="S38" s="43" t="s">
        <v>773</v>
      </c>
      <c r="T38" s="43" t="s">
        <v>773</v>
      </c>
      <c r="U38" s="43" t="b">
        <v>0</v>
      </c>
    </row>
    <row r="39" spans="1:21" x14ac:dyDescent="0.35">
      <c r="A39" s="209"/>
      <c r="B39" s="43" t="s">
        <v>2880</v>
      </c>
      <c r="C39" s="43" t="s">
        <v>1052</v>
      </c>
      <c r="D39" s="43" t="s">
        <v>1060</v>
      </c>
      <c r="E39" s="98" t="s">
        <v>3393</v>
      </c>
      <c r="F39" s="77">
        <v>46234</v>
      </c>
      <c r="G39" s="43" t="s">
        <v>3356</v>
      </c>
      <c r="H39" s="43">
        <v>39269080</v>
      </c>
      <c r="I39" s="43">
        <v>5252</v>
      </c>
      <c r="J39" s="43" t="s">
        <v>1055</v>
      </c>
      <c r="K39" s="43">
        <v>5252</v>
      </c>
      <c r="L39" s="43">
        <v>14113</v>
      </c>
      <c r="M39" s="43" t="s">
        <v>1056</v>
      </c>
      <c r="N39" s="43" t="s">
        <v>1062</v>
      </c>
      <c r="O39" s="43" t="s">
        <v>2492</v>
      </c>
      <c r="P39" s="43" t="s">
        <v>1070</v>
      </c>
      <c r="Q39" s="43" t="s">
        <v>628</v>
      </c>
      <c r="R39" s="43" t="s">
        <v>638</v>
      </c>
      <c r="S39" s="43" t="s">
        <v>652</v>
      </c>
      <c r="T39" s="43" t="s">
        <v>859</v>
      </c>
      <c r="U39" s="43" t="b">
        <v>0</v>
      </c>
    </row>
    <row r="40" spans="1:21" x14ac:dyDescent="0.35">
      <c r="A40" s="209"/>
      <c r="B40" s="43" t="s">
        <v>2880</v>
      </c>
      <c r="C40" s="43" t="s">
        <v>1052</v>
      </c>
      <c r="D40" s="43" t="s">
        <v>1060</v>
      </c>
      <c r="E40" s="98" t="s">
        <v>3394</v>
      </c>
      <c r="F40" s="77">
        <v>46234</v>
      </c>
      <c r="G40" s="43" t="s">
        <v>1067</v>
      </c>
      <c r="H40" s="43">
        <v>39232100</v>
      </c>
      <c r="I40" s="43">
        <v>2594</v>
      </c>
      <c r="J40" s="43" t="s">
        <v>1055</v>
      </c>
      <c r="K40" s="43">
        <v>2594</v>
      </c>
      <c r="L40" s="43">
        <v>14113</v>
      </c>
      <c r="M40" s="43" t="s">
        <v>1056</v>
      </c>
      <c r="N40" s="43" t="s">
        <v>1062</v>
      </c>
      <c r="O40" s="43" t="s">
        <v>2492</v>
      </c>
      <c r="P40" s="43" t="s">
        <v>1068</v>
      </c>
      <c r="Q40" s="43" t="s">
        <v>628</v>
      </c>
      <c r="R40" s="43" t="s">
        <v>706</v>
      </c>
      <c r="S40" s="43" t="s">
        <v>729</v>
      </c>
      <c r="T40" s="43" t="s">
        <v>728</v>
      </c>
      <c r="U40" s="43" t="b">
        <v>0</v>
      </c>
    </row>
    <row r="41" spans="1:21" x14ac:dyDescent="0.35">
      <c r="A41" s="209"/>
      <c r="B41" s="43" t="s">
        <v>2880</v>
      </c>
      <c r="C41" s="43" t="s">
        <v>1052</v>
      </c>
      <c r="D41" s="43" t="s">
        <v>1060</v>
      </c>
      <c r="E41" s="98" t="s">
        <v>3395</v>
      </c>
      <c r="F41" s="77">
        <v>46234</v>
      </c>
      <c r="G41" s="43" t="s">
        <v>2821</v>
      </c>
      <c r="H41" s="43">
        <v>54026930</v>
      </c>
      <c r="I41" s="43">
        <v>1128.8</v>
      </c>
      <c r="J41" s="43" t="s">
        <v>1055</v>
      </c>
      <c r="K41" s="43">
        <v>1128.8</v>
      </c>
      <c r="L41" s="43">
        <v>14113</v>
      </c>
      <c r="M41" s="43" t="s">
        <v>1056</v>
      </c>
      <c r="N41" s="43" t="s">
        <v>1062</v>
      </c>
      <c r="O41" s="43" t="s">
        <v>2492</v>
      </c>
      <c r="P41" s="43" t="s">
        <v>1066</v>
      </c>
      <c r="Q41" s="43" t="s">
        <v>628</v>
      </c>
      <c r="R41" s="43" t="s">
        <v>627</v>
      </c>
      <c r="S41" s="43" t="s">
        <v>629</v>
      </c>
      <c r="T41" s="43" t="s">
        <v>818</v>
      </c>
      <c r="U41" s="43" t="b">
        <v>0</v>
      </c>
    </row>
    <row r="42" spans="1:21" x14ac:dyDescent="0.35">
      <c r="A42" s="209"/>
      <c r="B42" s="43" t="s">
        <v>2880</v>
      </c>
      <c r="C42" s="43" t="s">
        <v>1052</v>
      </c>
      <c r="D42" s="43" t="s">
        <v>1060</v>
      </c>
      <c r="E42" s="98">
        <v>97</v>
      </c>
      <c r="F42" s="77">
        <v>46234</v>
      </c>
      <c r="G42" s="43" t="s">
        <v>1054</v>
      </c>
      <c r="H42" s="43">
        <v>39021000</v>
      </c>
      <c r="I42" s="43">
        <v>108000</v>
      </c>
      <c r="J42" s="43" t="s">
        <v>1055</v>
      </c>
      <c r="K42" s="43">
        <v>108000</v>
      </c>
      <c r="L42" s="43">
        <v>14113</v>
      </c>
      <c r="M42" s="43" t="s">
        <v>1056</v>
      </c>
      <c r="N42" s="43" t="s">
        <v>1062</v>
      </c>
      <c r="O42" s="43" t="s">
        <v>2492</v>
      </c>
      <c r="P42" s="43" t="s">
        <v>3195</v>
      </c>
      <c r="Q42" s="43" t="s">
        <v>31</v>
      </c>
      <c r="R42" s="43" t="s">
        <v>1032</v>
      </c>
      <c r="S42" s="43" t="s">
        <v>1059</v>
      </c>
      <c r="T42" s="43" t="s">
        <v>1059</v>
      </c>
      <c r="U42" s="43" t="b">
        <v>0</v>
      </c>
    </row>
    <row r="43" spans="1:21" x14ac:dyDescent="0.35">
      <c r="A43" s="209"/>
      <c r="B43" s="43" t="s">
        <v>2880</v>
      </c>
      <c r="C43" s="43" t="s">
        <v>1052</v>
      </c>
      <c r="D43" s="43" t="s">
        <v>1060</v>
      </c>
      <c r="E43" s="98">
        <v>95</v>
      </c>
      <c r="F43" s="77">
        <v>46233</v>
      </c>
      <c r="G43" s="43" t="s">
        <v>1061</v>
      </c>
      <c r="H43" s="43">
        <v>39269080</v>
      </c>
      <c r="I43" s="43">
        <v>966</v>
      </c>
      <c r="J43" s="43" t="s">
        <v>1055</v>
      </c>
      <c r="K43" s="43">
        <v>966</v>
      </c>
      <c r="L43" s="43">
        <v>14112</v>
      </c>
      <c r="M43" s="43" t="s">
        <v>1056</v>
      </c>
      <c r="N43" s="43" t="s">
        <v>1062</v>
      </c>
      <c r="O43" s="43" t="s">
        <v>2492</v>
      </c>
      <c r="P43" s="43" t="s">
        <v>1063</v>
      </c>
      <c r="Q43" s="43" t="s">
        <v>628</v>
      </c>
      <c r="R43" s="43" t="s">
        <v>638</v>
      </c>
      <c r="S43" s="43" t="s">
        <v>639</v>
      </c>
      <c r="T43" s="43" t="s">
        <v>679</v>
      </c>
      <c r="U43" s="43" t="b">
        <v>0</v>
      </c>
    </row>
    <row r="44" spans="1:21" x14ac:dyDescent="0.35">
      <c r="A44" s="209"/>
      <c r="B44" s="43" t="s">
        <v>2880</v>
      </c>
      <c r="C44" s="43" t="s">
        <v>1052</v>
      </c>
      <c r="D44" s="43" t="s">
        <v>1060</v>
      </c>
      <c r="E44" s="98">
        <v>94</v>
      </c>
      <c r="F44" s="77">
        <v>46232</v>
      </c>
      <c r="G44" s="43" t="s">
        <v>3356</v>
      </c>
      <c r="H44" s="43">
        <v>39269080</v>
      </c>
      <c r="I44" s="43">
        <v>4404</v>
      </c>
      <c r="J44" s="43" t="s">
        <v>1055</v>
      </c>
      <c r="K44" s="43">
        <v>4404</v>
      </c>
      <c r="L44" s="43">
        <v>14111</v>
      </c>
      <c r="M44" s="43" t="s">
        <v>1056</v>
      </c>
      <c r="N44" s="43" t="s">
        <v>1062</v>
      </c>
      <c r="O44" s="43" t="s">
        <v>2492</v>
      </c>
      <c r="P44" s="43" t="s">
        <v>1070</v>
      </c>
      <c r="Q44" s="43" t="s">
        <v>628</v>
      </c>
      <c r="R44" s="43" t="s">
        <v>638</v>
      </c>
      <c r="S44" s="43" t="s">
        <v>652</v>
      </c>
      <c r="T44" s="43" t="s">
        <v>859</v>
      </c>
      <c r="U44" s="43" t="b">
        <v>0</v>
      </c>
    </row>
    <row r="45" spans="1:21" x14ac:dyDescent="0.35">
      <c r="A45" s="209"/>
      <c r="B45" s="43" t="s">
        <v>2880</v>
      </c>
      <c r="C45" s="43" t="s">
        <v>1052</v>
      </c>
      <c r="D45" s="43" t="s">
        <v>1053</v>
      </c>
      <c r="E45" s="98">
        <v>71</v>
      </c>
      <c r="F45" s="77">
        <v>46231</v>
      </c>
      <c r="G45" s="43" t="s">
        <v>2791</v>
      </c>
      <c r="H45" s="43">
        <v>39011090</v>
      </c>
      <c r="I45" s="43">
        <v>2000</v>
      </c>
      <c r="J45" s="43" t="s">
        <v>1055</v>
      </c>
      <c r="K45" s="43">
        <v>2000</v>
      </c>
      <c r="L45" s="43">
        <v>14110</v>
      </c>
      <c r="M45" s="43" t="s">
        <v>1056</v>
      </c>
      <c r="N45" s="43" t="s">
        <v>1057</v>
      </c>
      <c r="O45" s="43" t="s">
        <v>2492</v>
      </c>
      <c r="P45" s="43" t="s">
        <v>2790</v>
      </c>
      <c r="Q45" s="43" t="s">
        <v>31</v>
      </c>
      <c r="R45" s="43" t="s">
        <v>1032</v>
      </c>
      <c r="S45" s="43" t="s">
        <v>1072</v>
      </c>
      <c r="T45" s="43" t="s">
        <v>1072</v>
      </c>
      <c r="U45" s="43" t="b">
        <v>0</v>
      </c>
    </row>
    <row r="46" spans="1:21" x14ac:dyDescent="0.35">
      <c r="A46" s="209"/>
      <c r="B46" s="43" t="s">
        <v>2880</v>
      </c>
      <c r="C46" s="43" t="s">
        <v>1052</v>
      </c>
      <c r="D46" s="43" t="s">
        <v>1060</v>
      </c>
      <c r="E46" s="98">
        <v>93</v>
      </c>
      <c r="F46" s="77">
        <v>46231</v>
      </c>
      <c r="G46" s="43" t="s">
        <v>2821</v>
      </c>
      <c r="H46" s="43">
        <v>54026930</v>
      </c>
      <c r="I46" s="43">
        <v>1185.23</v>
      </c>
      <c r="J46" s="43" t="s">
        <v>1055</v>
      </c>
      <c r="K46" s="43">
        <v>1185.23</v>
      </c>
      <c r="L46" s="43">
        <v>14109</v>
      </c>
      <c r="M46" s="43" t="s">
        <v>1056</v>
      </c>
      <c r="N46" s="43" t="s">
        <v>1062</v>
      </c>
      <c r="O46" s="43" t="s">
        <v>2492</v>
      </c>
      <c r="P46" s="43" t="s">
        <v>1066</v>
      </c>
      <c r="Q46" s="43" t="s">
        <v>628</v>
      </c>
      <c r="R46" s="43" t="s">
        <v>627</v>
      </c>
      <c r="S46" s="43" t="s">
        <v>629</v>
      </c>
      <c r="T46" s="43" t="s">
        <v>818</v>
      </c>
      <c r="U46" s="43" t="b">
        <v>0</v>
      </c>
    </row>
    <row r="47" spans="1:21" x14ac:dyDescent="0.35">
      <c r="A47" s="209"/>
      <c r="B47" s="43" t="s">
        <v>2880</v>
      </c>
      <c r="C47" s="43" t="s">
        <v>1052</v>
      </c>
      <c r="D47" s="43" t="s">
        <v>1060</v>
      </c>
      <c r="E47" s="43" t="s">
        <v>3357</v>
      </c>
      <c r="F47" s="77">
        <v>46231</v>
      </c>
      <c r="G47" s="43" t="s">
        <v>1067</v>
      </c>
      <c r="H47" s="43">
        <v>39232100</v>
      </c>
      <c r="I47" s="43">
        <v>930</v>
      </c>
      <c r="J47" s="43" t="s">
        <v>1055</v>
      </c>
      <c r="K47" s="43">
        <v>930</v>
      </c>
      <c r="L47" s="43">
        <v>14109</v>
      </c>
      <c r="M47" s="43" t="s">
        <v>1056</v>
      </c>
      <c r="N47" s="43" t="s">
        <v>1062</v>
      </c>
      <c r="O47" s="43" t="s">
        <v>2492</v>
      </c>
      <c r="P47" s="43" t="s">
        <v>1068</v>
      </c>
      <c r="Q47" s="43" t="s">
        <v>628</v>
      </c>
      <c r="R47" s="43" t="s">
        <v>706</v>
      </c>
      <c r="S47" s="43" t="s">
        <v>729</v>
      </c>
      <c r="T47" s="43" t="s">
        <v>728</v>
      </c>
      <c r="U47" s="43" t="b">
        <v>0</v>
      </c>
    </row>
    <row r="48" spans="1:21" x14ac:dyDescent="0.35">
      <c r="A48" s="209"/>
      <c r="B48" s="43" t="s">
        <v>2880</v>
      </c>
      <c r="C48" s="43" t="s">
        <v>1052</v>
      </c>
      <c r="D48" s="43" t="s">
        <v>1060</v>
      </c>
      <c r="E48" s="43" t="s">
        <v>3358</v>
      </c>
      <c r="F48" s="77">
        <v>46231</v>
      </c>
      <c r="G48" s="43" t="s">
        <v>3356</v>
      </c>
      <c r="H48" s="43">
        <v>39269080</v>
      </c>
      <c r="I48" s="43">
        <v>2382</v>
      </c>
      <c r="J48" s="43" t="s">
        <v>1055</v>
      </c>
      <c r="K48" s="43">
        <v>2382</v>
      </c>
      <c r="L48" s="43">
        <v>14109</v>
      </c>
      <c r="M48" s="43" t="s">
        <v>1056</v>
      </c>
      <c r="N48" s="43" t="s">
        <v>1062</v>
      </c>
      <c r="O48" s="43" t="s">
        <v>2492</v>
      </c>
      <c r="P48" s="43" t="s">
        <v>1070</v>
      </c>
      <c r="Q48" s="43" t="s">
        <v>628</v>
      </c>
      <c r="R48" s="43" t="s">
        <v>638</v>
      </c>
      <c r="S48" s="43" t="s">
        <v>652</v>
      </c>
      <c r="T48" s="43" t="s">
        <v>859</v>
      </c>
      <c r="U48" s="43" t="b">
        <v>0</v>
      </c>
    </row>
    <row r="49" spans="1:21" x14ac:dyDescent="0.35">
      <c r="A49" s="209"/>
      <c r="B49" s="43" t="s">
        <v>2880</v>
      </c>
      <c r="C49" s="43" t="s">
        <v>1052</v>
      </c>
      <c r="D49" s="43" t="s">
        <v>1060</v>
      </c>
      <c r="E49" s="43" t="s">
        <v>3359</v>
      </c>
      <c r="F49" s="77">
        <v>46231</v>
      </c>
      <c r="G49" s="43" t="s">
        <v>2265</v>
      </c>
      <c r="H49" s="43">
        <v>54026300</v>
      </c>
      <c r="I49" s="43">
        <v>2019.7</v>
      </c>
      <c r="J49" s="43" t="s">
        <v>1055</v>
      </c>
      <c r="K49" s="43">
        <v>2019.7</v>
      </c>
      <c r="L49" s="43">
        <v>14109</v>
      </c>
      <c r="M49" s="43" t="s">
        <v>1056</v>
      </c>
      <c r="N49" s="43" t="s">
        <v>1062</v>
      </c>
      <c r="O49" s="43" t="s">
        <v>2492</v>
      </c>
      <c r="P49" s="43" t="s">
        <v>2825</v>
      </c>
      <c r="Q49" s="43" t="s">
        <v>628</v>
      </c>
      <c r="R49" s="43" t="s">
        <v>627</v>
      </c>
      <c r="S49" s="43" t="s">
        <v>629</v>
      </c>
      <c r="T49" s="43" t="s">
        <v>678</v>
      </c>
      <c r="U49" s="43" t="b">
        <v>0</v>
      </c>
    </row>
    <row r="50" spans="1:21" x14ac:dyDescent="0.35">
      <c r="A50" s="209"/>
      <c r="B50" s="43" t="s">
        <v>2880</v>
      </c>
      <c r="C50" s="43" t="s">
        <v>1052</v>
      </c>
      <c r="D50" s="43" t="s">
        <v>1053</v>
      </c>
      <c r="E50" s="98">
        <v>65</v>
      </c>
      <c r="F50" s="77">
        <v>46228</v>
      </c>
      <c r="G50" s="43" t="s">
        <v>1054</v>
      </c>
      <c r="H50" s="43">
        <v>39021000</v>
      </c>
      <c r="I50" s="43">
        <v>5000</v>
      </c>
      <c r="J50" s="43" t="s">
        <v>1055</v>
      </c>
      <c r="K50" s="43">
        <v>5000</v>
      </c>
      <c r="L50" s="43">
        <v>14108</v>
      </c>
      <c r="M50" s="43" t="s">
        <v>1056</v>
      </c>
      <c r="N50" s="43" t="s">
        <v>1057</v>
      </c>
      <c r="O50" s="43" t="s">
        <v>2492</v>
      </c>
      <c r="P50" s="43" t="s">
        <v>3317</v>
      </c>
      <c r="Q50" s="43" t="s">
        <v>31</v>
      </c>
      <c r="R50" s="43" t="s">
        <v>1032</v>
      </c>
      <c r="S50" s="43" t="s">
        <v>1059</v>
      </c>
      <c r="T50" s="43" t="s">
        <v>1059</v>
      </c>
      <c r="U50" s="43" t="b">
        <v>0</v>
      </c>
    </row>
    <row r="51" spans="1:21" x14ac:dyDescent="0.35">
      <c r="A51" s="209"/>
      <c r="B51" s="43" t="s">
        <v>2880</v>
      </c>
      <c r="C51" s="43" t="s">
        <v>1052</v>
      </c>
      <c r="D51" s="43" t="s">
        <v>1053</v>
      </c>
      <c r="E51" s="43" t="s">
        <v>3331</v>
      </c>
      <c r="F51" s="77">
        <v>46228</v>
      </c>
      <c r="G51" s="43" t="s">
        <v>2376</v>
      </c>
      <c r="H51" s="43">
        <v>38123990</v>
      </c>
      <c r="I51" s="43">
        <v>2475</v>
      </c>
      <c r="J51" s="43" t="s">
        <v>1055</v>
      </c>
      <c r="K51" s="43">
        <v>2475</v>
      </c>
      <c r="L51" s="43">
        <v>14108</v>
      </c>
      <c r="M51" s="43" t="s">
        <v>1056</v>
      </c>
      <c r="N51" s="43" t="s">
        <v>1057</v>
      </c>
      <c r="O51" s="43" t="s">
        <v>2492</v>
      </c>
      <c r="P51" s="43" t="s">
        <v>2756</v>
      </c>
      <c r="Q51" s="43" t="s">
        <v>31</v>
      </c>
      <c r="R51" s="43" t="s">
        <v>1032</v>
      </c>
      <c r="S51" s="43" t="s">
        <v>55</v>
      </c>
      <c r="T51" s="43" t="s">
        <v>55</v>
      </c>
      <c r="U51" s="43" t="b">
        <v>0</v>
      </c>
    </row>
    <row r="52" spans="1:21" x14ac:dyDescent="0.35">
      <c r="A52" s="209"/>
      <c r="B52" s="43" t="s">
        <v>2880</v>
      </c>
      <c r="C52" s="43" t="s">
        <v>1052</v>
      </c>
      <c r="D52" s="43" t="s">
        <v>1060</v>
      </c>
      <c r="E52" s="98">
        <v>92</v>
      </c>
      <c r="F52" s="77">
        <v>46230</v>
      </c>
      <c r="G52" s="43" t="s">
        <v>1061</v>
      </c>
      <c r="H52" s="43">
        <v>39269080</v>
      </c>
      <c r="I52" s="43">
        <v>5288</v>
      </c>
      <c r="J52" s="43" t="s">
        <v>1055</v>
      </c>
      <c r="K52" s="43">
        <v>5288</v>
      </c>
      <c r="L52" s="43">
        <v>14107</v>
      </c>
      <c r="M52" s="43" t="s">
        <v>1056</v>
      </c>
      <c r="N52" s="43" t="s">
        <v>1062</v>
      </c>
      <c r="O52" s="43" t="s">
        <v>2492</v>
      </c>
      <c r="P52" s="43" t="s">
        <v>1063</v>
      </c>
      <c r="Q52" s="43" t="s">
        <v>628</v>
      </c>
      <c r="R52" s="43" t="s">
        <v>638</v>
      </c>
      <c r="S52" s="43" t="s">
        <v>639</v>
      </c>
      <c r="T52" s="43" t="s">
        <v>679</v>
      </c>
      <c r="U52" s="43" t="b">
        <v>0</v>
      </c>
    </row>
    <row r="53" spans="1:21" x14ac:dyDescent="0.35">
      <c r="A53" s="209"/>
      <c r="B53" s="43" t="s">
        <v>2880</v>
      </c>
      <c r="C53" s="43" t="s">
        <v>1052</v>
      </c>
      <c r="D53" s="43" t="s">
        <v>1060</v>
      </c>
      <c r="E53" s="43" t="s">
        <v>3322</v>
      </c>
      <c r="F53" s="77">
        <v>46230</v>
      </c>
      <c r="G53" s="43" t="s">
        <v>1067</v>
      </c>
      <c r="H53" s="43">
        <v>39232100</v>
      </c>
      <c r="I53" s="43">
        <v>3545.5</v>
      </c>
      <c r="J53" s="43" t="s">
        <v>1055</v>
      </c>
      <c r="K53" s="43">
        <v>3545.5</v>
      </c>
      <c r="L53" s="43">
        <v>14107</v>
      </c>
      <c r="M53" s="43" t="s">
        <v>1056</v>
      </c>
      <c r="N53" s="43" t="s">
        <v>1062</v>
      </c>
      <c r="O53" s="43" t="s">
        <v>2492</v>
      </c>
      <c r="P53" s="43" t="s">
        <v>1068</v>
      </c>
      <c r="Q53" s="43" t="s">
        <v>628</v>
      </c>
      <c r="R53" s="43" t="s">
        <v>706</v>
      </c>
      <c r="S53" s="43" t="s">
        <v>729</v>
      </c>
      <c r="T53" s="43" t="s">
        <v>728</v>
      </c>
      <c r="U53" s="43" t="b">
        <v>0</v>
      </c>
    </row>
    <row r="54" spans="1:21" x14ac:dyDescent="0.35">
      <c r="A54" s="209"/>
      <c r="B54" s="43" t="s">
        <v>2880</v>
      </c>
      <c r="C54" s="43" t="s">
        <v>1052</v>
      </c>
      <c r="D54" s="43" t="s">
        <v>1060</v>
      </c>
      <c r="E54" s="43" t="s">
        <v>3323</v>
      </c>
      <c r="F54" s="77">
        <v>46230</v>
      </c>
      <c r="G54" s="43" t="s">
        <v>2332</v>
      </c>
      <c r="H54" s="43">
        <v>39201019</v>
      </c>
      <c r="I54" s="43">
        <v>187</v>
      </c>
      <c r="J54" s="43" t="s">
        <v>1055</v>
      </c>
      <c r="K54" s="43">
        <v>187</v>
      </c>
      <c r="L54" s="43">
        <v>14107</v>
      </c>
      <c r="M54" s="43" t="s">
        <v>1056</v>
      </c>
      <c r="N54" s="43" t="s">
        <v>1062</v>
      </c>
      <c r="O54" s="43" t="s">
        <v>2492</v>
      </c>
      <c r="P54" s="43" t="s">
        <v>2908</v>
      </c>
      <c r="Q54" s="43" t="s">
        <v>628</v>
      </c>
      <c r="R54" s="43" t="s">
        <v>2909</v>
      </c>
      <c r="S54" s="43" t="s">
        <v>180</v>
      </c>
      <c r="T54" s="43" t="s">
        <v>642</v>
      </c>
      <c r="U54" s="43" t="b">
        <v>0</v>
      </c>
    </row>
    <row r="55" spans="1:21" x14ac:dyDescent="0.35">
      <c r="A55" s="209"/>
      <c r="B55" s="43" t="s">
        <v>2880</v>
      </c>
      <c r="C55" s="43" t="s">
        <v>1052</v>
      </c>
      <c r="D55" s="43" t="s">
        <v>1060</v>
      </c>
      <c r="E55" s="43" t="s">
        <v>3324</v>
      </c>
      <c r="F55" s="77">
        <v>46230</v>
      </c>
      <c r="G55" s="43" t="s">
        <v>1064</v>
      </c>
      <c r="H55" s="43">
        <v>39199090</v>
      </c>
      <c r="I55" s="43">
        <v>1092</v>
      </c>
      <c r="J55" s="43" t="s">
        <v>1055</v>
      </c>
      <c r="K55" s="43">
        <v>1092</v>
      </c>
      <c r="L55" s="43">
        <v>14107</v>
      </c>
      <c r="M55" s="43" t="s">
        <v>1056</v>
      </c>
      <c r="N55" s="43" t="s">
        <v>1062</v>
      </c>
      <c r="O55" s="43" t="s">
        <v>2492</v>
      </c>
      <c r="P55" s="43" t="s">
        <v>1065</v>
      </c>
      <c r="Q55" s="43" t="s">
        <v>628</v>
      </c>
      <c r="R55" s="43" t="s">
        <v>771</v>
      </c>
      <c r="S55" s="43" t="s">
        <v>773</v>
      </c>
      <c r="T55" s="43" t="s">
        <v>773</v>
      </c>
      <c r="U55" s="43" t="b">
        <v>0</v>
      </c>
    </row>
    <row r="56" spans="1:21" x14ac:dyDescent="0.35">
      <c r="A56" s="209"/>
      <c r="B56" s="43" t="s">
        <v>2880</v>
      </c>
      <c r="C56" s="43" t="s">
        <v>1052</v>
      </c>
      <c r="D56" s="43" t="s">
        <v>1060</v>
      </c>
      <c r="E56" s="43" t="s">
        <v>3325</v>
      </c>
      <c r="F56" s="77">
        <v>46230</v>
      </c>
      <c r="G56" s="43" t="s">
        <v>2929</v>
      </c>
      <c r="H56" s="43">
        <v>39269080</v>
      </c>
      <c r="I56" s="43">
        <v>6551</v>
      </c>
      <c r="J56" s="43" t="s">
        <v>1055</v>
      </c>
      <c r="K56" s="43">
        <v>6551</v>
      </c>
      <c r="L56" s="43">
        <v>14107</v>
      </c>
      <c r="M56" s="43" t="s">
        <v>1056</v>
      </c>
      <c r="N56" s="43" t="s">
        <v>1062</v>
      </c>
      <c r="O56" s="43" t="s">
        <v>2492</v>
      </c>
      <c r="P56" s="43" t="s">
        <v>1070</v>
      </c>
      <c r="Q56" s="43" t="s">
        <v>628</v>
      </c>
      <c r="R56" s="43" t="s">
        <v>638</v>
      </c>
      <c r="S56" s="43" t="s">
        <v>652</v>
      </c>
      <c r="T56" s="43" t="s">
        <v>859</v>
      </c>
      <c r="U56" s="43" t="b">
        <v>0</v>
      </c>
    </row>
    <row r="57" spans="1:21" x14ac:dyDescent="0.35">
      <c r="A57" s="209"/>
      <c r="B57" s="43" t="s">
        <v>2880</v>
      </c>
      <c r="C57" s="43" t="s">
        <v>1052</v>
      </c>
      <c r="D57" s="43" t="s">
        <v>1060</v>
      </c>
      <c r="E57" s="98">
        <v>91</v>
      </c>
      <c r="F57" s="77">
        <v>46228</v>
      </c>
      <c r="G57" s="43" t="s">
        <v>2332</v>
      </c>
      <c r="H57" s="43">
        <v>39201019</v>
      </c>
      <c r="I57" s="43">
        <v>311.8</v>
      </c>
      <c r="J57" s="43" t="s">
        <v>1055</v>
      </c>
      <c r="K57" s="43">
        <v>311.8</v>
      </c>
      <c r="L57" s="43">
        <v>14105</v>
      </c>
      <c r="M57" s="43" t="s">
        <v>1056</v>
      </c>
      <c r="N57" s="43" t="s">
        <v>1062</v>
      </c>
      <c r="O57" s="43" t="s">
        <v>2492</v>
      </c>
      <c r="P57" s="43" t="s">
        <v>2908</v>
      </c>
      <c r="Q57" s="43" t="s">
        <v>628</v>
      </c>
      <c r="R57" s="43" t="s">
        <v>2909</v>
      </c>
      <c r="S57" s="43" t="s">
        <v>180</v>
      </c>
      <c r="T57" s="43" t="s">
        <v>642</v>
      </c>
      <c r="U57" s="43" t="b">
        <v>0</v>
      </c>
    </row>
    <row r="58" spans="1:21" x14ac:dyDescent="0.35">
      <c r="A58" s="209"/>
      <c r="B58" s="43" t="s">
        <v>2880</v>
      </c>
      <c r="C58" s="43" t="s">
        <v>1052</v>
      </c>
      <c r="D58" s="43" t="s">
        <v>1060</v>
      </c>
      <c r="E58" s="43" t="s">
        <v>3326</v>
      </c>
      <c r="F58" s="77">
        <v>46228</v>
      </c>
      <c r="G58" s="43" t="s">
        <v>2929</v>
      </c>
      <c r="H58" s="43">
        <v>39269080</v>
      </c>
      <c r="I58" s="43">
        <v>3592.8</v>
      </c>
      <c r="J58" s="43" t="s">
        <v>1055</v>
      </c>
      <c r="K58" s="43">
        <v>3592.8</v>
      </c>
      <c r="L58" s="43">
        <v>14105</v>
      </c>
      <c r="M58" s="43" t="s">
        <v>1056</v>
      </c>
      <c r="N58" s="43" t="s">
        <v>1062</v>
      </c>
      <c r="O58" s="43" t="s">
        <v>2492</v>
      </c>
      <c r="P58" s="43" t="s">
        <v>1070</v>
      </c>
      <c r="Q58" s="43" t="s">
        <v>628</v>
      </c>
      <c r="R58" s="43" t="s">
        <v>638</v>
      </c>
      <c r="S58" s="43" t="s">
        <v>652</v>
      </c>
      <c r="T58" s="43" t="s">
        <v>859</v>
      </c>
      <c r="U58" s="43" t="b">
        <v>0</v>
      </c>
    </row>
    <row r="59" spans="1:21" x14ac:dyDescent="0.35">
      <c r="A59" s="209"/>
      <c r="B59" s="43" t="s">
        <v>2880</v>
      </c>
      <c r="C59" s="43" t="s">
        <v>1052</v>
      </c>
      <c r="D59" s="43" t="s">
        <v>1060</v>
      </c>
      <c r="E59" s="43" t="s">
        <v>3327</v>
      </c>
      <c r="F59" s="77">
        <v>46228</v>
      </c>
      <c r="G59" s="43" t="s">
        <v>1064</v>
      </c>
      <c r="H59" s="43">
        <v>39199090</v>
      </c>
      <c r="I59" s="43">
        <v>495.8</v>
      </c>
      <c r="J59" s="43" t="s">
        <v>1055</v>
      </c>
      <c r="K59" s="43">
        <v>495.8</v>
      </c>
      <c r="L59" s="43">
        <v>14105</v>
      </c>
      <c r="M59" s="43" t="s">
        <v>1056</v>
      </c>
      <c r="N59" s="43" t="s">
        <v>1062</v>
      </c>
      <c r="O59" s="43" t="s">
        <v>2492</v>
      </c>
      <c r="P59" s="43" t="s">
        <v>1065</v>
      </c>
      <c r="Q59" s="43" t="s">
        <v>628</v>
      </c>
      <c r="R59" s="43" t="s">
        <v>771</v>
      </c>
      <c r="S59" s="43" t="s">
        <v>773</v>
      </c>
      <c r="T59" s="43" t="s">
        <v>773</v>
      </c>
      <c r="U59" s="43" t="b">
        <v>0</v>
      </c>
    </row>
    <row r="60" spans="1:21" x14ac:dyDescent="0.35">
      <c r="A60" s="209"/>
      <c r="B60" s="43" t="s">
        <v>2880</v>
      </c>
      <c r="C60" s="43" t="s">
        <v>1052</v>
      </c>
      <c r="D60" s="43" t="s">
        <v>1060</v>
      </c>
      <c r="E60" s="43" t="s">
        <v>3328</v>
      </c>
      <c r="F60" s="77">
        <v>46228</v>
      </c>
      <c r="G60" s="43" t="s">
        <v>1061</v>
      </c>
      <c r="H60" s="43">
        <v>39269080</v>
      </c>
      <c r="I60" s="43">
        <v>268</v>
      </c>
      <c r="J60" s="43" t="s">
        <v>1055</v>
      </c>
      <c r="K60" s="43">
        <v>268</v>
      </c>
      <c r="L60" s="43">
        <v>14105</v>
      </c>
      <c r="M60" s="43" t="s">
        <v>1056</v>
      </c>
      <c r="N60" s="43" t="s">
        <v>1062</v>
      </c>
      <c r="O60" s="43" t="s">
        <v>2492</v>
      </c>
      <c r="P60" s="43" t="s">
        <v>1063</v>
      </c>
      <c r="Q60" s="43" t="s">
        <v>628</v>
      </c>
      <c r="R60" s="43" t="s">
        <v>638</v>
      </c>
      <c r="S60" s="43" t="s">
        <v>639</v>
      </c>
      <c r="T60" s="43" t="s">
        <v>679</v>
      </c>
      <c r="U60" s="43" t="b">
        <v>0</v>
      </c>
    </row>
    <row r="61" spans="1:21" x14ac:dyDescent="0.35">
      <c r="A61" s="209"/>
      <c r="B61" s="43" t="s">
        <v>2880</v>
      </c>
      <c r="C61" s="43" t="s">
        <v>1052</v>
      </c>
      <c r="D61" s="43" t="s">
        <v>1060</v>
      </c>
      <c r="E61" s="98">
        <v>90</v>
      </c>
      <c r="F61" s="77">
        <v>46227</v>
      </c>
      <c r="G61" s="43" t="s">
        <v>2332</v>
      </c>
      <c r="H61" s="43">
        <v>39201019</v>
      </c>
      <c r="I61" s="43">
        <v>104</v>
      </c>
      <c r="J61" s="43" t="s">
        <v>1055</v>
      </c>
      <c r="K61" s="43">
        <v>104</v>
      </c>
      <c r="L61" s="43">
        <v>14103</v>
      </c>
      <c r="M61" s="43" t="s">
        <v>1056</v>
      </c>
      <c r="N61" s="43" t="s">
        <v>1062</v>
      </c>
      <c r="O61" s="43" t="s">
        <v>2492</v>
      </c>
      <c r="P61" s="43" t="s">
        <v>2908</v>
      </c>
      <c r="Q61" s="43" t="s">
        <v>628</v>
      </c>
      <c r="R61" s="43" t="s">
        <v>2909</v>
      </c>
      <c r="S61" s="43" t="s">
        <v>180</v>
      </c>
      <c r="T61" s="43" t="s">
        <v>642</v>
      </c>
      <c r="U61" s="43" t="b">
        <v>0</v>
      </c>
    </row>
    <row r="62" spans="1:21" x14ac:dyDescent="0.35">
      <c r="A62" s="209"/>
      <c r="B62" s="43" t="s">
        <v>2880</v>
      </c>
      <c r="C62" s="43" t="s">
        <v>1052</v>
      </c>
      <c r="D62" s="43" t="s">
        <v>1060</v>
      </c>
      <c r="E62" s="43" t="s">
        <v>3285</v>
      </c>
      <c r="F62" s="77">
        <v>46227</v>
      </c>
      <c r="G62" s="43" t="s">
        <v>1061</v>
      </c>
      <c r="H62" s="43">
        <v>39269080</v>
      </c>
      <c r="I62" s="43">
        <v>2698</v>
      </c>
      <c r="J62" s="43" t="s">
        <v>1055</v>
      </c>
      <c r="K62" s="43">
        <v>2698</v>
      </c>
      <c r="L62" s="43">
        <v>14103</v>
      </c>
      <c r="M62" s="43" t="s">
        <v>1056</v>
      </c>
      <c r="N62" s="43" t="s">
        <v>1062</v>
      </c>
      <c r="O62" s="43" t="s">
        <v>2492</v>
      </c>
      <c r="P62" s="43" t="s">
        <v>1063</v>
      </c>
      <c r="Q62" s="43" t="s">
        <v>628</v>
      </c>
      <c r="R62" s="43" t="s">
        <v>638</v>
      </c>
      <c r="S62" s="43" t="s">
        <v>639</v>
      </c>
      <c r="T62" s="43" t="s">
        <v>679</v>
      </c>
      <c r="U62" s="43" t="b">
        <v>0</v>
      </c>
    </row>
    <row r="63" spans="1:21" x14ac:dyDescent="0.35">
      <c r="A63" s="209"/>
      <c r="B63" s="43" t="s">
        <v>2880</v>
      </c>
      <c r="C63" s="43" t="s">
        <v>1052</v>
      </c>
      <c r="D63" s="43" t="s">
        <v>1060</v>
      </c>
      <c r="E63" s="43" t="s">
        <v>3286</v>
      </c>
      <c r="F63" s="77">
        <v>46227</v>
      </c>
      <c r="G63" s="43" t="s">
        <v>2929</v>
      </c>
      <c r="H63" s="43">
        <v>39269080</v>
      </c>
      <c r="I63" s="43">
        <v>4164</v>
      </c>
      <c r="J63" s="43" t="s">
        <v>1055</v>
      </c>
      <c r="K63" s="43">
        <v>4164</v>
      </c>
      <c r="L63" s="43">
        <v>14103</v>
      </c>
      <c r="M63" s="43" t="s">
        <v>1056</v>
      </c>
      <c r="N63" s="43" t="s">
        <v>1062</v>
      </c>
      <c r="O63" s="43" t="s">
        <v>2492</v>
      </c>
      <c r="P63" s="43" t="s">
        <v>1070</v>
      </c>
      <c r="Q63" s="43" t="s">
        <v>628</v>
      </c>
      <c r="R63" s="43" t="s">
        <v>638</v>
      </c>
      <c r="S63" s="43" t="s">
        <v>652</v>
      </c>
      <c r="T63" s="43" t="s">
        <v>859</v>
      </c>
      <c r="U63" s="43" t="b">
        <v>0</v>
      </c>
    </row>
    <row r="64" spans="1:21" x14ac:dyDescent="0.35">
      <c r="A64" s="209"/>
      <c r="B64" s="43" t="s">
        <v>2880</v>
      </c>
      <c r="C64" s="43" t="s">
        <v>1052</v>
      </c>
      <c r="D64" s="43" t="s">
        <v>1060</v>
      </c>
      <c r="E64" s="43" t="s">
        <v>3287</v>
      </c>
      <c r="F64" s="77">
        <v>46227</v>
      </c>
      <c r="G64" s="43" t="s">
        <v>2821</v>
      </c>
      <c r="H64" s="43">
        <v>54026930</v>
      </c>
      <c r="I64" s="43">
        <v>2166.1999999999998</v>
      </c>
      <c r="J64" s="43" t="s">
        <v>1055</v>
      </c>
      <c r="K64" s="43">
        <v>2166.1999999999998</v>
      </c>
      <c r="L64" s="43">
        <v>14103</v>
      </c>
      <c r="M64" s="43" t="s">
        <v>1056</v>
      </c>
      <c r="N64" s="43" t="s">
        <v>1062</v>
      </c>
      <c r="O64" s="43" t="s">
        <v>2492</v>
      </c>
      <c r="P64" s="43" t="s">
        <v>1066</v>
      </c>
      <c r="Q64" s="43" t="s">
        <v>628</v>
      </c>
      <c r="R64" s="43" t="s">
        <v>627</v>
      </c>
      <c r="S64" s="43" t="s">
        <v>629</v>
      </c>
      <c r="T64" s="43" t="s">
        <v>818</v>
      </c>
      <c r="U64" s="43" t="b">
        <v>0</v>
      </c>
    </row>
    <row r="65" spans="1:21" x14ac:dyDescent="0.35">
      <c r="A65" s="209"/>
      <c r="B65" s="43" t="s">
        <v>2880</v>
      </c>
      <c r="C65" s="43" t="s">
        <v>1052</v>
      </c>
      <c r="D65" s="43" t="s">
        <v>1060</v>
      </c>
      <c r="E65" s="43" t="s">
        <v>3288</v>
      </c>
      <c r="F65" s="77">
        <v>46227</v>
      </c>
      <c r="G65" s="43" t="s">
        <v>1067</v>
      </c>
      <c r="H65" s="43">
        <v>39232100</v>
      </c>
      <c r="I65" s="43">
        <v>6980.4</v>
      </c>
      <c r="J65" s="43" t="s">
        <v>1055</v>
      </c>
      <c r="K65" s="43">
        <v>6980.4</v>
      </c>
      <c r="L65" s="43">
        <v>14103</v>
      </c>
      <c r="M65" s="43" t="s">
        <v>1056</v>
      </c>
      <c r="N65" s="43" t="s">
        <v>1062</v>
      </c>
      <c r="O65" s="43" t="s">
        <v>2492</v>
      </c>
      <c r="P65" s="43" t="s">
        <v>1068</v>
      </c>
      <c r="Q65" s="43" t="s">
        <v>628</v>
      </c>
      <c r="R65" s="43" t="s">
        <v>706</v>
      </c>
      <c r="S65" s="43" t="s">
        <v>729</v>
      </c>
      <c r="T65" s="43" t="s">
        <v>728</v>
      </c>
      <c r="U65" s="43" t="b">
        <v>0</v>
      </c>
    </row>
    <row r="66" spans="1:21" x14ac:dyDescent="0.35">
      <c r="A66" s="209"/>
      <c r="B66" s="43" t="s">
        <v>2880</v>
      </c>
      <c r="C66" s="43" t="s">
        <v>1052</v>
      </c>
      <c r="D66" s="43" t="s">
        <v>1060</v>
      </c>
      <c r="E66" s="43" t="s">
        <v>3273</v>
      </c>
      <c r="F66" s="77">
        <v>46225</v>
      </c>
      <c r="G66" s="43" t="s">
        <v>2929</v>
      </c>
      <c r="H66" s="43">
        <v>39269080</v>
      </c>
      <c r="I66" s="43">
        <v>2479</v>
      </c>
      <c r="J66" s="43" t="s">
        <v>1055</v>
      </c>
      <c r="K66" s="522">
        <v>114</v>
      </c>
      <c r="L66" s="43">
        <v>14102</v>
      </c>
      <c r="M66" s="43" t="s">
        <v>1056</v>
      </c>
      <c r="N66" s="43" t="s">
        <v>1062</v>
      </c>
      <c r="O66" s="43" t="s">
        <v>2492</v>
      </c>
      <c r="P66" s="43" t="s">
        <v>1070</v>
      </c>
      <c r="Q66" s="43" t="s">
        <v>628</v>
      </c>
      <c r="R66" s="43" t="s">
        <v>638</v>
      </c>
      <c r="S66" s="43" t="s">
        <v>652</v>
      </c>
      <c r="T66" s="43" t="s">
        <v>859</v>
      </c>
      <c r="U66" s="43" t="b">
        <v>0</v>
      </c>
    </row>
    <row r="67" spans="1:21" x14ac:dyDescent="0.35">
      <c r="A67" s="209"/>
      <c r="B67" s="43" t="s">
        <v>2880</v>
      </c>
      <c r="C67" s="43" t="s">
        <v>1052</v>
      </c>
      <c r="D67" s="43" t="s">
        <v>1060</v>
      </c>
      <c r="E67" s="98">
        <v>88</v>
      </c>
      <c r="F67" s="77">
        <v>46224</v>
      </c>
      <c r="G67" s="43" t="s">
        <v>1061</v>
      </c>
      <c r="H67" s="43">
        <v>39269080</v>
      </c>
      <c r="I67" s="43">
        <v>3134</v>
      </c>
      <c r="J67" s="43" t="s">
        <v>1055</v>
      </c>
      <c r="K67" s="522">
        <v>264</v>
      </c>
      <c r="L67" s="43">
        <v>14101</v>
      </c>
      <c r="M67" s="43" t="s">
        <v>1056</v>
      </c>
      <c r="N67" s="43" t="s">
        <v>1062</v>
      </c>
      <c r="O67" s="43" t="s">
        <v>2492</v>
      </c>
      <c r="P67" s="43" t="s">
        <v>1063</v>
      </c>
      <c r="Q67" s="43" t="s">
        <v>628</v>
      </c>
      <c r="R67" s="43" t="s">
        <v>638</v>
      </c>
      <c r="S67" s="43" t="s">
        <v>639</v>
      </c>
      <c r="T67" s="43" t="s">
        <v>679</v>
      </c>
      <c r="U67" s="43" t="b">
        <v>0</v>
      </c>
    </row>
    <row r="68" spans="1:21" x14ac:dyDescent="0.35">
      <c r="A68" s="209"/>
      <c r="B68" s="43" t="s">
        <v>2880</v>
      </c>
      <c r="C68" s="43" t="s">
        <v>1052</v>
      </c>
      <c r="D68" s="43" t="s">
        <v>1060</v>
      </c>
      <c r="E68" s="43" t="s">
        <v>3239</v>
      </c>
      <c r="F68" s="77">
        <v>46223</v>
      </c>
      <c r="G68" s="43" t="s">
        <v>1069</v>
      </c>
      <c r="H68" s="43">
        <v>39269080</v>
      </c>
      <c r="I68" s="43">
        <v>3710.3</v>
      </c>
      <c r="J68" s="43" t="s">
        <v>1055</v>
      </c>
      <c r="K68" s="522">
        <v>235</v>
      </c>
      <c r="L68" s="43">
        <v>14100</v>
      </c>
      <c r="M68" s="43" t="s">
        <v>1056</v>
      </c>
      <c r="N68" s="43" t="s">
        <v>1062</v>
      </c>
      <c r="O68" s="43" t="s">
        <v>2492</v>
      </c>
      <c r="P68" s="43" t="s">
        <v>1070</v>
      </c>
      <c r="Q68" s="43" t="s">
        <v>628</v>
      </c>
      <c r="R68" s="43" t="s">
        <v>638</v>
      </c>
      <c r="S68" s="43" t="s">
        <v>652</v>
      </c>
      <c r="T68" s="43" t="s">
        <v>859</v>
      </c>
      <c r="U68" s="43" t="b">
        <v>0</v>
      </c>
    </row>
    <row r="69" spans="1:21" x14ac:dyDescent="0.35">
      <c r="A69" s="209"/>
      <c r="B69" s="43" t="s">
        <v>2880</v>
      </c>
      <c r="C69" s="43" t="s">
        <v>1052</v>
      </c>
      <c r="D69" s="43" t="s">
        <v>1060</v>
      </c>
      <c r="E69" s="98">
        <v>86</v>
      </c>
      <c r="F69" s="77">
        <v>46221</v>
      </c>
      <c r="G69" s="43" t="s">
        <v>1061</v>
      </c>
      <c r="H69" s="43">
        <v>39269080</v>
      </c>
      <c r="I69" s="43">
        <v>1763</v>
      </c>
      <c r="J69" s="43" t="s">
        <v>1055</v>
      </c>
      <c r="K69" s="522">
        <v>390</v>
      </c>
      <c r="L69" s="43">
        <v>14099</v>
      </c>
      <c r="M69" s="43" t="s">
        <v>1056</v>
      </c>
      <c r="N69" s="43" t="s">
        <v>1062</v>
      </c>
      <c r="O69" s="43" t="s">
        <v>2492</v>
      </c>
      <c r="P69" s="43" t="s">
        <v>1063</v>
      </c>
      <c r="Q69" s="43" t="s">
        <v>628</v>
      </c>
      <c r="R69" s="43" t="s">
        <v>638</v>
      </c>
      <c r="S69" s="43" t="s">
        <v>639</v>
      </c>
      <c r="T69" s="43" t="s">
        <v>679</v>
      </c>
      <c r="U69" s="43" t="b">
        <v>0</v>
      </c>
    </row>
    <row r="70" spans="1:21" x14ac:dyDescent="0.35">
      <c r="A70" s="209"/>
      <c r="B70" s="43" t="s">
        <v>2880</v>
      </c>
      <c r="C70" s="43" t="s">
        <v>1052</v>
      </c>
      <c r="D70" s="43" t="s">
        <v>1053</v>
      </c>
      <c r="E70" s="98">
        <v>49</v>
      </c>
      <c r="F70" s="77">
        <v>46220</v>
      </c>
      <c r="G70" s="43" t="s">
        <v>1171</v>
      </c>
      <c r="H70" s="43">
        <v>32061190</v>
      </c>
      <c r="I70" s="43">
        <v>1500</v>
      </c>
      <c r="J70" s="43" t="s">
        <v>1055</v>
      </c>
      <c r="K70" s="43">
        <v>1500</v>
      </c>
      <c r="L70" s="43">
        <v>14098</v>
      </c>
      <c r="M70" s="43" t="s">
        <v>1056</v>
      </c>
      <c r="N70" s="43" t="s">
        <v>1057</v>
      </c>
      <c r="O70" s="43" t="s">
        <v>2492</v>
      </c>
      <c r="P70" s="43" t="s">
        <v>2414</v>
      </c>
      <c r="Q70" s="43" t="s">
        <v>31</v>
      </c>
      <c r="R70" s="43" t="s">
        <v>1032</v>
      </c>
      <c r="S70" s="43" t="s">
        <v>55</v>
      </c>
      <c r="T70" s="43" t="s">
        <v>55</v>
      </c>
      <c r="U70" s="43" t="b">
        <v>0</v>
      </c>
    </row>
    <row r="71" spans="1:21" x14ac:dyDescent="0.35">
      <c r="A71" s="209"/>
      <c r="B71" s="43" t="s">
        <v>2880</v>
      </c>
      <c r="C71" s="43" t="s">
        <v>1052</v>
      </c>
      <c r="D71" s="43" t="s">
        <v>1060</v>
      </c>
      <c r="E71" s="43" t="s">
        <v>3226</v>
      </c>
      <c r="F71" s="77">
        <v>46220</v>
      </c>
      <c r="G71" s="43" t="s">
        <v>1069</v>
      </c>
      <c r="H71" s="43">
        <v>39269080</v>
      </c>
      <c r="I71" s="43">
        <v>3887</v>
      </c>
      <c r="J71" s="43" t="s">
        <v>1055</v>
      </c>
      <c r="K71" s="522">
        <v>248</v>
      </c>
      <c r="L71" s="43">
        <v>14097</v>
      </c>
      <c r="M71" s="43" t="s">
        <v>1056</v>
      </c>
      <c r="N71" s="43" t="s">
        <v>1062</v>
      </c>
      <c r="O71" s="43" t="s">
        <v>2492</v>
      </c>
      <c r="P71" s="43" t="s">
        <v>1070</v>
      </c>
      <c r="Q71" s="43" t="s">
        <v>628</v>
      </c>
      <c r="R71" s="43" t="s">
        <v>638</v>
      </c>
      <c r="S71" s="43" t="s">
        <v>652</v>
      </c>
      <c r="T71" s="43" t="s">
        <v>859</v>
      </c>
      <c r="U71" s="43" t="b">
        <v>0</v>
      </c>
    </row>
    <row r="72" spans="1:21" x14ac:dyDescent="0.35">
      <c r="A72" s="209"/>
      <c r="B72" s="43" t="s">
        <v>2880</v>
      </c>
      <c r="C72" s="43" t="s">
        <v>1052</v>
      </c>
      <c r="D72" s="43" t="s">
        <v>1060</v>
      </c>
      <c r="E72" s="98">
        <v>84</v>
      </c>
      <c r="F72" s="77">
        <v>46219</v>
      </c>
      <c r="G72" s="43" t="s">
        <v>1069</v>
      </c>
      <c r="H72" s="43">
        <v>39269080</v>
      </c>
      <c r="I72" s="43">
        <v>2369</v>
      </c>
      <c r="J72" s="43" t="s">
        <v>1055</v>
      </c>
      <c r="K72" s="522">
        <v>162</v>
      </c>
      <c r="L72" s="43">
        <v>14095</v>
      </c>
      <c r="M72" s="43" t="s">
        <v>1056</v>
      </c>
      <c r="N72" s="43" t="s">
        <v>1062</v>
      </c>
      <c r="O72" s="43" t="s">
        <v>2492</v>
      </c>
      <c r="P72" s="43" t="s">
        <v>1070</v>
      </c>
      <c r="Q72" s="43" t="s">
        <v>628</v>
      </c>
      <c r="R72" s="43" t="s">
        <v>638</v>
      </c>
      <c r="S72" s="43" t="s">
        <v>652</v>
      </c>
      <c r="T72" s="43" t="s">
        <v>859</v>
      </c>
      <c r="U72" s="43" t="b">
        <v>0</v>
      </c>
    </row>
    <row r="73" spans="1:21" x14ac:dyDescent="0.35">
      <c r="A73" s="209"/>
      <c r="B73" s="43" t="s">
        <v>2880</v>
      </c>
      <c r="C73" s="43" t="s">
        <v>1052</v>
      </c>
      <c r="D73" s="43" t="s">
        <v>1060</v>
      </c>
      <c r="E73" s="98">
        <v>83</v>
      </c>
      <c r="F73" s="77">
        <v>46218</v>
      </c>
      <c r="G73" s="43" t="s">
        <v>1078</v>
      </c>
      <c r="H73" s="43">
        <v>54026300</v>
      </c>
      <c r="I73" s="43">
        <v>1963</v>
      </c>
      <c r="J73" s="43" t="s">
        <v>1055</v>
      </c>
      <c r="K73" s="522">
        <v>78</v>
      </c>
      <c r="L73" s="43">
        <v>14094</v>
      </c>
      <c r="M73" s="43" t="s">
        <v>1056</v>
      </c>
      <c r="N73" s="43" t="s">
        <v>1062</v>
      </c>
      <c r="O73" s="43" t="s">
        <v>2492</v>
      </c>
      <c r="P73" s="43" t="s">
        <v>2825</v>
      </c>
      <c r="Q73" s="43" t="s">
        <v>628</v>
      </c>
      <c r="R73" s="43" t="s">
        <v>627</v>
      </c>
      <c r="S73" s="43" t="s">
        <v>629</v>
      </c>
      <c r="T73" s="43" t="s">
        <v>678</v>
      </c>
      <c r="U73" s="43" t="b">
        <v>0</v>
      </c>
    </row>
    <row r="74" spans="1:21" x14ac:dyDescent="0.35">
      <c r="A74" s="209"/>
      <c r="B74" s="43" t="s">
        <v>2880</v>
      </c>
      <c r="C74" s="43" t="s">
        <v>1052</v>
      </c>
      <c r="D74" s="43" t="s">
        <v>1053</v>
      </c>
      <c r="E74" s="98">
        <v>44</v>
      </c>
      <c r="F74" s="77">
        <v>46211</v>
      </c>
      <c r="G74" s="43" t="s">
        <v>1953</v>
      </c>
      <c r="H74" s="43">
        <v>32064990</v>
      </c>
      <c r="I74" s="43">
        <v>150</v>
      </c>
      <c r="J74" s="43" t="s">
        <v>1055</v>
      </c>
      <c r="K74" s="43">
        <v>150</v>
      </c>
      <c r="L74" s="43">
        <v>14076</v>
      </c>
      <c r="M74" s="43" t="s">
        <v>1056</v>
      </c>
      <c r="N74" s="43" t="s">
        <v>1057</v>
      </c>
      <c r="O74" s="43" t="s">
        <v>2492</v>
      </c>
      <c r="P74" s="43" t="s">
        <v>3085</v>
      </c>
      <c r="Q74" s="43" t="s">
        <v>31</v>
      </c>
      <c r="R74" s="43" t="s">
        <v>1032</v>
      </c>
      <c r="S74" s="43" t="s">
        <v>32</v>
      </c>
      <c r="T74" s="43" t="s">
        <v>2724</v>
      </c>
      <c r="U74" s="43" t="b">
        <v>0</v>
      </c>
    </row>
    <row r="75" spans="1:21" x14ac:dyDescent="0.35">
      <c r="A75" s="209"/>
      <c r="B75" s="43" t="s">
        <v>2880</v>
      </c>
      <c r="C75" s="43" t="s">
        <v>1052</v>
      </c>
      <c r="D75" s="43" t="s">
        <v>1053</v>
      </c>
      <c r="E75" s="43" t="s">
        <v>3091</v>
      </c>
      <c r="F75" s="77">
        <v>46211</v>
      </c>
      <c r="G75" s="43" t="s">
        <v>1054</v>
      </c>
      <c r="H75" s="43">
        <v>39021000</v>
      </c>
      <c r="I75" s="43">
        <v>2000</v>
      </c>
      <c r="J75" s="43" t="s">
        <v>1055</v>
      </c>
      <c r="K75" s="43">
        <v>2000</v>
      </c>
      <c r="L75" s="43">
        <v>14076</v>
      </c>
      <c r="M75" s="43" t="s">
        <v>1056</v>
      </c>
      <c r="N75" s="43" t="s">
        <v>1057</v>
      </c>
      <c r="O75" s="43" t="s">
        <v>2492</v>
      </c>
      <c r="P75" s="43" t="s">
        <v>2754</v>
      </c>
      <c r="Q75" s="43" t="s">
        <v>31</v>
      </c>
      <c r="R75" s="43" t="s">
        <v>1032</v>
      </c>
      <c r="S75" s="43" t="s">
        <v>1059</v>
      </c>
      <c r="T75" s="43" t="s">
        <v>1059</v>
      </c>
      <c r="U75" s="43" t="b">
        <v>0</v>
      </c>
    </row>
    <row r="76" spans="1:21" x14ac:dyDescent="0.35">
      <c r="A76" s="209"/>
      <c r="B76" s="43" t="s">
        <v>2880</v>
      </c>
      <c r="C76" s="43" t="s">
        <v>1052</v>
      </c>
      <c r="D76" s="43" t="s">
        <v>1053</v>
      </c>
      <c r="E76" s="98">
        <v>36</v>
      </c>
      <c r="F76" s="77">
        <v>46197</v>
      </c>
      <c r="G76" s="43" t="s">
        <v>1071</v>
      </c>
      <c r="H76" s="43">
        <v>39269080</v>
      </c>
      <c r="I76" s="43">
        <v>115.7</v>
      </c>
      <c r="J76" s="43" t="s">
        <v>1055</v>
      </c>
      <c r="K76" s="43">
        <v>115.7</v>
      </c>
      <c r="L76" s="43">
        <v>14059</v>
      </c>
      <c r="M76" s="43" t="s">
        <v>1056</v>
      </c>
      <c r="N76" s="43" t="s">
        <v>1057</v>
      </c>
      <c r="O76" s="43" t="s">
        <v>2492</v>
      </c>
      <c r="P76" s="43" t="s">
        <v>2802</v>
      </c>
      <c r="Q76" s="43" t="s">
        <v>628</v>
      </c>
      <c r="R76" s="43" t="s">
        <v>709</v>
      </c>
      <c r="S76" s="43" t="s">
        <v>710</v>
      </c>
      <c r="T76" s="43" t="s">
        <v>709</v>
      </c>
      <c r="U76" s="43" t="b">
        <v>0</v>
      </c>
    </row>
    <row r="77" spans="1:21" x14ac:dyDescent="0.35">
      <c r="A77" s="209"/>
      <c r="B77" s="43" t="s">
        <v>2880</v>
      </c>
      <c r="C77" s="43" t="s">
        <v>1052</v>
      </c>
      <c r="D77" s="43" t="s">
        <v>1053</v>
      </c>
      <c r="E77" s="98">
        <v>34</v>
      </c>
      <c r="F77" s="77">
        <v>46195</v>
      </c>
      <c r="G77" s="43" t="s">
        <v>2970</v>
      </c>
      <c r="H77" s="43">
        <v>38123990</v>
      </c>
      <c r="I77" s="43">
        <v>2000</v>
      </c>
      <c r="J77" s="43" t="s">
        <v>1055</v>
      </c>
      <c r="K77" s="43">
        <v>2000</v>
      </c>
      <c r="L77" s="43">
        <v>14051</v>
      </c>
      <c r="M77" s="43" t="s">
        <v>1056</v>
      </c>
      <c r="N77" s="43" t="s">
        <v>1057</v>
      </c>
      <c r="O77" s="43" t="s">
        <v>1058</v>
      </c>
      <c r="P77" s="43" t="s">
        <v>2414</v>
      </c>
      <c r="Q77" s="43" t="s">
        <v>31</v>
      </c>
      <c r="R77" s="43" t="s">
        <v>1032</v>
      </c>
      <c r="S77" s="43" t="s">
        <v>55</v>
      </c>
      <c r="T77" s="43" t="s">
        <v>55</v>
      </c>
      <c r="U77" s="43" t="b">
        <v>0</v>
      </c>
    </row>
    <row r="78" spans="1:21" x14ac:dyDescent="0.35">
      <c r="A78" s="209"/>
      <c r="B78" s="43" t="s">
        <v>2880</v>
      </c>
      <c r="C78" s="43" t="s">
        <v>1052</v>
      </c>
      <c r="D78" s="43" t="s">
        <v>1053</v>
      </c>
      <c r="E78" s="98">
        <v>33</v>
      </c>
      <c r="F78" s="77">
        <v>46192</v>
      </c>
      <c r="G78" s="43" t="s">
        <v>2970</v>
      </c>
      <c r="H78" s="43">
        <v>38123990</v>
      </c>
      <c r="I78" s="43">
        <v>3000</v>
      </c>
      <c r="J78" s="43" t="s">
        <v>1055</v>
      </c>
      <c r="K78" s="43">
        <v>3000</v>
      </c>
      <c r="L78" s="43">
        <v>14051</v>
      </c>
      <c r="M78" s="43" t="s">
        <v>1056</v>
      </c>
      <c r="N78" s="43" t="s">
        <v>1057</v>
      </c>
      <c r="O78" s="43" t="s">
        <v>1058</v>
      </c>
      <c r="P78" s="43" t="s">
        <v>2414</v>
      </c>
      <c r="Q78" s="43" t="s">
        <v>31</v>
      </c>
      <c r="R78" s="43" t="s">
        <v>1032</v>
      </c>
      <c r="S78" s="43" t="s">
        <v>55</v>
      </c>
      <c r="T78" s="43" t="s">
        <v>55</v>
      </c>
      <c r="U78" s="43" t="b">
        <v>0</v>
      </c>
    </row>
    <row r="79" spans="1:21" x14ac:dyDescent="0.35">
      <c r="A79" s="209"/>
      <c r="B79" s="43" t="s">
        <v>2880</v>
      </c>
      <c r="C79" s="43" t="s">
        <v>1052</v>
      </c>
      <c r="D79" s="43" t="s">
        <v>1053</v>
      </c>
      <c r="E79" s="98">
        <v>31</v>
      </c>
      <c r="F79" s="77">
        <v>46181</v>
      </c>
      <c r="G79" s="43" t="s">
        <v>2970</v>
      </c>
      <c r="H79" s="43">
        <v>38123990</v>
      </c>
      <c r="I79" s="43">
        <v>3000</v>
      </c>
      <c r="J79" s="43" t="s">
        <v>1055</v>
      </c>
      <c r="K79" s="43">
        <v>3000</v>
      </c>
      <c r="L79" s="43">
        <v>14037</v>
      </c>
      <c r="M79" s="43" t="s">
        <v>1056</v>
      </c>
      <c r="N79" s="43" t="s">
        <v>1057</v>
      </c>
      <c r="O79" s="43" t="s">
        <v>1058</v>
      </c>
      <c r="P79" s="43" t="s">
        <v>2414</v>
      </c>
      <c r="Q79" s="43" t="s">
        <v>31</v>
      </c>
      <c r="R79" s="43" t="s">
        <v>1032</v>
      </c>
      <c r="S79" s="43" t="s">
        <v>55</v>
      </c>
      <c r="T79" s="43" t="s">
        <v>55</v>
      </c>
      <c r="U79" s="43" t="b">
        <v>0</v>
      </c>
    </row>
    <row r="80" spans="1:21" x14ac:dyDescent="0.35">
      <c r="A80" s="209"/>
      <c r="B80" s="43" t="s">
        <v>2880</v>
      </c>
      <c r="C80" s="43" t="s">
        <v>1052</v>
      </c>
      <c r="D80" s="43" t="s">
        <v>1053</v>
      </c>
      <c r="E80" s="98">
        <v>1</v>
      </c>
      <c r="F80" s="77">
        <v>46114</v>
      </c>
      <c r="G80" s="43" t="s">
        <v>1171</v>
      </c>
      <c r="H80" s="43">
        <v>32061190</v>
      </c>
      <c r="I80" s="43">
        <v>6575</v>
      </c>
      <c r="J80" s="43" t="s">
        <v>1055</v>
      </c>
      <c r="K80" s="43">
        <v>6575</v>
      </c>
      <c r="L80" s="43">
        <v>13942</v>
      </c>
      <c r="M80" s="43" t="s">
        <v>1056</v>
      </c>
      <c r="N80" s="43" t="s">
        <v>1057</v>
      </c>
      <c r="O80" s="43" t="s">
        <v>2492</v>
      </c>
      <c r="P80" s="43" t="s">
        <v>2414</v>
      </c>
      <c r="Q80" s="43" t="s">
        <v>31</v>
      </c>
      <c r="R80" s="43" t="s">
        <v>1032</v>
      </c>
      <c r="S80" s="43" t="s">
        <v>55</v>
      </c>
      <c r="T80" s="43" t="s">
        <v>55</v>
      </c>
      <c r="U80" s="43" t="b">
        <v>0</v>
      </c>
    </row>
    <row r="81" spans="1:21" x14ac:dyDescent="0.35">
      <c r="A81" s="209"/>
      <c r="B81" s="43" t="s">
        <v>2311</v>
      </c>
      <c r="C81" s="43" t="s">
        <v>1052</v>
      </c>
      <c r="D81" s="43" t="s">
        <v>1053</v>
      </c>
      <c r="E81" s="98">
        <v>246</v>
      </c>
      <c r="F81" s="77">
        <v>46103</v>
      </c>
      <c r="G81" s="43" t="s">
        <v>46</v>
      </c>
      <c r="H81" s="43">
        <v>39011090</v>
      </c>
      <c r="I81" s="43">
        <v>3000</v>
      </c>
      <c r="J81" s="43" t="s">
        <v>1055</v>
      </c>
      <c r="K81" s="43">
        <v>3000</v>
      </c>
      <c r="L81" s="43">
        <v>13919</v>
      </c>
      <c r="M81" s="43" t="s">
        <v>1056</v>
      </c>
      <c r="N81" s="43" t="s">
        <v>1057</v>
      </c>
      <c r="O81" s="43" t="s">
        <v>1058</v>
      </c>
      <c r="P81" s="43" t="s">
        <v>2840</v>
      </c>
      <c r="Q81" s="43" t="s">
        <v>31</v>
      </c>
      <c r="R81" s="43" t="s">
        <v>1032</v>
      </c>
      <c r="S81" s="43" t="s">
        <v>1072</v>
      </c>
      <c r="T81" s="43" t="s">
        <v>1072</v>
      </c>
      <c r="U81" s="43" t="b">
        <v>0</v>
      </c>
    </row>
    <row r="82" spans="1:21" x14ac:dyDescent="0.35">
      <c r="A82" s="209"/>
      <c r="B82" s="43" t="s">
        <v>2311</v>
      </c>
      <c r="C82" s="43" t="s">
        <v>1052</v>
      </c>
      <c r="D82" s="43" t="s">
        <v>1053</v>
      </c>
      <c r="E82" s="98">
        <v>244</v>
      </c>
      <c r="F82" s="77">
        <v>46101</v>
      </c>
      <c r="G82" s="43" t="s">
        <v>1071</v>
      </c>
      <c r="H82" s="43">
        <v>39269080</v>
      </c>
      <c r="I82" s="43">
        <v>198.3</v>
      </c>
      <c r="J82" s="43" t="s">
        <v>1055</v>
      </c>
      <c r="K82" s="43">
        <v>198.3</v>
      </c>
      <c r="L82" s="43">
        <v>13916</v>
      </c>
      <c r="M82" s="43" t="s">
        <v>1056</v>
      </c>
      <c r="N82" s="43" t="s">
        <v>1057</v>
      </c>
      <c r="O82" s="43" t="s">
        <v>1058</v>
      </c>
      <c r="P82" s="43" t="s">
        <v>2802</v>
      </c>
      <c r="Q82" s="43" t="s">
        <v>628</v>
      </c>
      <c r="R82" s="43" t="s">
        <v>709</v>
      </c>
      <c r="S82" s="43" t="s">
        <v>710</v>
      </c>
      <c r="T82" s="43" t="s">
        <v>709</v>
      </c>
      <c r="U82" s="43" t="b">
        <v>0</v>
      </c>
    </row>
    <row r="83" spans="1:21" x14ac:dyDescent="0.35">
      <c r="A83" s="209"/>
      <c r="B83" s="43" t="s">
        <v>2311</v>
      </c>
      <c r="C83" s="43" t="s">
        <v>1052</v>
      </c>
      <c r="D83" s="43" t="s">
        <v>1053</v>
      </c>
      <c r="E83" s="98">
        <v>242</v>
      </c>
      <c r="F83" s="77">
        <v>46100</v>
      </c>
      <c r="G83" s="43" t="s">
        <v>1071</v>
      </c>
      <c r="H83" s="43">
        <v>39269080</v>
      </c>
      <c r="I83" s="43">
        <v>525</v>
      </c>
      <c r="J83" s="43" t="s">
        <v>1055</v>
      </c>
      <c r="K83" s="43">
        <v>525</v>
      </c>
      <c r="L83" s="43">
        <v>13914</v>
      </c>
      <c r="M83" s="43" t="s">
        <v>1056</v>
      </c>
      <c r="N83" s="43" t="s">
        <v>1057</v>
      </c>
      <c r="O83" s="43" t="s">
        <v>1058</v>
      </c>
      <c r="P83" s="43" t="s">
        <v>2802</v>
      </c>
      <c r="Q83" s="43" t="s">
        <v>628</v>
      </c>
      <c r="R83" s="43" t="s">
        <v>709</v>
      </c>
      <c r="S83" s="43" t="s">
        <v>710</v>
      </c>
      <c r="T83" s="43" t="s">
        <v>709</v>
      </c>
      <c r="U83" s="43" t="b">
        <v>0</v>
      </c>
    </row>
    <row r="84" spans="1:21" x14ac:dyDescent="0.35">
      <c r="A84" s="209"/>
      <c r="B84" s="43" t="s">
        <v>2311</v>
      </c>
      <c r="C84" s="43" t="s">
        <v>1052</v>
      </c>
      <c r="D84" s="43" t="s">
        <v>1053</v>
      </c>
      <c r="E84" s="98">
        <v>243</v>
      </c>
      <c r="F84" s="77">
        <v>46100</v>
      </c>
      <c r="G84" s="43" t="s">
        <v>1071</v>
      </c>
      <c r="H84" s="43">
        <v>39269080</v>
      </c>
      <c r="I84" s="43">
        <v>932.8</v>
      </c>
      <c r="J84" s="43" t="s">
        <v>1055</v>
      </c>
      <c r="K84" s="43">
        <v>932.8</v>
      </c>
      <c r="L84" s="43">
        <v>13914</v>
      </c>
      <c r="M84" s="43" t="s">
        <v>1056</v>
      </c>
      <c r="N84" s="43" t="s">
        <v>1057</v>
      </c>
      <c r="O84" s="43" t="s">
        <v>1058</v>
      </c>
      <c r="P84" s="43" t="s">
        <v>2802</v>
      </c>
      <c r="Q84" s="43" t="s">
        <v>628</v>
      </c>
      <c r="R84" s="43" t="s">
        <v>709</v>
      </c>
      <c r="S84" s="43" t="s">
        <v>710</v>
      </c>
      <c r="T84" s="43" t="s">
        <v>709</v>
      </c>
      <c r="U84" s="43" t="b">
        <v>0</v>
      </c>
    </row>
    <row r="85" spans="1:21" x14ac:dyDescent="0.35">
      <c r="A85" s="209"/>
      <c r="B85" s="43" t="s">
        <v>2311</v>
      </c>
      <c r="C85" s="43" t="s">
        <v>1052</v>
      </c>
      <c r="D85" s="43" t="s">
        <v>1053</v>
      </c>
      <c r="E85" s="98">
        <v>232</v>
      </c>
      <c r="F85" s="77">
        <v>46087</v>
      </c>
      <c r="G85" s="43" t="s">
        <v>1054</v>
      </c>
      <c r="H85" s="43">
        <v>39021000</v>
      </c>
      <c r="I85" s="43">
        <v>24750</v>
      </c>
      <c r="J85" s="43" t="s">
        <v>1055</v>
      </c>
      <c r="K85" s="43">
        <v>24750</v>
      </c>
      <c r="L85" s="43">
        <v>13887</v>
      </c>
      <c r="M85" s="43" t="s">
        <v>1056</v>
      </c>
      <c r="N85" s="43" t="s">
        <v>1057</v>
      </c>
      <c r="O85" s="43" t="s">
        <v>1058</v>
      </c>
      <c r="P85" s="43" t="s">
        <v>2804</v>
      </c>
      <c r="Q85" s="43" t="s">
        <v>31</v>
      </c>
      <c r="R85" s="43" t="s">
        <v>1032</v>
      </c>
      <c r="S85" s="43" t="s">
        <v>1059</v>
      </c>
      <c r="T85" s="43" t="s">
        <v>1059</v>
      </c>
      <c r="U85" s="43" t="b">
        <v>0</v>
      </c>
    </row>
    <row r="86" spans="1:21" x14ac:dyDescent="0.35">
      <c r="A86" s="209"/>
      <c r="B86" s="43" t="s">
        <v>2311</v>
      </c>
      <c r="C86" s="43" t="s">
        <v>1052</v>
      </c>
      <c r="D86" s="43" t="s">
        <v>1053</v>
      </c>
      <c r="E86" s="98">
        <v>233</v>
      </c>
      <c r="F86" s="77">
        <v>46087</v>
      </c>
      <c r="G86" s="43" t="s">
        <v>1054</v>
      </c>
      <c r="H86" s="43">
        <v>39021000</v>
      </c>
      <c r="I86" s="43">
        <v>24750</v>
      </c>
      <c r="J86" s="43" t="s">
        <v>1055</v>
      </c>
      <c r="K86" s="43">
        <v>24750</v>
      </c>
      <c r="L86" s="43">
        <v>13887</v>
      </c>
      <c r="M86" s="43" t="s">
        <v>1056</v>
      </c>
      <c r="N86" s="43" t="s">
        <v>1057</v>
      </c>
      <c r="O86" s="43" t="s">
        <v>1058</v>
      </c>
      <c r="P86" s="43" t="s">
        <v>2804</v>
      </c>
      <c r="Q86" s="43" t="s">
        <v>31</v>
      </c>
      <c r="R86" s="43" t="s">
        <v>1032</v>
      </c>
      <c r="S86" s="43" t="s">
        <v>1059</v>
      </c>
      <c r="T86" s="43" t="s">
        <v>1059</v>
      </c>
      <c r="U86" s="43" t="b">
        <v>0</v>
      </c>
    </row>
    <row r="87" spans="1:21" x14ac:dyDescent="0.35">
      <c r="A87" s="209"/>
      <c r="B87" s="43" t="s">
        <v>2311</v>
      </c>
      <c r="C87" s="43" t="s">
        <v>1052</v>
      </c>
      <c r="D87" s="43" t="s">
        <v>1053</v>
      </c>
      <c r="E87" s="98">
        <v>234</v>
      </c>
      <c r="F87" s="77">
        <v>46087</v>
      </c>
      <c r="G87" s="43" t="s">
        <v>1054</v>
      </c>
      <c r="H87" s="43">
        <v>39021000</v>
      </c>
      <c r="I87" s="43">
        <v>24750</v>
      </c>
      <c r="J87" s="43" t="s">
        <v>1055</v>
      </c>
      <c r="K87" s="43">
        <v>24750</v>
      </c>
      <c r="L87" s="43">
        <v>13887</v>
      </c>
      <c r="M87" s="43" t="s">
        <v>1056</v>
      </c>
      <c r="N87" s="43" t="s">
        <v>1057</v>
      </c>
      <c r="O87" s="43" t="s">
        <v>1058</v>
      </c>
      <c r="P87" s="43" t="s">
        <v>2804</v>
      </c>
      <c r="Q87" s="43" t="s">
        <v>31</v>
      </c>
      <c r="R87" s="43" t="s">
        <v>1032</v>
      </c>
      <c r="S87" s="43" t="s">
        <v>1059</v>
      </c>
      <c r="T87" s="43" t="s">
        <v>1059</v>
      </c>
      <c r="U87" s="43" t="b">
        <v>0</v>
      </c>
    </row>
    <row r="88" spans="1:21" x14ac:dyDescent="0.35">
      <c r="A88" s="209"/>
      <c r="B88" s="43" t="s">
        <v>2311</v>
      </c>
      <c r="C88" s="43" t="s">
        <v>1052</v>
      </c>
      <c r="D88" s="43" t="s">
        <v>1053</v>
      </c>
      <c r="E88" s="98">
        <v>229</v>
      </c>
      <c r="F88" s="77">
        <v>46084</v>
      </c>
      <c r="G88" s="43" t="s">
        <v>1054</v>
      </c>
      <c r="H88" s="43">
        <v>39021000</v>
      </c>
      <c r="I88" s="43">
        <v>27000</v>
      </c>
      <c r="J88" s="43" t="s">
        <v>1055</v>
      </c>
      <c r="K88" s="43">
        <v>27000</v>
      </c>
      <c r="L88" s="43">
        <v>13880</v>
      </c>
      <c r="M88" s="43" t="s">
        <v>1056</v>
      </c>
      <c r="N88" s="43" t="s">
        <v>1057</v>
      </c>
      <c r="O88" s="43" t="s">
        <v>2492</v>
      </c>
      <c r="P88" s="43" t="s">
        <v>2803</v>
      </c>
      <c r="Q88" s="43" t="s">
        <v>31</v>
      </c>
      <c r="R88" s="43" t="s">
        <v>1032</v>
      </c>
      <c r="S88" s="43" t="s">
        <v>1059</v>
      </c>
      <c r="T88" s="43" t="s">
        <v>1059</v>
      </c>
      <c r="U88" s="43" t="b">
        <v>0</v>
      </c>
    </row>
    <row r="89" spans="1:21" x14ac:dyDescent="0.35">
      <c r="A89" s="209"/>
      <c r="B89" s="43" t="s">
        <v>2311</v>
      </c>
      <c r="C89" s="43" t="s">
        <v>1052</v>
      </c>
      <c r="D89" s="43" t="s">
        <v>1053</v>
      </c>
      <c r="E89" s="98">
        <v>225</v>
      </c>
      <c r="F89" s="77">
        <v>46081</v>
      </c>
      <c r="G89" s="43" t="s">
        <v>46</v>
      </c>
      <c r="H89" s="43">
        <v>39011090</v>
      </c>
      <c r="I89" s="43">
        <v>850</v>
      </c>
      <c r="J89" s="43" t="s">
        <v>1055</v>
      </c>
      <c r="K89" s="43">
        <v>850</v>
      </c>
      <c r="L89" s="43">
        <v>13866</v>
      </c>
      <c r="M89" s="43" t="s">
        <v>1056</v>
      </c>
      <c r="N89" s="43" t="s">
        <v>1057</v>
      </c>
      <c r="O89" s="43" t="s">
        <v>1058</v>
      </c>
      <c r="P89" s="43" t="s">
        <v>2790</v>
      </c>
      <c r="Q89" s="43" t="s">
        <v>31</v>
      </c>
      <c r="R89" s="43" t="s">
        <v>1032</v>
      </c>
      <c r="S89" s="43" t="s">
        <v>1072</v>
      </c>
      <c r="T89" s="43" t="s">
        <v>1072</v>
      </c>
      <c r="U89" s="43" t="b">
        <v>0</v>
      </c>
    </row>
    <row r="90" spans="1:21" x14ac:dyDescent="0.35">
      <c r="A90" s="209"/>
      <c r="B90" s="43" t="s">
        <v>2311</v>
      </c>
      <c r="C90" s="43" t="s">
        <v>1052</v>
      </c>
      <c r="D90" s="43" t="s">
        <v>1053</v>
      </c>
      <c r="E90" s="98">
        <v>222</v>
      </c>
      <c r="F90" s="77">
        <v>46080</v>
      </c>
      <c r="G90" s="43" t="s">
        <v>2791</v>
      </c>
      <c r="H90" s="43">
        <v>39011090</v>
      </c>
      <c r="I90" s="43">
        <v>9150</v>
      </c>
      <c r="J90" s="43" t="s">
        <v>1055</v>
      </c>
      <c r="K90" s="43">
        <v>9150</v>
      </c>
      <c r="L90" s="43">
        <v>13864</v>
      </c>
      <c r="M90" s="43" t="s">
        <v>1056</v>
      </c>
      <c r="N90" s="43" t="s">
        <v>1057</v>
      </c>
      <c r="O90" s="43" t="s">
        <v>1058</v>
      </c>
      <c r="P90" s="43" t="s">
        <v>2790</v>
      </c>
      <c r="Q90" s="43" t="s">
        <v>31</v>
      </c>
      <c r="R90" s="43" t="s">
        <v>1032</v>
      </c>
      <c r="S90" s="43" t="s">
        <v>1072</v>
      </c>
      <c r="T90" s="43" t="s">
        <v>1072</v>
      </c>
      <c r="U90" s="43" t="b">
        <v>0</v>
      </c>
    </row>
    <row r="91" spans="1:21" x14ac:dyDescent="0.35">
      <c r="A91" s="209"/>
      <c r="B91" s="43" t="s">
        <v>2311</v>
      </c>
      <c r="C91" s="43" t="s">
        <v>1052</v>
      </c>
      <c r="D91" s="43" t="s">
        <v>1053</v>
      </c>
      <c r="E91" s="98">
        <v>219</v>
      </c>
      <c r="F91" s="77">
        <v>46079</v>
      </c>
      <c r="G91" s="43" t="s">
        <v>1054</v>
      </c>
      <c r="H91" s="43">
        <v>39021000</v>
      </c>
      <c r="I91" s="43">
        <v>24750</v>
      </c>
      <c r="J91" s="43" t="s">
        <v>1055</v>
      </c>
      <c r="K91" s="43">
        <v>24750</v>
      </c>
      <c r="L91" s="43">
        <v>13860</v>
      </c>
      <c r="M91" s="43" t="s">
        <v>1056</v>
      </c>
      <c r="N91" s="43" t="s">
        <v>1057</v>
      </c>
      <c r="O91" s="43" t="s">
        <v>2492</v>
      </c>
      <c r="P91" s="43" t="s">
        <v>2788</v>
      </c>
      <c r="Q91" s="43" t="s">
        <v>31</v>
      </c>
      <c r="R91" s="43" t="s">
        <v>1032</v>
      </c>
      <c r="S91" s="43" t="s">
        <v>1059</v>
      </c>
      <c r="T91" s="43" t="s">
        <v>1059</v>
      </c>
      <c r="U91" s="43" t="b">
        <v>0</v>
      </c>
    </row>
    <row r="92" spans="1:21" x14ac:dyDescent="0.35">
      <c r="A92" s="209"/>
      <c r="B92" s="43" t="s">
        <v>2311</v>
      </c>
      <c r="C92" s="43" t="s">
        <v>1052</v>
      </c>
      <c r="D92" s="43" t="s">
        <v>1053</v>
      </c>
      <c r="E92" s="98">
        <v>218</v>
      </c>
      <c r="F92" s="77">
        <v>46078</v>
      </c>
      <c r="G92" s="43" t="s">
        <v>1054</v>
      </c>
      <c r="H92" s="43">
        <v>39021000</v>
      </c>
      <c r="I92" s="43">
        <v>24750</v>
      </c>
      <c r="J92" s="43" t="s">
        <v>1055</v>
      </c>
      <c r="K92" s="43">
        <v>24750</v>
      </c>
      <c r="L92" s="43">
        <v>13854</v>
      </c>
      <c r="M92" s="43" t="s">
        <v>1056</v>
      </c>
      <c r="N92" s="43" t="s">
        <v>1057</v>
      </c>
      <c r="O92" s="43" t="s">
        <v>2492</v>
      </c>
      <c r="P92" s="43" t="s">
        <v>2655</v>
      </c>
      <c r="Q92" s="43" t="s">
        <v>31</v>
      </c>
      <c r="R92" s="43" t="s">
        <v>1032</v>
      </c>
      <c r="S92" s="43" t="s">
        <v>1059</v>
      </c>
      <c r="T92" s="43" t="s">
        <v>1059</v>
      </c>
      <c r="U92" s="43" t="b">
        <v>0</v>
      </c>
    </row>
    <row r="93" spans="1:21" x14ac:dyDescent="0.35">
      <c r="A93" s="209"/>
      <c r="B93" s="43" t="s">
        <v>2311</v>
      </c>
      <c r="C93" s="43" t="s">
        <v>1052</v>
      </c>
      <c r="D93" s="43" t="s">
        <v>1053</v>
      </c>
      <c r="E93" s="98">
        <v>217</v>
      </c>
      <c r="F93" s="77">
        <v>46077</v>
      </c>
      <c r="G93" s="43" t="s">
        <v>1054</v>
      </c>
      <c r="H93" s="43">
        <v>39021000</v>
      </c>
      <c r="I93" s="43">
        <v>10000</v>
      </c>
      <c r="J93" s="43" t="s">
        <v>1055</v>
      </c>
      <c r="K93" s="43">
        <v>10000</v>
      </c>
      <c r="L93" s="43">
        <v>13851</v>
      </c>
      <c r="M93" s="43" t="s">
        <v>1056</v>
      </c>
      <c r="N93" s="43" t="s">
        <v>1057</v>
      </c>
      <c r="O93" s="43" t="s">
        <v>2492</v>
      </c>
      <c r="P93" s="43" t="s">
        <v>2772</v>
      </c>
      <c r="Q93" s="43" t="s">
        <v>31</v>
      </c>
      <c r="R93" s="43" t="s">
        <v>1032</v>
      </c>
      <c r="S93" s="43" t="s">
        <v>1059</v>
      </c>
      <c r="T93" s="43" t="s">
        <v>1059</v>
      </c>
      <c r="U93" s="43" t="b">
        <v>0</v>
      </c>
    </row>
    <row r="94" spans="1:21" x14ac:dyDescent="0.35">
      <c r="A94" s="209"/>
      <c r="B94" s="43" t="s">
        <v>2311</v>
      </c>
      <c r="C94" s="43" t="s">
        <v>1052</v>
      </c>
      <c r="D94" s="43" t="s">
        <v>1053</v>
      </c>
      <c r="E94" s="98">
        <v>214</v>
      </c>
      <c r="F94" s="77">
        <v>46074</v>
      </c>
      <c r="G94" s="43" t="s">
        <v>1054</v>
      </c>
      <c r="H94" s="43">
        <v>39021000</v>
      </c>
      <c r="I94" s="43">
        <v>16000</v>
      </c>
      <c r="J94" s="43" t="s">
        <v>1055</v>
      </c>
      <c r="K94" s="43">
        <v>16000</v>
      </c>
      <c r="L94" s="43">
        <v>13839</v>
      </c>
      <c r="M94" s="43" t="s">
        <v>1056</v>
      </c>
      <c r="N94" s="43" t="s">
        <v>1057</v>
      </c>
      <c r="O94" s="43" t="s">
        <v>2492</v>
      </c>
      <c r="P94" s="43" t="s">
        <v>2666</v>
      </c>
      <c r="Q94" s="43" t="s">
        <v>31</v>
      </c>
      <c r="R94" s="43" t="s">
        <v>1032</v>
      </c>
      <c r="S94" s="43" t="s">
        <v>1059</v>
      </c>
      <c r="T94" s="43" t="s">
        <v>1059</v>
      </c>
      <c r="U94" s="43" t="b">
        <v>0</v>
      </c>
    </row>
    <row r="95" spans="1:21" x14ac:dyDescent="0.35">
      <c r="A95" s="209"/>
      <c r="B95" s="43" t="s">
        <v>2311</v>
      </c>
      <c r="C95" s="43" t="s">
        <v>1052</v>
      </c>
      <c r="D95" s="43" t="s">
        <v>1053</v>
      </c>
      <c r="E95" s="98">
        <v>212</v>
      </c>
      <c r="F95" s="77">
        <v>46073</v>
      </c>
      <c r="G95" s="43" t="s">
        <v>1054</v>
      </c>
      <c r="H95" s="43">
        <v>39021000</v>
      </c>
      <c r="I95" s="43">
        <v>16000</v>
      </c>
      <c r="J95" s="43" t="s">
        <v>1055</v>
      </c>
      <c r="K95" s="43">
        <v>16000</v>
      </c>
      <c r="L95" s="43">
        <v>13833</v>
      </c>
      <c r="M95" s="43" t="s">
        <v>1056</v>
      </c>
      <c r="N95" s="43" t="s">
        <v>1057</v>
      </c>
      <c r="O95" s="43" t="s">
        <v>2492</v>
      </c>
      <c r="P95" s="43" t="s">
        <v>2772</v>
      </c>
      <c r="Q95" s="43" t="s">
        <v>31</v>
      </c>
      <c r="R95" s="43" t="s">
        <v>1032</v>
      </c>
      <c r="S95" s="43" t="s">
        <v>1059</v>
      </c>
      <c r="T95" s="43" t="s">
        <v>1059</v>
      </c>
      <c r="U95" s="43" t="b">
        <v>0</v>
      </c>
    </row>
    <row r="96" spans="1:21" x14ac:dyDescent="0.35">
      <c r="A96" s="209"/>
      <c r="B96" s="43" t="s">
        <v>2311</v>
      </c>
      <c r="C96" s="43" t="s">
        <v>1052</v>
      </c>
      <c r="D96" s="43" t="s">
        <v>1053</v>
      </c>
      <c r="E96" s="98">
        <v>211</v>
      </c>
      <c r="F96" s="77">
        <v>46072</v>
      </c>
      <c r="G96" s="43" t="s">
        <v>1054</v>
      </c>
      <c r="H96" s="43">
        <v>39021000</v>
      </c>
      <c r="I96" s="43">
        <v>16000</v>
      </c>
      <c r="J96" s="43" t="s">
        <v>1055</v>
      </c>
      <c r="K96" s="43">
        <v>16000</v>
      </c>
      <c r="L96" s="43">
        <v>13831</v>
      </c>
      <c r="M96" s="43" t="s">
        <v>1056</v>
      </c>
      <c r="N96" s="43" t="s">
        <v>1057</v>
      </c>
      <c r="O96" s="43" t="s">
        <v>2492</v>
      </c>
      <c r="P96" s="43" t="s">
        <v>2772</v>
      </c>
      <c r="Q96" s="43" t="s">
        <v>31</v>
      </c>
      <c r="R96" s="43" t="s">
        <v>1032</v>
      </c>
      <c r="S96" s="43" t="s">
        <v>1059</v>
      </c>
      <c r="T96" s="43" t="s">
        <v>1059</v>
      </c>
      <c r="U96" s="43" t="b">
        <v>0</v>
      </c>
    </row>
    <row r="97" spans="1:21" x14ac:dyDescent="0.35">
      <c r="A97" s="209"/>
      <c r="B97" s="43" t="s">
        <v>2311</v>
      </c>
      <c r="C97" s="43" t="s">
        <v>1052</v>
      </c>
      <c r="D97" s="43" t="s">
        <v>1053</v>
      </c>
      <c r="E97" s="98">
        <v>209</v>
      </c>
      <c r="F97" s="77">
        <v>46072</v>
      </c>
      <c r="G97" s="43" t="s">
        <v>629</v>
      </c>
      <c r="H97" s="43">
        <v>54026300</v>
      </c>
      <c r="I97" s="43">
        <v>1707.9</v>
      </c>
      <c r="J97" s="43" t="s">
        <v>1055</v>
      </c>
      <c r="K97" s="43">
        <v>1707.9</v>
      </c>
      <c r="L97" s="43">
        <v>13830</v>
      </c>
      <c r="M97" s="43" t="s">
        <v>1056</v>
      </c>
      <c r="N97" s="43" t="s">
        <v>1057</v>
      </c>
      <c r="O97" s="43" t="s">
        <v>2492</v>
      </c>
      <c r="P97" s="43" t="s">
        <v>2619</v>
      </c>
      <c r="Q97" s="43" t="s">
        <v>628</v>
      </c>
      <c r="R97" s="43" t="s">
        <v>627</v>
      </c>
      <c r="S97" s="43" t="s">
        <v>629</v>
      </c>
      <c r="T97" s="43" t="s">
        <v>818</v>
      </c>
      <c r="U97" s="43" t="b">
        <v>0</v>
      </c>
    </row>
    <row r="98" spans="1:21" x14ac:dyDescent="0.35">
      <c r="A98" s="209"/>
      <c r="B98" s="43" t="s">
        <v>2311</v>
      </c>
      <c r="C98" s="43" t="s">
        <v>1052</v>
      </c>
      <c r="D98" s="43" t="s">
        <v>1053</v>
      </c>
      <c r="E98" s="98">
        <v>207</v>
      </c>
      <c r="F98" s="77">
        <v>46071</v>
      </c>
      <c r="G98" s="43" t="s">
        <v>32</v>
      </c>
      <c r="H98" s="43">
        <v>32064990</v>
      </c>
      <c r="I98" s="43">
        <v>50</v>
      </c>
      <c r="J98" s="43" t="s">
        <v>1055</v>
      </c>
      <c r="K98" s="43">
        <v>50</v>
      </c>
      <c r="L98" s="43">
        <v>13827</v>
      </c>
      <c r="M98" s="43" t="s">
        <v>1056</v>
      </c>
      <c r="N98" s="43" t="s">
        <v>1057</v>
      </c>
      <c r="O98" s="43" t="s">
        <v>2492</v>
      </c>
      <c r="P98" s="43" t="s">
        <v>2752</v>
      </c>
      <c r="Q98" s="43" t="s">
        <v>31</v>
      </c>
      <c r="R98" s="43" t="s">
        <v>1032</v>
      </c>
      <c r="S98" s="43" t="s">
        <v>32</v>
      </c>
      <c r="T98" s="43" t="s">
        <v>2724</v>
      </c>
      <c r="U98" s="43" t="b">
        <v>0</v>
      </c>
    </row>
    <row r="99" spans="1:21" x14ac:dyDescent="0.35">
      <c r="A99" s="209"/>
      <c r="B99" s="43" t="s">
        <v>2311</v>
      </c>
      <c r="C99" s="43" t="s">
        <v>1052</v>
      </c>
      <c r="D99" s="43" t="s">
        <v>1053</v>
      </c>
      <c r="E99" s="98" t="s">
        <v>2753</v>
      </c>
      <c r="F99" s="77">
        <v>46071</v>
      </c>
      <c r="G99" s="43" t="s">
        <v>1054</v>
      </c>
      <c r="H99" s="43">
        <v>39021000</v>
      </c>
      <c r="I99" s="43">
        <v>6000</v>
      </c>
      <c r="J99" s="43" t="s">
        <v>1055</v>
      </c>
      <c r="K99" s="43">
        <v>6000</v>
      </c>
      <c r="L99" s="43">
        <v>13827</v>
      </c>
      <c r="M99" s="43" t="s">
        <v>1056</v>
      </c>
      <c r="N99" s="43" t="s">
        <v>1057</v>
      </c>
      <c r="O99" s="43" t="s">
        <v>2492</v>
      </c>
      <c r="P99" s="43" t="s">
        <v>2754</v>
      </c>
      <c r="Q99" s="43" t="s">
        <v>31</v>
      </c>
      <c r="R99" s="43" t="s">
        <v>1032</v>
      </c>
      <c r="S99" s="43" t="s">
        <v>1059</v>
      </c>
      <c r="T99" s="43" t="s">
        <v>1059</v>
      </c>
      <c r="U99" s="43" t="b">
        <v>0</v>
      </c>
    </row>
    <row r="100" spans="1:21" x14ac:dyDescent="0.35">
      <c r="A100" s="209"/>
      <c r="B100" s="43" t="s">
        <v>2311</v>
      </c>
      <c r="C100" s="43" t="s">
        <v>1052</v>
      </c>
      <c r="D100" s="43" t="s">
        <v>1053</v>
      </c>
      <c r="E100" s="98">
        <v>206</v>
      </c>
      <c r="F100" s="77">
        <v>46070</v>
      </c>
      <c r="G100" s="43" t="s">
        <v>1054</v>
      </c>
      <c r="H100" s="43">
        <v>39021000</v>
      </c>
      <c r="I100" s="43">
        <v>9000</v>
      </c>
      <c r="J100" s="43" t="s">
        <v>1055</v>
      </c>
      <c r="K100" s="43">
        <v>9000</v>
      </c>
      <c r="L100" s="43">
        <v>13826</v>
      </c>
      <c r="M100" s="43" t="s">
        <v>1056</v>
      </c>
      <c r="N100" s="43" t="s">
        <v>1057</v>
      </c>
      <c r="O100" s="43" t="s">
        <v>2492</v>
      </c>
      <c r="P100" s="43" t="s">
        <v>2754</v>
      </c>
      <c r="Q100" s="43" t="s">
        <v>31</v>
      </c>
      <c r="R100" s="43" t="s">
        <v>1032</v>
      </c>
      <c r="S100" s="43" t="s">
        <v>1059</v>
      </c>
      <c r="T100" s="43" t="s">
        <v>1059</v>
      </c>
      <c r="U100" s="43" t="b">
        <v>0</v>
      </c>
    </row>
    <row r="101" spans="1:21" x14ac:dyDescent="0.35">
      <c r="A101" s="209"/>
      <c r="B101" s="43" t="s">
        <v>2311</v>
      </c>
      <c r="C101" s="43" t="s">
        <v>1052</v>
      </c>
      <c r="D101" s="43" t="s">
        <v>1053</v>
      </c>
      <c r="E101" s="98" t="s">
        <v>2755</v>
      </c>
      <c r="F101" s="77">
        <v>46070</v>
      </c>
      <c r="G101" s="43" t="s">
        <v>2376</v>
      </c>
      <c r="H101" s="43">
        <v>38123990</v>
      </c>
      <c r="I101" s="43">
        <v>7000</v>
      </c>
      <c r="J101" s="43" t="s">
        <v>1055</v>
      </c>
      <c r="K101" s="43">
        <v>7000</v>
      </c>
      <c r="L101" s="43">
        <v>13826</v>
      </c>
      <c r="M101" s="43" t="s">
        <v>1056</v>
      </c>
      <c r="N101" s="43" t="s">
        <v>1057</v>
      </c>
      <c r="O101" s="43" t="s">
        <v>2492</v>
      </c>
      <c r="P101" s="43" t="s">
        <v>2756</v>
      </c>
      <c r="Q101" s="43" t="s">
        <v>31</v>
      </c>
      <c r="R101" s="43" t="s">
        <v>1032</v>
      </c>
      <c r="S101" s="43" t="s">
        <v>55</v>
      </c>
      <c r="T101" s="43" t="s">
        <v>55</v>
      </c>
      <c r="U101" s="43" t="b">
        <v>0</v>
      </c>
    </row>
    <row r="102" spans="1:21" x14ac:dyDescent="0.35">
      <c r="A102" s="209"/>
      <c r="B102" s="43" t="s">
        <v>2311</v>
      </c>
      <c r="C102" s="43" t="s">
        <v>1052</v>
      </c>
      <c r="D102" s="43" t="s">
        <v>1053</v>
      </c>
      <c r="E102" s="98">
        <v>195</v>
      </c>
      <c r="F102" s="77">
        <v>46056</v>
      </c>
      <c r="G102" s="43" t="s">
        <v>1054</v>
      </c>
      <c r="H102" s="43">
        <v>39021000</v>
      </c>
      <c r="I102" s="43">
        <v>24750</v>
      </c>
      <c r="J102" s="43" t="s">
        <v>1055</v>
      </c>
      <c r="K102" s="327">
        <v>1231.7</v>
      </c>
      <c r="L102" s="43">
        <v>13795</v>
      </c>
      <c r="M102" s="43" t="s">
        <v>1056</v>
      </c>
      <c r="N102" s="43" t="s">
        <v>1057</v>
      </c>
      <c r="O102" s="43" t="s">
        <v>2492</v>
      </c>
      <c r="P102" s="43" t="s">
        <v>2737</v>
      </c>
      <c r="Q102" s="43" t="s">
        <v>31</v>
      </c>
      <c r="R102" s="43" t="s">
        <v>1032</v>
      </c>
      <c r="S102" s="43" t="s">
        <v>1059</v>
      </c>
      <c r="T102" s="43" t="s">
        <v>1059</v>
      </c>
      <c r="U102" s="43" t="b">
        <v>0</v>
      </c>
    </row>
    <row r="103" spans="1:21" x14ac:dyDescent="0.35">
      <c r="A103" s="209"/>
      <c r="B103" s="43" t="s">
        <v>2311</v>
      </c>
      <c r="C103" s="43" t="s">
        <v>1052</v>
      </c>
      <c r="D103" s="43" t="s">
        <v>1053</v>
      </c>
      <c r="E103" s="98">
        <v>194</v>
      </c>
      <c r="F103" s="77">
        <v>46056</v>
      </c>
      <c r="G103" s="43" t="s">
        <v>1054</v>
      </c>
      <c r="H103" s="43">
        <v>39021000</v>
      </c>
      <c r="I103" s="43">
        <v>24750</v>
      </c>
      <c r="J103" s="43" t="s">
        <v>1055</v>
      </c>
      <c r="K103" s="327">
        <v>918</v>
      </c>
      <c r="L103" s="43">
        <v>13794</v>
      </c>
      <c r="M103" s="43" t="s">
        <v>1056</v>
      </c>
      <c r="N103" s="43" t="s">
        <v>1057</v>
      </c>
      <c r="O103" s="43" t="s">
        <v>2492</v>
      </c>
      <c r="P103" s="43" t="s">
        <v>2737</v>
      </c>
      <c r="Q103" s="43" t="s">
        <v>31</v>
      </c>
      <c r="R103" s="43" t="s">
        <v>1032</v>
      </c>
      <c r="S103" s="43" t="s">
        <v>1059</v>
      </c>
      <c r="T103" s="43" t="s">
        <v>1059</v>
      </c>
      <c r="U103" s="43" t="b">
        <v>0</v>
      </c>
    </row>
    <row r="104" spans="1:21" x14ac:dyDescent="0.35">
      <c r="A104" s="209"/>
      <c r="B104" s="43" t="s">
        <v>2311</v>
      </c>
      <c r="C104" s="43" t="s">
        <v>1052</v>
      </c>
      <c r="D104" s="43" t="s">
        <v>1053</v>
      </c>
      <c r="E104" s="98" t="s">
        <v>2726</v>
      </c>
      <c r="F104" s="77">
        <v>46050</v>
      </c>
      <c r="G104" s="43" t="s">
        <v>1054</v>
      </c>
      <c r="H104" s="43">
        <v>39021000</v>
      </c>
      <c r="I104" s="43">
        <v>10000</v>
      </c>
      <c r="J104" s="43" t="s">
        <v>1055</v>
      </c>
      <c r="K104" s="327">
        <v>400</v>
      </c>
      <c r="L104" s="43">
        <v>13777</v>
      </c>
      <c r="M104" s="43" t="s">
        <v>1056</v>
      </c>
      <c r="N104" s="43" t="s">
        <v>1057</v>
      </c>
      <c r="O104" s="43" t="s">
        <v>2492</v>
      </c>
      <c r="P104" s="43" t="s">
        <v>2721</v>
      </c>
      <c r="Q104" s="43" t="s">
        <v>31</v>
      </c>
      <c r="R104" s="43" t="s">
        <v>1032</v>
      </c>
      <c r="S104" s="43" t="s">
        <v>1059</v>
      </c>
      <c r="T104" s="43" t="s">
        <v>1059</v>
      </c>
      <c r="U104" s="43" t="b">
        <v>0</v>
      </c>
    </row>
    <row r="105" spans="1:21" ht="15.5" x14ac:dyDescent="0.35">
      <c r="B105" s="195"/>
      <c r="C105" s="195"/>
      <c r="D105" s="195"/>
      <c r="E105" s="208"/>
      <c r="F105" s="207"/>
      <c r="G105" s="267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267" t="s">
        <v>678</v>
      </c>
      <c r="U105" s="195"/>
    </row>
    <row r="106" spans="1:21" ht="15.5" x14ac:dyDescent="0.35">
      <c r="B106" s="195"/>
      <c r="C106" s="195"/>
      <c r="D106" s="195"/>
      <c r="E106" s="208"/>
      <c r="F106" s="207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267" t="s">
        <v>1074</v>
      </c>
      <c r="U106" s="195"/>
    </row>
    <row r="107" spans="1:21" ht="15.5" x14ac:dyDescent="0.35">
      <c r="B107" s="195"/>
      <c r="C107" s="195"/>
      <c r="D107" s="195"/>
      <c r="E107" s="208"/>
      <c r="F107" s="207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267" t="s">
        <v>318</v>
      </c>
      <c r="U107" s="195"/>
    </row>
    <row r="108" spans="1:21" x14ac:dyDescent="0.35">
      <c r="B108" s="195"/>
      <c r="C108" s="195"/>
      <c r="D108" s="195"/>
      <c r="E108" s="208"/>
      <c r="F108" s="207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</row>
    <row r="109" spans="1:21" x14ac:dyDescent="0.35">
      <c r="B109" s="195"/>
      <c r="C109" s="195"/>
      <c r="D109" s="195"/>
      <c r="E109" s="208"/>
      <c r="F109" s="207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</row>
    <row r="110" spans="1:21" x14ac:dyDescent="0.35">
      <c r="B110" s="195"/>
      <c r="C110" s="195"/>
      <c r="D110" s="195"/>
      <c r="E110" s="208"/>
      <c r="F110" s="207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</row>
    <row r="111" spans="1:21" x14ac:dyDescent="0.35">
      <c r="B111" s="195"/>
      <c r="C111" s="195"/>
      <c r="D111" s="195"/>
      <c r="E111" s="208"/>
      <c r="F111" s="207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</row>
    <row r="112" spans="1:21" x14ac:dyDescent="0.35">
      <c r="B112" s="195"/>
      <c r="C112" s="195"/>
      <c r="D112" s="195"/>
      <c r="E112" s="208"/>
      <c r="F112" s="207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</row>
    <row r="113" spans="2:21" x14ac:dyDescent="0.35">
      <c r="B113" s="195"/>
      <c r="C113" s="195"/>
      <c r="D113" s="195"/>
      <c r="E113" s="208"/>
      <c r="F113" s="207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</row>
    <row r="114" spans="2:21" x14ac:dyDescent="0.35">
      <c r="B114" s="195"/>
      <c r="C114" s="195"/>
      <c r="D114" s="195"/>
      <c r="E114" s="208"/>
      <c r="F114" s="207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</row>
  </sheetData>
  <autoFilter ref="B36:U107"/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03"/>
  <sheetViews>
    <sheetView zoomScaleNormal="100" workbookViewId="0">
      <pane xSplit="3" ySplit="2" topLeftCell="H4267" activePane="bottomRight" state="frozen"/>
      <selection pane="topRight" activeCell="D1" sqref="D1"/>
      <selection pane="bottomLeft" activeCell="A3" sqref="A3"/>
      <selection pane="bottomRight" activeCell="P4278" sqref="P4278"/>
    </sheetView>
  </sheetViews>
  <sheetFormatPr defaultRowHeight="14.5" x14ac:dyDescent="0.35"/>
  <cols>
    <col min="1" max="1" width="7.81640625" style="132" bestFit="1" customWidth="1"/>
    <col min="2" max="2" width="7.453125" style="132" bestFit="1" customWidth="1"/>
    <col min="3" max="3" width="20.453125" style="132" customWidth="1"/>
    <col min="4" max="4" width="10.1796875" style="132" customWidth="1"/>
    <col min="5" max="5" width="37.1796875" style="132" customWidth="1"/>
    <col min="6" max="6" width="13" style="132" bestFit="1" customWidth="1"/>
    <col min="7" max="7" width="12.453125" style="132" customWidth="1"/>
    <col min="8" max="8" width="9.26953125" style="132" customWidth="1"/>
    <col min="9" max="9" width="20" style="132" customWidth="1"/>
    <col min="10" max="10" width="14.1796875" style="132" customWidth="1"/>
    <col min="11" max="11" width="7.453125" style="132" customWidth="1"/>
    <col min="12" max="12" width="20.7265625" style="132" bestFit="1" customWidth="1"/>
    <col min="13" max="13" width="12.54296875" style="132" bestFit="1" customWidth="1"/>
    <col min="14" max="14" width="10.7265625" style="132" bestFit="1" customWidth="1"/>
    <col min="15" max="16" width="9.54296875" style="132" bestFit="1" customWidth="1"/>
    <col min="17" max="17" width="9.81640625" style="132" bestFit="1" customWidth="1"/>
    <col min="18" max="16384" width="8.7265625" style="132"/>
  </cols>
  <sheetData>
    <row r="1" spans="1:18" ht="18.5" x14ac:dyDescent="0.45">
      <c r="A1" s="562" t="s">
        <v>2309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</row>
    <row r="2" spans="1:18" ht="30" customHeight="1" x14ac:dyDescent="0.35">
      <c r="A2" s="175" t="s">
        <v>1338</v>
      </c>
      <c r="B2" s="175" t="s">
        <v>1329</v>
      </c>
      <c r="C2" s="172" t="s">
        <v>1337</v>
      </c>
      <c r="D2" s="172" t="s">
        <v>1336</v>
      </c>
      <c r="E2" s="172" t="s">
        <v>1335</v>
      </c>
      <c r="F2" s="172" t="s">
        <v>1334</v>
      </c>
      <c r="G2" s="174" t="s">
        <v>1333</v>
      </c>
      <c r="H2" s="174" t="s">
        <v>1332</v>
      </c>
      <c r="I2" s="173" t="s">
        <v>1331</v>
      </c>
      <c r="J2" s="170" t="s">
        <v>1330</v>
      </c>
      <c r="K2" s="172" t="s">
        <v>1329</v>
      </c>
      <c r="L2" s="171" t="s">
        <v>1328</v>
      </c>
      <c r="M2" s="173" t="s">
        <v>1327</v>
      </c>
      <c r="N2" s="169" t="s">
        <v>1326</v>
      </c>
      <c r="O2" s="563" t="s">
        <v>1325</v>
      </c>
      <c r="P2" s="564"/>
      <c r="Q2" s="564"/>
      <c r="R2" s="564"/>
    </row>
    <row r="3" spans="1:18" hidden="1" x14ac:dyDescent="0.35">
      <c r="A3" s="146">
        <v>1</v>
      </c>
      <c r="B3" s="143">
        <v>45017</v>
      </c>
      <c r="C3" s="133" t="s">
        <v>1375</v>
      </c>
      <c r="D3" s="133" t="s">
        <v>2308</v>
      </c>
      <c r="E3" s="145" t="s">
        <v>1342</v>
      </c>
      <c r="F3" s="145">
        <v>3551</v>
      </c>
      <c r="G3" s="133" t="s">
        <v>1034</v>
      </c>
      <c r="H3" s="144" t="s">
        <v>1341</v>
      </c>
      <c r="I3" s="133" t="s">
        <v>1092</v>
      </c>
      <c r="J3" s="133" t="s">
        <v>2300</v>
      </c>
      <c r="K3" s="143">
        <v>45047</v>
      </c>
      <c r="L3" s="133" t="s">
        <v>1092</v>
      </c>
      <c r="M3" s="133">
        <v>4171.1000000000004</v>
      </c>
      <c r="N3" s="147">
        <f>+F3+F4-M3-M4</f>
        <v>0</v>
      </c>
      <c r="P3" s="140"/>
      <c r="Q3" s="140"/>
    </row>
    <row r="4" spans="1:18" hidden="1" x14ac:dyDescent="0.35">
      <c r="A4" s="146"/>
      <c r="B4" s="143"/>
      <c r="C4" s="133"/>
      <c r="D4" s="133"/>
      <c r="E4" s="145" t="s">
        <v>1067</v>
      </c>
      <c r="F4" s="145">
        <v>839.1</v>
      </c>
      <c r="G4" s="133" t="s">
        <v>1034</v>
      </c>
      <c r="H4" s="144" t="s">
        <v>1341</v>
      </c>
      <c r="I4" s="133" t="s">
        <v>1092</v>
      </c>
      <c r="J4" s="133" t="s">
        <v>2282</v>
      </c>
      <c r="K4" s="143">
        <v>45078</v>
      </c>
      <c r="L4" s="133" t="s">
        <v>1241</v>
      </c>
      <c r="M4" s="133">
        <v>219</v>
      </c>
      <c r="N4" s="147"/>
      <c r="P4" s="140"/>
      <c r="Q4" s="140"/>
    </row>
    <row r="5" spans="1:18" hidden="1" x14ac:dyDescent="0.35">
      <c r="A5" s="146"/>
      <c r="B5" s="143"/>
      <c r="C5" s="133"/>
      <c r="D5" s="133"/>
      <c r="E5" s="145"/>
      <c r="F5" s="145"/>
      <c r="G5" s="133"/>
      <c r="H5" s="144"/>
      <c r="I5" s="133"/>
      <c r="J5" s="133"/>
      <c r="K5" s="133"/>
      <c r="L5" s="133"/>
      <c r="M5" s="133"/>
      <c r="N5" s="147"/>
      <c r="P5" s="140"/>
      <c r="Q5" s="140"/>
    </row>
    <row r="6" spans="1:18" hidden="1" x14ac:dyDescent="0.35">
      <c r="A6" s="146">
        <v>2</v>
      </c>
      <c r="B6" s="143">
        <v>45017</v>
      </c>
      <c r="C6" s="133" t="s">
        <v>1373</v>
      </c>
      <c r="D6" s="133" t="s">
        <v>2307</v>
      </c>
      <c r="E6" s="148" t="s">
        <v>1064</v>
      </c>
      <c r="F6" s="145">
        <v>1523</v>
      </c>
      <c r="G6" s="133" t="s">
        <v>1034</v>
      </c>
      <c r="H6" s="144" t="s">
        <v>1341</v>
      </c>
      <c r="I6" s="133" t="s">
        <v>1092</v>
      </c>
      <c r="J6" s="133" t="s">
        <v>2300</v>
      </c>
      <c r="K6" s="143">
        <v>45047</v>
      </c>
      <c r="L6" s="133" t="s">
        <v>1092</v>
      </c>
      <c r="M6" s="133">
        <v>468.1</v>
      </c>
      <c r="N6" s="147">
        <f>+F6+F7+F8+F9-M6-M7-M8</f>
        <v>0</v>
      </c>
      <c r="P6" s="140"/>
      <c r="Q6" s="140"/>
    </row>
    <row r="7" spans="1:18" hidden="1" x14ac:dyDescent="0.35">
      <c r="A7" s="146"/>
      <c r="B7" s="143"/>
      <c r="C7" s="133"/>
      <c r="D7" s="133"/>
      <c r="E7" s="145" t="s">
        <v>1067</v>
      </c>
      <c r="F7" s="145">
        <v>6647</v>
      </c>
      <c r="G7" s="133" t="s">
        <v>1034</v>
      </c>
      <c r="H7" s="144" t="s">
        <v>1341</v>
      </c>
      <c r="I7" s="133" t="s">
        <v>1092</v>
      </c>
      <c r="J7" s="133" t="s">
        <v>2297</v>
      </c>
      <c r="K7" s="143">
        <v>45078</v>
      </c>
      <c r="L7" s="133" t="s">
        <v>1092</v>
      </c>
      <c r="M7" s="133">
        <v>11423.3</v>
      </c>
      <c r="N7" s="147"/>
      <c r="P7" s="140"/>
      <c r="Q7" s="140"/>
    </row>
    <row r="8" spans="1:18" hidden="1" x14ac:dyDescent="0.35">
      <c r="A8" s="146"/>
      <c r="B8" s="143"/>
      <c r="C8" s="133"/>
      <c r="D8" s="133"/>
      <c r="E8" s="145" t="s">
        <v>1075</v>
      </c>
      <c r="F8" s="145">
        <v>2373.4</v>
      </c>
      <c r="G8" s="133" t="s">
        <v>1034</v>
      </c>
      <c r="H8" s="144" t="s">
        <v>1341</v>
      </c>
      <c r="I8" s="133" t="s">
        <v>1092</v>
      </c>
      <c r="J8" s="133" t="s">
        <v>2282</v>
      </c>
      <c r="K8" s="143">
        <v>45078</v>
      </c>
      <c r="L8" s="133" t="s">
        <v>1241</v>
      </c>
      <c r="M8" s="133">
        <v>626</v>
      </c>
      <c r="N8" s="147"/>
      <c r="P8" s="140"/>
      <c r="Q8" s="140"/>
    </row>
    <row r="9" spans="1:18" hidden="1" x14ac:dyDescent="0.35">
      <c r="A9" s="146"/>
      <c r="B9" s="143"/>
      <c r="C9" s="133"/>
      <c r="D9" s="133"/>
      <c r="E9" s="145" t="s">
        <v>1342</v>
      </c>
      <c r="F9" s="145">
        <v>1974</v>
      </c>
      <c r="G9" s="133"/>
      <c r="H9" s="144"/>
      <c r="I9" s="133"/>
      <c r="J9" s="133"/>
      <c r="K9" s="133"/>
      <c r="L9" s="133"/>
      <c r="M9" s="133"/>
      <c r="N9" s="147"/>
      <c r="P9" s="140"/>
      <c r="Q9" s="140"/>
    </row>
    <row r="10" spans="1:18" hidden="1" x14ac:dyDescent="0.35">
      <c r="A10" s="146"/>
      <c r="B10" s="143"/>
      <c r="C10" s="133"/>
      <c r="D10" s="133"/>
      <c r="E10" s="145"/>
      <c r="F10" s="145"/>
      <c r="G10" s="133"/>
      <c r="H10" s="144"/>
      <c r="I10" s="133"/>
      <c r="J10" s="133"/>
      <c r="K10" s="133"/>
      <c r="L10" s="133"/>
      <c r="M10" s="133"/>
      <c r="N10" s="147"/>
      <c r="P10" s="140"/>
      <c r="Q10" s="140"/>
    </row>
    <row r="11" spans="1:18" hidden="1" x14ac:dyDescent="0.35">
      <c r="A11" s="146">
        <v>3</v>
      </c>
      <c r="B11" s="143">
        <v>45017</v>
      </c>
      <c r="C11" s="133" t="s">
        <v>1371</v>
      </c>
      <c r="D11" s="133" t="s">
        <v>2306</v>
      </c>
      <c r="E11" s="145" t="s">
        <v>1342</v>
      </c>
      <c r="F11" s="145">
        <v>1966</v>
      </c>
      <c r="G11" s="133" t="s">
        <v>1034</v>
      </c>
      <c r="H11" s="144" t="s">
        <v>1341</v>
      </c>
      <c r="I11" s="133" t="s">
        <v>1092</v>
      </c>
      <c r="J11" s="133" t="s">
        <v>2297</v>
      </c>
      <c r="K11" s="143">
        <v>45078</v>
      </c>
      <c r="L11" s="133" t="s">
        <v>1092</v>
      </c>
      <c r="M11" s="133">
        <v>6775.8</v>
      </c>
      <c r="N11" s="147">
        <f>+F11+F12+F13-M11-M12</f>
        <v>0</v>
      </c>
      <c r="P11" s="140"/>
      <c r="Q11" s="140"/>
    </row>
    <row r="12" spans="1:18" hidden="1" x14ac:dyDescent="0.35">
      <c r="A12" s="146"/>
      <c r="B12" s="143"/>
      <c r="C12" s="133"/>
      <c r="D12" s="133"/>
      <c r="E12" s="145" t="s">
        <v>1067</v>
      </c>
      <c r="F12" s="145">
        <v>4603</v>
      </c>
      <c r="G12" s="133" t="s">
        <v>1034</v>
      </c>
      <c r="H12" s="144" t="s">
        <v>1341</v>
      </c>
      <c r="I12" s="133" t="s">
        <v>1092</v>
      </c>
      <c r="J12" s="133" t="s">
        <v>2282</v>
      </c>
      <c r="K12" s="143">
        <v>45078</v>
      </c>
      <c r="L12" s="133" t="s">
        <v>1241</v>
      </c>
      <c r="M12" s="133">
        <v>356</v>
      </c>
      <c r="N12" s="147"/>
      <c r="P12" s="140"/>
      <c r="Q12" s="140"/>
    </row>
    <row r="13" spans="1:18" hidden="1" x14ac:dyDescent="0.35">
      <c r="A13" s="146"/>
      <c r="B13" s="143"/>
      <c r="C13" s="133"/>
      <c r="D13" s="133"/>
      <c r="E13" s="145" t="s">
        <v>1071</v>
      </c>
      <c r="F13" s="145">
        <v>562.79999999999995</v>
      </c>
      <c r="G13" s="133"/>
      <c r="H13" s="144"/>
      <c r="I13" s="133"/>
      <c r="J13" s="133"/>
      <c r="K13" s="133"/>
      <c r="L13" s="133"/>
      <c r="M13" s="133"/>
      <c r="N13" s="147"/>
      <c r="P13" s="140"/>
      <c r="Q13" s="140"/>
    </row>
    <row r="14" spans="1:18" hidden="1" x14ac:dyDescent="0.35">
      <c r="A14" s="146"/>
      <c r="B14" s="143"/>
      <c r="C14" s="133"/>
      <c r="D14" s="133"/>
      <c r="E14" s="145"/>
      <c r="F14" s="145"/>
      <c r="G14" s="133"/>
      <c r="H14" s="144"/>
      <c r="I14" s="133"/>
      <c r="J14" s="133"/>
      <c r="K14" s="133"/>
      <c r="L14" s="133"/>
      <c r="M14" s="133"/>
      <c r="N14" s="147"/>
      <c r="P14" s="140"/>
      <c r="Q14" s="140"/>
    </row>
    <row r="15" spans="1:18" hidden="1" x14ac:dyDescent="0.35">
      <c r="A15" s="146">
        <v>4</v>
      </c>
      <c r="B15" s="143">
        <v>45017</v>
      </c>
      <c r="C15" s="133" t="s">
        <v>1368</v>
      </c>
      <c r="D15" s="133" t="s">
        <v>2305</v>
      </c>
      <c r="E15" s="145" t="s">
        <v>1342</v>
      </c>
      <c r="F15" s="145">
        <v>6546</v>
      </c>
      <c r="G15" s="133" t="s">
        <v>1034</v>
      </c>
      <c r="H15" s="144" t="s">
        <v>1341</v>
      </c>
      <c r="I15" s="133" t="s">
        <v>1092</v>
      </c>
      <c r="J15" s="133" t="s">
        <v>2304</v>
      </c>
      <c r="K15" s="143">
        <v>45047</v>
      </c>
      <c r="L15" s="133" t="s">
        <v>1092</v>
      </c>
      <c r="M15" s="133">
        <v>1313.7</v>
      </c>
      <c r="N15" s="147">
        <f>+F15+F16+F17+F18-M15-M16-M17-M18-M19-M20-M21</f>
        <v>0</v>
      </c>
      <c r="P15" s="140"/>
      <c r="Q15" s="140"/>
    </row>
    <row r="16" spans="1:18" hidden="1" x14ac:dyDescent="0.35">
      <c r="A16" s="146"/>
      <c r="B16" s="143"/>
      <c r="C16" s="133"/>
      <c r="D16" s="133"/>
      <c r="E16" s="145" t="s">
        <v>1067</v>
      </c>
      <c r="F16" s="145">
        <v>2799.8</v>
      </c>
      <c r="G16" s="133" t="s">
        <v>1034</v>
      </c>
      <c r="H16" s="144" t="s">
        <v>1341</v>
      </c>
      <c r="I16" s="133" t="s">
        <v>1092</v>
      </c>
      <c r="J16" s="133" t="s">
        <v>2303</v>
      </c>
      <c r="K16" s="143">
        <v>45047</v>
      </c>
      <c r="L16" s="133" t="s">
        <v>1092</v>
      </c>
      <c r="M16" s="133">
        <v>1000</v>
      </c>
      <c r="N16" s="147"/>
      <c r="P16" s="140"/>
      <c r="Q16" s="140"/>
    </row>
    <row r="17" spans="1:17" hidden="1" x14ac:dyDescent="0.35">
      <c r="A17" s="146"/>
      <c r="B17" s="143"/>
      <c r="C17" s="133"/>
      <c r="D17" s="133"/>
      <c r="E17" s="145" t="s">
        <v>1071</v>
      </c>
      <c r="F17" s="145">
        <v>866.9</v>
      </c>
      <c r="G17" s="133" t="s">
        <v>1034</v>
      </c>
      <c r="H17" s="144" t="s">
        <v>1341</v>
      </c>
      <c r="I17" s="133" t="s">
        <v>1092</v>
      </c>
      <c r="J17" s="133" t="s">
        <v>2302</v>
      </c>
      <c r="K17" s="143">
        <v>45047</v>
      </c>
      <c r="L17" s="133" t="s">
        <v>1092</v>
      </c>
      <c r="M17" s="133">
        <v>1000</v>
      </c>
      <c r="N17" s="147"/>
      <c r="P17" s="140"/>
      <c r="Q17" s="140"/>
    </row>
    <row r="18" spans="1:17" hidden="1" x14ac:dyDescent="0.35">
      <c r="A18" s="146"/>
      <c r="B18" s="143"/>
      <c r="C18" s="133"/>
      <c r="D18" s="133"/>
      <c r="E18" s="145" t="s">
        <v>1118</v>
      </c>
      <c r="F18" s="145">
        <v>4313.7</v>
      </c>
      <c r="G18" s="133" t="s">
        <v>1034</v>
      </c>
      <c r="H18" s="144" t="s">
        <v>1341</v>
      </c>
      <c r="I18" s="133" t="s">
        <v>1092</v>
      </c>
      <c r="J18" s="133" t="s">
        <v>2301</v>
      </c>
      <c r="K18" s="143">
        <v>45047</v>
      </c>
      <c r="L18" s="133" t="s">
        <v>1092</v>
      </c>
      <c r="M18" s="133">
        <v>500</v>
      </c>
      <c r="N18" s="147"/>
      <c r="P18" s="140"/>
      <c r="Q18" s="140"/>
    </row>
    <row r="19" spans="1:17" hidden="1" x14ac:dyDescent="0.35">
      <c r="A19" s="146"/>
      <c r="B19" s="143"/>
      <c r="C19" s="133"/>
      <c r="D19" s="133"/>
      <c r="E19" s="145"/>
      <c r="F19" s="145"/>
      <c r="G19" s="133" t="s">
        <v>1034</v>
      </c>
      <c r="H19" s="144" t="s">
        <v>1341</v>
      </c>
      <c r="I19" s="133" t="s">
        <v>1092</v>
      </c>
      <c r="J19" s="133" t="s">
        <v>2300</v>
      </c>
      <c r="K19" s="143">
        <v>45047</v>
      </c>
      <c r="L19" s="133" t="s">
        <v>1092</v>
      </c>
      <c r="M19" s="133">
        <v>500</v>
      </c>
      <c r="N19" s="147"/>
      <c r="P19" s="140"/>
      <c r="Q19" s="140"/>
    </row>
    <row r="20" spans="1:17" hidden="1" x14ac:dyDescent="0.35">
      <c r="A20" s="146"/>
      <c r="B20" s="143"/>
      <c r="C20" s="133"/>
      <c r="D20" s="133"/>
      <c r="E20" s="145"/>
      <c r="F20" s="145"/>
      <c r="G20" s="133" t="s">
        <v>1034</v>
      </c>
      <c r="H20" s="144" t="s">
        <v>1341</v>
      </c>
      <c r="I20" s="133" t="s">
        <v>1092</v>
      </c>
      <c r="J20" s="133" t="s">
        <v>2297</v>
      </c>
      <c r="K20" s="143">
        <v>45078</v>
      </c>
      <c r="L20" s="133" t="s">
        <v>1092</v>
      </c>
      <c r="M20" s="133">
        <v>9856.6999999999971</v>
      </c>
      <c r="N20" s="147"/>
      <c r="P20" s="140"/>
      <c r="Q20" s="140"/>
    </row>
    <row r="21" spans="1:17" hidden="1" x14ac:dyDescent="0.35">
      <c r="A21" s="146"/>
      <c r="B21" s="143"/>
      <c r="C21" s="133"/>
      <c r="D21" s="133"/>
      <c r="E21" s="145"/>
      <c r="F21" s="145"/>
      <c r="G21" s="133" t="s">
        <v>1034</v>
      </c>
      <c r="H21" s="144" t="s">
        <v>1341</v>
      </c>
      <c r="I21" s="133" t="s">
        <v>1092</v>
      </c>
      <c r="J21" s="133" t="s">
        <v>2282</v>
      </c>
      <c r="K21" s="143">
        <v>45078</v>
      </c>
      <c r="L21" s="133" t="s">
        <v>1241</v>
      </c>
      <c r="M21" s="133">
        <v>356</v>
      </c>
      <c r="N21" s="147"/>
      <c r="P21" s="140"/>
      <c r="Q21" s="140"/>
    </row>
    <row r="22" spans="1:17" hidden="1" x14ac:dyDescent="0.35">
      <c r="A22" s="146"/>
      <c r="B22" s="143"/>
      <c r="C22" s="133"/>
      <c r="D22" s="133"/>
      <c r="E22" s="145"/>
      <c r="F22" s="145"/>
      <c r="G22" s="133"/>
      <c r="H22" s="144"/>
      <c r="I22" s="133"/>
      <c r="J22" s="133"/>
      <c r="K22" s="143"/>
      <c r="L22" s="133"/>
      <c r="M22" s="133"/>
      <c r="N22" s="147"/>
      <c r="P22" s="140"/>
      <c r="Q22" s="140"/>
    </row>
    <row r="23" spans="1:17" hidden="1" x14ac:dyDescent="0.35">
      <c r="A23" s="146">
        <v>5</v>
      </c>
      <c r="B23" s="143">
        <v>45017</v>
      </c>
      <c r="C23" s="133" t="s">
        <v>1365</v>
      </c>
      <c r="D23" s="133" t="s">
        <v>2299</v>
      </c>
      <c r="E23" s="145" t="s">
        <v>1342</v>
      </c>
      <c r="F23" s="145">
        <v>5576</v>
      </c>
      <c r="G23" s="133" t="s">
        <v>1034</v>
      </c>
      <c r="H23" s="144" t="s">
        <v>1341</v>
      </c>
      <c r="I23" s="133" t="s">
        <v>1092</v>
      </c>
      <c r="J23" s="133" t="s">
        <v>2297</v>
      </c>
      <c r="K23" s="143">
        <v>45078</v>
      </c>
      <c r="L23" s="133" t="s">
        <v>1092</v>
      </c>
      <c r="M23" s="133">
        <v>9140.9</v>
      </c>
      <c r="N23" s="147">
        <f>+F23+F24+F25+F26-M23-M24</f>
        <v>0</v>
      </c>
      <c r="P23" s="140"/>
      <c r="Q23" s="140"/>
    </row>
    <row r="24" spans="1:17" hidden="1" x14ac:dyDescent="0.35">
      <c r="A24" s="146"/>
      <c r="B24" s="143"/>
      <c r="C24" s="133"/>
      <c r="D24" s="133"/>
      <c r="E24" s="145" t="s">
        <v>1067</v>
      </c>
      <c r="F24" s="145">
        <v>1618.9</v>
      </c>
      <c r="G24" s="133" t="s">
        <v>1034</v>
      </c>
      <c r="H24" s="144" t="s">
        <v>1341</v>
      </c>
      <c r="I24" s="133" t="s">
        <v>1092</v>
      </c>
      <c r="J24" s="133" t="s">
        <v>2282</v>
      </c>
      <c r="K24" s="143">
        <v>45078</v>
      </c>
      <c r="L24" s="133" t="s">
        <v>1241</v>
      </c>
      <c r="M24" s="133">
        <v>481</v>
      </c>
      <c r="N24" s="147"/>
      <c r="P24" s="140"/>
      <c r="Q24" s="140"/>
    </row>
    <row r="25" spans="1:17" hidden="1" x14ac:dyDescent="0.35">
      <c r="A25" s="146"/>
      <c r="B25" s="143"/>
      <c r="C25" s="133"/>
      <c r="D25" s="133"/>
      <c r="E25" s="145" t="s">
        <v>1071</v>
      </c>
      <c r="F25" s="145">
        <v>517.70000000000005</v>
      </c>
      <c r="G25" s="133"/>
      <c r="H25" s="144"/>
      <c r="I25" s="133"/>
      <c r="J25" s="133"/>
      <c r="K25" s="133"/>
      <c r="L25" s="133"/>
      <c r="M25" s="133"/>
      <c r="N25" s="147"/>
      <c r="P25" s="140"/>
      <c r="Q25" s="140"/>
    </row>
    <row r="26" spans="1:17" hidden="1" x14ac:dyDescent="0.35">
      <c r="A26" s="146"/>
      <c r="B26" s="143"/>
      <c r="C26" s="133"/>
      <c r="D26" s="133"/>
      <c r="E26" s="145" t="s">
        <v>1118</v>
      </c>
      <c r="F26" s="145">
        <v>1909.3</v>
      </c>
      <c r="G26" s="133"/>
      <c r="H26" s="144"/>
      <c r="I26" s="133"/>
      <c r="J26" s="133"/>
      <c r="K26" s="133"/>
      <c r="L26" s="133"/>
      <c r="M26" s="133"/>
      <c r="N26" s="147"/>
      <c r="P26" s="140"/>
      <c r="Q26" s="140"/>
    </row>
    <row r="27" spans="1:17" hidden="1" x14ac:dyDescent="0.35">
      <c r="A27" s="146"/>
      <c r="B27" s="143"/>
      <c r="C27" s="133"/>
      <c r="D27" s="133"/>
      <c r="E27" s="145"/>
      <c r="F27" s="145"/>
      <c r="G27" s="133"/>
      <c r="H27" s="144"/>
      <c r="I27" s="133"/>
      <c r="J27" s="133"/>
      <c r="K27" s="133"/>
      <c r="L27" s="133"/>
      <c r="M27" s="133"/>
      <c r="N27" s="147"/>
      <c r="P27" s="140"/>
      <c r="Q27" s="140"/>
    </row>
    <row r="28" spans="1:17" hidden="1" x14ac:dyDescent="0.35">
      <c r="A28" s="146">
        <v>6</v>
      </c>
      <c r="B28" s="143">
        <v>45017</v>
      </c>
      <c r="C28" s="133" t="s">
        <v>1363</v>
      </c>
      <c r="D28" s="133" t="s">
        <v>2298</v>
      </c>
      <c r="E28" s="145" t="s">
        <v>1342</v>
      </c>
      <c r="F28" s="145">
        <v>1239</v>
      </c>
      <c r="G28" s="133" t="s">
        <v>1034</v>
      </c>
      <c r="H28" s="144" t="s">
        <v>1341</v>
      </c>
      <c r="I28" s="133" t="s">
        <v>1092</v>
      </c>
      <c r="J28" s="133" t="s">
        <v>2297</v>
      </c>
      <c r="K28" s="143">
        <v>45078</v>
      </c>
      <c r="L28" s="133" t="s">
        <v>1092</v>
      </c>
      <c r="M28" s="133">
        <f>136.7+57.7+476.7</f>
        <v>671.09999999999991</v>
      </c>
      <c r="N28" s="147">
        <f>+F28+F29+F30+F31-M28-M29-M30</f>
        <v>1.8474111129762605E-13</v>
      </c>
      <c r="P28" s="140"/>
      <c r="Q28" s="140"/>
    </row>
    <row r="29" spans="1:17" hidden="1" x14ac:dyDescent="0.35">
      <c r="A29" s="146"/>
      <c r="B29" s="143"/>
      <c r="C29" s="133"/>
      <c r="D29" s="133"/>
      <c r="E29" s="145" t="s">
        <v>1067</v>
      </c>
      <c r="F29" s="145">
        <v>57.7</v>
      </c>
      <c r="G29" s="133" t="s">
        <v>1034</v>
      </c>
      <c r="H29" s="144" t="s">
        <v>1341</v>
      </c>
      <c r="I29" s="133" t="s">
        <v>1092</v>
      </c>
      <c r="J29" s="133" t="s">
        <v>2290</v>
      </c>
      <c r="K29" s="143">
        <v>45078</v>
      </c>
      <c r="L29" s="133" t="s">
        <v>1092</v>
      </c>
      <c r="M29" s="133">
        <v>1239</v>
      </c>
      <c r="N29" s="147"/>
      <c r="P29" s="140"/>
      <c r="Q29" s="140"/>
    </row>
    <row r="30" spans="1:17" hidden="1" x14ac:dyDescent="0.35">
      <c r="A30" s="146"/>
      <c r="B30" s="143"/>
      <c r="C30" s="133"/>
      <c r="D30" s="133"/>
      <c r="E30" s="145" t="s">
        <v>1071</v>
      </c>
      <c r="F30" s="145">
        <v>136.69999999999999</v>
      </c>
      <c r="G30" s="133" t="s">
        <v>1034</v>
      </c>
      <c r="H30" s="144" t="s">
        <v>1341</v>
      </c>
      <c r="I30" s="133" t="s">
        <v>1092</v>
      </c>
      <c r="J30" s="133" t="s">
        <v>2282</v>
      </c>
      <c r="K30" s="143">
        <v>45078</v>
      </c>
      <c r="L30" s="133" t="s">
        <v>1241</v>
      </c>
      <c r="M30" s="133">
        <v>97.3</v>
      </c>
      <c r="N30" s="147"/>
      <c r="P30" s="140"/>
      <c r="Q30" s="140"/>
    </row>
    <row r="31" spans="1:17" hidden="1" x14ac:dyDescent="0.35">
      <c r="A31" s="146"/>
      <c r="B31" s="143"/>
      <c r="C31" s="133"/>
      <c r="D31" s="133"/>
      <c r="E31" s="145" t="s">
        <v>1075</v>
      </c>
      <c r="F31" s="145">
        <v>574</v>
      </c>
      <c r="G31" s="133"/>
      <c r="H31" s="144"/>
      <c r="I31" s="133"/>
      <c r="J31" s="133"/>
      <c r="K31" s="133"/>
      <c r="L31" s="133"/>
      <c r="M31" s="133"/>
      <c r="N31" s="147"/>
      <c r="P31" s="140"/>
      <c r="Q31" s="140"/>
    </row>
    <row r="32" spans="1:17" hidden="1" x14ac:dyDescent="0.35">
      <c r="A32" s="146"/>
      <c r="B32" s="143"/>
      <c r="C32" s="133"/>
      <c r="D32" s="133"/>
      <c r="E32" s="145"/>
      <c r="F32" s="145"/>
      <c r="G32" s="133"/>
      <c r="H32" s="144"/>
      <c r="I32" s="133"/>
      <c r="J32" s="133"/>
      <c r="K32" s="133"/>
      <c r="L32" s="133"/>
      <c r="M32" s="133"/>
      <c r="N32" s="147"/>
      <c r="P32" s="140"/>
      <c r="Q32" s="140"/>
    </row>
    <row r="33" spans="1:17" hidden="1" x14ac:dyDescent="0.35">
      <c r="A33" s="146">
        <v>7</v>
      </c>
      <c r="B33" s="143">
        <v>45017</v>
      </c>
      <c r="C33" s="133" t="s">
        <v>1360</v>
      </c>
      <c r="D33" s="133" t="s">
        <v>2296</v>
      </c>
      <c r="E33" s="145" t="s">
        <v>1342</v>
      </c>
      <c r="F33" s="145">
        <v>5448</v>
      </c>
      <c r="G33" s="133" t="s">
        <v>1034</v>
      </c>
      <c r="H33" s="144" t="s">
        <v>1341</v>
      </c>
      <c r="I33" s="133" t="s">
        <v>1092</v>
      </c>
      <c r="J33" s="133" t="s">
        <v>2290</v>
      </c>
      <c r="K33" s="143">
        <v>45078</v>
      </c>
      <c r="L33" s="133" t="s">
        <v>1092</v>
      </c>
      <c r="M33" s="133">
        <v>11554.1</v>
      </c>
      <c r="N33" s="147">
        <f>+F33+F34+F35+F36-M33-M34</f>
        <v>0</v>
      </c>
      <c r="P33" s="140"/>
      <c r="Q33" s="140"/>
    </row>
    <row r="34" spans="1:17" hidden="1" x14ac:dyDescent="0.35">
      <c r="A34" s="146"/>
      <c r="B34" s="143"/>
      <c r="C34" s="133"/>
      <c r="D34" s="133"/>
      <c r="E34" s="145" t="s">
        <v>1067</v>
      </c>
      <c r="F34" s="145">
        <v>5089.6000000000004</v>
      </c>
      <c r="G34" s="133" t="s">
        <v>1034</v>
      </c>
      <c r="H34" s="144" t="s">
        <v>1341</v>
      </c>
      <c r="I34" s="133" t="s">
        <v>1092</v>
      </c>
      <c r="J34" s="133" t="s">
        <v>2282</v>
      </c>
      <c r="K34" s="143">
        <v>45078</v>
      </c>
      <c r="L34" s="133" t="s">
        <v>1241</v>
      </c>
      <c r="M34" s="133">
        <v>608</v>
      </c>
      <c r="N34" s="147"/>
      <c r="P34" s="140"/>
      <c r="Q34" s="140"/>
    </row>
    <row r="35" spans="1:17" hidden="1" x14ac:dyDescent="0.35">
      <c r="A35" s="146"/>
      <c r="B35" s="143"/>
      <c r="C35" s="133"/>
      <c r="D35" s="133"/>
      <c r="E35" s="145" t="s">
        <v>1071</v>
      </c>
      <c r="F35" s="145">
        <v>1238.5</v>
      </c>
      <c r="G35" s="133"/>
      <c r="H35" s="144"/>
      <c r="I35" s="133"/>
      <c r="J35" s="133"/>
      <c r="K35" s="133"/>
      <c r="L35" s="133"/>
      <c r="M35" s="133"/>
      <c r="N35" s="147"/>
      <c r="P35" s="140"/>
      <c r="Q35" s="140"/>
    </row>
    <row r="36" spans="1:17" hidden="1" x14ac:dyDescent="0.35">
      <c r="A36" s="146"/>
      <c r="B36" s="143"/>
      <c r="C36" s="133"/>
      <c r="D36" s="133"/>
      <c r="E36" s="145" t="s">
        <v>1075</v>
      </c>
      <c r="F36" s="145">
        <v>386</v>
      </c>
      <c r="G36" s="133"/>
      <c r="H36" s="144"/>
      <c r="I36" s="133"/>
      <c r="J36" s="133"/>
      <c r="K36" s="133"/>
      <c r="L36" s="133"/>
      <c r="M36" s="133"/>
      <c r="N36" s="147"/>
      <c r="P36" s="140"/>
      <c r="Q36" s="140"/>
    </row>
    <row r="37" spans="1:17" hidden="1" x14ac:dyDescent="0.35">
      <c r="A37" s="146"/>
      <c r="B37" s="143"/>
      <c r="C37" s="133"/>
      <c r="D37" s="133"/>
      <c r="E37" s="145"/>
      <c r="F37" s="145"/>
      <c r="G37" s="133"/>
      <c r="H37" s="144"/>
      <c r="I37" s="133"/>
      <c r="J37" s="133"/>
      <c r="K37" s="133"/>
      <c r="L37" s="133"/>
      <c r="M37" s="133"/>
      <c r="N37" s="147"/>
      <c r="P37" s="140"/>
      <c r="Q37" s="140"/>
    </row>
    <row r="38" spans="1:17" hidden="1" x14ac:dyDescent="0.35">
      <c r="A38" s="146">
        <v>8</v>
      </c>
      <c r="B38" s="143">
        <v>45017</v>
      </c>
      <c r="C38" s="133" t="s">
        <v>1358</v>
      </c>
      <c r="D38" s="133" t="s">
        <v>2295</v>
      </c>
      <c r="E38" s="145" t="s">
        <v>1342</v>
      </c>
      <c r="F38" s="145">
        <v>1142.5</v>
      </c>
      <c r="G38" s="133" t="s">
        <v>1034</v>
      </c>
      <c r="H38" s="144" t="s">
        <v>1341</v>
      </c>
      <c r="I38" s="133" t="s">
        <v>1092</v>
      </c>
      <c r="J38" s="133" t="s">
        <v>2290</v>
      </c>
      <c r="K38" s="143">
        <v>45078</v>
      </c>
      <c r="L38" s="133" t="s">
        <v>1092</v>
      </c>
      <c r="M38" s="133">
        <f>1178.6+1142.5+403.3+2417.3</f>
        <v>5141.7000000000007</v>
      </c>
      <c r="N38" s="147">
        <f>+F38+F39+F40+F41-M38-M39-M40</f>
        <v>0</v>
      </c>
      <c r="P38" s="140"/>
      <c r="Q38" s="140"/>
    </row>
    <row r="39" spans="1:17" hidden="1" x14ac:dyDescent="0.35">
      <c r="A39" s="146"/>
      <c r="B39" s="143"/>
      <c r="C39" s="133"/>
      <c r="D39" s="133"/>
      <c r="E39" s="145" t="s">
        <v>1067</v>
      </c>
      <c r="F39" s="145">
        <v>4092.7</v>
      </c>
      <c r="G39" s="133" t="s">
        <v>1034</v>
      </c>
      <c r="H39" s="144" t="s">
        <v>1341</v>
      </c>
      <c r="I39" s="133" t="s">
        <v>1092</v>
      </c>
      <c r="J39" s="133" t="s">
        <v>2289</v>
      </c>
      <c r="K39" s="143">
        <v>45078</v>
      </c>
      <c r="L39" s="133" t="s">
        <v>1092</v>
      </c>
      <c r="M39" s="133">
        <v>2511.0999999999995</v>
      </c>
      <c r="N39" s="147"/>
      <c r="P39" s="140"/>
      <c r="Q39" s="140"/>
    </row>
    <row r="40" spans="1:17" hidden="1" x14ac:dyDescent="0.35">
      <c r="A40" s="146"/>
      <c r="B40" s="143"/>
      <c r="C40" s="133"/>
      <c r="D40" s="133"/>
      <c r="E40" s="145" t="s">
        <v>1071</v>
      </c>
      <c r="F40" s="145">
        <v>403.3</v>
      </c>
      <c r="G40" s="133" t="s">
        <v>1034</v>
      </c>
      <c r="H40" s="144" t="s">
        <v>1341</v>
      </c>
      <c r="I40" s="133" t="s">
        <v>1092</v>
      </c>
      <c r="J40" s="133" t="s">
        <v>2282</v>
      </c>
      <c r="K40" s="143">
        <v>45078</v>
      </c>
      <c r="L40" s="133" t="s">
        <v>1241</v>
      </c>
      <c r="M40" s="133">
        <v>403</v>
      </c>
      <c r="N40" s="147"/>
      <c r="P40" s="140"/>
      <c r="Q40" s="140"/>
    </row>
    <row r="41" spans="1:17" hidden="1" x14ac:dyDescent="0.35">
      <c r="A41" s="146"/>
      <c r="B41" s="143"/>
      <c r="C41" s="133"/>
      <c r="D41" s="133"/>
      <c r="E41" s="148" t="s">
        <v>1064</v>
      </c>
      <c r="F41" s="145">
        <v>2417.3000000000002</v>
      </c>
      <c r="G41" s="133"/>
      <c r="H41" s="144"/>
      <c r="I41" s="133"/>
      <c r="J41" s="133"/>
      <c r="K41" s="133"/>
      <c r="L41" s="133"/>
      <c r="M41" s="133"/>
      <c r="N41" s="147"/>
      <c r="P41" s="140"/>
      <c r="Q41" s="140"/>
    </row>
    <row r="42" spans="1:17" hidden="1" x14ac:dyDescent="0.35">
      <c r="A42" s="146"/>
      <c r="B42" s="143"/>
      <c r="C42" s="133"/>
      <c r="D42" s="133"/>
      <c r="E42" s="148"/>
      <c r="F42" s="145"/>
      <c r="G42" s="133"/>
      <c r="H42" s="144"/>
      <c r="I42" s="133"/>
      <c r="J42" s="133"/>
      <c r="K42" s="133"/>
      <c r="L42" s="133"/>
      <c r="M42" s="133"/>
      <c r="N42" s="147"/>
      <c r="P42" s="140"/>
      <c r="Q42" s="140"/>
    </row>
    <row r="43" spans="1:17" hidden="1" x14ac:dyDescent="0.35">
      <c r="A43" s="146"/>
      <c r="B43" s="143"/>
      <c r="C43" s="133"/>
      <c r="D43" s="133"/>
      <c r="E43" s="145"/>
      <c r="F43" s="145"/>
      <c r="G43" s="133"/>
      <c r="H43" s="144"/>
      <c r="I43" s="133"/>
      <c r="J43" s="133"/>
      <c r="K43" s="133"/>
      <c r="L43" s="133"/>
      <c r="M43" s="133"/>
      <c r="N43" s="147"/>
      <c r="P43" s="140"/>
      <c r="Q43" s="140"/>
    </row>
    <row r="44" spans="1:17" hidden="1" x14ac:dyDescent="0.35">
      <c r="A44" s="146">
        <v>9</v>
      </c>
      <c r="B44" s="143">
        <v>45017</v>
      </c>
      <c r="C44" s="133" t="s">
        <v>1356</v>
      </c>
      <c r="D44" s="133" t="s">
        <v>2294</v>
      </c>
      <c r="E44" s="145" t="s">
        <v>1071</v>
      </c>
      <c r="F44" s="145">
        <v>453.2</v>
      </c>
      <c r="G44" s="133" t="s">
        <v>1034</v>
      </c>
      <c r="H44" s="144" t="s">
        <v>1341</v>
      </c>
      <c r="I44" s="133" t="s">
        <v>1092</v>
      </c>
      <c r="J44" s="133" t="s">
        <v>2289</v>
      </c>
      <c r="K44" s="143">
        <v>45078</v>
      </c>
      <c r="L44" s="133" t="s">
        <v>1092</v>
      </c>
      <c r="M44" s="133">
        <v>2708.8999999999996</v>
      </c>
      <c r="N44" s="147">
        <f>+F44+F45-M44-M45</f>
        <v>0</v>
      </c>
      <c r="P44" s="140"/>
      <c r="Q44" s="140"/>
    </row>
    <row r="45" spans="1:17" hidden="1" x14ac:dyDescent="0.35">
      <c r="A45" s="146"/>
      <c r="B45" s="143"/>
      <c r="C45" s="133"/>
      <c r="D45" s="133"/>
      <c r="E45" s="145" t="s">
        <v>1067</v>
      </c>
      <c r="F45" s="145">
        <v>2398.6999999999998</v>
      </c>
      <c r="G45" s="133" t="s">
        <v>1034</v>
      </c>
      <c r="H45" s="144" t="s">
        <v>1341</v>
      </c>
      <c r="I45" s="133" t="s">
        <v>1092</v>
      </c>
      <c r="J45" s="133" t="s">
        <v>2282</v>
      </c>
      <c r="K45" s="143">
        <v>45078</v>
      </c>
      <c r="L45" s="133" t="s">
        <v>1241</v>
      </c>
      <c r="M45" s="133">
        <v>143</v>
      </c>
      <c r="N45" s="147"/>
      <c r="P45" s="140"/>
      <c r="Q45" s="140"/>
    </row>
    <row r="46" spans="1:17" hidden="1" x14ac:dyDescent="0.35">
      <c r="A46" s="146"/>
      <c r="B46" s="143"/>
      <c r="C46" s="133"/>
      <c r="D46" s="133"/>
      <c r="E46" s="145"/>
      <c r="F46" s="145"/>
      <c r="G46" s="133"/>
      <c r="H46" s="144"/>
      <c r="I46" s="133"/>
      <c r="J46" s="133"/>
      <c r="K46" s="133"/>
      <c r="L46" s="133"/>
      <c r="M46" s="133"/>
      <c r="N46" s="147"/>
      <c r="P46" s="140"/>
      <c r="Q46" s="140"/>
    </row>
    <row r="47" spans="1:17" hidden="1" x14ac:dyDescent="0.35">
      <c r="A47" s="146"/>
      <c r="B47" s="143"/>
      <c r="C47" s="133"/>
      <c r="D47" s="133"/>
      <c r="E47" s="145"/>
      <c r="F47" s="145"/>
      <c r="G47" s="133"/>
      <c r="H47" s="144"/>
      <c r="I47" s="133"/>
      <c r="J47" s="133"/>
      <c r="K47" s="133"/>
      <c r="L47" s="133"/>
      <c r="M47" s="133"/>
      <c r="N47" s="147"/>
      <c r="P47" s="140"/>
      <c r="Q47" s="140"/>
    </row>
    <row r="48" spans="1:17" hidden="1" x14ac:dyDescent="0.35">
      <c r="A48" s="146">
        <v>10</v>
      </c>
      <c r="B48" s="143">
        <v>45017</v>
      </c>
      <c r="C48" s="133" t="s">
        <v>1354</v>
      </c>
      <c r="D48" s="133" t="s">
        <v>2293</v>
      </c>
      <c r="E48" s="145" t="s">
        <v>32</v>
      </c>
      <c r="F48" s="145">
        <v>1000</v>
      </c>
      <c r="G48" s="133" t="s">
        <v>1034</v>
      </c>
      <c r="H48" s="144" t="s">
        <v>1341</v>
      </c>
      <c r="I48" s="133" t="s">
        <v>1092</v>
      </c>
      <c r="J48" s="133" t="s">
        <v>2289</v>
      </c>
      <c r="K48" s="143">
        <v>45078</v>
      </c>
      <c r="L48" s="133" t="s">
        <v>1092</v>
      </c>
      <c r="M48" s="133">
        <v>950</v>
      </c>
      <c r="N48" s="147">
        <f>+F48-M48-M49</f>
        <v>0</v>
      </c>
      <c r="P48" s="140"/>
      <c r="Q48" s="140"/>
    </row>
    <row r="49" spans="1:17" hidden="1" x14ac:dyDescent="0.35">
      <c r="A49" s="146"/>
      <c r="B49" s="143"/>
      <c r="C49" s="133"/>
      <c r="D49" s="133"/>
      <c r="E49" s="145"/>
      <c r="F49" s="145"/>
      <c r="G49" s="133" t="s">
        <v>1034</v>
      </c>
      <c r="H49" s="144" t="s">
        <v>1341</v>
      </c>
      <c r="I49" s="133" t="s">
        <v>1092</v>
      </c>
      <c r="J49" s="133" t="s">
        <v>2282</v>
      </c>
      <c r="K49" s="143">
        <v>45078</v>
      </c>
      <c r="L49" s="133" t="s">
        <v>1241</v>
      </c>
      <c r="M49" s="133">
        <v>50</v>
      </c>
      <c r="N49" s="147"/>
      <c r="P49" s="140"/>
      <c r="Q49" s="140"/>
    </row>
    <row r="50" spans="1:17" hidden="1" x14ac:dyDescent="0.35">
      <c r="A50" s="146"/>
      <c r="B50" s="143"/>
      <c r="C50" s="133"/>
      <c r="D50" s="133"/>
      <c r="E50" s="145"/>
      <c r="F50" s="145"/>
      <c r="G50" s="133"/>
      <c r="H50" s="144"/>
      <c r="I50" s="133"/>
      <c r="J50" s="133"/>
      <c r="K50" s="133"/>
      <c r="L50" s="133"/>
      <c r="M50" s="133"/>
      <c r="N50" s="147"/>
      <c r="P50" s="140"/>
      <c r="Q50" s="140"/>
    </row>
    <row r="51" spans="1:17" hidden="1" x14ac:dyDescent="0.35">
      <c r="A51" s="146">
        <v>11</v>
      </c>
      <c r="B51" s="143">
        <v>45017</v>
      </c>
      <c r="C51" s="133" t="s">
        <v>1352</v>
      </c>
      <c r="D51" s="133" t="s">
        <v>2292</v>
      </c>
      <c r="E51" s="145" t="s">
        <v>1342</v>
      </c>
      <c r="F51" s="145">
        <v>8844</v>
      </c>
      <c r="G51" s="133" t="s">
        <v>1034</v>
      </c>
      <c r="H51" s="144" t="s">
        <v>1341</v>
      </c>
      <c r="I51" s="133" t="s">
        <v>1092</v>
      </c>
      <c r="J51" s="133" t="s">
        <v>2289</v>
      </c>
      <c r="K51" s="143">
        <v>45078</v>
      </c>
      <c r="L51" s="133" t="s">
        <v>1092</v>
      </c>
      <c r="M51" s="133">
        <f>5343.3+335.6+1471.3+4783.8</f>
        <v>11934</v>
      </c>
      <c r="N51" s="147">
        <f>+F51+F52+F53+F54+F55-M51-M52-M53</f>
        <v>0</v>
      </c>
      <c r="P51" s="140"/>
      <c r="Q51" s="140"/>
    </row>
    <row r="52" spans="1:17" hidden="1" x14ac:dyDescent="0.35">
      <c r="A52" s="146"/>
      <c r="B52" s="143"/>
      <c r="C52" s="133"/>
      <c r="D52" s="133"/>
      <c r="E52" s="145" t="s">
        <v>1067</v>
      </c>
      <c r="F52" s="145">
        <v>4786.7</v>
      </c>
      <c r="G52" s="133" t="s">
        <v>1034</v>
      </c>
      <c r="H52" s="144" t="s">
        <v>1341</v>
      </c>
      <c r="I52" s="133" t="s">
        <v>1092</v>
      </c>
      <c r="J52" s="133" t="s">
        <v>2285</v>
      </c>
      <c r="K52" s="143">
        <v>45078</v>
      </c>
      <c r="L52" s="133" t="s">
        <v>1092</v>
      </c>
      <c r="M52" s="133">
        <v>7276.4000000000015</v>
      </c>
      <c r="N52" s="147"/>
      <c r="P52" s="140"/>
      <c r="Q52" s="140"/>
    </row>
    <row r="53" spans="1:17" hidden="1" x14ac:dyDescent="0.35">
      <c r="A53" s="146"/>
      <c r="B53" s="143"/>
      <c r="C53" s="133"/>
      <c r="D53" s="133"/>
      <c r="E53" s="145" t="s">
        <v>1071</v>
      </c>
      <c r="F53" s="145">
        <v>335.6</v>
      </c>
      <c r="G53" s="133" t="s">
        <v>1034</v>
      </c>
      <c r="H53" s="144" t="s">
        <v>1341</v>
      </c>
      <c r="I53" s="133" t="s">
        <v>1092</v>
      </c>
      <c r="J53" s="133" t="s">
        <v>2282</v>
      </c>
      <c r="K53" s="143">
        <v>45078</v>
      </c>
      <c r="L53" s="133" t="s">
        <v>1241</v>
      </c>
      <c r="M53" s="133">
        <v>1011</v>
      </c>
      <c r="N53" s="147"/>
      <c r="P53" s="140"/>
      <c r="Q53" s="140"/>
    </row>
    <row r="54" spans="1:17" hidden="1" x14ac:dyDescent="0.35">
      <c r="A54" s="146"/>
      <c r="B54" s="143"/>
      <c r="C54" s="133"/>
      <c r="D54" s="133"/>
      <c r="E54" s="148" t="s">
        <v>1064</v>
      </c>
      <c r="F54" s="145">
        <v>1471.3</v>
      </c>
      <c r="G54" s="133"/>
      <c r="H54" s="144"/>
      <c r="I54" s="133"/>
      <c r="J54" s="133"/>
      <c r="K54" s="133"/>
      <c r="L54" s="133"/>
      <c r="M54" s="133"/>
      <c r="N54" s="147"/>
      <c r="P54" s="140"/>
      <c r="Q54" s="140"/>
    </row>
    <row r="55" spans="1:17" hidden="1" x14ac:dyDescent="0.35">
      <c r="A55" s="146"/>
      <c r="B55" s="143"/>
      <c r="C55" s="133"/>
      <c r="D55" s="133"/>
      <c r="E55" s="145" t="s">
        <v>1075</v>
      </c>
      <c r="F55" s="145">
        <v>4783.8</v>
      </c>
      <c r="G55" s="133"/>
      <c r="H55" s="144"/>
      <c r="I55" s="133"/>
      <c r="J55" s="133"/>
      <c r="K55" s="133"/>
      <c r="L55" s="133"/>
      <c r="M55" s="133"/>
      <c r="N55" s="147"/>
      <c r="P55" s="140"/>
      <c r="Q55" s="140"/>
    </row>
    <row r="56" spans="1:17" hidden="1" x14ac:dyDescent="0.35">
      <c r="A56" s="146"/>
      <c r="B56" s="143"/>
      <c r="C56" s="133"/>
      <c r="D56" s="133"/>
      <c r="E56" s="145"/>
      <c r="F56" s="145"/>
      <c r="G56" s="133"/>
      <c r="H56" s="144"/>
      <c r="I56" s="133"/>
      <c r="J56" s="133"/>
      <c r="K56" s="133"/>
      <c r="L56" s="133"/>
      <c r="M56" s="133"/>
      <c r="N56" s="147"/>
      <c r="P56" s="140"/>
      <c r="Q56" s="140"/>
    </row>
    <row r="57" spans="1:17" hidden="1" x14ac:dyDescent="0.35">
      <c r="A57" s="146">
        <v>12</v>
      </c>
      <c r="B57" s="143">
        <v>45017</v>
      </c>
      <c r="C57" s="133" t="s">
        <v>1350</v>
      </c>
      <c r="D57" s="133" t="s">
        <v>2291</v>
      </c>
      <c r="E57" s="145" t="s">
        <v>1342</v>
      </c>
      <c r="F57" s="145">
        <v>6434</v>
      </c>
      <c r="G57" s="133" t="s">
        <v>1034</v>
      </c>
      <c r="H57" s="144" t="s">
        <v>1341</v>
      </c>
      <c r="I57" s="133" t="s">
        <v>1092</v>
      </c>
      <c r="J57" s="133" t="s">
        <v>2290</v>
      </c>
      <c r="K57" s="143">
        <v>45078</v>
      </c>
      <c r="L57" s="133" t="s">
        <v>1092</v>
      </c>
      <c r="M57" s="133">
        <v>1845.5</v>
      </c>
      <c r="N57" s="147">
        <f>+F57+F58-M57-M58-M59-M60</f>
        <v>0</v>
      </c>
      <c r="P57" s="140"/>
      <c r="Q57" s="140"/>
    </row>
    <row r="58" spans="1:17" hidden="1" x14ac:dyDescent="0.35">
      <c r="A58" s="146"/>
      <c r="B58" s="143"/>
      <c r="C58" s="133"/>
      <c r="D58" s="133"/>
      <c r="E58" s="145" t="s">
        <v>1118</v>
      </c>
      <c r="F58" s="145">
        <v>3845.5</v>
      </c>
      <c r="G58" s="133" t="s">
        <v>1034</v>
      </c>
      <c r="H58" s="144" t="s">
        <v>1341</v>
      </c>
      <c r="I58" s="133" t="s">
        <v>1092</v>
      </c>
      <c r="J58" s="133" t="s">
        <v>2289</v>
      </c>
      <c r="K58" s="143">
        <v>45078</v>
      </c>
      <c r="L58" s="133" t="s">
        <v>1092</v>
      </c>
      <c r="M58" s="133">
        <v>2000</v>
      </c>
      <c r="N58" s="147"/>
      <c r="P58" s="140"/>
      <c r="Q58" s="140"/>
    </row>
    <row r="59" spans="1:17" hidden="1" x14ac:dyDescent="0.35">
      <c r="A59" s="146"/>
      <c r="B59" s="143"/>
      <c r="C59" s="133"/>
      <c r="D59" s="133"/>
      <c r="E59" s="145"/>
      <c r="F59" s="145"/>
      <c r="G59" s="133" t="s">
        <v>1034</v>
      </c>
      <c r="H59" s="144" t="s">
        <v>1341</v>
      </c>
      <c r="I59" s="133" t="s">
        <v>1092</v>
      </c>
      <c r="J59" s="133" t="s">
        <v>2285</v>
      </c>
      <c r="K59" s="143">
        <v>45078</v>
      </c>
      <c r="L59" s="133" t="s">
        <v>1092</v>
      </c>
      <c r="M59" s="133">
        <v>5920</v>
      </c>
      <c r="N59" s="147"/>
      <c r="P59" s="140"/>
      <c r="Q59" s="140"/>
    </row>
    <row r="60" spans="1:17" hidden="1" x14ac:dyDescent="0.35">
      <c r="A60" s="146"/>
      <c r="B60" s="143"/>
      <c r="C60" s="133"/>
      <c r="D60" s="133"/>
      <c r="E60" s="145"/>
      <c r="F60" s="145"/>
      <c r="G60" s="133" t="s">
        <v>1034</v>
      </c>
      <c r="H60" s="144" t="s">
        <v>1341</v>
      </c>
      <c r="I60" s="133" t="s">
        <v>1092</v>
      </c>
      <c r="J60" s="133" t="s">
        <v>2282</v>
      </c>
      <c r="K60" s="143">
        <v>45078</v>
      </c>
      <c r="L60" s="133" t="s">
        <v>1241</v>
      </c>
      <c r="M60" s="133">
        <v>514</v>
      </c>
      <c r="N60" s="147"/>
      <c r="P60" s="140"/>
      <c r="Q60" s="140"/>
    </row>
    <row r="61" spans="1:17" hidden="1" x14ac:dyDescent="0.35">
      <c r="A61" s="146"/>
      <c r="B61" s="143"/>
      <c r="C61" s="133"/>
      <c r="D61" s="133"/>
      <c r="E61" s="145"/>
      <c r="F61" s="145"/>
      <c r="G61" s="133"/>
      <c r="H61" s="144"/>
      <c r="I61" s="133"/>
      <c r="J61" s="133"/>
      <c r="K61" s="133"/>
      <c r="L61" s="133"/>
      <c r="M61" s="133"/>
      <c r="N61" s="147"/>
      <c r="P61" s="140"/>
      <c r="Q61" s="140"/>
    </row>
    <row r="62" spans="1:17" hidden="1" x14ac:dyDescent="0.35">
      <c r="A62" s="146">
        <v>13</v>
      </c>
      <c r="B62" s="143">
        <v>45017</v>
      </c>
      <c r="C62" s="133" t="s">
        <v>1349</v>
      </c>
      <c r="D62" s="133" t="s">
        <v>2288</v>
      </c>
      <c r="E62" s="145" t="s">
        <v>1342</v>
      </c>
      <c r="F62" s="145">
        <v>1977</v>
      </c>
      <c r="G62" s="133" t="s">
        <v>1034</v>
      </c>
      <c r="H62" s="144" t="s">
        <v>1341</v>
      </c>
      <c r="I62" s="133" t="s">
        <v>1092</v>
      </c>
      <c r="J62" s="133" t="s">
        <v>2285</v>
      </c>
      <c r="K62" s="143">
        <v>45078</v>
      </c>
      <c r="L62" s="133" t="s">
        <v>1092</v>
      </c>
      <c r="M62" s="133">
        <f>446.4+880.7+1977+1849.7</f>
        <v>5153.8</v>
      </c>
      <c r="N62" s="147">
        <f>+F62+F63+F64+F65-M62-M63-M64</f>
        <v>0</v>
      </c>
      <c r="P62" s="140"/>
      <c r="Q62" s="140"/>
    </row>
    <row r="63" spans="1:17" hidden="1" x14ac:dyDescent="0.35">
      <c r="A63" s="146"/>
      <c r="B63" s="143"/>
      <c r="C63" s="133"/>
      <c r="D63" s="133"/>
      <c r="E63" s="145" t="s">
        <v>1067</v>
      </c>
      <c r="F63" s="145">
        <v>446.4</v>
      </c>
      <c r="G63" s="133" t="s">
        <v>1034</v>
      </c>
      <c r="H63" s="144" t="s">
        <v>1341</v>
      </c>
      <c r="I63" s="133" t="s">
        <v>1092</v>
      </c>
      <c r="J63" s="133" t="s">
        <v>2279</v>
      </c>
      <c r="K63" s="143">
        <v>45078</v>
      </c>
      <c r="L63" s="133" t="s">
        <v>1092</v>
      </c>
      <c r="M63" s="133">
        <v>5189.4000000000005</v>
      </c>
      <c r="N63" s="147"/>
      <c r="P63" s="140"/>
      <c r="Q63" s="140"/>
    </row>
    <row r="64" spans="1:17" hidden="1" x14ac:dyDescent="0.35">
      <c r="A64" s="146"/>
      <c r="B64" s="143"/>
      <c r="C64" s="133"/>
      <c r="D64" s="133"/>
      <c r="E64" s="145" t="s">
        <v>1071</v>
      </c>
      <c r="F64" s="145">
        <v>880.7</v>
      </c>
      <c r="G64" s="133" t="s">
        <v>1034</v>
      </c>
      <c r="H64" s="144" t="s">
        <v>1341</v>
      </c>
      <c r="I64" s="133" t="s">
        <v>1092</v>
      </c>
      <c r="J64" s="133" t="s">
        <v>2282</v>
      </c>
      <c r="K64" s="143">
        <v>45078</v>
      </c>
      <c r="L64" s="133" t="s">
        <v>1241</v>
      </c>
      <c r="M64" s="133">
        <v>544</v>
      </c>
      <c r="N64" s="147"/>
      <c r="P64" s="140"/>
      <c r="Q64" s="140"/>
    </row>
    <row r="65" spans="1:17" hidden="1" x14ac:dyDescent="0.35">
      <c r="A65" s="146"/>
      <c r="B65" s="143"/>
      <c r="C65" s="133"/>
      <c r="D65" s="133"/>
      <c r="E65" s="145" t="s">
        <v>1075</v>
      </c>
      <c r="F65" s="145">
        <v>7583.1</v>
      </c>
      <c r="G65" s="133"/>
      <c r="H65" s="144"/>
      <c r="I65" s="133"/>
      <c r="J65" s="133"/>
      <c r="K65" s="133"/>
      <c r="L65" s="133"/>
      <c r="M65" s="133"/>
      <c r="N65" s="147"/>
      <c r="P65" s="140"/>
      <c r="Q65" s="140"/>
    </row>
    <row r="66" spans="1:17" hidden="1" x14ac:dyDescent="0.35">
      <c r="A66" s="146"/>
      <c r="B66" s="143"/>
      <c r="C66" s="133"/>
      <c r="D66" s="133"/>
      <c r="E66" s="145"/>
      <c r="F66" s="145"/>
      <c r="G66" s="133"/>
      <c r="H66" s="144"/>
      <c r="I66" s="133"/>
      <c r="J66" s="133"/>
      <c r="K66" s="133"/>
      <c r="L66" s="133"/>
      <c r="M66" s="133"/>
      <c r="N66" s="147"/>
      <c r="P66" s="140"/>
      <c r="Q66" s="140"/>
    </row>
    <row r="67" spans="1:17" hidden="1" x14ac:dyDescent="0.35">
      <c r="A67" s="146">
        <v>14</v>
      </c>
      <c r="B67" s="143">
        <v>45017</v>
      </c>
      <c r="C67" s="133" t="s">
        <v>1348</v>
      </c>
      <c r="D67" s="133" t="s">
        <v>2287</v>
      </c>
      <c r="E67" s="148" t="s">
        <v>1064</v>
      </c>
      <c r="F67" s="145">
        <v>2223.1</v>
      </c>
      <c r="G67" s="133" t="s">
        <v>1034</v>
      </c>
      <c r="H67" s="144" t="s">
        <v>1341</v>
      </c>
      <c r="I67" s="133" t="s">
        <v>1092</v>
      </c>
      <c r="J67" s="133" t="s">
        <v>2279</v>
      </c>
      <c r="K67" s="143">
        <v>45078</v>
      </c>
      <c r="L67" s="133" t="s">
        <v>1092</v>
      </c>
      <c r="M67" s="133">
        <v>2112.1</v>
      </c>
      <c r="N67" s="147">
        <f>+F67-M67-M68</f>
        <v>0</v>
      </c>
      <c r="P67" s="140"/>
      <c r="Q67" s="140"/>
    </row>
    <row r="68" spans="1:17" hidden="1" x14ac:dyDescent="0.35">
      <c r="A68" s="146"/>
      <c r="B68" s="143"/>
      <c r="C68" s="133"/>
      <c r="D68" s="133"/>
      <c r="E68" s="148"/>
      <c r="F68" s="145"/>
      <c r="G68" s="133" t="s">
        <v>1034</v>
      </c>
      <c r="H68" s="144" t="s">
        <v>1341</v>
      </c>
      <c r="I68" s="133" t="s">
        <v>1092</v>
      </c>
      <c r="J68" s="133" t="s">
        <v>2282</v>
      </c>
      <c r="K68" s="143">
        <v>45078</v>
      </c>
      <c r="L68" s="133" t="s">
        <v>1241</v>
      </c>
      <c r="M68" s="133">
        <v>111</v>
      </c>
      <c r="N68" s="147"/>
      <c r="P68" s="140"/>
      <c r="Q68" s="140"/>
    </row>
    <row r="69" spans="1:17" hidden="1" x14ac:dyDescent="0.35">
      <c r="A69" s="146"/>
      <c r="B69" s="143"/>
      <c r="C69" s="133"/>
      <c r="D69" s="133"/>
      <c r="E69" s="145"/>
      <c r="F69" s="145"/>
      <c r="G69" s="133"/>
      <c r="H69" s="144"/>
      <c r="I69" s="133"/>
      <c r="J69" s="133"/>
      <c r="K69" s="133"/>
      <c r="L69" s="133"/>
      <c r="M69" s="133"/>
      <c r="N69" s="147"/>
      <c r="P69" s="140"/>
      <c r="Q69" s="140"/>
    </row>
    <row r="70" spans="1:17" hidden="1" x14ac:dyDescent="0.35">
      <c r="A70" s="146">
        <v>15</v>
      </c>
      <c r="B70" s="143">
        <v>45017</v>
      </c>
      <c r="C70" s="133" t="s">
        <v>1346</v>
      </c>
      <c r="D70" s="133" t="s">
        <v>2286</v>
      </c>
      <c r="E70" s="145" t="s">
        <v>1342</v>
      </c>
      <c r="F70" s="145">
        <v>1838</v>
      </c>
      <c r="G70" s="133" t="s">
        <v>1034</v>
      </c>
      <c r="H70" s="144" t="s">
        <v>1341</v>
      </c>
      <c r="I70" s="133" t="s">
        <v>1092</v>
      </c>
      <c r="J70" s="133" t="s">
        <v>2285</v>
      </c>
      <c r="K70" s="143">
        <v>45078</v>
      </c>
      <c r="L70" s="133" t="s">
        <v>1092</v>
      </c>
      <c r="M70" s="133">
        <v>2122</v>
      </c>
      <c r="N70" s="147">
        <f>+F70+F71+F72+F73+F74+F75-M70-M71-M72-M73</f>
        <v>-1.8189894035458565E-12</v>
      </c>
      <c r="P70" s="140"/>
      <c r="Q70" s="140"/>
    </row>
    <row r="71" spans="1:17" hidden="1" x14ac:dyDescent="0.35">
      <c r="A71" s="146"/>
      <c r="B71" s="143"/>
      <c r="C71" s="133"/>
      <c r="D71" s="133"/>
      <c r="E71" s="145" t="s">
        <v>1067</v>
      </c>
      <c r="F71" s="145">
        <v>2435.4</v>
      </c>
      <c r="G71" s="133" t="s">
        <v>1034</v>
      </c>
      <c r="H71" s="144" t="s">
        <v>1341</v>
      </c>
      <c r="I71" s="133" t="s">
        <v>1092</v>
      </c>
      <c r="J71" s="133" t="s">
        <v>2279</v>
      </c>
      <c r="K71" s="143">
        <v>45078</v>
      </c>
      <c r="L71" s="133" t="s">
        <v>1092</v>
      </c>
      <c r="M71" s="133">
        <f>1068.5+701.7+1823.4+582+4571.5</f>
        <v>8747.1</v>
      </c>
      <c r="N71" s="147"/>
      <c r="P71" s="140"/>
      <c r="Q71" s="140"/>
    </row>
    <row r="72" spans="1:17" hidden="1" x14ac:dyDescent="0.35">
      <c r="A72" s="146"/>
      <c r="B72" s="143"/>
      <c r="C72" s="133"/>
      <c r="D72" s="133"/>
      <c r="E72" s="145" t="s">
        <v>1071</v>
      </c>
      <c r="F72" s="145">
        <v>701.7</v>
      </c>
      <c r="G72" s="133" t="s">
        <v>1034</v>
      </c>
      <c r="H72" s="144" t="s">
        <v>1341</v>
      </c>
      <c r="I72" s="133" t="s">
        <v>1092</v>
      </c>
      <c r="J72" s="133" t="s">
        <v>2278</v>
      </c>
      <c r="K72" s="143">
        <v>45078</v>
      </c>
      <c r="L72" s="133" t="s">
        <v>1092</v>
      </c>
      <c r="M72" s="133">
        <v>769.5</v>
      </c>
      <c r="N72" s="147"/>
      <c r="P72" s="140"/>
      <c r="Q72" s="140"/>
    </row>
    <row r="73" spans="1:17" hidden="1" x14ac:dyDescent="0.35">
      <c r="A73" s="146"/>
      <c r="B73" s="143"/>
      <c r="C73" s="133"/>
      <c r="D73" s="133"/>
      <c r="E73" s="145" t="s">
        <v>1075</v>
      </c>
      <c r="F73" s="145">
        <v>4571.5</v>
      </c>
      <c r="G73" s="133" t="s">
        <v>1034</v>
      </c>
      <c r="H73" s="144" t="s">
        <v>1341</v>
      </c>
      <c r="I73" s="133" t="s">
        <v>1092</v>
      </c>
      <c r="J73" s="133" t="s">
        <v>2282</v>
      </c>
      <c r="K73" s="143">
        <v>45078</v>
      </c>
      <c r="L73" s="133" t="s">
        <v>1241</v>
      </c>
      <c r="M73" s="133">
        <v>612</v>
      </c>
      <c r="N73" s="147"/>
      <c r="P73" s="140"/>
      <c r="Q73" s="140"/>
    </row>
    <row r="74" spans="1:17" hidden="1" x14ac:dyDescent="0.35">
      <c r="A74" s="146"/>
      <c r="B74" s="143"/>
      <c r="C74" s="133"/>
      <c r="D74" s="133"/>
      <c r="E74" s="148" t="s">
        <v>1064</v>
      </c>
      <c r="F74" s="145">
        <v>582</v>
      </c>
      <c r="G74" s="133"/>
      <c r="H74" s="144"/>
      <c r="I74" s="133"/>
      <c r="J74" s="133"/>
      <c r="K74" s="133"/>
      <c r="L74" s="133"/>
      <c r="M74" s="133"/>
      <c r="N74" s="147"/>
      <c r="P74" s="140"/>
      <c r="Q74" s="140"/>
    </row>
    <row r="75" spans="1:17" hidden="1" x14ac:dyDescent="0.35">
      <c r="A75" s="146"/>
      <c r="B75" s="143"/>
      <c r="C75" s="133"/>
      <c r="D75" s="133"/>
      <c r="E75" s="145" t="s">
        <v>1118</v>
      </c>
      <c r="F75" s="145">
        <v>2122</v>
      </c>
      <c r="G75" s="133"/>
      <c r="H75" s="144"/>
      <c r="I75" s="133"/>
      <c r="J75" s="133"/>
      <c r="K75" s="133"/>
      <c r="L75" s="133"/>
      <c r="M75" s="133"/>
      <c r="N75" s="147"/>
      <c r="P75" s="140"/>
      <c r="Q75" s="140"/>
    </row>
    <row r="76" spans="1:17" hidden="1" x14ac:dyDescent="0.35">
      <c r="A76" s="146"/>
      <c r="B76" s="143"/>
      <c r="C76" s="133"/>
      <c r="D76" s="133"/>
      <c r="E76" s="145"/>
      <c r="F76" s="145"/>
      <c r="G76" s="133"/>
      <c r="H76" s="144"/>
      <c r="I76" s="133"/>
      <c r="J76" s="133"/>
      <c r="K76" s="133"/>
      <c r="L76" s="133"/>
      <c r="M76" s="133"/>
      <c r="N76" s="147"/>
      <c r="P76" s="140"/>
      <c r="Q76" s="140"/>
    </row>
    <row r="77" spans="1:17" hidden="1" x14ac:dyDescent="0.35">
      <c r="A77" s="146">
        <v>16</v>
      </c>
      <c r="B77" s="143">
        <v>45017</v>
      </c>
      <c r="C77" s="133" t="s">
        <v>1344</v>
      </c>
      <c r="D77" s="133" t="s">
        <v>2284</v>
      </c>
      <c r="E77" s="145" t="s">
        <v>1342</v>
      </c>
      <c r="F77" s="145">
        <v>10195</v>
      </c>
      <c r="G77" s="133" t="s">
        <v>1034</v>
      </c>
      <c r="H77" s="144" t="s">
        <v>1341</v>
      </c>
      <c r="I77" s="133" t="s">
        <v>1092</v>
      </c>
      <c r="J77" s="133" t="s">
        <v>2278</v>
      </c>
      <c r="K77" s="143">
        <v>45078</v>
      </c>
      <c r="L77" s="133" t="s">
        <v>1092</v>
      </c>
      <c r="M77" s="133">
        <v>11231.300000000001</v>
      </c>
      <c r="N77" s="147">
        <f>+F77+F78+F79-M77-M78</f>
        <v>0</v>
      </c>
      <c r="P77" s="140"/>
      <c r="Q77" s="140"/>
    </row>
    <row r="78" spans="1:17" hidden="1" x14ac:dyDescent="0.35">
      <c r="A78" s="146"/>
      <c r="B78" s="143"/>
      <c r="C78" s="133"/>
      <c r="D78" s="133"/>
      <c r="E78" s="145" t="s">
        <v>1067</v>
      </c>
      <c r="F78" s="145">
        <v>1174.7</v>
      </c>
      <c r="G78" s="133" t="s">
        <v>1034</v>
      </c>
      <c r="H78" s="144" t="s">
        <v>1341</v>
      </c>
      <c r="I78" s="133" t="s">
        <v>1092</v>
      </c>
      <c r="J78" s="133" t="s">
        <v>2282</v>
      </c>
      <c r="K78" s="143">
        <v>45078</v>
      </c>
      <c r="L78" s="133" t="s">
        <v>1241</v>
      </c>
      <c r="M78" s="133">
        <v>591</v>
      </c>
      <c r="N78" s="147"/>
      <c r="P78" s="140"/>
      <c r="Q78" s="140"/>
    </row>
    <row r="79" spans="1:17" hidden="1" x14ac:dyDescent="0.35">
      <c r="A79" s="146"/>
      <c r="B79" s="143"/>
      <c r="C79" s="133"/>
      <c r="D79" s="133"/>
      <c r="E79" s="145" t="s">
        <v>1071</v>
      </c>
      <c r="F79" s="145">
        <v>452.6</v>
      </c>
      <c r="G79" s="133"/>
      <c r="H79" s="144"/>
      <c r="I79" s="133"/>
      <c r="J79" s="133"/>
      <c r="K79" s="133"/>
      <c r="L79" s="133"/>
      <c r="M79" s="133"/>
      <c r="N79" s="147"/>
      <c r="P79" s="140"/>
      <c r="Q79" s="140"/>
    </row>
    <row r="80" spans="1:17" hidden="1" x14ac:dyDescent="0.35">
      <c r="A80" s="146"/>
      <c r="B80" s="143"/>
      <c r="C80" s="133"/>
      <c r="D80" s="133"/>
      <c r="E80" s="145"/>
      <c r="F80" s="145"/>
      <c r="G80" s="133"/>
      <c r="H80" s="144"/>
      <c r="I80" s="133"/>
      <c r="J80" s="133"/>
      <c r="K80" s="133"/>
      <c r="L80" s="133"/>
      <c r="M80" s="133"/>
      <c r="N80" s="147"/>
      <c r="P80" s="140"/>
      <c r="Q80" s="140"/>
    </row>
    <row r="81" spans="1:17" hidden="1" x14ac:dyDescent="0.35">
      <c r="A81" s="146">
        <v>17</v>
      </c>
      <c r="B81" s="143">
        <v>45017</v>
      </c>
      <c r="C81" s="133" t="s">
        <v>1910</v>
      </c>
      <c r="D81" s="133" t="s">
        <v>2283</v>
      </c>
      <c r="E81" s="145" t="s">
        <v>1342</v>
      </c>
      <c r="F81" s="145">
        <v>3304</v>
      </c>
      <c r="G81" s="133" t="s">
        <v>1034</v>
      </c>
      <c r="H81" s="144" t="s">
        <v>1341</v>
      </c>
      <c r="I81" s="133" t="s">
        <v>1092</v>
      </c>
      <c r="J81" s="133" t="s">
        <v>2278</v>
      </c>
      <c r="K81" s="143">
        <v>45078</v>
      </c>
      <c r="L81" s="133" t="s">
        <v>1092</v>
      </c>
      <c r="M81" s="133">
        <v>4210.2</v>
      </c>
      <c r="N81" s="147">
        <f>+F81+F82-M81-M82</f>
        <v>0</v>
      </c>
      <c r="P81" s="140"/>
      <c r="Q81" s="140"/>
    </row>
    <row r="82" spans="1:17" hidden="1" x14ac:dyDescent="0.35">
      <c r="A82" s="146"/>
      <c r="B82" s="143"/>
      <c r="C82" s="133"/>
      <c r="D82" s="133"/>
      <c r="E82" s="145" t="s">
        <v>1067</v>
      </c>
      <c r="F82" s="145">
        <v>1128.2</v>
      </c>
      <c r="G82" s="133" t="s">
        <v>1034</v>
      </c>
      <c r="H82" s="144" t="s">
        <v>1341</v>
      </c>
      <c r="I82" s="133" t="s">
        <v>1092</v>
      </c>
      <c r="J82" s="133" t="s">
        <v>2282</v>
      </c>
      <c r="K82" s="143">
        <v>45078</v>
      </c>
      <c r="L82" s="133" t="s">
        <v>1241</v>
      </c>
      <c r="M82" s="133">
        <v>222</v>
      </c>
      <c r="N82" s="147"/>
      <c r="P82" s="140"/>
      <c r="Q82" s="140"/>
    </row>
    <row r="83" spans="1:17" hidden="1" x14ac:dyDescent="0.35">
      <c r="A83" s="146"/>
      <c r="B83" s="143"/>
      <c r="C83" s="133"/>
      <c r="D83" s="133"/>
      <c r="E83" s="145"/>
      <c r="F83" s="145"/>
      <c r="G83" s="133"/>
      <c r="H83" s="144"/>
      <c r="I83" s="133"/>
      <c r="J83" s="133"/>
      <c r="K83" s="133"/>
      <c r="L83" s="133"/>
      <c r="M83" s="133"/>
      <c r="N83" s="147"/>
      <c r="P83" s="140"/>
      <c r="Q83" s="140"/>
    </row>
    <row r="84" spans="1:17" hidden="1" x14ac:dyDescent="0.35">
      <c r="A84" s="146">
        <v>18</v>
      </c>
      <c r="B84" s="143">
        <v>45017</v>
      </c>
      <c r="C84" s="133" t="s">
        <v>1908</v>
      </c>
      <c r="D84" s="133" t="s">
        <v>2281</v>
      </c>
      <c r="E84" s="145" t="s">
        <v>1342</v>
      </c>
      <c r="F84" s="145">
        <v>2060</v>
      </c>
      <c r="G84" s="133" t="s">
        <v>1034</v>
      </c>
      <c r="H84" s="144" t="s">
        <v>1341</v>
      </c>
      <c r="I84" s="133" t="s">
        <v>1092</v>
      </c>
      <c r="J84" s="133" t="s">
        <v>2278</v>
      </c>
      <c r="K84" s="143">
        <v>45078</v>
      </c>
      <c r="L84" s="133" t="s">
        <v>1092</v>
      </c>
      <c r="M84" s="133">
        <v>1929</v>
      </c>
      <c r="N84" s="147">
        <f>+F84+F85+F86+F87-M84-M85-M86</f>
        <v>0</v>
      </c>
      <c r="P84" s="202"/>
      <c r="Q84" s="202"/>
    </row>
    <row r="85" spans="1:17" hidden="1" x14ac:dyDescent="0.35">
      <c r="A85" s="146"/>
      <c r="B85" s="143"/>
      <c r="C85" s="133"/>
      <c r="D85" s="133"/>
      <c r="E85" s="145" t="s">
        <v>1067</v>
      </c>
      <c r="F85" s="145">
        <v>5598.6</v>
      </c>
      <c r="G85" s="133" t="s">
        <v>1034</v>
      </c>
      <c r="H85" s="144" t="s">
        <v>1341</v>
      </c>
      <c r="I85" s="133" t="s">
        <v>1092</v>
      </c>
      <c r="J85" s="133" t="s">
        <v>2276</v>
      </c>
      <c r="K85" s="143">
        <v>45078</v>
      </c>
      <c r="L85" s="133" t="s">
        <v>1092</v>
      </c>
      <c r="M85" s="133">
        <v>7929</v>
      </c>
      <c r="N85" s="147"/>
      <c r="P85" s="140"/>
      <c r="Q85" s="140"/>
    </row>
    <row r="86" spans="1:17" hidden="1" x14ac:dyDescent="0.35">
      <c r="A86" s="146"/>
      <c r="B86" s="143"/>
      <c r="C86" s="133"/>
      <c r="D86" s="133"/>
      <c r="E86" s="148" t="s">
        <v>1064</v>
      </c>
      <c r="F86" s="145">
        <v>1304</v>
      </c>
      <c r="G86" s="133" t="s">
        <v>1034</v>
      </c>
      <c r="H86" s="144" t="s">
        <v>1341</v>
      </c>
      <c r="I86" s="133" t="s">
        <v>1092</v>
      </c>
      <c r="J86" s="133" t="s">
        <v>2252</v>
      </c>
      <c r="K86" s="143">
        <v>45108</v>
      </c>
      <c r="L86" s="133" t="s">
        <v>1241</v>
      </c>
      <c r="M86" s="133">
        <v>519</v>
      </c>
      <c r="N86" s="147"/>
      <c r="P86" s="140"/>
      <c r="Q86" s="140"/>
    </row>
    <row r="87" spans="1:17" hidden="1" x14ac:dyDescent="0.35">
      <c r="A87" s="146"/>
      <c r="B87" s="143"/>
      <c r="C87" s="133"/>
      <c r="D87" s="133"/>
      <c r="E87" s="145" t="s">
        <v>1075</v>
      </c>
      <c r="F87" s="145">
        <v>1414.4</v>
      </c>
      <c r="G87" s="133"/>
      <c r="H87" s="144"/>
      <c r="I87" s="133"/>
      <c r="J87" s="133"/>
      <c r="K87" s="133"/>
      <c r="L87" s="133"/>
      <c r="M87" s="133"/>
      <c r="N87" s="147"/>
      <c r="P87" s="140"/>
      <c r="Q87" s="140"/>
    </row>
    <row r="88" spans="1:17" hidden="1" x14ac:dyDescent="0.35">
      <c r="A88" s="146"/>
      <c r="B88" s="143"/>
      <c r="C88" s="133"/>
      <c r="D88" s="133"/>
      <c r="E88" s="145"/>
      <c r="F88" s="145"/>
      <c r="G88" s="133"/>
      <c r="H88" s="144"/>
      <c r="I88" s="133"/>
      <c r="J88" s="133"/>
      <c r="K88" s="133"/>
      <c r="L88" s="133"/>
      <c r="M88" s="133"/>
      <c r="N88" s="147"/>
      <c r="P88" s="140"/>
      <c r="Q88" s="140"/>
    </row>
    <row r="89" spans="1:17" hidden="1" x14ac:dyDescent="0.35">
      <c r="A89" s="146">
        <v>19</v>
      </c>
      <c r="B89" s="143">
        <v>45017</v>
      </c>
      <c r="C89" s="133" t="s">
        <v>1906</v>
      </c>
      <c r="D89" s="133" t="s">
        <v>2280</v>
      </c>
      <c r="E89" s="145" t="s">
        <v>1342</v>
      </c>
      <c r="F89" s="145">
        <v>4560</v>
      </c>
      <c r="G89" s="133" t="s">
        <v>1034</v>
      </c>
      <c r="H89" s="144" t="s">
        <v>1341</v>
      </c>
      <c r="I89" s="133" t="s">
        <v>1092</v>
      </c>
      <c r="J89" s="133" t="s">
        <v>2279</v>
      </c>
      <c r="K89" s="143">
        <v>45078</v>
      </c>
      <c r="L89" s="133" t="s">
        <v>1092</v>
      </c>
      <c r="M89" s="133">
        <v>2495.4</v>
      </c>
      <c r="N89" s="147">
        <f>+F89+F90+F91+F92-M89-M90-M91-M92</f>
        <v>0</v>
      </c>
      <c r="P89" s="140"/>
      <c r="Q89" s="140"/>
    </row>
    <row r="90" spans="1:17" hidden="1" x14ac:dyDescent="0.35">
      <c r="A90" s="146"/>
      <c r="B90" s="143"/>
      <c r="C90" s="133"/>
      <c r="D90" s="133"/>
      <c r="E90" s="145" t="s">
        <v>1067</v>
      </c>
      <c r="F90" s="145">
        <v>923.9</v>
      </c>
      <c r="G90" s="133" t="s">
        <v>1034</v>
      </c>
      <c r="H90" s="144" t="s">
        <v>1341</v>
      </c>
      <c r="I90" s="133" t="s">
        <v>1092</v>
      </c>
      <c r="J90" s="133" t="s">
        <v>2278</v>
      </c>
      <c r="K90" s="143">
        <v>45078</v>
      </c>
      <c r="L90" s="133" t="s">
        <v>1092</v>
      </c>
      <c r="M90" s="133">
        <v>2000</v>
      </c>
      <c r="N90" s="147"/>
      <c r="P90" s="140"/>
      <c r="Q90" s="140"/>
    </row>
    <row r="91" spans="1:17" hidden="1" x14ac:dyDescent="0.35">
      <c r="A91" s="146"/>
      <c r="B91" s="143"/>
      <c r="C91" s="133"/>
      <c r="D91" s="133"/>
      <c r="E91" s="145" t="s">
        <v>1118</v>
      </c>
      <c r="F91" s="145">
        <v>6495.4</v>
      </c>
      <c r="G91" s="133" t="s">
        <v>1034</v>
      </c>
      <c r="H91" s="144" t="s">
        <v>1341</v>
      </c>
      <c r="I91" s="133" t="s">
        <v>1092</v>
      </c>
      <c r="J91" s="133" t="s">
        <v>2276</v>
      </c>
      <c r="K91" s="143">
        <v>45078</v>
      </c>
      <c r="L91" s="133" t="s">
        <v>1092</v>
      </c>
      <c r="M91" s="133">
        <v>6993.4</v>
      </c>
      <c r="N91" s="147"/>
      <c r="P91" s="140"/>
      <c r="Q91" s="140"/>
    </row>
    <row r="92" spans="1:17" hidden="1" x14ac:dyDescent="0.35">
      <c r="A92" s="146"/>
      <c r="B92" s="143"/>
      <c r="C92" s="133"/>
      <c r="D92" s="133"/>
      <c r="E92" s="145" t="s">
        <v>1075</v>
      </c>
      <c r="F92" s="145">
        <v>114.5</v>
      </c>
      <c r="G92" s="133" t="s">
        <v>1034</v>
      </c>
      <c r="H92" s="144" t="s">
        <v>1341</v>
      </c>
      <c r="I92" s="133" t="s">
        <v>1092</v>
      </c>
      <c r="J92" s="133" t="s">
        <v>2252</v>
      </c>
      <c r="K92" s="143">
        <v>45108</v>
      </c>
      <c r="L92" s="133" t="s">
        <v>1241</v>
      </c>
      <c r="M92" s="133">
        <v>605</v>
      </c>
      <c r="N92" s="147"/>
      <c r="P92" s="140"/>
      <c r="Q92" s="140"/>
    </row>
    <row r="93" spans="1:17" hidden="1" x14ac:dyDescent="0.35">
      <c r="A93" s="146"/>
      <c r="B93" s="143"/>
      <c r="C93" s="133"/>
      <c r="D93" s="133"/>
      <c r="E93" s="145"/>
      <c r="F93" s="145"/>
      <c r="G93" s="133"/>
      <c r="H93" s="144"/>
      <c r="I93" s="133"/>
      <c r="J93" s="133"/>
      <c r="K93" s="133"/>
      <c r="L93" s="133"/>
      <c r="M93" s="133"/>
      <c r="N93" s="142"/>
      <c r="P93" s="140"/>
      <c r="Q93" s="140"/>
    </row>
    <row r="94" spans="1:17" hidden="1" x14ac:dyDescent="0.35">
      <c r="A94" s="146">
        <v>20</v>
      </c>
      <c r="B94" s="143">
        <v>45017</v>
      </c>
      <c r="C94" s="133" t="s">
        <v>1904</v>
      </c>
      <c r="D94" s="133" t="s">
        <v>2277</v>
      </c>
      <c r="E94" s="145" t="s">
        <v>1342</v>
      </c>
      <c r="F94" s="145">
        <v>3001</v>
      </c>
      <c r="G94" s="133" t="s">
        <v>1034</v>
      </c>
      <c r="H94" s="144" t="s">
        <v>1341</v>
      </c>
      <c r="I94" s="133" t="s">
        <v>1092</v>
      </c>
      <c r="J94" s="133" t="s">
        <v>2276</v>
      </c>
      <c r="K94" s="143">
        <v>45078</v>
      </c>
      <c r="L94" s="133" t="s">
        <v>1092</v>
      </c>
      <c r="M94" s="133">
        <f>150.2+1514.4+1508</f>
        <v>3172.6000000000004</v>
      </c>
      <c r="N94" s="147">
        <f>+F94+F95+F96+F97-M94-M95-M96</f>
        <v>0</v>
      </c>
      <c r="P94" s="140"/>
      <c r="Q94" s="140"/>
    </row>
    <row r="95" spans="1:17" hidden="1" x14ac:dyDescent="0.35">
      <c r="A95" s="146"/>
      <c r="B95" s="143"/>
      <c r="C95" s="133"/>
      <c r="D95" s="133"/>
      <c r="E95" s="145" t="s">
        <v>1067</v>
      </c>
      <c r="F95" s="145">
        <v>2563.35</v>
      </c>
      <c r="G95" s="133" t="s">
        <v>1034</v>
      </c>
      <c r="H95" s="144" t="s">
        <v>1341</v>
      </c>
      <c r="I95" s="133" t="s">
        <v>1092</v>
      </c>
      <c r="J95" s="133" t="s">
        <v>2241</v>
      </c>
      <c r="K95" s="143">
        <v>45078</v>
      </c>
      <c r="L95" s="133" t="s">
        <v>1092</v>
      </c>
      <c r="M95" s="133">
        <v>3688.95</v>
      </c>
      <c r="N95" s="142"/>
      <c r="P95" s="140"/>
      <c r="Q95" s="140"/>
    </row>
    <row r="96" spans="1:17" hidden="1" x14ac:dyDescent="0.35">
      <c r="A96" s="146"/>
      <c r="B96" s="143"/>
      <c r="C96" s="133"/>
      <c r="D96" s="133"/>
      <c r="E96" s="148" t="s">
        <v>1064</v>
      </c>
      <c r="F96" s="145">
        <v>150.19999999999999</v>
      </c>
      <c r="G96" s="133" t="s">
        <v>1034</v>
      </c>
      <c r="H96" s="144" t="s">
        <v>1341</v>
      </c>
      <c r="I96" s="133" t="s">
        <v>1092</v>
      </c>
      <c r="J96" s="133" t="s">
        <v>2252</v>
      </c>
      <c r="K96" s="143">
        <v>45108</v>
      </c>
      <c r="L96" s="133" t="s">
        <v>1241</v>
      </c>
      <c r="M96" s="133">
        <v>361</v>
      </c>
      <c r="N96" s="142"/>
      <c r="P96" s="140"/>
      <c r="Q96" s="140"/>
    </row>
    <row r="97" spans="1:17" hidden="1" x14ac:dyDescent="0.35">
      <c r="A97" s="146"/>
      <c r="B97" s="143"/>
      <c r="C97" s="133"/>
      <c r="D97" s="133"/>
      <c r="E97" s="145" t="s">
        <v>1075</v>
      </c>
      <c r="F97" s="145">
        <v>1508</v>
      </c>
      <c r="G97" s="133"/>
      <c r="H97" s="144"/>
      <c r="I97" s="133"/>
      <c r="J97" s="133"/>
      <c r="K97" s="133"/>
      <c r="L97" s="133"/>
      <c r="M97" s="133"/>
      <c r="N97" s="142"/>
      <c r="P97" s="140"/>
      <c r="Q97" s="140"/>
    </row>
    <row r="98" spans="1:17" hidden="1" x14ac:dyDescent="0.35">
      <c r="A98" s="146"/>
      <c r="B98" s="143"/>
      <c r="C98" s="133"/>
      <c r="D98" s="133"/>
      <c r="E98" s="145"/>
      <c r="F98" s="145"/>
      <c r="G98" s="133"/>
      <c r="H98" s="144"/>
      <c r="I98" s="133"/>
      <c r="J98" s="133"/>
      <c r="K98" s="133"/>
      <c r="L98" s="133"/>
      <c r="M98" s="133"/>
      <c r="N98" s="142"/>
      <c r="P98" s="140"/>
      <c r="Q98" s="140"/>
    </row>
    <row r="99" spans="1:17" hidden="1" x14ac:dyDescent="0.35">
      <c r="A99" s="156"/>
      <c r="B99" s="152"/>
      <c r="C99" s="151"/>
      <c r="D99" s="151"/>
      <c r="E99" s="154"/>
      <c r="F99" s="154"/>
      <c r="G99" s="151"/>
      <c r="H99" s="153"/>
      <c r="I99" s="151"/>
      <c r="J99" s="151"/>
      <c r="K99" s="151"/>
      <c r="L99" s="151"/>
      <c r="M99" s="151"/>
      <c r="N99" s="150"/>
      <c r="P99" s="140"/>
      <c r="Q99" s="140"/>
    </row>
    <row r="100" spans="1:17" hidden="1" x14ac:dyDescent="0.35">
      <c r="A100" s="146"/>
      <c r="B100" s="143"/>
      <c r="C100" s="133"/>
      <c r="D100" s="133"/>
      <c r="E100" s="145"/>
      <c r="F100" s="145"/>
      <c r="G100" s="133"/>
      <c r="H100" s="144"/>
      <c r="I100" s="133"/>
      <c r="J100" s="133"/>
      <c r="K100" s="133"/>
      <c r="L100" s="133"/>
      <c r="M100" s="133"/>
      <c r="N100" s="142"/>
      <c r="P100" s="140"/>
      <c r="Q100" s="140"/>
    </row>
    <row r="101" spans="1:17" hidden="1" x14ac:dyDescent="0.35">
      <c r="A101" s="146">
        <v>21</v>
      </c>
      <c r="B101" s="143">
        <v>45047</v>
      </c>
      <c r="C101" s="133" t="s">
        <v>1902</v>
      </c>
      <c r="D101" s="133" t="s">
        <v>2275</v>
      </c>
      <c r="E101" s="145" t="s">
        <v>1342</v>
      </c>
      <c r="F101" s="145">
        <v>5803</v>
      </c>
      <c r="G101" s="133" t="s">
        <v>1034</v>
      </c>
      <c r="H101" s="144" t="s">
        <v>1341</v>
      </c>
      <c r="I101" s="133" t="s">
        <v>1092</v>
      </c>
      <c r="J101" s="133" t="s">
        <v>2241</v>
      </c>
      <c r="K101" s="143">
        <v>45078</v>
      </c>
      <c r="L101" s="133" t="s">
        <v>1092</v>
      </c>
      <c r="M101" s="133">
        <f>1332.5+362.02</f>
        <v>1694.52</v>
      </c>
      <c r="N101" s="147">
        <f>+F101+F102+F103+F104-M101-M102-M103-M104</f>
        <v>0</v>
      </c>
      <c r="P101" s="140"/>
      <c r="Q101" s="140"/>
    </row>
    <row r="102" spans="1:17" hidden="1" x14ac:dyDescent="0.35">
      <c r="A102" s="146"/>
      <c r="B102" s="143"/>
      <c r="C102" s="133"/>
      <c r="D102" s="133"/>
      <c r="E102" s="145" t="s">
        <v>1067</v>
      </c>
      <c r="F102" s="145">
        <v>3847.6</v>
      </c>
      <c r="G102" s="133" t="s">
        <v>1034</v>
      </c>
      <c r="H102" s="144" t="s">
        <v>1341</v>
      </c>
      <c r="I102" s="133" t="s">
        <v>1092</v>
      </c>
      <c r="J102" s="133" t="s">
        <v>2274</v>
      </c>
      <c r="K102" s="143">
        <v>45078</v>
      </c>
      <c r="L102" s="133" t="s">
        <v>1092</v>
      </c>
      <c r="M102" s="133">
        <v>1660</v>
      </c>
      <c r="N102" s="147"/>
      <c r="P102" s="140"/>
      <c r="Q102" s="140"/>
    </row>
    <row r="103" spans="1:17" hidden="1" x14ac:dyDescent="0.35">
      <c r="A103" s="146"/>
      <c r="B103" s="143"/>
      <c r="C103" s="133"/>
      <c r="D103" s="133"/>
      <c r="E103" s="148" t="s">
        <v>1064</v>
      </c>
      <c r="F103" s="145">
        <v>1332.5</v>
      </c>
      <c r="G103" s="133" t="s">
        <v>1034</v>
      </c>
      <c r="H103" s="144" t="s">
        <v>1341</v>
      </c>
      <c r="I103" s="133" t="s">
        <v>1092</v>
      </c>
      <c r="J103" s="133" t="s">
        <v>2264</v>
      </c>
      <c r="K103" s="143">
        <v>45108</v>
      </c>
      <c r="L103" s="133" t="s">
        <v>1092</v>
      </c>
      <c r="M103" s="133">
        <v>9482.5</v>
      </c>
      <c r="N103" s="147"/>
      <c r="P103" s="140"/>
      <c r="Q103" s="140"/>
    </row>
    <row r="104" spans="1:17" hidden="1" x14ac:dyDescent="0.35">
      <c r="A104" s="146"/>
      <c r="B104" s="143"/>
      <c r="C104" s="133"/>
      <c r="D104" s="133"/>
      <c r="E104" s="145" t="s">
        <v>1075</v>
      </c>
      <c r="F104" s="145">
        <v>2529.5</v>
      </c>
      <c r="G104" s="133" t="s">
        <v>1034</v>
      </c>
      <c r="H104" s="144" t="s">
        <v>1341</v>
      </c>
      <c r="I104" s="133" t="s">
        <v>1092</v>
      </c>
      <c r="J104" s="133" t="s">
        <v>2252</v>
      </c>
      <c r="K104" s="143">
        <v>45108</v>
      </c>
      <c r="L104" s="133" t="s">
        <v>1241</v>
      </c>
      <c r="M104" s="133">
        <v>675.58</v>
      </c>
      <c r="N104" s="147"/>
      <c r="P104" s="140"/>
      <c r="Q104" s="140"/>
    </row>
    <row r="105" spans="1:17" hidden="1" x14ac:dyDescent="0.35">
      <c r="A105" s="146"/>
      <c r="B105" s="143"/>
      <c r="C105" s="133"/>
      <c r="D105" s="133"/>
      <c r="E105" s="145"/>
      <c r="F105" s="145"/>
      <c r="G105" s="133"/>
      <c r="H105" s="144"/>
      <c r="I105" s="133"/>
      <c r="J105" s="133"/>
      <c r="K105" s="133"/>
      <c r="L105" s="133"/>
      <c r="M105" s="133"/>
      <c r="N105" s="147"/>
      <c r="P105" s="140"/>
      <c r="Q105" s="140"/>
    </row>
    <row r="106" spans="1:17" hidden="1" x14ac:dyDescent="0.35">
      <c r="A106" s="146">
        <v>22</v>
      </c>
      <c r="B106" s="143">
        <v>45047</v>
      </c>
      <c r="C106" s="133" t="s">
        <v>1900</v>
      </c>
      <c r="D106" s="133" t="s">
        <v>2273</v>
      </c>
      <c r="E106" s="145" t="s">
        <v>1342</v>
      </c>
      <c r="F106" s="145">
        <v>3061</v>
      </c>
      <c r="G106" s="133" t="s">
        <v>1034</v>
      </c>
      <c r="H106" s="144" t="s">
        <v>1341</v>
      </c>
      <c r="I106" s="133" t="s">
        <v>1092</v>
      </c>
      <c r="J106" s="133" t="s">
        <v>2241</v>
      </c>
      <c r="K106" s="143">
        <v>45078</v>
      </c>
      <c r="L106" s="133" t="s">
        <v>1092</v>
      </c>
      <c r="M106" s="133">
        <v>3902.7</v>
      </c>
      <c r="N106" s="147">
        <f>+F106+F107+F108-M106-M107-M108</f>
        <v>0</v>
      </c>
      <c r="P106" s="140"/>
      <c r="Q106" s="140"/>
    </row>
    <row r="107" spans="1:17" hidden="1" x14ac:dyDescent="0.35">
      <c r="A107" s="146"/>
      <c r="B107" s="143"/>
      <c r="C107" s="133"/>
      <c r="D107" s="133"/>
      <c r="E107" s="145" t="s">
        <v>1067</v>
      </c>
      <c r="F107" s="145">
        <v>1594.1</v>
      </c>
      <c r="G107" s="133" t="s">
        <v>1034</v>
      </c>
      <c r="H107" s="144" t="s">
        <v>1341</v>
      </c>
      <c r="I107" s="133" t="s">
        <v>1092</v>
      </c>
      <c r="J107" s="133" t="s">
        <v>2264</v>
      </c>
      <c r="K107" s="143">
        <v>45108</v>
      </c>
      <c r="L107" s="133" t="s">
        <v>1092</v>
      </c>
      <c r="M107" s="133">
        <v>4227.0999999999995</v>
      </c>
      <c r="N107" s="147"/>
      <c r="P107" s="140"/>
      <c r="Q107" s="140"/>
    </row>
    <row r="108" spans="1:17" hidden="1" x14ac:dyDescent="0.35">
      <c r="A108" s="146"/>
      <c r="B108" s="143"/>
      <c r="C108" s="133"/>
      <c r="D108" s="133"/>
      <c r="E108" s="145" t="s">
        <v>1118</v>
      </c>
      <c r="F108" s="145">
        <v>3902.7</v>
      </c>
      <c r="G108" s="133" t="s">
        <v>1034</v>
      </c>
      <c r="H108" s="144" t="s">
        <v>1341</v>
      </c>
      <c r="I108" s="133" t="s">
        <v>1092</v>
      </c>
      <c r="J108" s="133" t="s">
        <v>2252</v>
      </c>
      <c r="K108" s="143">
        <v>45108</v>
      </c>
      <c r="L108" s="133" t="s">
        <v>1241</v>
      </c>
      <c r="M108" s="133">
        <v>428</v>
      </c>
      <c r="N108" s="147"/>
      <c r="P108" s="140"/>
      <c r="Q108" s="140"/>
    </row>
    <row r="109" spans="1:17" hidden="1" x14ac:dyDescent="0.35">
      <c r="A109" s="146"/>
      <c r="B109" s="143"/>
      <c r="C109" s="133"/>
      <c r="D109" s="133"/>
      <c r="E109" s="145"/>
      <c r="F109" s="145"/>
      <c r="G109" s="133"/>
      <c r="H109" s="144"/>
      <c r="I109" s="133"/>
      <c r="J109" s="133"/>
      <c r="K109" s="133"/>
      <c r="L109" s="133"/>
      <c r="M109" s="133"/>
      <c r="N109" s="147"/>
      <c r="P109" s="140"/>
      <c r="Q109" s="140"/>
    </row>
    <row r="110" spans="1:17" hidden="1" x14ac:dyDescent="0.35">
      <c r="A110" s="146">
        <v>23</v>
      </c>
      <c r="B110" s="143">
        <v>45047</v>
      </c>
      <c r="C110" s="133" t="s">
        <v>1898</v>
      </c>
      <c r="D110" s="133" t="s">
        <v>2272</v>
      </c>
      <c r="E110" s="145" t="s">
        <v>1342</v>
      </c>
      <c r="F110" s="145">
        <v>2673</v>
      </c>
      <c r="G110" s="133" t="s">
        <v>1034</v>
      </c>
      <c r="H110" s="144" t="s">
        <v>1341</v>
      </c>
      <c r="I110" s="133" t="s">
        <v>1092</v>
      </c>
      <c r="J110" s="133" t="s">
        <v>2264</v>
      </c>
      <c r="K110" s="143">
        <v>45108</v>
      </c>
      <c r="L110" s="133" t="s">
        <v>1092</v>
      </c>
      <c r="M110" s="133">
        <v>4050</v>
      </c>
      <c r="N110" s="147">
        <f>+F110+F111-M110-M111</f>
        <v>0</v>
      </c>
      <c r="P110" s="140"/>
      <c r="Q110" s="140"/>
    </row>
    <row r="111" spans="1:17" hidden="1" x14ac:dyDescent="0.35">
      <c r="A111" s="146"/>
      <c r="B111" s="143"/>
      <c r="C111" s="133"/>
      <c r="D111" s="133"/>
      <c r="E111" s="145" t="s">
        <v>1075</v>
      </c>
      <c r="F111" s="145">
        <v>1590</v>
      </c>
      <c r="G111" s="133" t="s">
        <v>1034</v>
      </c>
      <c r="H111" s="144" t="s">
        <v>1341</v>
      </c>
      <c r="I111" s="133" t="s">
        <v>1092</v>
      </c>
      <c r="J111" s="133" t="s">
        <v>2252</v>
      </c>
      <c r="K111" s="143">
        <v>45108</v>
      </c>
      <c r="L111" s="133" t="s">
        <v>1241</v>
      </c>
      <c r="M111" s="133">
        <v>213</v>
      </c>
      <c r="N111" s="147"/>
      <c r="P111" s="140"/>
      <c r="Q111" s="140"/>
    </row>
    <row r="112" spans="1:17" hidden="1" x14ac:dyDescent="0.35">
      <c r="A112" s="146"/>
      <c r="B112" s="143"/>
      <c r="C112" s="133"/>
      <c r="D112" s="133"/>
      <c r="E112" s="145"/>
      <c r="F112" s="145"/>
      <c r="G112" s="133"/>
      <c r="H112" s="144"/>
      <c r="I112" s="133"/>
      <c r="J112" s="133"/>
      <c r="K112" s="133"/>
      <c r="L112" s="133"/>
      <c r="M112" s="133"/>
      <c r="N112" s="147"/>
      <c r="P112" s="140"/>
      <c r="Q112" s="140"/>
    </row>
    <row r="113" spans="1:17" hidden="1" x14ac:dyDescent="0.35">
      <c r="A113" s="146">
        <v>24</v>
      </c>
      <c r="B113" s="143">
        <v>45047</v>
      </c>
      <c r="C113" s="133" t="s">
        <v>1897</v>
      </c>
      <c r="D113" s="133" t="s">
        <v>2271</v>
      </c>
      <c r="E113" s="145" t="s">
        <v>1075</v>
      </c>
      <c r="F113" s="145">
        <v>762.1</v>
      </c>
      <c r="G113" s="133" t="s">
        <v>1034</v>
      </c>
      <c r="H113" s="144" t="s">
        <v>1341</v>
      </c>
      <c r="I113" s="133" t="s">
        <v>1092</v>
      </c>
      <c r="J113" s="133" t="s">
        <v>2241</v>
      </c>
      <c r="K113" s="143">
        <v>45078</v>
      </c>
      <c r="L113" s="133" t="s">
        <v>1092</v>
      </c>
      <c r="M113" s="133">
        <v>2350.3000000000002</v>
      </c>
      <c r="N113" s="147">
        <f>+F113+F114+F115-M113-M114-M115</f>
        <v>0</v>
      </c>
      <c r="P113" s="140"/>
      <c r="Q113" s="140"/>
    </row>
    <row r="114" spans="1:17" hidden="1" x14ac:dyDescent="0.35">
      <c r="A114" s="146"/>
      <c r="B114" s="143"/>
      <c r="C114" s="133"/>
      <c r="D114" s="133"/>
      <c r="E114" s="145" t="s">
        <v>1067</v>
      </c>
      <c r="F114" s="145">
        <v>2421</v>
      </c>
      <c r="G114" s="133" t="s">
        <v>1034</v>
      </c>
      <c r="H114" s="144" t="s">
        <v>1341</v>
      </c>
      <c r="I114" s="133" t="s">
        <v>1092</v>
      </c>
      <c r="J114" s="133" t="s">
        <v>2264</v>
      </c>
      <c r="K114" s="143">
        <v>45108</v>
      </c>
      <c r="L114" s="133" t="s">
        <v>1092</v>
      </c>
      <c r="M114" s="133">
        <v>2906.0999999999995</v>
      </c>
      <c r="N114" s="147"/>
      <c r="P114" s="140"/>
      <c r="Q114" s="140"/>
    </row>
    <row r="115" spans="1:17" hidden="1" x14ac:dyDescent="0.35">
      <c r="A115" s="146"/>
      <c r="B115" s="143"/>
      <c r="C115" s="133"/>
      <c r="D115" s="133"/>
      <c r="E115" s="148" t="s">
        <v>1064</v>
      </c>
      <c r="F115" s="145">
        <v>2350.3000000000002</v>
      </c>
      <c r="G115" s="133" t="s">
        <v>1034</v>
      </c>
      <c r="H115" s="144" t="s">
        <v>1341</v>
      </c>
      <c r="I115" s="133" t="s">
        <v>1092</v>
      </c>
      <c r="J115" s="133" t="s">
        <v>2252</v>
      </c>
      <c r="K115" s="143">
        <v>45108</v>
      </c>
      <c r="L115" s="133" t="s">
        <v>1241</v>
      </c>
      <c r="M115" s="133">
        <v>277</v>
      </c>
      <c r="N115" s="147"/>
      <c r="P115" s="140"/>
      <c r="Q115" s="140"/>
    </row>
    <row r="116" spans="1:17" hidden="1" x14ac:dyDescent="0.35">
      <c r="A116" s="146"/>
      <c r="B116" s="143"/>
      <c r="C116" s="133"/>
      <c r="D116" s="133"/>
      <c r="E116" s="145"/>
      <c r="F116" s="145"/>
      <c r="G116" s="133"/>
      <c r="H116" s="144"/>
      <c r="I116" s="133"/>
      <c r="J116" s="133"/>
      <c r="K116" s="133"/>
      <c r="L116" s="133"/>
      <c r="M116" s="133"/>
      <c r="N116" s="147"/>
      <c r="P116" s="140"/>
      <c r="Q116" s="140"/>
    </row>
    <row r="117" spans="1:17" hidden="1" x14ac:dyDescent="0.35">
      <c r="A117" s="146">
        <v>25</v>
      </c>
      <c r="B117" s="143">
        <v>45047</v>
      </c>
      <c r="C117" s="133" t="s">
        <v>1894</v>
      </c>
      <c r="D117" s="133" t="s">
        <v>2270</v>
      </c>
      <c r="E117" s="145" t="s">
        <v>1342</v>
      </c>
      <c r="F117" s="145">
        <v>4165</v>
      </c>
      <c r="G117" s="133" t="s">
        <v>1034</v>
      </c>
      <c r="H117" s="144" t="s">
        <v>1341</v>
      </c>
      <c r="I117" s="133" t="s">
        <v>1092</v>
      </c>
      <c r="J117" s="133" t="s">
        <v>2264</v>
      </c>
      <c r="K117" s="143">
        <v>45108</v>
      </c>
      <c r="L117" s="133" t="s">
        <v>1092</v>
      </c>
      <c r="M117" s="140">
        <v>4979.2</v>
      </c>
      <c r="N117" s="147">
        <f>+F117+F118-M117-M118</f>
        <v>0</v>
      </c>
      <c r="P117" s="140"/>
      <c r="Q117" s="140"/>
    </row>
    <row r="118" spans="1:17" hidden="1" x14ac:dyDescent="0.35">
      <c r="A118" s="146"/>
      <c r="B118" s="143"/>
      <c r="C118" s="133"/>
      <c r="D118" s="133"/>
      <c r="E118" s="145" t="s">
        <v>1067</v>
      </c>
      <c r="F118" s="145">
        <v>1076.2</v>
      </c>
      <c r="G118" s="133" t="s">
        <v>1034</v>
      </c>
      <c r="H118" s="144" t="s">
        <v>1341</v>
      </c>
      <c r="I118" s="133" t="s">
        <v>1092</v>
      </c>
      <c r="J118" s="133" t="s">
        <v>2252</v>
      </c>
      <c r="K118" s="143">
        <v>45108</v>
      </c>
      <c r="L118" s="133" t="s">
        <v>1241</v>
      </c>
      <c r="M118" s="133">
        <v>262</v>
      </c>
      <c r="N118" s="147"/>
      <c r="P118" s="140"/>
      <c r="Q118" s="140"/>
    </row>
    <row r="119" spans="1:17" hidden="1" x14ac:dyDescent="0.35">
      <c r="A119" s="146"/>
      <c r="B119" s="143"/>
      <c r="C119" s="133"/>
      <c r="D119" s="133"/>
      <c r="E119" s="145"/>
      <c r="F119" s="145"/>
      <c r="G119" s="133"/>
      <c r="H119" s="144"/>
      <c r="I119" s="133"/>
      <c r="J119" s="133"/>
      <c r="K119" s="133"/>
      <c r="L119" s="133"/>
      <c r="M119" s="133"/>
      <c r="N119" s="147"/>
      <c r="P119" s="140"/>
      <c r="Q119" s="140"/>
    </row>
    <row r="120" spans="1:17" hidden="1" x14ac:dyDescent="0.35">
      <c r="A120" s="146">
        <v>26</v>
      </c>
      <c r="B120" s="143">
        <v>45047</v>
      </c>
      <c r="C120" s="133" t="s">
        <v>1892</v>
      </c>
      <c r="D120" s="133" t="s">
        <v>2269</v>
      </c>
      <c r="E120" s="145" t="s">
        <v>1342</v>
      </c>
      <c r="F120" s="145">
        <v>4861</v>
      </c>
      <c r="G120" s="133" t="s">
        <v>1034</v>
      </c>
      <c r="H120" s="144" t="s">
        <v>1341</v>
      </c>
      <c r="I120" s="133" t="s">
        <v>1092</v>
      </c>
      <c r="J120" s="133" t="s">
        <v>2264</v>
      </c>
      <c r="K120" s="143">
        <v>45108</v>
      </c>
      <c r="L120" s="133" t="s">
        <v>1092</v>
      </c>
      <c r="M120" s="133">
        <v>3502.8</v>
      </c>
      <c r="N120" s="147">
        <f>+F120+F121-M120-M121-M122</f>
        <v>0</v>
      </c>
      <c r="P120" s="140"/>
      <c r="Q120" s="140"/>
    </row>
    <row r="121" spans="1:17" hidden="1" x14ac:dyDescent="0.35">
      <c r="A121" s="146"/>
      <c r="B121" s="143"/>
      <c r="C121" s="133"/>
      <c r="D121" s="133"/>
      <c r="E121" s="145" t="s">
        <v>1067</v>
      </c>
      <c r="F121" s="145">
        <v>1173.7</v>
      </c>
      <c r="G121" s="133" t="s">
        <v>1034</v>
      </c>
      <c r="H121" s="144" t="s">
        <v>1341</v>
      </c>
      <c r="I121" s="133" t="s">
        <v>1092</v>
      </c>
      <c r="J121" s="133" t="s">
        <v>2257</v>
      </c>
      <c r="K121" s="143">
        <v>45108</v>
      </c>
      <c r="L121" s="133" t="s">
        <v>1092</v>
      </c>
      <c r="M121" s="133">
        <v>2230.8999999999996</v>
      </c>
      <c r="N121" s="147"/>
      <c r="P121" s="140"/>
      <c r="Q121" s="140"/>
    </row>
    <row r="122" spans="1:17" hidden="1" x14ac:dyDescent="0.35">
      <c r="A122" s="146"/>
      <c r="B122" s="143"/>
      <c r="C122" s="133"/>
      <c r="D122" s="133"/>
      <c r="E122" s="145"/>
      <c r="F122" s="145"/>
      <c r="G122" s="133" t="s">
        <v>1034</v>
      </c>
      <c r="H122" s="144" t="s">
        <v>1341</v>
      </c>
      <c r="I122" s="133" t="s">
        <v>1092</v>
      </c>
      <c r="J122" s="133" t="s">
        <v>2252</v>
      </c>
      <c r="K122" s="143">
        <v>45108</v>
      </c>
      <c r="L122" s="133" t="s">
        <v>1241</v>
      </c>
      <c r="M122" s="133">
        <v>301</v>
      </c>
      <c r="N122" s="147"/>
      <c r="P122" s="140"/>
      <c r="Q122" s="140"/>
    </row>
    <row r="123" spans="1:17" hidden="1" x14ac:dyDescent="0.35">
      <c r="A123" s="146"/>
      <c r="B123" s="143"/>
      <c r="C123" s="133"/>
      <c r="D123" s="133"/>
      <c r="E123" s="145"/>
      <c r="F123" s="145"/>
      <c r="G123" s="133"/>
      <c r="H123" s="144"/>
      <c r="I123" s="133"/>
      <c r="J123" s="133"/>
      <c r="K123" s="133"/>
      <c r="L123" s="133"/>
      <c r="M123" s="133"/>
      <c r="N123" s="147"/>
      <c r="P123" s="140"/>
      <c r="Q123" s="140"/>
    </row>
    <row r="124" spans="1:17" hidden="1" x14ac:dyDescent="0.35">
      <c r="A124" s="146">
        <v>27</v>
      </c>
      <c r="B124" s="143">
        <v>45047</v>
      </c>
      <c r="C124" s="133" t="s">
        <v>1890</v>
      </c>
      <c r="D124" s="133" t="s">
        <v>2268</v>
      </c>
      <c r="E124" s="145" t="s">
        <v>1342</v>
      </c>
      <c r="F124" s="145">
        <v>3790</v>
      </c>
      <c r="G124" s="133" t="s">
        <v>1034</v>
      </c>
      <c r="H124" s="144" t="s">
        <v>1341</v>
      </c>
      <c r="I124" s="133" t="s">
        <v>1092</v>
      </c>
      <c r="J124" s="133" t="s">
        <v>2264</v>
      </c>
      <c r="K124" s="143">
        <v>45108</v>
      </c>
      <c r="L124" s="133" t="s">
        <v>1092</v>
      </c>
      <c r="M124" s="133">
        <v>3748.4</v>
      </c>
      <c r="N124" s="147">
        <f>+F124+F125-M124-M125</f>
        <v>0</v>
      </c>
      <c r="P124" s="140"/>
      <c r="Q124" s="140"/>
    </row>
    <row r="125" spans="1:17" hidden="1" x14ac:dyDescent="0.35">
      <c r="A125" s="146"/>
      <c r="B125" s="143"/>
      <c r="C125" s="133"/>
      <c r="D125" s="133"/>
      <c r="E125" s="145" t="s">
        <v>1067</v>
      </c>
      <c r="F125" s="145">
        <v>155.4</v>
      </c>
      <c r="G125" s="133" t="s">
        <v>1034</v>
      </c>
      <c r="H125" s="144" t="s">
        <v>1341</v>
      </c>
      <c r="I125" s="133" t="s">
        <v>1092</v>
      </c>
      <c r="J125" s="133" t="s">
        <v>2252</v>
      </c>
      <c r="K125" s="143">
        <v>45108</v>
      </c>
      <c r="L125" s="133" t="s">
        <v>1241</v>
      </c>
      <c r="M125" s="133">
        <v>197</v>
      </c>
      <c r="N125" s="147"/>
      <c r="P125" s="140"/>
      <c r="Q125" s="140"/>
    </row>
    <row r="126" spans="1:17" hidden="1" x14ac:dyDescent="0.35">
      <c r="A126" s="146"/>
      <c r="B126" s="143"/>
      <c r="C126" s="133"/>
      <c r="D126" s="133"/>
      <c r="E126" s="145"/>
      <c r="F126" s="145"/>
      <c r="G126" s="133"/>
      <c r="H126" s="144"/>
      <c r="I126" s="133"/>
      <c r="J126" s="133"/>
      <c r="K126" s="133"/>
      <c r="L126" s="133"/>
      <c r="M126" s="133"/>
      <c r="N126" s="147"/>
      <c r="P126" s="140"/>
      <c r="Q126" s="140"/>
    </row>
    <row r="127" spans="1:17" hidden="1" x14ac:dyDescent="0.35">
      <c r="A127" s="146">
        <v>28</v>
      </c>
      <c r="B127" s="143">
        <v>45047</v>
      </c>
      <c r="C127" s="133" t="s">
        <v>1888</v>
      </c>
      <c r="D127" s="133" t="s">
        <v>2267</v>
      </c>
      <c r="E127" s="145" t="s">
        <v>1342</v>
      </c>
      <c r="F127" s="145">
        <v>705</v>
      </c>
      <c r="G127" s="133" t="s">
        <v>1034</v>
      </c>
      <c r="H127" s="144" t="s">
        <v>1341</v>
      </c>
      <c r="I127" s="133" t="s">
        <v>1092</v>
      </c>
      <c r="J127" s="133" t="s">
        <v>2241</v>
      </c>
      <c r="K127" s="143">
        <v>45078</v>
      </c>
      <c r="L127" s="133" t="s">
        <v>1092</v>
      </c>
      <c r="M127" s="133">
        <v>2552.1999999999998</v>
      </c>
      <c r="N127" s="147">
        <f>+F127+F128+F129+F130+F131-M127-M128-M129</f>
        <v>0</v>
      </c>
      <c r="P127" s="140"/>
      <c r="Q127" s="140"/>
    </row>
    <row r="128" spans="1:17" hidden="1" x14ac:dyDescent="0.35">
      <c r="A128" s="146"/>
      <c r="B128" s="143"/>
      <c r="C128" s="133"/>
      <c r="D128" s="133"/>
      <c r="E128" s="145" t="s">
        <v>1067</v>
      </c>
      <c r="F128" s="145">
        <v>298.7</v>
      </c>
      <c r="G128" s="133" t="s">
        <v>1034</v>
      </c>
      <c r="H128" s="144" t="s">
        <v>1341</v>
      </c>
      <c r="I128" s="133" t="s">
        <v>1092</v>
      </c>
      <c r="J128" s="133" t="s">
        <v>2264</v>
      </c>
      <c r="K128" s="143">
        <v>45108</v>
      </c>
      <c r="L128" s="133" t="s">
        <v>1092</v>
      </c>
      <c r="M128" s="133">
        <v>1328.5</v>
      </c>
      <c r="N128" s="147"/>
      <c r="P128" s="140"/>
      <c r="Q128" s="140"/>
    </row>
    <row r="129" spans="1:17" hidden="1" x14ac:dyDescent="0.35">
      <c r="A129" s="146"/>
      <c r="B129" s="143"/>
      <c r="C129" s="133"/>
      <c r="D129" s="133"/>
      <c r="E129" s="145" t="s">
        <v>1075</v>
      </c>
      <c r="F129" s="145">
        <v>28.8</v>
      </c>
      <c r="G129" s="133" t="s">
        <v>1034</v>
      </c>
      <c r="H129" s="144" t="s">
        <v>1341</v>
      </c>
      <c r="I129" s="133" t="s">
        <v>1092</v>
      </c>
      <c r="J129" s="133" t="s">
        <v>2252</v>
      </c>
      <c r="K129" s="143">
        <v>45108</v>
      </c>
      <c r="L129" s="133" t="s">
        <v>1241</v>
      </c>
      <c r="M129" s="133">
        <v>204</v>
      </c>
      <c r="N129" s="147"/>
      <c r="P129" s="140"/>
      <c r="Q129" s="140"/>
    </row>
    <row r="130" spans="1:17" hidden="1" x14ac:dyDescent="0.35">
      <c r="A130" s="146"/>
      <c r="B130" s="143"/>
      <c r="C130" s="133"/>
      <c r="D130" s="133"/>
      <c r="E130" s="148" t="s">
        <v>1064</v>
      </c>
      <c r="F130" s="145">
        <v>2552.1999999999998</v>
      </c>
      <c r="G130" s="133"/>
      <c r="H130" s="144"/>
      <c r="I130" s="133"/>
      <c r="J130" s="133"/>
      <c r="K130" s="133"/>
      <c r="L130" s="133"/>
      <c r="M130" s="133"/>
      <c r="N130" s="147"/>
      <c r="P130" s="140"/>
      <c r="Q130" s="140"/>
    </row>
    <row r="131" spans="1:17" hidden="1" x14ac:dyDescent="0.35">
      <c r="A131" s="146"/>
      <c r="B131" s="143"/>
      <c r="C131" s="133"/>
      <c r="D131" s="133"/>
      <c r="E131" s="148" t="s">
        <v>1074</v>
      </c>
      <c r="F131" s="145">
        <v>500</v>
      </c>
      <c r="G131" s="133"/>
      <c r="H131" s="144"/>
      <c r="I131" s="133"/>
      <c r="J131" s="133"/>
      <c r="K131" s="133"/>
      <c r="L131" s="133"/>
      <c r="M131" s="133"/>
      <c r="N131" s="147"/>
      <c r="P131" s="140"/>
      <c r="Q131" s="140"/>
    </row>
    <row r="132" spans="1:17" hidden="1" x14ac:dyDescent="0.35">
      <c r="A132" s="146"/>
      <c r="B132" s="143"/>
      <c r="C132" s="133"/>
      <c r="D132" s="133"/>
      <c r="E132" s="148"/>
      <c r="F132" s="145"/>
      <c r="G132" s="133"/>
      <c r="H132" s="144"/>
      <c r="I132" s="133"/>
      <c r="J132" s="133"/>
      <c r="K132" s="133"/>
      <c r="L132" s="133"/>
      <c r="M132" s="133"/>
      <c r="N132" s="147"/>
      <c r="P132" s="140"/>
      <c r="Q132" s="140"/>
    </row>
    <row r="133" spans="1:17" hidden="1" x14ac:dyDescent="0.35">
      <c r="A133" s="146">
        <v>29</v>
      </c>
      <c r="B133" s="143">
        <v>45047</v>
      </c>
      <c r="C133" s="133" t="s">
        <v>1886</v>
      </c>
      <c r="D133" s="133" t="s">
        <v>2266</v>
      </c>
      <c r="E133" s="145" t="s">
        <v>1342</v>
      </c>
      <c r="F133" s="145">
        <v>3327</v>
      </c>
      <c r="G133" s="133" t="s">
        <v>1034</v>
      </c>
      <c r="H133" s="144" t="s">
        <v>1341</v>
      </c>
      <c r="I133" s="133" t="s">
        <v>1092</v>
      </c>
      <c r="J133" s="133" t="s">
        <v>2241</v>
      </c>
      <c r="K133" s="143">
        <v>45078</v>
      </c>
      <c r="L133" s="133" t="s">
        <v>1092</v>
      </c>
      <c r="M133" s="133">
        <f>4480.93+439.2</f>
        <v>4920.13</v>
      </c>
      <c r="N133" s="147">
        <f>+F133+F134+F135+F136+F137+F138-M133-M134-M135-M136</f>
        <v>0</v>
      </c>
      <c r="P133" s="140"/>
      <c r="Q133" s="140"/>
    </row>
    <row r="134" spans="1:17" hidden="1" x14ac:dyDescent="0.35">
      <c r="A134" s="146"/>
      <c r="B134" s="143"/>
      <c r="C134" s="133"/>
      <c r="D134" s="133"/>
      <c r="E134" s="145" t="s">
        <v>2265</v>
      </c>
      <c r="F134" s="145">
        <v>4480.93</v>
      </c>
      <c r="G134" s="133" t="s">
        <v>1034</v>
      </c>
      <c r="H134" s="144" t="s">
        <v>1341</v>
      </c>
      <c r="I134" s="133" t="s">
        <v>1092</v>
      </c>
      <c r="J134" s="133" t="s">
        <v>2264</v>
      </c>
      <c r="K134" s="143">
        <v>45108</v>
      </c>
      <c r="L134" s="133" t="s">
        <v>1092</v>
      </c>
      <c r="M134" s="133">
        <v>1664.4</v>
      </c>
      <c r="N134" s="147"/>
      <c r="P134" s="140"/>
      <c r="Q134" s="140"/>
    </row>
    <row r="135" spans="1:17" hidden="1" x14ac:dyDescent="0.35">
      <c r="A135" s="146"/>
      <c r="B135" s="143"/>
      <c r="C135" s="133"/>
      <c r="D135" s="133"/>
      <c r="E135" s="145" t="s">
        <v>1075</v>
      </c>
      <c r="F135" s="145">
        <v>6372.1</v>
      </c>
      <c r="G135" s="133" t="s">
        <v>1034</v>
      </c>
      <c r="H135" s="144" t="s">
        <v>1341</v>
      </c>
      <c r="I135" s="133" t="s">
        <v>1092</v>
      </c>
      <c r="J135" s="133" t="s">
        <v>2257</v>
      </c>
      <c r="K135" s="143">
        <v>45108</v>
      </c>
      <c r="L135" s="133" t="s">
        <v>1092</v>
      </c>
      <c r="M135" s="133">
        <v>10661.300000000001</v>
      </c>
      <c r="N135" s="147"/>
      <c r="P135" s="140"/>
      <c r="Q135" s="140"/>
    </row>
    <row r="136" spans="1:17" hidden="1" x14ac:dyDescent="0.35">
      <c r="A136" s="146"/>
      <c r="B136" s="143"/>
      <c r="C136" s="133"/>
      <c r="D136" s="133"/>
      <c r="E136" s="148" t="s">
        <v>1064</v>
      </c>
      <c r="F136" s="145">
        <v>439.2</v>
      </c>
      <c r="G136" s="133" t="s">
        <v>1034</v>
      </c>
      <c r="H136" s="144" t="s">
        <v>1341</v>
      </c>
      <c r="I136" s="133" t="s">
        <v>1092</v>
      </c>
      <c r="J136" s="133" t="s">
        <v>2252</v>
      </c>
      <c r="K136" s="143">
        <v>45108</v>
      </c>
      <c r="L136" s="133" t="s">
        <v>1241</v>
      </c>
      <c r="M136" s="133">
        <v>907</v>
      </c>
      <c r="N136" s="147"/>
      <c r="P136" s="140"/>
      <c r="Q136" s="140"/>
    </row>
    <row r="137" spans="1:17" hidden="1" x14ac:dyDescent="0.35">
      <c r="A137" s="146"/>
      <c r="B137" s="143"/>
      <c r="C137" s="133"/>
      <c r="D137" s="133"/>
      <c r="E137" s="145" t="s">
        <v>1071</v>
      </c>
      <c r="F137" s="145">
        <v>1869.2</v>
      </c>
      <c r="G137" s="133"/>
      <c r="H137" s="144"/>
      <c r="I137" s="133"/>
      <c r="J137" s="133"/>
      <c r="K137" s="133"/>
      <c r="L137" s="133"/>
      <c r="M137" s="133"/>
      <c r="N137" s="147"/>
      <c r="P137" s="140"/>
      <c r="Q137" s="140"/>
    </row>
    <row r="138" spans="1:17" hidden="1" x14ac:dyDescent="0.35">
      <c r="A138" s="146"/>
      <c r="B138" s="143"/>
      <c r="C138" s="133"/>
      <c r="D138" s="133"/>
      <c r="E138" s="145" t="s">
        <v>1118</v>
      </c>
      <c r="F138" s="145">
        <v>1664.4</v>
      </c>
      <c r="G138" s="133"/>
      <c r="H138" s="144"/>
      <c r="I138" s="133"/>
      <c r="J138" s="133"/>
      <c r="K138" s="133"/>
      <c r="L138" s="133"/>
      <c r="M138" s="133"/>
      <c r="N138" s="147"/>
      <c r="P138" s="140"/>
      <c r="Q138" s="140"/>
    </row>
    <row r="139" spans="1:17" hidden="1" x14ac:dyDescent="0.35">
      <c r="A139" s="146"/>
      <c r="B139" s="143"/>
      <c r="C139" s="133"/>
      <c r="D139" s="133"/>
      <c r="E139" s="148"/>
      <c r="F139" s="145"/>
      <c r="G139" s="133"/>
      <c r="H139" s="144"/>
      <c r="I139" s="133"/>
      <c r="J139" s="133"/>
      <c r="K139" s="133"/>
      <c r="L139" s="133"/>
      <c r="M139" s="133"/>
      <c r="N139" s="147"/>
      <c r="P139" s="140"/>
      <c r="Q139" s="140"/>
    </row>
    <row r="140" spans="1:17" hidden="1" x14ac:dyDescent="0.35">
      <c r="A140" s="146">
        <v>30</v>
      </c>
      <c r="B140" s="143">
        <v>45047</v>
      </c>
      <c r="C140" s="133" t="s">
        <v>1884</v>
      </c>
      <c r="D140" s="133" t="s">
        <v>2263</v>
      </c>
      <c r="E140" s="145" t="s">
        <v>1342</v>
      </c>
      <c r="F140" s="145">
        <v>4957</v>
      </c>
      <c r="G140" s="133" t="s">
        <v>1034</v>
      </c>
      <c r="H140" s="144" t="s">
        <v>1341</v>
      </c>
      <c r="I140" s="133" t="s">
        <v>1092</v>
      </c>
      <c r="J140" s="133" t="s">
        <v>2241</v>
      </c>
      <c r="K140" s="143">
        <v>45078</v>
      </c>
      <c r="L140" s="133" t="s">
        <v>1092</v>
      </c>
      <c r="M140" s="133">
        <v>2314</v>
      </c>
      <c r="N140" s="147">
        <f>+F140+F141+F142+F143+F144-M140-M141-M142-M143</f>
        <v>0</v>
      </c>
      <c r="P140" s="140"/>
      <c r="Q140" s="140"/>
    </row>
    <row r="141" spans="1:17" hidden="1" x14ac:dyDescent="0.35">
      <c r="A141" s="146"/>
      <c r="B141" s="143"/>
      <c r="C141" s="133"/>
      <c r="D141" s="133"/>
      <c r="E141" s="145" t="s">
        <v>1075</v>
      </c>
      <c r="F141" s="145">
        <v>3852</v>
      </c>
      <c r="G141" s="133" t="s">
        <v>1034</v>
      </c>
      <c r="H141" s="144" t="s">
        <v>1341</v>
      </c>
      <c r="I141" s="133" t="s">
        <v>1092</v>
      </c>
      <c r="J141" s="133" t="s">
        <v>2257</v>
      </c>
      <c r="K141" s="143">
        <v>45108</v>
      </c>
      <c r="L141" s="133" t="s">
        <v>1092</v>
      </c>
      <c r="M141" s="140">
        <f>167.5+498+3852</f>
        <v>4517.5</v>
      </c>
      <c r="N141" s="147"/>
      <c r="P141" s="140"/>
      <c r="Q141" s="140"/>
    </row>
    <row r="142" spans="1:17" hidden="1" x14ac:dyDescent="0.35">
      <c r="A142" s="146"/>
      <c r="B142" s="143"/>
      <c r="C142" s="133"/>
      <c r="D142" s="133"/>
      <c r="E142" s="145" t="s">
        <v>1067</v>
      </c>
      <c r="F142" s="145">
        <v>167.5</v>
      </c>
      <c r="G142" s="133" t="s">
        <v>1034</v>
      </c>
      <c r="H142" s="144" t="s">
        <v>1341</v>
      </c>
      <c r="I142" s="133" t="s">
        <v>1092</v>
      </c>
      <c r="J142" s="133" t="s">
        <v>2257</v>
      </c>
      <c r="K142" s="143">
        <v>45108</v>
      </c>
      <c r="L142" s="133" t="s">
        <v>1092</v>
      </c>
      <c r="M142" s="133">
        <v>4368</v>
      </c>
      <c r="N142" s="147"/>
      <c r="P142" s="140"/>
      <c r="Q142" s="140"/>
    </row>
    <row r="143" spans="1:17" hidden="1" x14ac:dyDescent="0.35">
      <c r="A143" s="146"/>
      <c r="B143" s="143"/>
      <c r="C143" s="133"/>
      <c r="D143" s="133"/>
      <c r="E143" s="145" t="s">
        <v>1071</v>
      </c>
      <c r="F143" s="145">
        <v>498</v>
      </c>
      <c r="G143" s="133" t="s">
        <v>1034</v>
      </c>
      <c r="H143" s="144" t="s">
        <v>1341</v>
      </c>
      <c r="I143" s="133" t="s">
        <v>1092</v>
      </c>
      <c r="J143" s="133" t="s">
        <v>2252</v>
      </c>
      <c r="K143" s="143">
        <v>45108</v>
      </c>
      <c r="L143" s="133" t="s">
        <v>1241</v>
      </c>
      <c r="M143" s="133">
        <v>589</v>
      </c>
      <c r="N143" s="147"/>
      <c r="P143" s="140"/>
      <c r="Q143" s="140"/>
    </row>
    <row r="144" spans="1:17" hidden="1" x14ac:dyDescent="0.35">
      <c r="A144" s="146"/>
      <c r="B144" s="143"/>
      <c r="C144" s="133"/>
      <c r="D144" s="133"/>
      <c r="E144" s="145" t="s">
        <v>1118</v>
      </c>
      <c r="F144" s="145">
        <v>2314</v>
      </c>
      <c r="G144" s="133"/>
      <c r="H144" s="144"/>
      <c r="I144" s="133"/>
      <c r="J144" s="133"/>
      <c r="K144" s="133"/>
      <c r="L144" s="133"/>
      <c r="M144" s="133"/>
      <c r="N144" s="147"/>
      <c r="P144" s="140"/>
      <c r="Q144" s="140"/>
    </row>
    <row r="145" spans="1:17" hidden="1" x14ac:dyDescent="0.35">
      <c r="A145" s="146"/>
      <c r="B145" s="143"/>
      <c r="C145" s="133"/>
      <c r="D145" s="133"/>
      <c r="E145" s="145"/>
      <c r="F145" s="145"/>
      <c r="G145" s="133"/>
      <c r="H145" s="144"/>
      <c r="I145" s="133"/>
      <c r="J145" s="133"/>
      <c r="K145" s="133"/>
      <c r="L145" s="133"/>
      <c r="M145" s="133"/>
      <c r="N145" s="147"/>
      <c r="P145" s="140"/>
      <c r="Q145" s="140"/>
    </row>
    <row r="146" spans="1:17" hidden="1" x14ac:dyDescent="0.35">
      <c r="A146" s="146">
        <v>31</v>
      </c>
      <c r="B146" s="143">
        <v>45047</v>
      </c>
      <c r="C146" s="133" t="s">
        <v>1882</v>
      </c>
      <c r="D146" s="133" t="s">
        <v>2262</v>
      </c>
      <c r="E146" s="145" t="s">
        <v>32</v>
      </c>
      <c r="F146" s="145">
        <v>3000</v>
      </c>
      <c r="G146" s="133" t="s">
        <v>1034</v>
      </c>
      <c r="H146" s="144" t="s">
        <v>1341</v>
      </c>
      <c r="I146" s="133" t="s">
        <v>1092</v>
      </c>
      <c r="J146" s="133" t="s">
        <v>2257</v>
      </c>
      <c r="K146" s="143">
        <v>45108</v>
      </c>
      <c r="L146" s="133" t="s">
        <v>1092</v>
      </c>
      <c r="M146" s="133">
        <v>906.2</v>
      </c>
      <c r="N146" s="147">
        <f>+F146-M146-M147-M148</f>
        <v>0</v>
      </c>
      <c r="P146" s="140"/>
      <c r="Q146" s="140"/>
    </row>
    <row r="147" spans="1:17" hidden="1" x14ac:dyDescent="0.35">
      <c r="A147" s="146"/>
      <c r="B147" s="143"/>
      <c r="C147" s="133"/>
      <c r="D147" s="133"/>
      <c r="E147" s="145"/>
      <c r="F147" s="145"/>
      <c r="G147" s="133" t="s">
        <v>1034</v>
      </c>
      <c r="H147" s="144" t="s">
        <v>1341</v>
      </c>
      <c r="I147" s="133" t="s">
        <v>1092</v>
      </c>
      <c r="J147" s="133" t="s">
        <v>2249</v>
      </c>
      <c r="K147" s="143">
        <v>45108</v>
      </c>
      <c r="L147" s="133" t="s">
        <v>1092</v>
      </c>
      <c r="M147" s="133">
        <v>1943.8000000000002</v>
      </c>
      <c r="N147" s="147"/>
      <c r="P147" s="140"/>
      <c r="Q147" s="140"/>
    </row>
    <row r="148" spans="1:17" hidden="1" x14ac:dyDescent="0.35">
      <c r="A148" s="146"/>
      <c r="B148" s="143"/>
      <c r="C148" s="133"/>
      <c r="D148" s="133"/>
      <c r="E148" s="145"/>
      <c r="F148" s="145"/>
      <c r="G148" s="133" t="s">
        <v>1034</v>
      </c>
      <c r="H148" s="144" t="s">
        <v>1341</v>
      </c>
      <c r="I148" s="133" t="s">
        <v>1092</v>
      </c>
      <c r="J148" s="133" t="s">
        <v>2252</v>
      </c>
      <c r="K148" s="143">
        <v>45108</v>
      </c>
      <c r="L148" s="133" t="s">
        <v>1241</v>
      </c>
      <c r="M148" s="133">
        <v>150</v>
      </c>
      <c r="N148" s="147"/>
      <c r="P148" s="140"/>
      <c r="Q148" s="140"/>
    </row>
    <row r="149" spans="1:17" hidden="1" x14ac:dyDescent="0.35">
      <c r="A149" s="146"/>
      <c r="B149" s="143"/>
      <c r="C149" s="133"/>
      <c r="D149" s="133"/>
      <c r="E149" s="148"/>
      <c r="F149" s="145"/>
      <c r="G149" s="133"/>
      <c r="H149" s="144"/>
      <c r="I149" s="133"/>
      <c r="J149" s="133"/>
      <c r="K149" s="133"/>
      <c r="L149" s="133"/>
      <c r="M149" s="133"/>
      <c r="N149" s="147"/>
      <c r="P149" s="140"/>
      <c r="Q149" s="140"/>
    </row>
    <row r="150" spans="1:17" hidden="1" x14ac:dyDescent="0.35">
      <c r="A150" s="146">
        <v>32</v>
      </c>
      <c r="B150" s="143">
        <v>45047</v>
      </c>
      <c r="C150" s="133" t="s">
        <v>1880</v>
      </c>
      <c r="D150" s="133" t="s">
        <v>2261</v>
      </c>
      <c r="E150" s="145" t="s">
        <v>1342</v>
      </c>
      <c r="F150" s="145">
        <v>5782</v>
      </c>
      <c r="G150" s="133" t="s">
        <v>1034</v>
      </c>
      <c r="H150" s="144" t="s">
        <v>1341</v>
      </c>
      <c r="I150" s="133" t="s">
        <v>1092</v>
      </c>
      <c r="J150" s="133" t="s">
        <v>2241</v>
      </c>
      <c r="K150" s="143">
        <v>45078</v>
      </c>
      <c r="L150" s="133" t="s">
        <v>1092</v>
      </c>
      <c r="M150" s="133">
        <v>887</v>
      </c>
      <c r="N150" s="147">
        <f>+F150+F151-M150-M151-M152</f>
        <v>0</v>
      </c>
      <c r="P150" s="140"/>
      <c r="Q150" s="140"/>
    </row>
    <row r="151" spans="1:17" hidden="1" x14ac:dyDescent="0.35">
      <c r="A151" s="146"/>
      <c r="B151" s="143"/>
      <c r="C151" s="133"/>
      <c r="D151" s="133"/>
      <c r="E151" s="148" t="s">
        <v>1064</v>
      </c>
      <c r="F151" s="145">
        <v>887</v>
      </c>
      <c r="G151" s="133" t="s">
        <v>1034</v>
      </c>
      <c r="H151" s="144" t="s">
        <v>1341</v>
      </c>
      <c r="I151" s="133" t="s">
        <v>1092</v>
      </c>
      <c r="J151" s="133" t="s">
        <v>2256</v>
      </c>
      <c r="K151" s="143">
        <v>45108</v>
      </c>
      <c r="L151" s="133" t="s">
        <v>1092</v>
      </c>
      <c r="M151" s="133">
        <v>5447</v>
      </c>
      <c r="N151" s="147"/>
      <c r="P151" s="140"/>
      <c r="Q151" s="140"/>
    </row>
    <row r="152" spans="1:17" hidden="1" x14ac:dyDescent="0.35">
      <c r="A152" s="146"/>
      <c r="B152" s="143"/>
      <c r="C152" s="133"/>
      <c r="D152" s="133"/>
      <c r="E152" s="148"/>
      <c r="F152" s="145"/>
      <c r="G152" s="133" t="s">
        <v>1034</v>
      </c>
      <c r="H152" s="144" t="s">
        <v>1341</v>
      </c>
      <c r="I152" s="133" t="s">
        <v>1092</v>
      </c>
      <c r="J152" s="133" t="s">
        <v>2252</v>
      </c>
      <c r="K152" s="143">
        <v>45108</v>
      </c>
      <c r="L152" s="133" t="s">
        <v>1241</v>
      </c>
      <c r="M152" s="133">
        <v>335</v>
      </c>
      <c r="N152" s="147"/>
      <c r="P152" s="140"/>
      <c r="Q152" s="140"/>
    </row>
    <row r="153" spans="1:17" hidden="1" x14ac:dyDescent="0.35">
      <c r="A153" s="146"/>
      <c r="B153" s="143"/>
      <c r="C153" s="133"/>
      <c r="D153" s="133"/>
      <c r="E153" s="148"/>
      <c r="F153" s="145"/>
      <c r="G153" s="133"/>
      <c r="H153" s="144"/>
      <c r="I153" s="133"/>
      <c r="J153" s="133"/>
      <c r="K153" s="133"/>
      <c r="L153" s="133"/>
      <c r="M153" s="133"/>
      <c r="N153" s="147"/>
      <c r="P153" s="140"/>
      <c r="Q153" s="140"/>
    </row>
    <row r="154" spans="1:17" hidden="1" x14ac:dyDescent="0.35">
      <c r="A154" s="146">
        <v>33</v>
      </c>
      <c r="B154" s="143">
        <v>45047</v>
      </c>
      <c r="C154" s="133" t="s">
        <v>1878</v>
      </c>
      <c r="D154" s="133" t="s">
        <v>2260</v>
      </c>
      <c r="E154" s="145" t="s">
        <v>1075</v>
      </c>
      <c r="F154" s="145">
        <v>212.9</v>
      </c>
      <c r="G154" s="133" t="s">
        <v>1034</v>
      </c>
      <c r="H154" s="144" t="s">
        <v>1341</v>
      </c>
      <c r="I154" s="133" t="s">
        <v>1092</v>
      </c>
      <c r="J154" s="133" t="s">
        <v>2241</v>
      </c>
      <c r="K154" s="143">
        <v>45078</v>
      </c>
      <c r="L154" s="133" t="s">
        <v>1092</v>
      </c>
      <c r="M154" s="133">
        <v>1172.0999999999999</v>
      </c>
      <c r="N154" s="147">
        <f>+F154+F155-M154-M155</f>
        <v>0</v>
      </c>
      <c r="P154" s="140"/>
      <c r="Q154" s="140"/>
    </row>
    <row r="155" spans="1:17" hidden="1" x14ac:dyDescent="0.35">
      <c r="A155" s="146"/>
      <c r="B155" s="143"/>
      <c r="C155" s="133"/>
      <c r="D155" s="133"/>
      <c r="E155" s="148" t="s">
        <v>1064</v>
      </c>
      <c r="F155" s="145">
        <v>1172.0999999999999</v>
      </c>
      <c r="G155" s="133" t="s">
        <v>1034</v>
      </c>
      <c r="H155" s="144" t="s">
        <v>1341</v>
      </c>
      <c r="I155" s="133" t="s">
        <v>1092</v>
      </c>
      <c r="J155" s="133" t="s">
        <v>2252</v>
      </c>
      <c r="K155" s="143">
        <v>45108</v>
      </c>
      <c r="L155" s="133" t="s">
        <v>1241</v>
      </c>
      <c r="M155" s="133">
        <v>212.9</v>
      </c>
      <c r="N155" s="147"/>
      <c r="P155" s="140"/>
      <c r="Q155" s="140"/>
    </row>
    <row r="156" spans="1:17" hidden="1" x14ac:dyDescent="0.35">
      <c r="A156" s="146"/>
      <c r="B156" s="143"/>
      <c r="C156" s="133"/>
      <c r="D156" s="133"/>
      <c r="E156" s="148"/>
      <c r="F156" s="145"/>
      <c r="G156" s="133"/>
      <c r="H156" s="144"/>
      <c r="I156" s="133"/>
      <c r="J156" s="133"/>
      <c r="K156" s="133"/>
      <c r="L156" s="133"/>
      <c r="M156" s="133"/>
      <c r="N156" s="147"/>
      <c r="P156" s="140"/>
      <c r="Q156" s="140"/>
    </row>
    <row r="157" spans="1:17" hidden="1" x14ac:dyDescent="0.35">
      <c r="A157" s="146">
        <v>34</v>
      </c>
      <c r="B157" s="143">
        <v>45047</v>
      </c>
      <c r="C157" s="133" t="s">
        <v>1876</v>
      </c>
      <c r="D157" s="133" t="s">
        <v>2259</v>
      </c>
      <c r="E157" s="145" t="s">
        <v>1342</v>
      </c>
      <c r="F157" s="145">
        <v>4900</v>
      </c>
      <c r="G157" s="133" t="s">
        <v>1034</v>
      </c>
      <c r="H157" s="144" t="s">
        <v>1341</v>
      </c>
      <c r="I157" s="133" t="s">
        <v>1092</v>
      </c>
      <c r="J157" s="133" t="s">
        <v>2256</v>
      </c>
      <c r="K157" s="143">
        <v>45108</v>
      </c>
      <c r="L157" s="133" t="s">
        <v>1092</v>
      </c>
      <c r="M157" s="133">
        <v>4900</v>
      </c>
      <c r="N157" s="147">
        <f>+F157+F158+F159-M157-M158-M159</f>
        <v>9.0949470177292824E-13</v>
      </c>
      <c r="P157" s="140"/>
      <c r="Q157" s="140"/>
    </row>
    <row r="158" spans="1:17" hidden="1" x14ac:dyDescent="0.35">
      <c r="A158" s="146"/>
      <c r="B158" s="143"/>
      <c r="C158" s="133"/>
      <c r="D158" s="133"/>
      <c r="E158" s="145" t="s">
        <v>1067</v>
      </c>
      <c r="F158" s="195">
        <v>6515.7</v>
      </c>
      <c r="G158" s="133" t="s">
        <v>1034</v>
      </c>
      <c r="H158" s="144" t="s">
        <v>1341</v>
      </c>
      <c r="I158" s="133" t="s">
        <v>1092</v>
      </c>
      <c r="J158" s="133" t="s">
        <v>2249</v>
      </c>
      <c r="K158" s="143">
        <v>45108</v>
      </c>
      <c r="L158" s="133" t="s">
        <v>1092</v>
      </c>
      <c r="M158" s="133">
        <v>6087.7</v>
      </c>
      <c r="N158" s="147"/>
      <c r="P158" s="140"/>
      <c r="Q158" s="140"/>
    </row>
    <row r="159" spans="1:17" hidden="1" x14ac:dyDescent="0.35">
      <c r="A159" s="146"/>
      <c r="B159" s="143"/>
      <c r="C159" s="133"/>
      <c r="D159" s="133"/>
      <c r="E159" s="145" t="s">
        <v>32</v>
      </c>
      <c r="F159" s="145">
        <v>150</v>
      </c>
      <c r="G159" s="133" t="s">
        <v>1034</v>
      </c>
      <c r="H159" s="144" t="s">
        <v>1341</v>
      </c>
      <c r="I159" s="133" t="s">
        <v>1092</v>
      </c>
      <c r="J159" s="133" t="s">
        <v>2252</v>
      </c>
      <c r="K159" s="143">
        <v>45108</v>
      </c>
      <c r="L159" s="133" t="s">
        <v>1241</v>
      </c>
      <c r="M159" s="133">
        <v>578</v>
      </c>
      <c r="N159" s="147"/>
      <c r="P159" s="140"/>
      <c r="Q159" s="140"/>
    </row>
    <row r="160" spans="1:17" hidden="1" x14ac:dyDescent="0.35">
      <c r="A160" s="146"/>
      <c r="B160" s="143"/>
      <c r="C160" s="133"/>
      <c r="D160" s="133"/>
      <c r="E160" s="148"/>
      <c r="F160" s="145"/>
      <c r="G160" s="133"/>
      <c r="H160" s="144"/>
      <c r="I160" s="133"/>
      <c r="J160" s="133"/>
      <c r="K160" s="133"/>
      <c r="L160" s="133"/>
      <c r="M160" s="133"/>
      <c r="N160" s="147"/>
      <c r="P160" s="140"/>
      <c r="Q160" s="140"/>
    </row>
    <row r="161" spans="1:17" hidden="1" x14ac:dyDescent="0.35">
      <c r="A161" s="146">
        <v>35</v>
      </c>
      <c r="B161" s="143">
        <v>45047</v>
      </c>
      <c r="C161" s="133" t="s">
        <v>1873</v>
      </c>
      <c r="D161" s="133" t="s">
        <v>2258</v>
      </c>
      <c r="E161" s="145" t="s">
        <v>1342</v>
      </c>
      <c r="F161" s="145">
        <v>2046</v>
      </c>
      <c r="G161" s="133" t="s">
        <v>1034</v>
      </c>
      <c r="H161" s="144" t="s">
        <v>1341</v>
      </c>
      <c r="I161" s="133" t="s">
        <v>1092</v>
      </c>
      <c r="J161" s="133" t="s">
        <v>2257</v>
      </c>
      <c r="K161" s="143">
        <v>45108</v>
      </c>
      <c r="L161" s="133" t="s">
        <v>1092</v>
      </c>
      <c r="M161" s="133">
        <v>585.29999999999995</v>
      </c>
      <c r="N161" s="147">
        <f>+F161+F162+F163+F164-M161-M162-M163-M164</f>
        <v>3.637978807091713E-12</v>
      </c>
      <c r="P161" s="140"/>
      <c r="Q161" s="140"/>
    </row>
    <row r="162" spans="1:17" hidden="1" x14ac:dyDescent="0.35">
      <c r="A162" s="146"/>
      <c r="B162" s="143"/>
      <c r="C162" s="133"/>
      <c r="D162" s="133"/>
      <c r="E162" s="145" t="s">
        <v>1075</v>
      </c>
      <c r="F162" s="145">
        <v>1626</v>
      </c>
      <c r="G162" s="133" t="s">
        <v>1034</v>
      </c>
      <c r="H162" s="144" t="s">
        <v>1341</v>
      </c>
      <c r="I162" s="133" t="s">
        <v>1092</v>
      </c>
      <c r="J162" s="133" t="s">
        <v>2256</v>
      </c>
      <c r="K162" s="143">
        <v>45108</v>
      </c>
      <c r="L162" s="133" t="s">
        <v>1092</v>
      </c>
      <c r="M162" s="133">
        <v>1173.8</v>
      </c>
      <c r="N162" s="147"/>
      <c r="P162" s="140"/>
      <c r="Q162" s="140"/>
    </row>
    <row r="163" spans="1:17" hidden="1" x14ac:dyDescent="0.35">
      <c r="A163" s="146"/>
      <c r="B163" s="143"/>
      <c r="C163" s="133"/>
      <c r="D163" s="133"/>
      <c r="E163" s="145" t="s">
        <v>1067</v>
      </c>
      <c r="F163" s="145">
        <v>2371.3000000000002</v>
      </c>
      <c r="G163" s="133" t="s">
        <v>1034</v>
      </c>
      <c r="H163" s="144" t="s">
        <v>1341</v>
      </c>
      <c r="I163" s="133" t="s">
        <v>1092</v>
      </c>
      <c r="J163" s="133" t="s">
        <v>2249</v>
      </c>
      <c r="K163" s="143">
        <v>45108</v>
      </c>
      <c r="L163" s="133" t="s">
        <v>1092</v>
      </c>
      <c r="M163" s="133">
        <v>8454.2999999999993</v>
      </c>
      <c r="N163" s="147"/>
      <c r="P163" s="140"/>
      <c r="Q163" s="140"/>
    </row>
    <row r="164" spans="1:17" hidden="1" x14ac:dyDescent="0.35">
      <c r="A164" s="146"/>
      <c r="B164" s="143"/>
      <c r="C164" s="133"/>
      <c r="D164" s="133"/>
      <c r="E164" s="145" t="s">
        <v>1118</v>
      </c>
      <c r="F164" s="145">
        <v>4759.1000000000004</v>
      </c>
      <c r="G164" s="133" t="s">
        <v>1034</v>
      </c>
      <c r="H164" s="144" t="s">
        <v>1341</v>
      </c>
      <c r="I164" s="133" t="s">
        <v>1092</v>
      </c>
      <c r="J164" s="133" t="s">
        <v>2252</v>
      </c>
      <c r="K164" s="143">
        <v>45108</v>
      </c>
      <c r="L164" s="133" t="s">
        <v>1241</v>
      </c>
      <c r="M164" s="133">
        <v>589</v>
      </c>
      <c r="N164" s="147"/>
      <c r="P164" s="140"/>
      <c r="Q164" s="140"/>
    </row>
    <row r="165" spans="1:17" hidden="1" x14ac:dyDescent="0.35">
      <c r="A165" s="146"/>
      <c r="B165" s="143"/>
      <c r="C165" s="133"/>
      <c r="D165" s="133"/>
      <c r="E165" s="148"/>
      <c r="F165" s="145"/>
      <c r="G165" s="133"/>
      <c r="H165" s="144"/>
      <c r="I165" s="133"/>
      <c r="J165" s="133"/>
      <c r="K165" s="133"/>
      <c r="L165" s="133"/>
      <c r="M165" s="133"/>
      <c r="N165" s="147"/>
      <c r="P165" s="140"/>
      <c r="Q165" s="140"/>
    </row>
    <row r="166" spans="1:17" hidden="1" x14ac:dyDescent="0.35">
      <c r="A166" s="146">
        <v>36</v>
      </c>
      <c r="B166" s="143">
        <v>45047</v>
      </c>
      <c r="C166" s="133" t="s">
        <v>1870</v>
      </c>
      <c r="D166" s="133" t="s">
        <v>2255</v>
      </c>
      <c r="E166" s="145" t="s">
        <v>1342</v>
      </c>
      <c r="F166" s="145">
        <v>1766</v>
      </c>
      <c r="G166" s="133" t="s">
        <v>1034</v>
      </c>
      <c r="H166" s="144" t="s">
        <v>1341</v>
      </c>
      <c r="I166" s="133" t="s">
        <v>1092</v>
      </c>
      <c r="J166" s="133" t="s">
        <v>2249</v>
      </c>
      <c r="K166" s="143">
        <v>45108</v>
      </c>
      <c r="L166" s="133" t="s">
        <v>1092</v>
      </c>
      <c r="M166" s="133">
        <v>2089.3000000000002</v>
      </c>
      <c r="N166" s="147">
        <f>+F166+F167-M166-M167</f>
        <v>0</v>
      </c>
      <c r="P166" s="140"/>
      <c r="Q166" s="140"/>
    </row>
    <row r="167" spans="1:17" hidden="1" x14ac:dyDescent="0.35">
      <c r="A167" s="146"/>
      <c r="B167" s="143"/>
      <c r="C167" s="133"/>
      <c r="D167" s="133"/>
      <c r="E167" s="145" t="s">
        <v>1067</v>
      </c>
      <c r="F167" s="145">
        <v>433.3</v>
      </c>
      <c r="G167" s="133" t="s">
        <v>1034</v>
      </c>
      <c r="H167" s="144" t="s">
        <v>1341</v>
      </c>
      <c r="I167" s="133" t="s">
        <v>1092</v>
      </c>
      <c r="J167" s="133" t="s">
        <v>2252</v>
      </c>
      <c r="K167" s="143">
        <v>45108</v>
      </c>
      <c r="L167" s="133" t="s">
        <v>1241</v>
      </c>
      <c r="M167" s="133">
        <v>110</v>
      </c>
      <c r="N167" s="147"/>
      <c r="P167" s="140"/>
      <c r="Q167" s="140"/>
    </row>
    <row r="168" spans="1:17" hidden="1" x14ac:dyDescent="0.35">
      <c r="A168" s="146"/>
      <c r="B168" s="143"/>
      <c r="C168" s="133"/>
      <c r="D168" s="133"/>
      <c r="E168" s="148"/>
      <c r="F168" s="145"/>
      <c r="G168" s="133"/>
      <c r="H168" s="144"/>
      <c r="I168" s="133"/>
      <c r="J168" s="133"/>
      <c r="K168" s="133"/>
      <c r="L168" s="133"/>
      <c r="M168" s="133"/>
      <c r="N168" s="147"/>
      <c r="P168" s="140"/>
      <c r="Q168" s="140"/>
    </row>
    <row r="169" spans="1:17" hidden="1" x14ac:dyDescent="0.35">
      <c r="A169" s="146">
        <v>37</v>
      </c>
      <c r="B169" s="143">
        <v>45047</v>
      </c>
      <c r="C169" s="133" t="s">
        <v>1868</v>
      </c>
      <c r="D169" s="133" t="s">
        <v>2254</v>
      </c>
      <c r="E169" s="145" t="s">
        <v>1342</v>
      </c>
      <c r="F169" s="145">
        <v>12061</v>
      </c>
      <c r="G169" s="133" t="s">
        <v>1034</v>
      </c>
      <c r="H169" s="144" t="s">
        <v>1341</v>
      </c>
      <c r="I169" s="133" t="s">
        <v>1092</v>
      </c>
      <c r="J169" s="133" t="s">
        <v>2249</v>
      </c>
      <c r="K169" s="143">
        <v>45108</v>
      </c>
      <c r="L169" s="133" t="s">
        <v>1092</v>
      </c>
      <c r="M169" s="133">
        <f>12061+2213+88.2</f>
        <v>14362.2</v>
      </c>
      <c r="N169" s="147">
        <f>+F169+F170+F171+F172-M169-M170-M171</f>
        <v>0</v>
      </c>
      <c r="P169" s="140"/>
      <c r="Q169" s="140"/>
    </row>
    <row r="170" spans="1:17" hidden="1" x14ac:dyDescent="0.35">
      <c r="A170" s="146"/>
      <c r="B170" s="143"/>
      <c r="C170" s="133"/>
      <c r="D170" s="133"/>
      <c r="E170" s="145" t="s">
        <v>1075</v>
      </c>
      <c r="F170" s="145">
        <v>3050</v>
      </c>
      <c r="G170" s="133" t="s">
        <v>1034</v>
      </c>
      <c r="H170" s="144" t="s">
        <v>1341</v>
      </c>
      <c r="I170" s="133" t="s">
        <v>1092</v>
      </c>
      <c r="J170" s="133" t="s">
        <v>2248</v>
      </c>
      <c r="K170" s="143">
        <v>45108</v>
      </c>
      <c r="L170" s="133" t="s">
        <v>1092</v>
      </c>
      <c r="M170" s="133">
        <v>1534.0999999999985</v>
      </c>
      <c r="N170" s="147"/>
      <c r="P170" s="140"/>
      <c r="Q170" s="140"/>
    </row>
    <row r="171" spans="1:17" hidden="1" x14ac:dyDescent="0.35">
      <c r="A171" s="146"/>
      <c r="B171" s="143"/>
      <c r="C171" s="133"/>
      <c r="D171" s="133"/>
      <c r="E171" s="145" t="s">
        <v>1067</v>
      </c>
      <c r="F171" s="145">
        <v>88.2</v>
      </c>
      <c r="G171" s="133" t="s">
        <v>1034</v>
      </c>
      <c r="H171" s="144" t="s">
        <v>1341</v>
      </c>
      <c r="I171" s="133" t="s">
        <v>1092</v>
      </c>
      <c r="J171" s="133" t="s">
        <v>2252</v>
      </c>
      <c r="K171" s="143">
        <v>45108</v>
      </c>
      <c r="L171" s="133" t="s">
        <v>1241</v>
      </c>
      <c r="M171" s="133">
        <v>837</v>
      </c>
      <c r="N171" s="147"/>
      <c r="P171" s="140"/>
      <c r="Q171" s="140"/>
    </row>
    <row r="172" spans="1:17" hidden="1" x14ac:dyDescent="0.35">
      <c r="A172" s="146"/>
      <c r="B172" s="143"/>
      <c r="C172" s="133"/>
      <c r="D172" s="133"/>
      <c r="E172" s="145" t="s">
        <v>1118</v>
      </c>
      <c r="F172" s="145">
        <v>1534.1</v>
      </c>
      <c r="G172" s="133"/>
      <c r="H172" s="144"/>
      <c r="I172" s="133"/>
      <c r="J172" s="133"/>
      <c r="K172" s="133"/>
      <c r="L172" s="133"/>
      <c r="M172" s="133"/>
      <c r="N172" s="147"/>
      <c r="P172" s="140"/>
      <c r="Q172" s="140"/>
    </row>
    <row r="173" spans="1:17" hidden="1" x14ac:dyDescent="0.35">
      <c r="A173" s="146"/>
      <c r="B173" s="143"/>
      <c r="C173" s="133"/>
      <c r="D173" s="133"/>
      <c r="E173" s="145"/>
      <c r="F173" s="145"/>
      <c r="G173" s="133"/>
      <c r="H173" s="144"/>
      <c r="I173" s="133"/>
      <c r="J173" s="133"/>
      <c r="K173" s="133"/>
      <c r="L173" s="133"/>
      <c r="M173" s="133"/>
      <c r="N173" s="147"/>
      <c r="P173" s="140"/>
      <c r="Q173" s="140"/>
    </row>
    <row r="174" spans="1:17" hidden="1" x14ac:dyDescent="0.35">
      <c r="A174" s="146">
        <v>38</v>
      </c>
      <c r="B174" s="143">
        <v>45047</v>
      </c>
      <c r="C174" s="133" t="s">
        <v>1866</v>
      </c>
      <c r="D174" s="133" t="s">
        <v>2253</v>
      </c>
      <c r="E174" s="145" t="s">
        <v>1342</v>
      </c>
      <c r="F174" s="145">
        <v>6988</v>
      </c>
      <c r="G174" s="133" t="s">
        <v>1034</v>
      </c>
      <c r="H174" s="144" t="s">
        <v>1341</v>
      </c>
      <c r="I174" s="133" t="s">
        <v>1092</v>
      </c>
      <c r="J174" s="133" t="s">
        <v>2241</v>
      </c>
      <c r="K174" s="143">
        <v>45078</v>
      </c>
      <c r="L174" s="133" t="s">
        <v>1092</v>
      </c>
      <c r="M174" s="133">
        <v>2455.1999999999998</v>
      </c>
      <c r="N174" s="147">
        <f>+F174+F175+F176+F177-M174-M175-M176-M177</f>
        <v>0</v>
      </c>
      <c r="P174" s="140"/>
      <c r="Q174" s="140"/>
    </row>
    <row r="175" spans="1:17" hidden="1" x14ac:dyDescent="0.35">
      <c r="A175" s="146"/>
      <c r="B175" s="143"/>
      <c r="C175" s="133"/>
      <c r="D175" s="133"/>
      <c r="E175" s="148" t="s">
        <v>1064</v>
      </c>
      <c r="F175" s="145">
        <v>2455.1999999999998</v>
      </c>
      <c r="G175" s="133" t="s">
        <v>1034</v>
      </c>
      <c r="H175" s="144" t="s">
        <v>1341</v>
      </c>
      <c r="I175" s="133" t="s">
        <v>1092</v>
      </c>
      <c r="J175" s="133" t="s">
        <v>2249</v>
      </c>
      <c r="K175" s="143">
        <v>45108</v>
      </c>
      <c r="L175" s="133" t="s">
        <v>1092</v>
      </c>
      <c r="M175" s="133">
        <f>634.8+6988</f>
        <v>7622.8</v>
      </c>
      <c r="N175" s="142"/>
      <c r="P175" s="140"/>
      <c r="Q175" s="140"/>
    </row>
    <row r="176" spans="1:17" hidden="1" x14ac:dyDescent="0.35">
      <c r="A176" s="146"/>
      <c r="B176" s="143"/>
      <c r="C176" s="133"/>
      <c r="D176" s="133"/>
      <c r="E176" s="145" t="s">
        <v>1067</v>
      </c>
      <c r="F176" s="145">
        <v>1303.8</v>
      </c>
      <c r="G176" s="133" t="s">
        <v>1034</v>
      </c>
      <c r="H176" s="144" t="s">
        <v>1341</v>
      </c>
      <c r="I176" s="133" t="s">
        <v>1092</v>
      </c>
      <c r="J176" s="133" t="s">
        <v>2252</v>
      </c>
      <c r="K176" s="143">
        <v>45108</v>
      </c>
      <c r="L176" s="133" t="s">
        <v>1241</v>
      </c>
      <c r="M176" s="133">
        <v>669</v>
      </c>
      <c r="N176" s="142"/>
      <c r="P176" s="140"/>
      <c r="Q176" s="140"/>
    </row>
    <row r="177" spans="1:17" hidden="1" x14ac:dyDescent="0.35">
      <c r="A177" s="146"/>
      <c r="B177" s="143"/>
      <c r="C177" s="133"/>
      <c r="D177" s="133"/>
      <c r="E177" s="145" t="s">
        <v>1118</v>
      </c>
      <c r="F177" s="195">
        <v>2614.6</v>
      </c>
      <c r="G177" s="133" t="s">
        <v>1034</v>
      </c>
      <c r="H177" s="144" t="s">
        <v>1341</v>
      </c>
      <c r="I177" s="133" t="s">
        <v>1092</v>
      </c>
      <c r="J177" s="133" t="s">
        <v>2239</v>
      </c>
      <c r="K177" s="143">
        <v>45108</v>
      </c>
      <c r="L177" s="133" t="s">
        <v>1092</v>
      </c>
      <c r="M177" s="133">
        <v>2614.6000000000013</v>
      </c>
      <c r="N177" s="142"/>
      <c r="P177" s="140"/>
      <c r="Q177" s="140"/>
    </row>
    <row r="178" spans="1:17" hidden="1" x14ac:dyDescent="0.35">
      <c r="A178" s="146"/>
      <c r="B178" s="143"/>
      <c r="C178" s="133"/>
      <c r="D178" s="133"/>
      <c r="E178" s="145"/>
      <c r="F178" s="145"/>
      <c r="G178" s="133"/>
      <c r="H178" s="144"/>
      <c r="I178" s="133"/>
      <c r="J178" s="133"/>
      <c r="K178" s="133"/>
      <c r="L178" s="133"/>
      <c r="M178" s="133"/>
      <c r="N178" s="142"/>
      <c r="P178" s="140"/>
      <c r="Q178" s="140"/>
    </row>
    <row r="179" spans="1:17" hidden="1" x14ac:dyDescent="0.35">
      <c r="A179" s="146">
        <v>39</v>
      </c>
      <c r="B179" s="143">
        <v>45047</v>
      </c>
      <c r="C179" s="133" t="s">
        <v>1863</v>
      </c>
      <c r="D179" s="133" t="s">
        <v>2251</v>
      </c>
      <c r="E179" s="148" t="s">
        <v>1059</v>
      </c>
      <c r="F179" s="145">
        <v>49500</v>
      </c>
      <c r="G179" s="133" t="s">
        <v>1034</v>
      </c>
      <c r="H179" s="144" t="s">
        <v>1341</v>
      </c>
      <c r="I179" s="133" t="s">
        <v>1092</v>
      </c>
      <c r="J179" s="133" t="s">
        <v>2250</v>
      </c>
      <c r="K179" s="143">
        <v>45108</v>
      </c>
      <c r="L179" s="133" t="s">
        <v>1092</v>
      </c>
      <c r="M179" s="133">
        <v>803</v>
      </c>
      <c r="N179" s="147">
        <f>+F179-M179-M180-M181-M182-M183</f>
        <v>-3.637978807091713E-12</v>
      </c>
      <c r="P179" s="140"/>
      <c r="Q179" s="140"/>
    </row>
    <row r="180" spans="1:17" hidden="1" x14ac:dyDescent="0.35">
      <c r="A180" s="146"/>
      <c r="B180" s="143"/>
      <c r="C180" s="133"/>
      <c r="D180" s="133"/>
      <c r="E180" s="145"/>
      <c r="F180" s="145"/>
      <c r="G180" s="133" t="s">
        <v>1034</v>
      </c>
      <c r="H180" s="144" t="s">
        <v>1341</v>
      </c>
      <c r="I180" s="133" t="s">
        <v>1092</v>
      </c>
      <c r="J180" s="133" t="s">
        <v>2249</v>
      </c>
      <c r="K180" s="143">
        <v>45108</v>
      </c>
      <c r="L180" s="133" t="s">
        <v>1092</v>
      </c>
      <c r="M180" s="133">
        <v>7523.8</v>
      </c>
      <c r="N180" s="142"/>
      <c r="P180" s="140"/>
      <c r="Q180" s="140"/>
    </row>
    <row r="181" spans="1:17" hidden="1" x14ac:dyDescent="0.35">
      <c r="A181" s="146"/>
      <c r="B181" s="143"/>
      <c r="C181" s="133"/>
      <c r="D181" s="133"/>
      <c r="E181" s="145"/>
      <c r="F181" s="145"/>
      <c r="G181" s="133" t="s">
        <v>1034</v>
      </c>
      <c r="H181" s="144" t="s">
        <v>1341</v>
      </c>
      <c r="I181" s="133" t="s">
        <v>1092</v>
      </c>
      <c r="J181" s="133" t="s">
        <v>2248</v>
      </c>
      <c r="K181" s="143">
        <v>45108</v>
      </c>
      <c r="L181" s="133" t="s">
        <v>1092</v>
      </c>
      <c r="M181" s="133">
        <v>15713.9</v>
      </c>
      <c r="N181" s="142"/>
      <c r="P181" s="140"/>
      <c r="Q181" s="140"/>
    </row>
    <row r="182" spans="1:17" hidden="1" x14ac:dyDescent="0.35">
      <c r="A182" s="146"/>
      <c r="B182" s="143"/>
      <c r="C182" s="133"/>
      <c r="D182" s="133"/>
      <c r="E182" s="145"/>
      <c r="F182" s="145"/>
      <c r="G182" s="133" t="s">
        <v>1034</v>
      </c>
      <c r="H182" s="144" t="s">
        <v>1341</v>
      </c>
      <c r="I182" s="133" t="s">
        <v>1092</v>
      </c>
      <c r="J182" s="133" t="s">
        <v>2239</v>
      </c>
      <c r="K182" s="143">
        <v>45108</v>
      </c>
      <c r="L182" s="133" t="s">
        <v>1092</v>
      </c>
      <c r="M182" s="133">
        <v>22985.3</v>
      </c>
      <c r="N182" s="142"/>
      <c r="P182" s="140"/>
      <c r="Q182" s="140"/>
    </row>
    <row r="183" spans="1:17" hidden="1" x14ac:dyDescent="0.35">
      <c r="A183" s="146"/>
      <c r="B183" s="143"/>
      <c r="C183" s="133"/>
      <c r="D183" s="133"/>
      <c r="E183" s="145"/>
      <c r="F183" s="145"/>
      <c r="G183" s="133" t="s">
        <v>1034</v>
      </c>
      <c r="H183" s="144" t="s">
        <v>1341</v>
      </c>
      <c r="I183" s="133" t="s">
        <v>1092</v>
      </c>
      <c r="J183" s="133" t="s">
        <v>2209</v>
      </c>
      <c r="K183" s="143">
        <v>45139</v>
      </c>
      <c r="L183" s="133" t="s">
        <v>1241</v>
      </c>
      <c r="M183" s="133">
        <v>2474</v>
      </c>
      <c r="N183" s="142"/>
      <c r="P183" s="140"/>
      <c r="Q183" s="140"/>
    </row>
    <row r="184" spans="1:17" hidden="1" x14ac:dyDescent="0.35">
      <c r="A184" s="146"/>
      <c r="B184" s="143"/>
      <c r="C184" s="133"/>
      <c r="D184" s="133"/>
      <c r="E184" s="145"/>
      <c r="F184" s="145"/>
      <c r="G184" s="133"/>
      <c r="H184" s="144"/>
      <c r="I184" s="133"/>
      <c r="J184" s="133"/>
      <c r="K184" s="143"/>
      <c r="L184" s="133"/>
      <c r="M184" s="133"/>
      <c r="N184" s="142"/>
      <c r="P184" s="140"/>
      <c r="Q184" s="140"/>
    </row>
    <row r="185" spans="1:17" hidden="1" x14ac:dyDescent="0.35">
      <c r="A185" s="156"/>
      <c r="B185" s="152"/>
      <c r="C185" s="151"/>
      <c r="D185" s="151"/>
      <c r="E185" s="154"/>
      <c r="F185" s="154"/>
      <c r="G185" s="151"/>
      <c r="H185" s="153"/>
      <c r="I185" s="151"/>
      <c r="J185" s="151"/>
      <c r="K185" s="151"/>
      <c r="L185" s="151"/>
      <c r="M185" s="151"/>
      <c r="N185" s="150"/>
      <c r="P185" s="140"/>
      <c r="Q185" s="140"/>
    </row>
    <row r="186" spans="1:17" hidden="1" x14ac:dyDescent="0.35">
      <c r="A186" s="146"/>
      <c r="B186" s="143"/>
      <c r="C186" s="133"/>
      <c r="D186" s="133"/>
      <c r="E186" s="145"/>
      <c r="F186" s="145"/>
      <c r="G186" s="133"/>
      <c r="H186" s="144"/>
      <c r="I186" s="133"/>
      <c r="J186" s="133"/>
      <c r="K186" s="133"/>
      <c r="L186" s="133"/>
      <c r="M186" s="133"/>
      <c r="N186" s="142"/>
      <c r="P186" s="140"/>
      <c r="Q186" s="140"/>
    </row>
    <row r="187" spans="1:17" hidden="1" x14ac:dyDescent="0.35">
      <c r="A187" s="146">
        <v>40</v>
      </c>
      <c r="B187" s="143">
        <v>45078</v>
      </c>
      <c r="C187" s="133" t="s">
        <v>1859</v>
      </c>
      <c r="D187" s="133" t="s">
        <v>2247</v>
      </c>
      <c r="E187" s="145" t="s">
        <v>1342</v>
      </c>
      <c r="F187" s="145">
        <v>1983.4</v>
      </c>
      <c r="G187" s="133" t="s">
        <v>1034</v>
      </c>
      <c r="H187" s="144" t="s">
        <v>1341</v>
      </c>
      <c r="I187" s="133" t="s">
        <v>1092</v>
      </c>
      <c r="J187" s="133" t="s">
        <v>2239</v>
      </c>
      <c r="K187" s="143">
        <v>45108</v>
      </c>
      <c r="L187" s="133" t="s">
        <v>1092</v>
      </c>
      <c r="M187" s="133">
        <v>6475.2999999999993</v>
      </c>
      <c r="N187" s="147">
        <f>+F187+F188+F189-M187-M188</f>
        <v>0</v>
      </c>
      <c r="P187" s="140"/>
      <c r="Q187" s="140"/>
    </row>
    <row r="188" spans="1:17" hidden="1" x14ac:dyDescent="0.35">
      <c r="A188" s="146"/>
      <c r="B188" s="143"/>
      <c r="C188" s="133"/>
      <c r="D188" s="133"/>
      <c r="E188" s="145" t="s">
        <v>1067</v>
      </c>
      <c r="F188" s="145">
        <v>2541</v>
      </c>
      <c r="G188" s="133" t="s">
        <v>1034</v>
      </c>
      <c r="H188" s="144" t="s">
        <v>1341</v>
      </c>
      <c r="I188" s="133" t="s">
        <v>1092</v>
      </c>
      <c r="J188" s="133" t="s">
        <v>2209</v>
      </c>
      <c r="K188" s="143">
        <v>45139</v>
      </c>
      <c r="L188" s="133" t="s">
        <v>1241</v>
      </c>
      <c r="M188" s="133">
        <v>341</v>
      </c>
      <c r="N188" s="147"/>
      <c r="P188" s="140"/>
      <c r="Q188" s="140"/>
    </row>
    <row r="189" spans="1:17" hidden="1" x14ac:dyDescent="0.35">
      <c r="A189" s="146"/>
      <c r="B189" s="143"/>
      <c r="C189" s="133"/>
      <c r="D189" s="133"/>
      <c r="E189" s="145" t="s">
        <v>1118</v>
      </c>
      <c r="F189" s="145">
        <v>2291.9</v>
      </c>
      <c r="G189" s="133"/>
      <c r="H189" s="144"/>
      <c r="I189" s="133"/>
      <c r="J189" s="133"/>
      <c r="K189" s="133"/>
      <c r="L189" s="133"/>
      <c r="M189" s="133"/>
      <c r="N189" s="147"/>
      <c r="P189" s="140"/>
      <c r="Q189" s="140"/>
    </row>
    <row r="190" spans="1:17" hidden="1" x14ac:dyDescent="0.35">
      <c r="A190" s="146"/>
      <c r="B190" s="143"/>
      <c r="C190" s="133"/>
      <c r="D190" s="133"/>
      <c r="E190" s="145"/>
      <c r="F190" s="145"/>
      <c r="G190" s="133"/>
      <c r="H190" s="144"/>
      <c r="I190" s="133"/>
      <c r="J190" s="133"/>
      <c r="K190" s="133"/>
      <c r="L190" s="133"/>
      <c r="M190" s="133"/>
      <c r="N190" s="147"/>
      <c r="P190" s="140"/>
      <c r="Q190" s="140"/>
    </row>
    <row r="191" spans="1:17" hidden="1" x14ac:dyDescent="0.35">
      <c r="A191" s="146">
        <v>41</v>
      </c>
      <c r="B191" s="143">
        <v>45078</v>
      </c>
      <c r="C191" s="133" t="s">
        <v>1857</v>
      </c>
      <c r="D191" s="133" t="s">
        <v>2246</v>
      </c>
      <c r="E191" s="145" t="s">
        <v>1342</v>
      </c>
      <c r="F191" s="145">
        <v>9677</v>
      </c>
      <c r="G191" s="133" t="s">
        <v>1034</v>
      </c>
      <c r="H191" s="144" t="s">
        <v>1341</v>
      </c>
      <c r="I191" s="133" t="s">
        <v>1092</v>
      </c>
      <c r="J191" s="133" t="s">
        <v>2239</v>
      </c>
      <c r="K191" s="143">
        <v>45108</v>
      </c>
      <c r="L191" s="133" t="s">
        <v>1092</v>
      </c>
      <c r="M191" s="133">
        <v>9917.2999999999993</v>
      </c>
      <c r="N191" s="147">
        <f>+F191+F192-M191-M192</f>
        <v>0</v>
      </c>
      <c r="P191" s="140"/>
      <c r="Q191" s="140"/>
    </row>
    <row r="192" spans="1:17" hidden="1" x14ac:dyDescent="0.35">
      <c r="A192" s="146"/>
      <c r="B192" s="143"/>
      <c r="C192" s="133"/>
      <c r="D192" s="133"/>
      <c r="E192" s="145" t="s">
        <v>1067</v>
      </c>
      <c r="F192" s="145">
        <v>762.3</v>
      </c>
      <c r="G192" s="133" t="s">
        <v>1034</v>
      </c>
      <c r="H192" s="144" t="s">
        <v>1341</v>
      </c>
      <c r="I192" s="133" t="s">
        <v>1092</v>
      </c>
      <c r="J192" s="133" t="s">
        <v>2209</v>
      </c>
      <c r="K192" s="143">
        <v>45139</v>
      </c>
      <c r="L192" s="133" t="s">
        <v>1241</v>
      </c>
      <c r="M192" s="133">
        <v>522</v>
      </c>
      <c r="N192" s="147"/>
      <c r="P192" s="140"/>
      <c r="Q192" s="140"/>
    </row>
    <row r="193" spans="1:17" hidden="1" x14ac:dyDescent="0.35">
      <c r="A193" s="146"/>
      <c r="B193" s="143"/>
      <c r="C193" s="133"/>
      <c r="D193" s="133"/>
      <c r="E193" s="145"/>
      <c r="F193" s="145"/>
      <c r="G193" s="133"/>
      <c r="H193" s="144"/>
      <c r="I193" s="133"/>
      <c r="J193" s="133"/>
      <c r="K193" s="133"/>
      <c r="L193" s="133"/>
      <c r="M193" s="133"/>
      <c r="N193" s="147"/>
      <c r="P193" s="140"/>
      <c r="Q193" s="140"/>
    </row>
    <row r="194" spans="1:17" hidden="1" x14ac:dyDescent="0.35">
      <c r="A194" s="146">
        <v>42</v>
      </c>
      <c r="B194" s="143">
        <v>45078</v>
      </c>
      <c r="C194" s="133" t="s">
        <v>1855</v>
      </c>
      <c r="D194" s="133" t="s">
        <v>2245</v>
      </c>
      <c r="E194" s="148" t="s">
        <v>1064</v>
      </c>
      <c r="F194" s="145">
        <v>2258.9</v>
      </c>
      <c r="G194" s="133" t="s">
        <v>1034</v>
      </c>
      <c r="H194" s="144" t="s">
        <v>1341</v>
      </c>
      <c r="I194" s="133" t="s">
        <v>1092</v>
      </c>
      <c r="J194" s="133" t="s">
        <v>2241</v>
      </c>
      <c r="K194" s="143">
        <v>45078</v>
      </c>
      <c r="L194" s="133" t="s">
        <v>1092</v>
      </c>
      <c r="M194" s="133">
        <v>2258.9</v>
      </c>
      <c r="N194" s="147">
        <f>+F194-M194</f>
        <v>0</v>
      </c>
      <c r="P194" s="140"/>
      <c r="Q194" s="140"/>
    </row>
    <row r="195" spans="1:17" hidden="1" x14ac:dyDescent="0.35">
      <c r="A195" s="146"/>
      <c r="B195" s="143"/>
      <c r="C195" s="133"/>
      <c r="D195" s="133"/>
      <c r="E195" s="145"/>
      <c r="F195" s="145"/>
      <c r="G195" s="133"/>
      <c r="H195" s="144"/>
      <c r="I195" s="133"/>
      <c r="J195" s="133"/>
      <c r="K195" s="133"/>
      <c r="L195" s="133"/>
      <c r="M195" s="133"/>
      <c r="N195" s="147"/>
      <c r="P195" s="140"/>
      <c r="Q195" s="140"/>
    </row>
    <row r="196" spans="1:17" hidden="1" x14ac:dyDescent="0.35">
      <c r="A196" s="146">
        <v>43</v>
      </c>
      <c r="B196" s="143">
        <v>45078</v>
      </c>
      <c r="C196" s="133" t="s">
        <v>1853</v>
      </c>
      <c r="D196" s="133" t="s">
        <v>2244</v>
      </c>
      <c r="E196" s="145" t="s">
        <v>1342</v>
      </c>
      <c r="F196" s="145">
        <v>655</v>
      </c>
      <c r="G196" s="133" t="s">
        <v>1034</v>
      </c>
      <c r="H196" s="144" t="s">
        <v>1341</v>
      </c>
      <c r="I196" s="133" t="s">
        <v>1092</v>
      </c>
      <c r="J196" s="133" t="s">
        <v>2239</v>
      </c>
      <c r="K196" s="143">
        <v>45108</v>
      </c>
      <c r="L196" s="133" t="s">
        <v>1092</v>
      </c>
      <c r="M196" s="133">
        <v>4858.45</v>
      </c>
      <c r="N196" s="147">
        <f>+F196+F197+F198-M196-M197</f>
        <v>0</v>
      </c>
      <c r="P196" s="140"/>
      <c r="Q196" s="140"/>
    </row>
    <row r="197" spans="1:17" hidden="1" x14ac:dyDescent="0.35">
      <c r="A197" s="146"/>
      <c r="B197" s="143"/>
      <c r="C197" s="133"/>
      <c r="D197" s="133"/>
      <c r="E197" s="145" t="s">
        <v>1067</v>
      </c>
      <c r="F197" s="145">
        <v>3458.45</v>
      </c>
      <c r="G197" s="133" t="s">
        <v>1034</v>
      </c>
      <c r="H197" s="144" t="s">
        <v>1341</v>
      </c>
      <c r="I197" s="133" t="s">
        <v>1092</v>
      </c>
      <c r="J197" s="133" t="s">
        <v>2209</v>
      </c>
      <c r="K197" s="143">
        <v>45139</v>
      </c>
      <c r="L197" s="133" t="s">
        <v>1241</v>
      </c>
      <c r="M197" s="133">
        <v>255</v>
      </c>
      <c r="N197" s="147"/>
      <c r="P197" s="140"/>
      <c r="Q197" s="140"/>
    </row>
    <row r="198" spans="1:17" hidden="1" x14ac:dyDescent="0.35">
      <c r="A198" s="146"/>
      <c r="B198" s="143"/>
      <c r="C198" s="133"/>
      <c r="D198" s="133"/>
      <c r="E198" s="145" t="s">
        <v>1089</v>
      </c>
      <c r="F198" s="145">
        <v>1000</v>
      </c>
      <c r="G198" s="133"/>
      <c r="H198" s="144"/>
      <c r="I198" s="133"/>
      <c r="J198" s="133"/>
      <c r="K198" s="133"/>
      <c r="L198" s="133"/>
      <c r="M198" s="133"/>
      <c r="N198" s="147"/>
      <c r="P198" s="140"/>
      <c r="Q198" s="140"/>
    </row>
    <row r="199" spans="1:17" hidden="1" x14ac:dyDescent="0.35">
      <c r="A199" s="146"/>
      <c r="B199" s="143"/>
      <c r="C199" s="133"/>
      <c r="D199" s="133"/>
      <c r="E199" s="145"/>
      <c r="F199" s="145"/>
      <c r="G199" s="133"/>
      <c r="H199" s="144"/>
      <c r="I199" s="133"/>
      <c r="J199" s="133"/>
      <c r="K199" s="133"/>
      <c r="L199" s="133"/>
      <c r="M199" s="133"/>
      <c r="N199" s="147"/>
      <c r="P199" s="140"/>
      <c r="Q199" s="140"/>
    </row>
    <row r="200" spans="1:17" hidden="1" x14ac:dyDescent="0.35">
      <c r="A200" s="146">
        <v>44</v>
      </c>
      <c r="B200" s="143">
        <v>45078</v>
      </c>
      <c r="C200" s="133" t="s">
        <v>1851</v>
      </c>
      <c r="D200" s="133" t="s">
        <v>2243</v>
      </c>
      <c r="E200" s="145" t="s">
        <v>1342</v>
      </c>
      <c r="F200" s="145">
        <v>1898</v>
      </c>
      <c r="G200" s="133" t="s">
        <v>1034</v>
      </c>
      <c r="H200" s="144" t="s">
        <v>1341</v>
      </c>
      <c r="I200" s="133" t="s">
        <v>1092</v>
      </c>
      <c r="J200" s="133" t="s">
        <v>2241</v>
      </c>
      <c r="K200" s="143">
        <v>45078</v>
      </c>
      <c r="L200" s="133" t="s">
        <v>1092</v>
      </c>
      <c r="M200" s="133">
        <v>5149</v>
      </c>
      <c r="N200" s="147">
        <f>+F200+F201+F202-M200-M201-M202-M203</f>
        <v>0</v>
      </c>
      <c r="P200" s="140"/>
      <c r="Q200" s="140"/>
    </row>
    <row r="201" spans="1:17" hidden="1" x14ac:dyDescent="0.35">
      <c r="A201" s="146"/>
      <c r="B201" s="143"/>
      <c r="C201" s="133"/>
      <c r="D201" s="133"/>
      <c r="E201" s="148" t="s">
        <v>1064</v>
      </c>
      <c r="F201" s="145">
        <v>5149</v>
      </c>
      <c r="G201" s="133" t="s">
        <v>1034</v>
      </c>
      <c r="H201" s="144" t="s">
        <v>1341</v>
      </c>
      <c r="I201" s="133" t="s">
        <v>1092</v>
      </c>
      <c r="J201" s="133" t="s">
        <v>2239</v>
      </c>
      <c r="K201" s="143">
        <v>45108</v>
      </c>
      <c r="L201" s="133" t="s">
        <v>1092</v>
      </c>
      <c r="M201" s="133">
        <v>1898</v>
      </c>
      <c r="N201" s="147"/>
      <c r="P201" s="140"/>
      <c r="Q201" s="140"/>
    </row>
    <row r="202" spans="1:17" hidden="1" x14ac:dyDescent="0.35">
      <c r="A202" s="146"/>
      <c r="B202" s="143"/>
      <c r="C202" s="133"/>
      <c r="D202" s="133"/>
      <c r="E202" s="145" t="s">
        <v>1118</v>
      </c>
      <c r="F202" s="145">
        <v>3649.4</v>
      </c>
      <c r="G202" s="133" t="s">
        <v>1034</v>
      </c>
      <c r="H202" s="144" t="s">
        <v>1341</v>
      </c>
      <c r="I202" s="133" t="s">
        <v>1092</v>
      </c>
      <c r="J202" s="133" t="s">
        <v>2236</v>
      </c>
      <c r="K202" s="143">
        <v>45108</v>
      </c>
      <c r="L202" s="133" t="s">
        <v>1092</v>
      </c>
      <c r="M202" s="133">
        <v>3106.3999999999996</v>
      </c>
      <c r="N202" s="147"/>
      <c r="P202" s="140"/>
      <c r="Q202" s="140"/>
    </row>
    <row r="203" spans="1:17" hidden="1" x14ac:dyDescent="0.35">
      <c r="A203" s="146"/>
      <c r="B203" s="143"/>
      <c r="C203" s="133"/>
      <c r="D203" s="133"/>
      <c r="E203" s="145"/>
      <c r="F203" s="145"/>
      <c r="G203" s="133" t="s">
        <v>1034</v>
      </c>
      <c r="H203" s="144" t="s">
        <v>1341</v>
      </c>
      <c r="I203" s="133" t="s">
        <v>1092</v>
      </c>
      <c r="J203" s="133" t="s">
        <v>2209</v>
      </c>
      <c r="K203" s="143">
        <v>45139</v>
      </c>
      <c r="L203" s="133" t="s">
        <v>1241</v>
      </c>
      <c r="M203" s="133">
        <v>543</v>
      </c>
      <c r="N203" s="147"/>
      <c r="P203" s="140"/>
      <c r="Q203" s="140"/>
    </row>
    <row r="204" spans="1:17" hidden="1" x14ac:dyDescent="0.35">
      <c r="A204" s="146"/>
      <c r="B204" s="143"/>
      <c r="C204" s="133"/>
      <c r="D204" s="133"/>
      <c r="E204" s="145"/>
      <c r="F204" s="145"/>
      <c r="G204" s="133"/>
      <c r="H204" s="144"/>
      <c r="I204" s="133"/>
      <c r="J204" s="133"/>
      <c r="K204" s="133"/>
      <c r="L204" s="133"/>
      <c r="M204" s="133"/>
      <c r="N204" s="147"/>
      <c r="P204" s="140"/>
      <c r="Q204" s="140"/>
    </row>
    <row r="205" spans="1:17" hidden="1" x14ac:dyDescent="0.35">
      <c r="A205" s="146">
        <v>45</v>
      </c>
      <c r="B205" s="143">
        <v>45078</v>
      </c>
      <c r="C205" s="133" t="s">
        <v>1849</v>
      </c>
      <c r="D205" s="133" t="s">
        <v>2242</v>
      </c>
      <c r="E205" s="145" t="s">
        <v>1342</v>
      </c>
      <c r="F205" s="145">
        <v>5907</v>
      </c>
      <c r="G205" s="133" t="s">
        <v>1034</v>
      </c>
      <c r="H205" s="144" t="s">
        <v>1341</v>
      </c>
      <c r="I205" s="133" t="s">
        <v>1092</v>
      </c>
      <c r="J205" s="133" t="s">
        <v>2241</v>
      </c>
      <c r="K205" s="143">
        <v>45078</v>
      </c>
      <c r="L205" s="133" t="s">
        <v>1092</v>
      </c>
      <c r="M205" s="133">
        <v>3980</v>
      </c>
      <c r="N205" s="147">
        <f>+F205+F206+F207-M205-M206-M207</f>
        <v>0</v>
      </c>
      <c r="P205" s="140"/>
      <c r="Q205" s="140"/>
    </row>
    <row r="206" spans="1:17" hidden="1" x14ac:dyDescent="0.35">
      <c r="A206" s="146"/>
      <c r="B206" s="143"/>
      <c r="C206" s="133"/>
      <c r="D206" s="133"/>
      <c r="E206" s="148" t="s">
        <v>1064</v>
      </c>
      <c r="F206" s="145">
        <v>3980</v>
      </c>
      <c r="G206" s="133" t="s">
        <v>1034</v>
      </c>
      <c r="H206" s="144" t="s">
        <v>1341</v>
      </c>
      <c r="I206" s="133" t="s">
        <v>1092</v>
      </c>
      <c r="J206" s="133" t="s">
        <v>2239</v>
      </c>
      <c r="K206" s="143">
        <v>45108</v>
      </c>
      <c r="L206" s="133" t="s">
        <v>1092</v>
      </c>
      <c r="M206" s="133">
        <v>6363.1</v>
      </c>
      <c r="N206" s="147"/>
      <c r="P206" s="140"/>
      <c r="Q206" s="140"/>
    </row>
    <row r="207" spans="1:17" hidden="1" x14ac:dyDescent="0.35">
      <c r="A207" s="146"/>
      <c r="B207" s="143"/>
      <c r="C207" s="133"/>
      <c r="D207" s="133"/>
      <c r="E207" s="145" t="s">
        <v>1067</v>
      </c>
      <c r="F207" s="145">
        <v>1000.1</v>
      </c>
      <c r="G207" s="133" t="s">
        <v>1034</v>
      </c>
      <c r="H207" s="144" t="s">
        <v>1341</v>
      </c>
      <c r="I207" s="133" t="s">
        <v>1092</v>
      </c>
      <c r="J207" s="133" t="s">
        <v>2209</v>
      </c>
      <c r="K207" s="143">
        <v>45139</v>
      </c>
      <c r="L207" s="133" t="s">
        <v>1241</v>
      </c>
      <c r="M207" s="133">
        <v>544</v>
      </c>
      <c r="N207" s="147"/>
      <c r="P207" s="140"/>
      <c r="Q207" s="140"/>
    </row>
    <row r="208" spans="1:17" hidden="1" x14ac:dyDescent="0.35">
      <c r="A208" s="146"/>
      <c r="B208" s="143"/>
      <c r="C208" s="133"/>
      <c r="D208" s="133"/>
      <c r="E208" s="145"/>
      <c r="F208" s="145"/>
      <c r="G208" s="133"/>
      <c r="H208" s="144"/>
      <c r="I208" s="133"/>
      <c r="J208" s="133"/>
      <c r="K208" s="133"/>
      <c r="L208" s="133"/>
      <c r="M208" s="133"/>
      <c r="N208" s="147"/>
      <c r="P208" s="140"/>
      <c r="Q208" s="140"/>
    </row>
    <row r="209" spans="1:17" hidden="1" x14ac:dyDescent="0.35">
      <c r="A209" s="146">
        <v>46</v>
      </c>
      <c r="B209" s="143">
        <v>45078</v>
      </c>
      <c r="C209" s="133" t="s">
        <v>1847</v>
      </c>
      <c r="D209" s="133" t="s">
        <v>2240</v>
      </c>
      <c r="E209" s="145" t="s">
        <v>1342</v>
      </c>
      <c r="F209" s="145">
        <v>554</v>
      </c>
      <c r="G209" s="133" t="s">
        <v>1034</v>
      </c>
      <c r="H209" s="144" t="s">
        <v>1341</v>
      </c>
      <c r="I209" s="133" t="s">
        <v>1092</v>
      </c>
      <c r="J209" s="133" t="s">
        <v>2239</v>
      </c>
      <c r="K209" s="143">
        <v>45108</v>
      </c>
      <c r="L209" s="133" t="s">
        <v>1092</v>
      </c>
      <c r="M209" s="133">
        <f>1282.5+1363.3+554+242.55</f>
        <v>3442.3500000000004</v>
      </c>
      <c r="N209" s="147">
        <f>+F209+F210+F211+F212-M209-M210-M211</f>
        <v>0</v>
      </c>
      <c r="P209" s="140"/>
      <c r="Q209" s="140"/>
    </row>
    <row r="210" spans="1:17" hidden="1" x14ac:dyDescent="0.35">
      <c r="A210" s="146"/>
      <c r="B210" s="143"/>
      <c r="C210" s="133"/>
      <c r="D210" s="133"/>
      <c r="E210" s="148" t="s">
        <v>1064</v>
      </c>
      <c r="F210" s="145">
        <v>5348</v>
      </c>
      <c r="G210" s="133" t="s">
        <v>1034</v>
      </c>
      <c r="H210" s="144" t="s">
        <v>1341</v>
      </c>
      <c r="I210" s="133" t="s">
        <v>1092</v>
      </c>
      <c r="J210" s="133" t="s">
        <v>2236</v>
      </c>
      <c r="K210" s="143">
        <v>45108</v>
      </c>
      <c r="L210" s="133" t="s">
        <v>1092</v>
      </c>
      <c r="M210" s="133">
        <v>4742.4499999999989</v>
      </c>
      <c r="N210" s="147"/>
      <c r="P210" s="140"/>
      <c r="Q210" s="140"/>
    </row>
    <row r="211" spans="1:17" hidden="1" x14ac:dyDescent="0.35">
      <c r="A211" s="146"/>
      <c r="B211" s="143"/>
      <c r="C211" s="133"/>
      <c r="D211" s="133"/>
      <c r="E211" s="145" t="s">
        <v>1067</v>
      </c>
      <c r="F211" s="145">
        <v>1363.3</v>
      </c>
      <c r="G211" s="133" t="s">
        <v>1034</v>
      </c>
      <c r="H211" s="144" t="s">
        <v>1341</v>
      </c>
      <c r="I211" s="133" t="s">
        <v>1092</v>
      </c>
      <c r="J211" s="133" t="s">
        <v>2209</v>
      </c>
      <c r="K211" s="143">
        <v>45139</v>
      </c>
      <c r="L211" s="133" t="s">
        <v>1241</v>
      </c>
      <c r="M211" s="133">
        <v>363</v>
      </c>
      <c r="N211" s="147"/>
      <c r="P211" s="140"/>
      <c r="Q211" s="140"/>
    </row>
    <row r="212" spans="1:17" hidden="1" x14ac:dyDescent="0.35">
      <c r="A212" s="146"/>
      <c r="B212" s="143"/>
      <c r="C212" s="133"/>
      <c r="D212" s="133"/>
      <c r="E212" s="145" t="s">
        <v>1075</v>
      </c>
      <c r="F212" s="145">
        <v>1282.5</v>
      </c>
      <c r="G212" s="133"/>
      <c r="H212" s="144"/>
      <c r="I212" s="133"/>
      <c r="J212" s="133"/>
      <c r="K212" s="133"/>
      <c r="L212" s="133"/>
      <c r="M212" s="133"/>
      <c r="N212" s="147"/>
      <c r="P212" s="140"/>
      <c r="Q212" s="140"/>
    </row>
    <row r="213" spans="1:17" hidden="1" x14ac:dyDescent="0.35">
      <c r="A213" s="146"/>
      <c r="B213" s="143"/>
      <c r="C213" s="133"/>
      <c r="D213" s="133"/>
      <c r="E213" s="145"/>
      <c r="F213" s="145"/>
      <c r="G213" s="133"/>
      <c r="H213" s="144"/>
      <c r="I213" s="133"/>
      <c r="J213" s="133"/>
      <c r="K213" s="133"/>
      <c r="L213" s="133"/>
      <c r="M213" s="133"/>
      <c r="N213" s="147"/>
      <c r="P213" s="140"/>
      <c r="Q213" s="140"/>
    </row>
    <row r="214" spans="1:17" hidden="1" x14ac:dyDescent="0.35">
      <c r="A214" s="146">
        <v>47</v>
      </c>
      <c r="B214" s="143">
        <v>45078</v>
      </c>
      <c r="C214" s="133" t="s">
        <v>1845</v>
      </c>
      <c r="D214" s="133" t="s">
        <v>2238</v>
      </c>
      <c r="E214" s="145" t="s">
        <v>1342</v>
      </c>
      <c r="F214" s="145">
        <v>1543</v>
      </c>
      <c r="G214" s="133" t="s">
        <v>1034</v>
      </c>
      <c r="H214" s="144" t="s">
        <v>1341</v>
      </c>
      <c r="I214" s="133" t="s">
        <v>1092</v>
      </c>
      <c r="J214" s="133" t="s">
        <v>2236</v>
      </c>
      <c r="K214" s="143">
        <v>45108</v>
      </c>
      <c r="L214" s="133" t="s">
        <v>1092</v>
      </c>
      <c r="M214" s="133">
        <f>1543+1549.15</f>
        <v>3092.15</v>
      </c>
      <c r="N214" s="147">
        <f>+F214+F215+F216+F217-M214-M215-M216</f>
        <v>0</v>
      </c>
      <c r="P214" s="140"/>
      <c r="Q214" s="140"/>
    </row>
    <row r="215" spans="1:17" hidden="1" x14ac:dyDescent="0.35">
      <c r="A215" s="146"/>
      <c r="B215" s="143"/>
      <c r="C215" s="133"/>
      <c r="D215" s="133"/>
      <c r="E215" s="148" t="s">
        <v>1064</v>
      </c>
      <c r="F215" s="145">
        <v>4265</v>
      </c>
      <c r="G215" s="133" t="s">
        <v>1034</v>
      </c>
      <c r="H215" s="144" t="s">
        <v>1341</v>
      </c>
      <c r="I215" s="133" t="s">
        <v>1092</v>
      </c>
      <c r="J215" s="133" t="s">
        <v>2228</v>
      </c>
      <c r="K215" s="143">
        <v>45139</v>
      </c>
      <c r="L215" s="133" t="s">
        <v>1092</v>
      </c>
      <c r="M215" s="133">
        <v>4192.75</v>
      </c>
      <c r="N215" s="147"/>
      <c r="P215" s="140"/>
      <c r="Q215" s="140"/>
    </row>
    <row r="216" spans="1:17" hidden="1" x14ac:dyDescent="0.35">
      <c r="A216" s="146"/>
      <c r="B216" s="143"/>
      <c r="C216" s="133"/>
      <c r="D216" s="133"/>
      <c r="E216" s="145" t="s">
        <v>1067</v>
      </c>
      <c r="F216" s="145">
        <v>1214.9000000000001</v>
      </c>
      <c r="G216" s="133" t="s">
        <v>1034</v>
      </c>
      <c r="H216" s="144" t="s">
        <v>1341</v>
      </c>
      <c r="I216" s="133" t="s">
        <v>1092</v>
      </c>
      <c r="J216" s="133" t="s">
        <v>2209</v>
      </c>
      <c r="K216" s="143">
        <v>45139</v>
      </c>
      <c r="L216" s="133" t="s">
        <v>1241</v>
      </c>
      <c r="M216" s="133">
        <v>383</v>
      </c>
      <c r="N216" s="147"/>
      <c r="P216" s="140"/>
      <c r="Q216" s="140"/>
    </row>
    <row r="217" spans="1:17" hidden="1" x14ac:dyDescent="0.35">
      <c r="A217" s="146"/>
      <c r="B217" s="143"/>
      <c r="C217" s="133"/>
      <c r="D217" s="133"/>
      <c r="E217" s="145" t="s">
        <v>1075</v>
      </c>
      <c r="F217" s="145">
        <v>645</v>
      </c>
      <c r="G217" s="133"/>
      <c r="H217" s="144"/>
      <c r="I217" s="133"/>
      <c r="J217" s="133"/>
      <c r="K217" s="133"/>
      <c r="L217" s="133"/>
      <c r="M217" s="133"/>
      <c r="N217" s="147"/>
      <c r="P217" s="140"/>
      <c r="Q217" s="140"/>
    </row>
    <row r="218" spans="1:17" hidden="1" x14ac:dyDescent="0.35">
      <c r="A218" s="146"/>
      <c r="B218" s="143"/>
      <c r="C218" s="133"/>
      <c r="D218" s="133"/>
      <c r="E218" s="145"/>
      <c r="F218" s="145"/>
      <c r="G218" s="133"/>
      <c r="H218" s="144"/>
      <c r="I218" s="133"/>
      <c r="J218" s="133"/>
      <c r="K218" s="133"/>
      <c r="L218" s="133"/>
      <c r="M218" s="133"/>
      <c r="N218" s="147"/>
      <c r="P218" s="140"/>
      <c r="Q218" s="140"/>
    </row>
    <row r="219" spans="1:17" hidden="1" x14ac:dyDescent="0.35">
      <c r="A219" s="146">
        <v>48</v>
      </c>
      <c r="B219" s="143">
        <v>45078</v>
      </c>
      <c r="C219" s="133" t="s">
        <v>1843</v>
      </c>
      <c r="D219" s="133" t="s">
        <v>2237</v>
      </c>
      <c r="E219" s="145" t="s">
        <v>1342</v>
      </c>
      <c r="F219" s="145">
        <v>7893</v>
      </c>
      <c r="G219" s="133" t="s">
        <v>1034</v>
      </c>
      <c r="H219" s="144" t="s">
        <v>1341</v>
      </c>
      <c r="I219" s="133" t="s">
        <v>1092</v>
      </c>
      <c r="J219" s="133" t="s">
        <v>2236</v>
      </c>
      <c r="K219" s="133">
        <v>45108</v>
      </c>
      <c r="L219" s="133" t="s">
        <v>1092</v>
      </c>
      <c r="M219" s="133">
        <v>7893</v>
      </c>
      <c r="N219" s="147">
        <f>+F219+F220+F221+F222+F223-M219-M220-M221</f>
        <v>0</v>
      </c>
      <c r="P219" s="140"/>
      <c r="Q219" s="140"/>
    </row>
    <row r="220" spans="1:17" hidden="1" x14ac:dyDescent="0.35">
      <c r="A220" s="146"/>
      <c r="B220" s="143"/>
      <c r="C220" s="133"/>
      <c r="D220" s="133"/>
      <c r="E220" s="145" t="s">
        <v>1075</v>
      </c>
      <c r="F220" s="145">
        <v>843.5</v>
      </c>
      <c r="G220" s="133" t="s">
        <v>1034</v>
      </c>
      <c r="H220" s="144" t="s">
        <v>1341</v>
      </c>
      <c r="I220" s="133" t="s">
        <v>1092</v>
      </c>
      <c r="J220" s="133" t="s">
        <v>2228</v>
      </c>
      <c r="K220" s="143">
        <v>45139</v>
      </c>
      <c r="L220" s="133" t="s">
        <v>1092</v>
      </c>
      <c r="M220" s="133">
        <v>6883.1999999999989</v>
      </c>
      <c r="N220" s="147"/>
      <c r="P220" s="140"/>
      <c r="Q220" s="140"/>
    </row>
    <row r="221" spans="1:17" hidden="1" x14ac:dyDescent="0.35">
      <c r="A221" s="146"/>
      <c r="B221" s="143"/>
      <c r="C221" s="133"/>
      <c r="D221" s="133"/>
      <c r="E221" s="145" t="s">
        <v>1067</v>
      </c>
      <c r="F221" s="145">
        <v>1774.1</v>
      </c>
      <c r="G221" s="133" t="s">
        <v>1034</v>
      </c>
      <c r="H221" s="144" t="s">
        <v>1341</v>
      </c>
      <c r="I221" s="133" t="s">
        <v>1092</v>
      </c>
      <c r="J221" s="133" t="s">
        <v>2209</v>
      </c>
      <c r="K221" s="143">
        <v>45139</v>
      </c>
      <c r="L221" s="133" t="s">
        <v>1241</v>
      </c>
      <c r="M221" s="133">
        <v>779</v>
      </c>
      <c r="N221" s="147"/>
      <c r="P221" s="140"/>
      <c r="Q221" s="140"/>
    </row>
    <row r="222" spans="1:17" hidden="1" x14ac:dyDescent="0.35">
      <c r="A222" s="146"/>
      <c r="B222" s="143"/>
      <c r="C222" s="133"/>
      <c r="D222" s="133"/>
      <c r="E222" s="148" t="s">
        <v>1064</v>
      </c>
      <c r="F222" s="145">
        <v>3496.2</v>
      </c>
      <c r="G222" s="133"/>
      <c r="H222" s="144"/>
      <c r="I222" s="133"/>
      <c r="J222" s="133"/>
      <c r="K222" s="133"/>
      <c r="L222" s="133"/>
      <c r="M222" s="133"/>
      <c r="N222" s="147"/>
      <c r="P222" s="140"/>
      <c r="Q222" s="140"/>
    </row>
    <row r="223" spans="1:17" hidden="1" x14ac:dyDescent="0.35">
      <c r="A223" s="146"/>
      <c r="B223" s="143"/>
      <c r="C223" s="133"/>
      <c r="D223" s="133"/>
      <c r="E223" s="145" t="s">
        <v>1118</v>
      </c>
      <c r="F223" s="145">
        <v>1548.4</v>
      </c>
      <c r="G223" s="133"/>
      <c r="H223" s="144"/>
      <c r="I223" s="133"/>
      <c r="J223" s="133"/>
      <c r="K223" s="133"/>
      <c r="L223" s="133"/>
      <c r="M223" s="133"/>
      <c r="N223" s="147"/>
      <c r="P223" s="140"/>
      <c r="Q223" s="140"/>
    </row>
    <row r="224" spans="1:17" hidden="1" x14ac:dyDescent="0.35">
      <c r="A224" s="146"/>
      <c r="B224" s="143"/>
      <c r="C224" s="133"/>
      <c r="D224" s="133"/>
      <c r="E224" s="145"/>
      <c r="F224" s="145"/>
      <c r="G224" s="133"/>
      <c r="H224" s="144"/>
      <c r="I224" s="133"/>
      <c r="J224" s="133"/>
      <c r="K224" s="133"/>
      <c r="L224" s="133"/>
      <c r="M224" s="133"/>
      <c r="N224" s="147"/>
      <c r="P224" s="140"/>
      <c r="Q224" s="140"/>
    </row>
    <row r="225" spans="1:17" hidden="1" x14ac:dyDescent="0.35">
      <c r="A225" s="146">
        <v>49</v>
      </c>
      <c r="B225" s="143">
        <v>45078</v>
      </c>
      <c r="C225" s="133" t="s">
        <v>1841</v>
      </c>
      <c r="D225" s="133" t="s">
        <v>2235</v>
      </c>
      <c r="E225" s="145" t="s">
        <v>1067</v>
      </c>
      <c r="F225" s="145">
        <v>995.7</v>
      </c>
      <c r="G225" s="133" t="s">
        <v>1034</v>
      </c>
      <c r="H225" s="144" t="s">
        <v>1341</v>
      </c>
      <c r="I225" s="133" t="s">
        <v>1092</v>
      </c>
      <c r="J225" s="133" t="s">
        <v>2225</v>
      </c>
      <c r="K225" s="143">
        <v>45139</v>
      </c>
      <c r="L225" s="133" t="s">
        <v>1092</v>
      </c>
      <c r="M225" s="133">
        <v>2966.7</v>
      </c>
      <c r="N225" s="147">
        <f>+F225+F226-M225-M226</f>
        <v>0</v>
      </c>
      <c r="P225" s="140"/>
      <c r="Q225" s="140"/>
    </row>
    <row r="226" spans="1:17" hidden="1" x14ac:dyDescent="0.35">
      <c r="A226" s="146"/>
      <c r="B226" s="143"/>
      <c r="C226" s="133"/>
      <c r="D226" s="133"/>
      <c r="E226" s="148" t="s">
        <v>1064</v>
      </c>
      <c r="F226" s="145">
        <v>2127</v>
      </c>
      <c r="G226" s="133" t="s">
        <v>1034</v>
      </c>
      <c r="H226" s="144" t="s">
        <v>1341</v>
      </c>
      <c r="I226" s="133" t="s">
        <v>1092</v>
      </c>
      <c r="J226" s="133" t="s">
        <v>2209</v>
      </c>
      <c r="K226" s="143">
        <v>45139</v>
      </c>
      <c r="L226" s="133" t="s">
        <v>1241</v>
      </c>
      <c r="M226" s="133">
        <v>156</v>
      </c>
      <c r="N226" s="147"/>
      <c r="P226" s="140"/>
      <c r="Q226" s="140"/>
    </row>
    <row r="227" spans="1:17" hidden="1" x14ac:dyDescent="0.35">
      <c r="A227" s="146"/>
      <c r="B227" s="143"/>
      <c r="C227" s="133"/>
      <c r="D227" s="133"/>
      <c r="E227" s="145"/>
      <c r="F227" s="145"/>
      <c r="G227" s="133"/>
      <c r="H227" s="144"/>
      <c r="I227" s="133"/>
      <c r="J227" s="133"/>
      <c r="K227" s="133"/>
      <c r="L227" s="133"/>
      <c r="M227" s="133"/>
      <c r="N227" s="147"/>
      <c r="P227" s="140"/>
      <c r="Q227" s="140"/>
    </row>
    <row r="228" spans="1:17" hidden="1" x14ac:dyDescent="0.35">
      <c r="A228" s="146">
        <v>50</v>
      </c>
      <c r="B228" s="143">
        <v>45078</v>
      </c>
      <c r="C228" s="133" t="s">
        <v>1839</v>
      </c>
      <c r="D228" s="133" t="s">
        <v>2234</v>
      </c>
      <c r="E228" s="145" t="s">
        <v>1184</v>
      </c>
      <c r="F228" s="145">
        <v>8700</v>
      </c>
      <c r="G228" s="133" t="s">
        <v>1034</v>
      </c>
      <c r="H228" s="144" t="s">
        <v>1341</v>
      </c>
      <c r="I228" s="133" t="s">
        <v>1092</v>
      </c>
      <c r="J228" s="133" t="s">
        <v>2225</v>
      </c>
      <c r="K228" s="143">
        <v>45139</v>
      </c>
      <c r="L228" s="133" t="s">
        <v>1092</v>
      </c>
      <c r="M228" s="133">
        <v>3935.48</v>
      </c>
      <c r="N228" s="147">
        <f>+F228+F229+F230-M228-M229-M230</f>
        <v>0</v>
      </c>
      <c r="P228" s="140"/>
      <c r="Q228" s="140"/>
    </row>
    <row r="229" spans="1:17" hidden="1" x14ac:dyDescent="0.35">
      <c r="A229" s="146"/>
      <c r="B229" s="143"/>
      <c r="C229" s="133"/>
      <c r="D229" s="133"/>
      <c r="E229" s="148" t="s">
        <v>1064</v>
      </c>
      <c r="F229" s="145">
        <v>2409</v>
      </c>
      <c r="G229" s="133" t="s">
        <v>1034</v>
      </c>
      <c r="H229" s="144" t="s">
        <v>1341</v>
      </c>
      <c r="I229" s="133" t="s">
        <v>1092</v>
      </c>
      <c r="J229" s="133" t="s">
        <v>2222</v>
      </c>
      <c r="K229" s="143">
        <v>45139</v>
      </c>
      <c r="L229" s="133" t="s">
        <v>1092</v>
      </c>
      <c r="M229" s="140">
        <v>7586.1200000000008</v>
      </c>
      <c r="N229" s="147"/>
      <c r="P229" s="140"/>
      <c r="Q229" s="140"/>
    </row>
    <row r="230" spans="1:17" hidden="1" x14ac:dyDescent="0.35">
      <c r="A230" s="146"/>
      <c r="B230" s="143"/>
      <c r="C230" s="133"/>
      <c r="D230" s="133"/>
      <c r="E230" s="145" t="s">
        <v>1067</v>
      </c>
      <c r="F230" s="145">
        <v>1018.6</v>
      </c>
      <c r="G230" s="133" t="s">
        <v>1034</v>
      </c>
      <c r="H230" s="144" t="s">
        <v>1341</v>
      </c>
      <c r="I230" s="133" t="s">
        <v>1092</v>
      </c>
      <c r="J230" s="133" t="s">
        <v>2209</v>
      </c>
      <c r="K230" s="143">
        <v>45139</v>
      </c>
      <c r="L230" s="133" t="s">
        <v>1241</v>
      </c>
      <c r="M230" s="133">
        <v>606</v>
      </c>
      <c r="N230" s="147"/>
      <c r="P230" s="140"/>
      <c r="Q230" s="140"/>
    </row>
    <row r="231" spans="1:17" hidden="1" x14ac:dyDescent="0.35">
      <c r="A231" s="146"/>
      <c r="B231" s="143"/>
      <c r="C231" s="133"/>
      <c r="D231" s="133"/>
      <c r="E231" s="145"/>
      <c r="F231" s="145"/>
      <c r="G231" s="133"/>
      <c r="H231" s="144"/>
      <c r="I231" s="133"/>
      <c r="J231" s="133"/>
      <c r="K231" s="133"/>
      <c r="L231" s="133"/>
      <c r="M231" s="133"/>
      <c r="N231" s="147"/>
      <c r="P231" s="140"/>
      <c r="Q231" s="140"/>
    </row>
    <row r="232" spans="1:17" hidden="1" x14ac:dyDescent="0.35">
      <c r="A232" s="146">
        <v>51</v>
      </c>
      <c r="B232" s="143">
        <v>45078</v>
      </c>
      <c r="C232" s="133" t="s">
        <v>1837</v>
      </c>
      <c r="D232" s="133" t="s">
        <v>2233</v>
      </c>
      <c r="E232" s="145" t="s">
        <v>1342</v>
      </c>
      <c r="F232" s="145">
        <v>1316</v>
      </c>
      <c r="G232" s="133" t="s">
        <v>1034</v>
      </c>
      <c r="H232" s="144" t="s">
        <v>1341</v>
      </c>
      <c r="I232" s="133" t="s">
        <v>1092</v>
      </c>
      <c r="J232" s="133" t="s">
        <v>2228</v>
      </c>
      <c r="K232" s="143">
        <v>45139</v>
      </c>
      <c r="L232" s="133" t="s">
        <v>1092</v>
      </c>
      <c r="M232" s="133">
        <v>1316</v>
      </c>
      <c r="N232" s="147">
        <f>+F232+F233-M232-M233-M234</f>
        <v>0</v>
      </c>
      <c r="P232" s="140"/>
      <c r="Q232" s="140"/>
    </row>
    <row r="233" spans="1:17" hidden="1" x14ac:dyDescent="0.35">
      <c r="A233" s="146"/>
      <c r="B233" s="143"/>
      <c r="C233" s="133"/>
      <c r="D233" s="133"/>
      <c r="E233" s="145" t="s">
        <v>1075</v>
      </c>
      <c r="F233" s="145">
        <v>2408</v>
      </c>
      <c r="G233" s="133" t="s">
        <v>1034</v>
      </c>
      <c r="H233" s="144" t="s">
        <v>1341</v>
      </c>
      <c r="I233" s="133" t="s">
        <v>1092</v>
      </c>
      <c r="J233" s="133" t="s">
        <v>2225</v>
      </c>
      <c r="K233" s="143">
        <v>45139</v>
      </c>
      <c r="L233" s="133" t="s">
        <v>1092</v>
      </c>
      <c r="M233" s="133">
        <v>2222</v>
      </c>
      <c r="N233" s="147"/>
      <c r="P233" s="140"/>
      <c r="Q233" s="140"/>
    </row>
    <row r="234" spans="1:17" hidden="1" x14ac:dyDescent="0.35">
      <c r="A234" s="146"/>
      <c r="B234" s="143"/>
      <c r="C234" s="133"/>
      <c r="D234" s="133"/>
      <c r="E234" s="145"/>
      <c r="F234" s="145"/>
      <c r="G234" s="133" t="s">
        <v>1034</v>
      </c>
      <c r="H234" s="144" t="s">
        <v>1341</v>
      </c>
      <c r="I234" s="133" t="s">
        <v>1092</v>
      </c>
      <c r="J234" s="133" t="s">
        <v>2209</v>
      </c>
      <c r="K234" s="143">
        <v>45139</v>
      </c>
      <c r="L234" s="133" t="s">
        <v>1241</v>
      </c>
      <c r="M234" s="133">
        <v>186</v>
      </c>
      <c r="N234" s="147"/>
      <c r="P234" s="140"/>
      <c r="Q234" s="140"/>
    </row>
    <row r="235" spans="1:17" hidden="1" x14ac:dyDescent="0.35">
      <c r="A235" s="146"/>
      <c r="B235" s="143"/>
      <c r="C235" s="133"/>
      <c r="D235" s="133"/>
      <c r="E235" s="145"/>
      <c r="F235" s="145"/>
      <c r="G235" s="133"/>
      <c r="H235" s="144"/>
      <c r="I235" s="133"/>
      <c r="J235" s="133"/>
      <c r="K235" s="133"/>
      <c r="L235" s="133"/>
      <c r="M235" s="133"/>
      <c r="N235" s="147"/>
      <c r="P235" s="140"/>
      <c r="Q235" s="140"/>
    </row>
    <row r="236" spans="1:17" hidden="1" x14ac:dyDescent="0.35">
      <c r="A236" s="146">
        <v>52</v>
      </c>
      <c r="B236" s="143">
        <v>45078</v>
      </c>
      <c r="C236" s="133" t="s">
        <v>1835</v>
      </c>
      <c r="D236" s="133" t="s">
        <v>2232</v>
      </c>
      <c r="E236" s="148" t="s">
        <v>1064</v>
      </c>
      <c r="F236" s="145">
        <v>3937.3</v>
      </c>
      <c r="G236" s="133" t="s">
        <v>1034</v>
      </c>
      <c r="H236" s="144" t="s">
        <v>1341</v>
      </c>
      <c r="I236" s="133" t="s">
        <v>1092</v>
      </c>
      <c r="J236" s="133" t="s">
        <v>2222</v>
      </c>
      <c r="K236" s="143">
        <v>45139</v>
      </c>
      <c r="L236" s="133" t="s">
        <v>1092</v>
      </c>
      <c r="M236" s="133">
        <v>6716.7000000000007</v>
      </c>
      <c r="N236" s="147">
        <f>+F236+F237-M236-M237</f>
        <v>0</v>
      </c>
      <c r="P236" s="140"/>
      <c r="Q236" s="140"/>
    </row>
    <row r="237" spans="1:17" hidden="1" x14ac:dyDescent="0.35">
      <c r="A237" s="146"/>
      <c r="B237" s="143"/>
      <c r="C237" s="133"/>
      <c r="D237" s="133"/>
      <c r="E237" s="145" t="s">
        <v>1075</v>
      </c>
      <c r="F237" s="145">
        <v>3133.4</v>
      </c>
      <c r="G237" s="133" t="s">
        <v>1034</v>
      </c>
      <c r="H237" s="144" t="s">
        <v>1341</v>
      </c>
      <c r="I237" s="133" t="s">
        <v>1092</v>
      </c>
      <c r="J237" s="133" t="s">
        <v>2209</v>
      </c>
      <c r="K237" s="143">
        <v>45139</v>
      </c>
      <c r="L237" s="133" t="s">
        <v>1241</v>
      </c>
      <c r="M237" s="133">
        <v>354</v>
      </c>
      <c r="N237" s="147"/>
      <c r="P237" s="140"/>
      <c r="Q237" s="140"/>
    </row>
    <row r="238" spans="1:17" hidden="1" x14ac:dyDescent="0.35">
      <c r="A238" s="146"/>
      <c r="B238" s="143"/>
      <c r="C238" s="133"/>
      <c r="D238" s="133"/>
      <c r="E238" s="145"/>
      <c r="F238" s="145"/>
      <c r="G238" s="133"/>
      <c r="H238" s="144"/>
      <c r="I238" s="133"/>
      <c r="J238" s="133"/>
      <c r="K238" s="133"/>
      <c r="L238" s="133"/>
      <c r="M238" s="133"/>
      <c r="N238" s="147"/>
      <c r="P238" s="140"/>
      <c r="Q238" s="140"/>
    </row>
    <row r="239" spans="1:17" hidden="1" x14ac:dyDescent="0.35">
      <c r="A239" s="146">
        <v>53</v>
      </c>
      <c r="B239" s="143">
        <v>45078</v>
      </c>
      <c r="C239" s="133" t="s">
        <v>1832</v>
      </c>
      <c r="D239" s="133" t="s">
        <v>2231</v>
      </c>
      <c r="E239" s="145" t="s">
        <v>1067</v>
      </c>
      <c r="F239" s="145">
        <v>1242.9000000000001</v>
      </c>
      <c r="G239" s="133" t="s">
        <v>1034</v>
      </c>
      <c r="H239" s="144" t="s">
        <v>1341</v>
      </c>
      <c r="I239" s="133" t="s">
        <v>1092</v>
      </c>
      <c r="J239" s="133" t="s">
        <v>2222</v>
      </c>
      <c r="K239" s="143">
        <v>45139</v>
      </c>
      <c r="L239" s="133" t="s">
        <v>1092</v>
      </c>
      <c r="M239" s="133">
        <v>1180.9000000000001</v>
      </c>
      <c r="N239" s="147">
        <f>+F239-M239-M240</f>
        <v>0</v>
      </c>
      <c r="P239" s="140"/>
      <c r="Q239" s="140"/>
    </row>
    <row r="240" spans="1:17" hidden="1" x14ac:dyDescent="0.35">
      <c r="A240" s="146"/>
      <c r="B240" s="143"/>
      <c r="C240" s="133"/>
      <c r="D240" s="133"/>
      <c r="E240" s="145"/>
      <c r="F240" s="145"/>
      <c r="G240" s="133" t="s">
        <v>1034</v>
      </c>
      <c r="H240" s="144" t="s">
        <v>1341</v>
      </c>
      <c r="I240" s="133" t="s">
        <v>1092</v>
      </c>
      <c r="J240" s="133" t="s">
        <v>2209</v>
      </c>
      <c r="K240" s="143">
        <v>45139</v>
      </c>
      <c r="L240" s="133" t="s">
        <v>1241</v>
      </c>
      <c r="M240" s="133">
        <v>62</v>
      </c>
      <c r="N240" s="147"/>
      <c r="P240" s="140"/>
      <c r="Q240" s="140"/>
    </row>
    <row r="241" spans="1:17" hidden="1" x14ac:dyDescent="0.35">
      <c r="A241" s="146"/>
      <c r="B241" s="143"/>
      <c r="C241" s="133"/>
      <c r="D241" s="133"/>
      <c r="E241" s="145"/>
      <c r="F241" s="145"/>
      <c r="G241" s="133"/>
      <c r="H241" s="144"/>
      <c r="I241" s="133"/>
      <c r="J241" s="133"/>
      <c r="K241" s="133"/>
      <c r="L241" s="133"/>
      <c r="M241" s="133"/>
      <c r="N241" s="147"/>
      <c r="P241" s="140"/>
      <c r="Q241" s="140"/>
    </row>
    <row r="242" spans="1:17" hidden="1" x14ac:dyDescent="0.35">
      <c r="A242" s="146">
        <v>54</v>
      </c>
      <c r="B242" s="143">
        <v>45078</v>
      </c>
      <c r="C242" s="133" t="s">
        <v>1830</v>
      </c>
      <c r="D242" s="133" t="s">
        <v>2230</v>
      </c>
      <c r="E242" s="145" t="s">
        <v>1342</v>
      </c>
      <c r="F242" s="145">
        <v>3455</v>
      </c>
      <c r="G242" s="133" t="s">
        <v>1034</v>
      </c>
      <c r="H242" s="144" t="s">
        <v>1341</v>
      </c>
      <c r="I242" s="133" t="s">
        <v>1092</v>
      </c>
      <c r="J242" s="133" t="s">
        <v>2228</v>
      </c>
      <c r="K242" s="143">
        <v>45139</v>
      </c>
      <c r="L242" s="133" t="s">
        <v>1092</v>
      </c>
      <c r="M242" s="133">
        <v>3455</v>
      </c>
      <c r="N242" s="147">
        <f>+F242+F243+F244+F245-M242-M243-M244</f>
        <v>0</v>
      </c>
      <c r="P242" s="140"/>
      <c r="Q242" s="140"/>
    </row>
    <row r="243" spans="1:17" hidden="1" x14ac:dyDescent="0.35">
      <c r="A243" s="146"/>
      <c r="B243" s="143"/>
      <c r="C243" s="133"/>
      <c r="D243" s="133"/>
      <c r="E243" s="145" t="s">
        <v>32</v>
      </c>
      <c r="F243" s="145">
        <v>3000</v>
      </c>
      <c r="G243" s="133" t="s">
        <v>1034</v>
      </c>
      <c r="H243" s="144" t="s">
        <v>1341</v>
      </c>
      <c r="I243" s="133" t="s">
        <v>1092</v>
      </c>
      <c r="J243" s="133" t="s">
        <v>2222</v>
      </c>
      <c r="K243" s="143">
        <v>45139</v>
      </c>
      <c r="L243" s="133" t="s">
        <v>1092</v>
      </c>
      <c r="M243" s="133">
        <v>10383.9</v>
      </c>
      <c r="N243" s="147"/>
      <c r="P243" s="140"/>
      <c r="Q243" s="140"/>
    </row>
    <row r="244" spans="1:17" hidden="1" x14ac:dyDescent="0.35">
      <c r="A244" s="146"/>
      <c r="B244" s="143"/>
      <c r="C244" s="133"/>
      <c r="D244" s="133"/>
      <c r="E244" s="145" t="s">
        <v>1067</v>
      </c>
      <c r="F244" s="145">
        <v>1159.4000000000001</v>
      </c>
      <c r="G244" s="133" t="s">
        <v>1034</v>
      </c>
      <c r="H244" s="144" t="s">
        <v>1341</v>
      </c>
      <c r="I244" s="133" t="s">
        <v>1092</v>
      </c>
      <c r="J244" s="133" t="s">
        <v>2209</v>
      </c>
      <c r="K244" s="143">
        <v>45139</v>
      </c>
      <c r="L244" s="133" t="s">
        <v>1241</v>
      </c>
      <c r="M244" s="133">
        <v>729</v>
      </c>
      <c r="N244" s="147"/>
      <c r="P244" s="140"/>
      <c r="Q244" s="140"/>
    </row>
    <row r="245" spans="1:17" hidden="1" x14ac:dyDescent="0.35">
      <c r="A245" s="146"/>
      <c r="B245" s="143"/>
      <c r="C245" s="133"/>
      <c r="D245" s="133"/>
      <c r="E245" s="145" t="s">
        <v>1075</v>
      </c>
      <c r="F245" s="145">
        <v>6953.5</v>
      </c>
      <c r="G245" s="133"/>
      <c r="H245" s="144"/>
      <c r="I245" s="133"/>
      <c r="J245" s="133"/>
      <c r="K245" s="133"/>
      <c r="L245" s="133"/>
      <c r="M245" s="133"/>
      <c r="N245" s="147"/>
      <c r="P245" s="140"/>
      <c r="Q245" s="140"/>
    </row>
    <row r="246" spans="1:17" hidden="1" x14ac:dyDescent="0.35">
      <c r="A246" s="146"/>
      <c r="B246" s="143"/>
      <c r="C246" s="133"/>
      <c r="D246" s="133"/>
      <c r="E246" s="145"/>
      <c r="F246" s="145"/>
      <c r="G246" s="133"/>
      <c r="H246" s="144"/>
      <c r="I246" s="133"/>
      <c r="J246" s="133"/>
      <c r="K246" s="133"/>
      <c r="L246" s="133"/>
      <c r="M246" s="133"/>
      <c r="N246" s="147"/>
      <c r="P246" s="140"/>
      <c r="Q246" s="140"/>
    </row>
    <row r="247" spans="1:17" hidden="1" x14ac:dyDescent="0.35">
      <c r="A247" s="146">
        <v>55</v>
      </c>
      <c r="B247" s="143">
        <v>45078</v>
      </c>
      <c r="C247" s="133" t="s">
        <v>1828</v>
      </c>
      <c r="D247" s="133" t="s">
        <v>2229</v>
      </c>
      <c r="E247" s="145" t="s">
        <v>1342</v>
      </c>
      <c r="F247" s="145">
        <v>4573</v>
      </c>
      <c r="G247" s="133" t="s">
        <v>1034</v>
      </c>
      <c r="H247" s="144" t="s">
        <v>1341</v>
      </c>
      <c r="I247" s="133" t="s">
        <v>1092</v>
      </c>
      <c r="J247" s="133" t="s">
        <v>2228</v>
      </c>
      <c r="K247" s="143">
        <v>45139</v>
      </c>
      <c r="L247" s="133" t="s">
        <v>1092</v>
      </c>
      <c r="M247" s="133">
        <v>2198.0500000000002</v>
      </c>
      <c r="N247" s="147">
        <f>+F247+F248+F249-M247-M248-M249</f>
        <v>0</v>
      </c>
      <c r="P247" s="140"/>
      <c r="Q247" s="140"/>
    </row>
    <row r="248" spans="1:17" hidden="1" x14ac:dyDescent="0.35">
      <c r="A248" s="146"/>
      <c r="B248" s="143"/>
      <c r="C248" s="133"/>
      <c r="D248" s="133"/>
      <c r="E248" s="145" t="s">
        <v>1075</v>
      </c>
      <c r="F248" s="145">
        <v>819.4</v>
      </c>
      <c r="G248" s="133" t="s">
        <v>1034</v>
      </c>
      <c r="H248" s="144" t="s">
        <v>1341</v>
      </c>
      <c r="I248" s="133" t="s">
        <v>1092</v>
      </c>
      <c r="J248" s="133" t="s">
        <v>2222</v>
      </c>
      <c r="K248" s="143">
        <v>45139</v>
      </c>
      <c r="L248" s="133" t="s">
        <v>1092</v>
      </c>
      <c r="M248" s="133">
        <v>3976.1499999999996</v>
      </c>
      <c r="N248" s="147"/>
      <c r="P248" s="140"/>
      <c r="Q248" s="140"/>
    </row>
    <row r="249" spans="1:17" hidden="1" x14ac:dyDescent="0.35">
      <c r="A249" s="146"/>
      <c r="B249" s="143"/>
      <c r="C249" s="133"/>
      <c r="D249" s="133"/>
      <c r="E249" s="145" t="s">
        <v>1067</v>
      </c>
      <c r="F249" s="145">
        <v>1106.8</v>
      </c>
      <c r="G249" s="133" t="s">
        <v>1034</v>
      </c>
      <c r="H249" s="144" t="s">
        <v>1341</v>
      </c>
      <c r="I249" s="133" t="s">
        <v>1092</v>
      </c>
      <c r="J249" s="133" t="s">
        <v>2209</v>
      </c>
      <c r="K249" s="143">
        <v>45139</v>
      </c>
      <c r="L249" s="133" t="s">
        <v>1241</v>
      </c>
      <c r="M249" s="133">
        <v>325</v>
      </c>
      <c r="N249" s="147"/>
      <c r="P249" s="140"/>
      <c r="Q249" s="140"/>
    </row>
    <row r="250" spans="1:17" hidden="1" x14ac:dyDescent="0.35">
      <c r="A250" s="146"/>
      <c r="B250" s="143"/>
      <c r="C250" s="133"/>
      <c r="D250" s="133"/>
      <c r="E250" s="145"/>
      <c r="F250" s="145"/>
      <c r="G250" s="133"/>
      <c r="H250" s="144"/>
      <c r="I250" s="133"/>
      <c r="J250" s="133"/>
      <c r="K250" s="133"/>
      <c r="L250" s="133"/>
      <c r="M250" s="133"/>
      <c r="N250" s="147"/>
      <c r="P250" s="140"/>
      <c r="Q250" s="140"/>
    </row>
    <row r="251" spans="1:17" hidden="1" x14ac:dyDescent="0.35">
      <c r="A251" s="146">
        <v>56</v>
      </c>
      <c r="B251" s="143">
        <v>45078</v>
      </c>
      <c r="C251" s="133" t="s">
        <v>1825</v>
      </c>
      <c r="D251" s="133" t="s">
        <v>2227</v>
      </c>
      <c r="E251" s="145" t="s">
        <v>1342</v>
      </c>
      <c r="F251" s="145">
        <v>1486</v>
      </c>
      <c r="G251" s="133" t="s">
        <v>1034</v>
      </c>
      <c r="H251" s="144" t="s">
        <v>1341</v>
      </c>
      <c r="I251" s="133" t="s">
        <v>1092</v>
      </c>
      <c r="J251" s="133" t="s">
        <v>2222</v>
      </c>
      <c r="K251" s="143">
        <v>45139</v>
      </c>
      <c r="L251" s="133" t="s">
        <v>1092</v>
      </c>
      <c r="M251" s="133">
        <v>1486</v>
      </c>
      <c r="N251" s="147">
        <f>+F251+F252+F253-M251-M252-M253</f>
        <v>0</v>
      </c>
      <c r="P251" s="140"/>
      <c r="Q251" s="140"/>
    </row>
    <row r="252" spans="1:17" hidden="1" x14ac:dyDescent="0.35">
      <c r="A252" s="146"/>
      <c r="B252" s="143"/>
      <c r="C252" s="133"/>
      <c r="D252" s="133"/>
      <c r="E252" s="145" t="s">
        <v>1075</v>
      </c>
      <c r="F252" s="145">
        <v>5909</v>
      </c>
      <c r="G252" s="133" t="s">
        <v>1034</v>
      </c>
      <c r="H252" s="144" t="s">
        <v>1341</v>
      </c>
      <c r="I252" s="133" t="s">
        <v>1092</v>
      </c>
      <c r="J252" s="133" t="s">
        <v>2221</v>
      </c>
      <c r="K252" s="143">
        <v>45139</v>
      </c>
      <c r="L252" s="133" t="s">
        <v>1092</v>
      </c>
      <c r="M252" s="133">
        <v>11536.1</v>
      </c>
      <c r="N252" s="147"/>
      <c r="P252" s="140"/>
      <c r="Q252" s="140"/>
    </row>
    <row r="253" spans="1:17" hidden="1" x14ac:dyDescent="0.35">
      <c r="A253" s="146"/>
      <c r="B253" s="143"/>
      <c r="C253" s="133"/>
      <c r="D253" s="133"/>
      <c r="E253" s="145" t="s">
        <v>1067</v>
      </c>
      <c r="F253" s="145">
        <v>6316.1</v>
      </c>
      <c r="G253" s="133" t="s">
        <v>1034</v>
      </c>
      <c r="H253" s="144" t="s">
        <v>1341</v>
      </c>
      <c r="I253" s="133" t="s">
        <v>1092</v>
      </c>
      <c r="J253" s="133" t="s">
        <v>2209</v>
      </c>
      <c r="K253" s="143">
        <v>45139</v>
      </c>
      <c r="L253" s="133" t="s">
        <v>1241</v>
      </c>
      <c r="M253" s="133">
        <v>689</v>
      </c>
      <c r="N253" s="147"/>
      <c r="P253" s="140"/>
      <c r="Q253" s="140"/>
    </row>
    <row r="254" spans="1:17" hidden="1" x14ac:dyDescent="0.35">
      <c r="A254" s="146"/>
      <c r="B254" s="143"/>
      <c r="C254" s="133"/>
      <c r="D254" s="133"/>
      <c r="E254" s="145"/>
      <c r="F254" s="145"/>
      <c r="G254" s="133"/>
      <c r="H254" s="144"/>
      <c r="I254" s="133"/>
      <c r="J254" s="133"/>
      <c r="K254" s="133"/>
      <c r="L254" s="133"/>
      <c r="M254" s="133"/>
      <c r="N254" s="147"/>
      <c r="P254" s="140"/>
      <c r="Q254" s="140"/>
    </row>
    <row r="255" spans="1:17" hidden="1" x14ac:dyDescent="0.35">
      <c r="A255" s="146">
        <v>57</v>
      </c>
      <c r="B255" s="143">
        <v>45078</v>
      </c>
      <c r="C255" s="133" t="s">
        <v>1823</v>
      </c>
      <c r="D255" s="133" t="s">
        <v>2226</v>
      </c>
      <c r="E255" s="145" t="s">
        <v>1342</v>
      </c>
      <c r="F255" s="145">
        <v>1326</v>
      </c>
      <c r="G255" s="133" t="s">
        <v>1034</v>
      </c>
      <c r="H255" s="144" t="s">
        <v>1341</v>
      </c>
      <c r="I255" s="133" t="s">
        <v>1092</v>
      </c>
      <c r="J255" s="133" t="s">
        <v>2225</v>
      </c>
      <c r="K255" s="143">
        <v>45139</v>
      </c>
      <c r="L255" s="133" t="s">
        <v>1092</v>
      </c>
      <c r="M255" s="133">
        <v>866.82</v>
      </c>
      <c r="N255" s="147">
        <f>+F255+F256+F257-M255-M256-M257-M258</f>
        <v>0</v>
      </c>
      <c r="P255" s="140"/>
      <c r="Q255" s="140"/>
    </row>
    <row r="256" spans="1:17" hidden="1" x14ac:dyDescent="0.35">
      <c r="A256" s="146"/>
      <c r="B256" s="143"/>
      <c r="C256" s="133"/>
      <c r="D256" s="133"/>
      <c r="E256" s="145" t="s">
        <v>1075</v>
      </c>
      <c r="F256" s="145">
        <v>244</v>
      </c>
      <c r="G256" s="133" t="s">
        <v>1034</v>
      </c>
      <c r="H256" s="144" t="s">
        <v>1341</v>
      </c>
      <c r="I256" s="133" t="s">
        <v>1092</v>
      </c>
      <c r="J256" s="133" t="s">
        <v>2222</v>
      </c>
      <c r="K256" s="143">
        <v>45139</v>
      </c>
      <c r="L256" s="133" t="s">
        <v>1092</v>
      </c>
      <c r="M256" s="133">
        <f>1326+244+2381.73</f>
        <v>3951.73</v>
      </c>
      <c r="N256" s="147"/>
      <c r="P256" s="140"/>
      <c r="Q256" s="140"/>
    </row>
    <row r="257" spans="1:17" hidden="1" x14ac:dyDescent="0.35">
      <c r="A257" s="146"/>
      <c r="B257" s="143"/>
      <c r="C257" s="133"/>
      <c r="D257" s="133"/>
      <c r="E257" s="145" t="s">
        <v>1118</v>
      </c>
      <c r="F257" s="145">
        <v>4866.82</v>
      </c>
      <c r="G257" s="133" t="s">
        <v>1034</v>
      </c>
      <c r="H257" s="144" t="s">
        <v>1341</v>
      </c>
      <c r="I257" s="133" t="s">
        <v>1092</v>
      </c>
      <c r="J257" s="133" t="s">
        <v>2221</v>
      </c>
      <c r="K257" s="143">
        <v>45139</v>
      </c>
      <c r="L257" s="133" t="s">
        <v>1092</v>
      </c>
      <c r="M257" s="133">
        <v>1298.27</v>
      </c>
      <c r="N257" s="147"/>
      <c r="P257" s="140"/>
      <c r="Q257" s="140"/>
    </row>
    <row r="258" spans="1:17" hidden="1" x14ac:dyDescent="0.35">
      <c r="A258" s="146"/>
      <c r="B258" s="143"/>
      <c r="C258" s="133"/>
      <c r="D258" s="133"/>
      <c r="E258" s="145"/>
      <c r="F258" s="145"/>
      <c r="G258" s="133" t="s">
        <v>1034</v>
      </c>
      <c r="H258" s="144" t="s">
        <v>1341</v>
      </c>
      <c r="I258" s="133" t="s">
        <v>1092</v>
      </c>
      <c r="J258" s="133" t="s">
        <v>2209</v>
      </c>
      <c r="K258" s="143">
        <v>45139</v>
      </c>
      <c r="L258" s="133" t="s">
        <v>1241</v>
      </c>
      <c r="M258" s="133">
        <v>320</v>
      </c>
      <c r="N258" s="147"/>
      <c r="P258" s="140"/>
      <c r="Q258" s="140"/>
    </row>
    <row r="259" spans="1:17" hidden="1" x14ac:dyDescent="0.35">
      <c r="A259" s="146"/>
      <c r="B259" s="143"/>
      <c r="C259" s="133"/>
      <c r="D259" s="133"/>
      <c r="E259" s="145"/>
      <c r="F259" s="145"/>
      <c r="G259" s="133"/>
      <c r="H259" s="144"/>
      <c r="I259" s="133"/>
      <c r="J259" s="133"/>
      <c r="K259" s="133"/>
      <c r="L259" s="133"/>
      <c r="M259" s="133"/>
      <c r="N259" s="147"/>
      <c r="P259" s="140"/>
      <c r="Q259" s="140"/>
    </row>
    <row r="260" spans="1:17" hidden="1" x14ac:dyDescent="0.35">
      <c r="A260" s="146">
        <v>58</v>
      </c>
      <c r="B260" s="143">
        <v>45078</v>
      </c>
      <c r="C260" s="133" t="s">
        <v>1822</v>
      </c>
      <c r="D260" s="133" t="s">
        <v>2224</v>
      </c>
      <c r="E260" s="148" t="s">
        <v>1064</v>
      </c>
      <c r="F260" s="145">
        <v>1526.7</v>
      </c>
      <c r="G260" s="133" t="s">
        <v>1034</v>
      </c>
      <c r="H260" s="144" t="s">
        <v>1341</v>
      </c>
      <c r="I260" s="133" t="s">
        <v>1092</v>
      </c>
      <c r="J260" s="133" t="s">
        <v>2221</v>
      </c>
      <c r="K260" s="143">
        <v>45139</v>
      </c>
      <c r="L260" s="133" t="s">
        <v>1092</v>
      </c>
      <c r="M260" s="133">
        <f>1526.7+2010.1+858.83</f>
        <v>4395.63</v>
      </c>
      <c r="N260" s="147">
        <f>+F260+F261+F262-M260-M261-M262-M263</f>
        <v>0</v>
      </c>
      <c r="P260" s="140"/>
      <c r="Q260" s="140"/>
    </row>
    <row r="261" spans="1:17" hidden="1" x14ac:dyDescent="0.35">
      <c r="A261" s="146"/>
      <c r="B261" s="143"/>
      <c r="C261" s="133"/>
      <c r="D261" s="133"/>
      <c r="E261" s="145" t="s">
        <v>1075</v>
      </c>
      <c r="F261" s="145">
        <v>2010.1</v>
      </c>
      <c r="G261" s="133" t="s">
        <v>1034</v>
      </c>
      <c r="H261" s="144" t="s">
        <v>1341</v>
      </c>
      <c r="I261" s="133" t="s">
        <v>1092</v>
      </c>
      <c r="J261" s="133" t="s">
        <v>2215</v>
      </c>
      <c r="K261" s="143">
        <v>45139</v>
      </c>
      <c r="L261" s="133" t="s">
        <v>1092</v>
      </c>
      <c r="M261" s="133">
        <v>2838.5</v>
      </c>
      <c r="N261" s="147"/>
      <c r="P261" s="140"/>
      <c r="Q261" s="140"/>
    </row>
    <row r="262" spans="1:17" hidden="1" x14ac:dyDescent="0.35">
      <c r="A262" s="146"/>
      <c r="B262" s="143"/>
      <c r="C262" s="133"/>
      <c r="D262" s="133"/>
      <c r="E262" s="145" t="s">
        <v>1067</v>
      </c>
      <c r="F262" s="145">
        <v>5726.4</v>
      </c>
      <c r="G262" s="133" t="s">
        <v>1034</v>
      </c>
      <c r="H262" s="144" t="s">
        <v>1341</v>
      </c>
      <c r="I262" s="133" t="s">
        <v>1092</v>
      </c>
      <c r="J262" s="133" t="s">
        <v>2198</v>
      </c>
      <c r="K262" s="143">
        <v>45139</v>
      </c>
      <c r="L262" s="133" t="s">
        <v>1092</v>
      </c>
      <c r="M262" s="133">
        <v>1568.0700000000006</v>
      </c>
      <c r="N262" s="147"/>
      <c r="P262" s="140"/>
      <c r="Q262" s="140"/>
    </row>
    <row r="263" spans="1:17" hidden="1" x14ac:dyDescent="0.35">
      <c r="A263" s="146"/>
      <c r="B263" s="143"/>
      <c r="C263" s="133"/>
      <c r="D263" s="133"/>
      <c r="E263" s="145"/>
      <c r="F263" s="145"/>
      <c r="G263" s="133" t="s">
        <v>1034</v>
      </c>
      <c r="H263" s="144" t="s">
        <v>1341</v>
      </c>
      <c r="I263" s="133" t="s">
        <v>1092</v>
      </c>
      <c r="J263" s="133" t="s">
        <v>2209</v>
      </c>
      <c r="K263" s="143">
        <v>45139</v>
      </c>
      <c r="L263" s="133" t="s">
        <v>1241</v>
      </c>
      <c r="M263" s="133">
        <v>461</v>
      </c>
      <c r="N263" s="147"/>
      <c r="P263" s="140"/>
      <c r="Q263" s="140"/>
    </row>
    <row r="264" spans="1:17" hidden="1" x14ac:dyDescent="0.35">
      <c r="A264" s="146"/>
      <c r="B264" s="143"/>
      <c r="C264" s="133"/>
      <c r="D264" s="133"/>
      <c r="E264" s="145"/>
      <c r="F264" s="145"/>
      <c r="G264" s="133"/>
      <c r="H264" s="144"/>
      <c r="I264" s="133"/>
      <c r="J264" s="133"/>
      <c r="K264" s="133"/>
      <c r="L264" s="133"/>
      <c r="M264" s="133"/>
      <c r="N264" s="147"/>
      <c r="P264" s="140"/>
      <c r="Q264" s="140"/>
    </row>
    <row r="265" spans="1:17" hidden="1" x14ac:dyDescent="0.35">
      <c r="A265" s="146">
        <v>59</v>
      </c>
      <c r="B265" s="143">
        <v>45078</v>
      </c>
      <c r="C265" s="133" t="s">
        <v>1820</v>
      </c>
      <c r="D265" s="133" t="s">
        <v>2223</v>
      </c>
      <c r="E265" s="145" t="s">
        <v>1342</v>
      </c>
      <c r="F265" s="145">
        <v>3599</v>
      </c>
      <c r="G265" s="133" t="s">
        <v>1034</v>
      </c>
      <c r="H265" s="144" t="s">
        <v>1341</v>
      </c>
      <c r="I265" s="133" t="s">
        <v>1092</v>
      </c>
      <c r="J265" s="133" t="s">
        <v>2222</v>
      </c>
      <c r="K265" s="143">
        <v>45139</v>
      </c>
      <c r="L265" s="133" t="s">
        <v>1092</v>
      </c>
      <c r="M265" s="133">
        <f>3599+1259.1</f>
        <v>4858.1000000000004</v>
      </c>
      <c r="N265" s="147">
        <f>+F265+F266+F267-M265-M266-M267</f>
        <v>0</v>
      </c>
      <c r="P265" s="140"/>
      <c r="Q265" s="140"/>
    </row>
    <row r="266" spans="1:17" hidden="1" x14ac:dyDescent="0.35">
      <c r="A266" s="146"/>
      <c r="B266" s="143"/>
      <c r="C266" s="133"/>
      <c r="D266" s="133"/>
      <c r="E266" s="145" t="s">
        <v>1075</v>
      </c>
      <c r="F266" s="145">
        <v>3303</v>
      </c>
      <c r="G266" s="133" t="s">
        <v>1034</v>
      </c>
      <c r="H266" s="144" t="s">
        <v>1341</v>
      </c>
      <c r="I266" s="133" t="s">
        <v>1092</v>
      </c>
      <c r="J266" s="133" t="s">
        <v>2221</v>
      </c>
      <c r="K266" s="143">
        <v>45139</v>
      </c>
      <c r="L266" s="133" t="s">
        <v>1092</v>
      </c>
      <c r="M266" s="133">
        <v>2894</v>
      </c>
      <c r="N266" s="142"/>
      <c r="P266" s="140"/>
      <c r="Q266" s="140"/>
    </row>
    <row r="267" spans="1:17" hidden="1" x14ac:dyDescent="0.35">
      <c r="A267" s="146"/>
      <c r="B267" s="143"/>
      <c r="C267" s="133"/>
      <c r="D267" s="133"/>
      <c r="E267" s="145" t="s">
        <v>1067</v>
      </c>
      <c r="F267" s="145">
        <v>1259.0999999999999</v>
      </c>
      <c r="G267" s="133" t="s">
        <v>1034</v>
      </c>
      <c r="H267" s="144" t="s">
        <v>1341</v>
      </c>
      <c r="I267" s="133" t="s">
        <v>1092</v>
      </c>
      <c r="J267" s="133" t="s">
        <v>2209</v>
      </c>
      <c r="K267" s="143">
        <v>45139</v>
      </c>
      <c r="L267" s="133" t="s">
        <v>1241</v>
      </c>
      <c r="M267" s="133">
        <v>409</v>
      </c>
      <c r="N267" s="142"/>
      <c r="P267" s="140"/>
      <c r="Q267" s="140"/>
    </row>
    <row r="268" spans="1:17" hidden="1" x14ac:dyDescent="0.35">
      <c r="A268" s="146"/>
      <c r="B268" s="143"/>
      <c r="C268" s="133"/>
      <c r="D268" s="133"/>
      <c r="E268" s="145"/>
      <c r="F268" s="145"/>
      <c r="G268" s="133"/>
      <c r="H268" s="144"/>
      <c r="I268" s="133"/>
      <c r="J268" s="133"/>
      <c r="K268" s="133"/>
      <c r="L268" s="133"/>
      <c r="M268" s="133"/>
      <c r="N268" s="142"/>
      <c r="P268" s="140"/>
      <c r="Q268" s="140"/>
    </row>
    <row r="269" spans="1:17" hidden="1" x14ac:dyDescent="0.35">
      <c r="A269" s="156"/>
      <c r="B269" s="152"/>
      <c r="C269" s="151"/>
      <c r="D269" s="151"/>
      <c r="E269" s="154"/>
      <c r="F269" s="154"/>
      <c r="G269" s="151"/>
      <c r="H269" s="153"/>
      <c r="I269" s="151"/>
      <c r="J269" s="151"/>
      <c r="K269" s="151"/>
      <c r="L269" s="151"/>
      <c r="M269" s="151"/>
      <c r="N269" s="150"/>
      <c r="P269" s="140"/>
      <c r="Q269" s="140"/>
    </row>
    <row r="270" spans="1:17" hidden="1" x14ac:dyDescent="0.35">
      <c r="A270" s="146"/>
      <c r="B270" s="143"/>
      <c r="C270" s="133"/>
      <c r="D270" s="133"/>
      <c r="E270" s="145"/>
      <c r="F270" s="145"/>
      <c r="G270" s="133"/>
      <c r="H270" s="144"/>
      <c r="I270" s="133"/>
      <c r="J270" s="133"/>
      <c r="K270" s="133"/>
      <c r="L270" s="133"/>
      <c r="M270" s="133"/>
      <c r="N270" s="142"/>
      <c r="P270" s="140"/>
      <c r="Q270" s="140"/>
    </row>
    <row r="271" spans="1:17" hidden="1" x14ac:dyDescent="0.35">
      <c r="A271" s="146">
        <v>60</v>
      </c>
      <c r="B271" s="143">
        <v>45108</v>
      </c>
      <c r="C271" s="133" t="s">
        <v>1819</v>
      </c>
      <c r="D271" s="133" t="s">
        <v>2220</v>
      </c>
      <c r="E271" s="148" t="s">
        <v>1064</v>
      </c>
      <c r="F271" s="145">
        <v>1056.3</v>
      </c>
      <c r="G271" s="133" t="s">
        <v>1034</v>
      </c>
      <c r="H271" s="144" t="s">
        <v>1341</v>
      </c>
      <c r="I271" s="133" t="s">
        <v>1092</v>
      </c>
      <c r="J271" s="133" t="s">
        <v>2198</v>
      </c>
      <c r="K271" s="143">
        <v>45139</v>
      </c>
      <c r="L271" s="133" t="s">
        <v>1092</v>
      </c>
      <c r="M271" s="133">
        <v>2341.8999999999996</v>
      </c>
      <c r="N271" s="147">
        <f>+F271+F272-M271-M272</f>
        <v>0</v>
      </c>
      <c r="P271" s="140"/>
      <c r="Q271" s="140"/>
    </row>
    <row r="272" spans="1:17" hidden="1" x14ac:dyDescent="0.35">
      <c r="A272" s="146"/>
      <c r="B272" s="143"/>
      <c r="C272" s="133"/>
      <c r="D272" s="133"/>
      <c r="E272" s="145" t="s">
        <v>1075</v>
      </c>
      <c r="F272" s="145">
        <v>1414.6</v>
      </c>
      <c r="G272" s="133" t="s">
        <v>1034</v>
      </c>
      <c r="H272" s="144" t="s">
        <v>1341</v>
      </c>
      <c r="I272" s="133" t="s">
        <v>1092</v>
      </c>
      <c r="J272" s="133" t="s">
        <v>2209</v>
      </c>
      <c r="K272" s="143">
        <v>45139</v>
      </c>
      <c r="L272" s="133" t="s">
        <v>1241</v>
      </c>
      <c r="M272" s="133">
        <v>129</v>
      </c>
      <c r="N272" s="147"/>
      <c r="P272" s="140"/>
      <c r="Q272" s="140"/>
    </row>
    <row r="273" spans="1:17" hidden="1" x14ac:dyDescent="0.35">
      <c r="A273" s="146"/>
      <c r="B273" s="143"/>
      <c r="C273" s="133"/>
      <c r="D273" s="133"/>
      <c r="E273" s="145"/>
      <c r="F273" s="145"/>
      <c r="G273" s="133"/>
      <c r="H273" s="144"/>
      <c r="I273" s="133"/>
      <c r="J273" s="133"/>
      <c r="K273" s="133"/>
      <c r="L273" s="133"/>
      <c r="M273" s="133"/>
      <c r="N273" s="147"/>
      <c r="P273" s="140"/>
      <c r="Q273" s="140"/>
    </row>
    <row r="274" spans="1:17" hidden="1" x14ac:dyDescent="0.35">
      <c r="A274" s="146">
        <v>61</v>
      </c>
      <c r="B274" s="143">
        <v>45108</v>
      </c>
      <c r="C274" s="133" t="s">
        <v>1817</v>
      </c>
      <c r="D274" s="133" t="s">
        <v>2219</v>
      </c>
      <c r="E274" s="145" t="s">
        <v>1342</v>
      </c>
      <c r="F274" s="145">
        <v>2993</v>
      </c>
      <c r="G274" s="133" t="s">
        <v>1034</v>
      </c>
      <c r="H274" s="144" t="s">
        <v>1341</v>
      </c>
      <c r="I274" s="133" t="s">
        <v>1092</v>
      </c>
      <c r="J274" s="133" t="s">
        <v>2198</v>
      </c>
      <c r="K274" s="143">
        <v>45139</v>
      </c>
      <c r="L274" s="133" t="s">
        <v>1092</v>
      </c>
      <c r="M274" s="133">
        <v>9721.5</v>
      </c>
      <c r="N274" s="147">
        <f>+F274+F275+F276+F277+F278-M274-M275</f>
        <v>0</v>
      </c>
      <c r="P274" s="140"/>
      <c r="Q274" s="140"/>
    </row>
    <row r="275" spans="1:17" hidden="1" x14ac:dyDescent="0.35">
      <c r="A275" s="146"/>
      <c r="B275" s="143"/>
      <c r="C275" s="133"/>
      <c r="D275" s="133"/>
      <c r="E275" s="145" t="s">
        <v>1075</v>
      </c>
      <c r="F275" s="145">
        <v>472</v>
      </c>
      <c r="G275" s="133" t="s">
        <v>1034</v>
      </c>
      <c r="H275" s="144" t="s">
        <v>1341</v>
      </c>
      <c r="I275" s="133" t="s">
        <v>1092</v>
      </c>
      <c r="J275" s="133" t="s">
        <v>2209</v>
      </c>
      <c r="K275" s="143">
        <v>45139</v>
      </c>
      <c r="L275" s="133" t="s">
        <v>1241</v>
      </c>
      <c r="M275" s="133">
        <v>518.79999999999995</v>
      </c>
      <c r="N275" s="147"/>
      <c r="P275" s="140"/>
      <c r="Q275" s="140"/>
    </row>
    <row r="276" spans="1:17" hidden="1" x14ac:dyDescent="0.35">
      <c r="A276" s="146"/>
      <c r="B276" s="143"/>
      <c r="C276" s="133"/>
      <c r="D276" s="133"/>
      <c r="E276" s="145" t="s">
        <v>1067</v>
      </c>
      <c r="F276" s="145">
        <v>635.9</v>
      </c>
      <c r="G276" s="133"/>
      <c r="H276" s="144"/>
      <c r="I276" s="133"/>
      <c r="J276" s="133"/>
      <c r="K276" s="133"/>
      <c r="L276" s="133"/>
      <c r="M276" s="133"/>
      <c r="N276" s="147"/>
      <c r="P276" s="140"/>
      <c r="Q276" s="140"/>
    </row>
    <row r="277" spans="1:17" hidden="1" x14ac:dyDescent="0.35">
      <c r="A277" s="146"/>
      <c r="B277" s="143"/>
      <c r="C277" s="133"/>
      <c r="D277" s="133"/>
      <c r="E277" s="145" t="s">
        <v>1089</v>
      </c>
      <c r="F277" s="145">
        <v>2000</v>
      </c>
      <c r="G277" s="133"/>
      <c r="H277" s="144"/>
      <c r="I277" s="133"/>
      <c r="J277" s="133"/>
      <c r="K277" s="133"/>
      <c r="L277" s="133"/>
      <c r="M277" s="133"/>
      <c r="N277" s="147"/>
      <c r="P277" s="140"/>
      <c r="Q277" s="140"/>
    </row>
    <row r="278" spans="1:17" hidden="1" x14ac:dyDescent="0.35">
      <c r="A278" s="146"/>
      <c r="B278" s="143"/>
      <c r="C278" s="133"/>
      <c r="D278" s="133"/>
      <c r="E278" s="145" t="s">
        <v>1071</v>
      </c>
      <c r="F278" s="145">
        <v>4139.3999999999996</v>
      </c>
      <c r="G278" s="133"/>
      <c r="H278" s="144"/>
      <c r="I278" s="133"/>
      <c r="J278" s="133"/>
      <c r="K278" s="133"/>
      <c r="L278" s="133"/>
      <c r="M278" s="133"/>
      <c r="N278" s="147"/>
      <c r="P278" s="140"/>
      <c r="Q278" s="140"/>
    </row>
    <row r="279" spans="1:17" hidden="1" x14ac:dyDescent="0.35">
      <c r="A279" s="146"/>
      <c r="B279" s="143"/>
      <c r="C279" s="133"/>
      <c r="D279" s="133"/>
      <c r="E279" s="145"/>
      <c r="F279" s="145"/>
      <c r="G279" s="133"/>
      <c r="H279" s="144"/>
      <c r="I279" s="133"/>
      <c r="J279" s="133"/>
      <c r="K279" s="133"/>
      <c r="L279" s="133"/>
      <c r="M279" s="133"/>
      <c r="N279" s="147"/>
      <c r="P279" s="140"/>
      <c r="Q279" s="140"/>
    </row>
    <row r="280" spans="1:17" hidden="1" x14ac:dyDescent="0.35">
      <c r="A280" s="146">
        <v>62</v>
      </c>
      <c r="B280" s="143">
        <v>45108</v>
      </c>
      <c r="C280" s="133" t="s">
        <v>1815</v>
      </c>
      <c r="D280" s="133" t="s">
        <v>2218</v>
      </c>
      <c r="E280" s="145" t="s">
        <v>1071</v>
      </c>
      <c r="F280" s="145">
        <v>935.2</v>
      </c>
      <c r="G280" s="133" t="s">
        <v>1034</v>
      </c>
      <c r="H280" s="144" t="s">
        <v>1341</v>
      </c>
      <c r="I280" s="133" t="s">
        <v>1092</v>
      </c>
      <c r="J280" s="133" t="s">
        <v>2198</v>
      </c>
      <c r="K280" s="143">
        <v>45139</v>
      </c>
      <c r="L280" s="133" t="s">
        <v>1092</v>
      </c>
      <c r="M280" s="133">
        <v>888.2</v>
      </c>
      <c r="N280" s="147">
        <f>+F280-M280-M281</f>
        <v>0</v>
      </c>
      <c r="P280" s="140"/>
      <c r="Q280" s="140"/>
    </row>
    <row r="281" spans="1:17" hidden="1" x14ac:dyDescent="0.35">
      <c r="A281" s="146"/>
      <c r="B281" s="143"/>
      <c r="C281" s="133"/>
      <c r="D281" s="133"/>
      <c r="E281" s="145"/>
      <c r="F281" s="145"/>
      <c r="G281" s="133" t="s">
        <v>1034</v>
      </c>
      <c r="H281" s="144" t="s">
        <v>1341</v>
      </c>
      <c r="I281" s="133" t="s">
        <v>1092</v>
      </c>
      <c r="J281" s="133" t="s">
        <v>2209</v>
      </c>
      <c r="K281" s="143">
        <v>45139</v>
      </c>
      <c r="L281" s="133" t="s">
        <v>1241</v>
      </c>
      <c r="M281" s="133">
        <v>47</v>
      </c>
      <c r="N281" s="147"/>
      <c r="P281" s="140"/>
      <c r="Q281" s="140"/>
    </row>
    <row r="282" spans="1:17" hidden="1" x14ac:dyDescent="0.35">
      <c r="A282" s="146"/>
      <c r="B282" s="143"/>
      <c r="C282" s="133"/>
      <c r="D282" s="133"/>
      <c r="E282" s="145"/>
      <c r="F282" s="145"/>
      <c r="G282" s="133"/>
      <c r="H282" s="144"/>
      <c r="I282" s="133"/>
      <c r="J282" s="133"/>
      <c r="K282" s="133"/>
      <c r="L282" s="133"/>
      <c r="M282" s="133"/>
      <c r="N282" s="147"/>
      <c r="P282" s="140"/>
      <c r="Q282" s="140"/>
    </row>
    <row r="283" spans="1:17" hidden="1" x14ac:dyDescent="0.35">
      <c r="A283" s="146">
        <v>63</v>
      </c>
      <c r="B283" s="143">
        <v>45108</v>
      </c>
      <c r="C283" s="133" t="s">
        <v>1813</v>
      </c>
      <c r="D283" s="133" t="s">
        <v>2217</v>
      </c>
      <c r="E283" s="145" t="s">
        <v>1342</v>
      </c>
      <c r="F283" s="148">
        <v>5249</v>
      </c>
      <c r="G283" s="133" t="s">
        <v>1034</v>
      </c>
      <c r="H283" s="144" t="s">
        <v>1341</v>
      </c>
      <c r="I283" s="133" t="s">
        <v>1092</v>
      </c>
      <c r="J283" s="133" t="s">
        <v>2198</v>
      </c>
      <c r="K283" s="143">
        <v>45139</v>
      </c>
      <c r="L283" s="133" t="s">
        <v>1092</v>
      </c>
      <c r="M283" s="133">
        <v>10576.9</v>
      </c>
      <c r="N283" s="147">
        <f>+F283+F284+F285-M283-M284</f>
        <v>0</v>
      </c>
      <c r="P283" s="140"/>
      <c r="Q283" s="140"/>
    </row>
    <row r="284" spans="1:17" hidden="1" x14ac:dyDescent="0.35">
      <c r="A284" s="146"/>
      <c r="B284" s="143"/>
      <c r="C284" s="133"/>
      <c r="D284" s="133"/>
      <c r="E284" s="145" t="s">
        <v>1075</v>
      </c>
      <c r="F284" s="148">
        <v>1453</v>
      </c>
      <c r="G284" s="133" t="s">
        <v>1034</v>
      </c>
      <c r="H284" s="144" t="s">
        <v>1341</v>
      </c>
      <c r="I284" s="133" t="s">
        <v>1092</v>
      </c>
      <c r="J284" s="133" t="s">
        <v>2209</v>
      </c>
      <c r="K284" s="143">
        <v>45139</v>
      </c>
      <c r="L284" s="133" t="s">
        <v>1241</v>
      </c>
      <c r="M284" s="133">
        <v>556</v>
      </c>
      <c r="N284" s="147"/>
      <c r="P284" s="140"/>
      <c r="Q284" s="140"/>
    </row>
    <row r="285" spans="1:17" hidden="1" x14ac:dyDescent="0.35">
      <c r="A285" s="146"/>
      <c r="B285" s="143"/>
      <c r="C285" s="133"/>
      <c r="D285" s="133"/>
      <c r="E285" s="145" t="s">
        <v>1067</v>
      </c>
      <c r="F285" s="148">
        <v>4430.8999999999996</v>
      </c>
      <c r="G285" s="133"/>
      <c r="H285" s="144"/>
      <c r="I285" s="133"/>
      <c r="J285" s="133"/>
      <c r="K285" s="133"/>
      <c r="L285" s="133"/>
      <c r="M285" s="133"/>
      <c r="N285" s="147"/>
      <c r="P285" s="140"/>
      <c r="Q285" s="140"/>
    </row>
    <row r="286" spans="1:17" hidden="1" x14ac:dyDescent="0.35">
      <c r="A286" s="146"/>
      <c r="B286" s="143"/>
      <c r="C286" s="133"/>
      <c r="D286" s="133"/>
      <c r="E286" s="145"/>
      <c r="F286" s="145"/>
      <c r="G286" s="133"/>
      <c r="H286" s="144"/>
      <c r="I286" s="133"/>
      <c r="J286" s="133"/>
      <c r="K286" s="133"/>
      <c r="L286" s="133"/>
      <c r="M286" s="133"/>
      <c r="N286" s="147"/>
      <c r="P286" s="140"/>
      <c r="Q286" s="140"/>
    </row>
    <row r="287" spans="1:17" hidden="1" x14ac:dyDescent="0.35">
      <c r="A287" s="146">
        <v>64</v>
      </c>
      <c r="B287" s="143">
        <v>45108</v>
      </c>
      <c r="C287" s="133" t="s">
        <v>1809</v>
      </c>
      <c r="D287" s="133" t="s">
        <v>2216</v>
      </c>
      <c r="E287" s="145" t="s">
        <v>1342</v>
      </c>
      <c r="F287" s="148">
        <v>2017</v>
      </c>
      <c r="G287" s="133" t="s">
        <v>1034</v>
      </c>
      <c r="H287" s="144" t="s">
        <v>1341</v>
      </c>
      <c r="I287" s="133" t="s">
        <v>1092</v>
      </c>
      <c r="J287" s="133" t="s">
        <v>2215</v>
      </c>
      <c r="K287" s="143">
        <v>45139</v>
      </c>
      <c r="L287" s="133" t="s">
        <v>1092</v>
      </c>
      <c r="M287" s="133">
        <v>193.5</v>
      </c>
      <c r="N287" s="147">
        <f>+F287+F288+F289+F290+F291+F292-M287-M288-M289</f>
        <v>0</v>
      </c>
      <c r="P287" s="140"/>
      <c r="Q287" s="140"/>
    </row>
    <row r="288" spans="1:17" hidden="1" x14ac:dyDescent="0.35">
      <c r="A288" s="146"/>
      <c r="B288" s="143"/>
      <c r="C288" s="133"/>
      <c r="D288" s="133"/>
      <c r="E288" s="145" t="s">
        <v>1075</v>
      </c>
      <c r="F288" s="148">
        <v>930.1</v>
      </c>
      <c r="G288" s="133" t="s">
        <v>1034</v>
      </c>
      <c r="H288" s="144" t="s">
        <v>1341</v>
      </c>
      <c r="I288" s="133" t="s">
        <v>1092</v>
      </c>
      <c r="J288" s="133" t="s">
        <v>2198</v>
      </c>
      <c r="K288" s="143">
        <v>45139</v>
      </c>
      <c r="L288" s="133" t="s">
        <v>1092</v>
      </c>
      <c r="M288" s="133">
        <v>7449.2999999999993</v>
      </c>
      <c r="N288" s="147"/>
      <c r="P288" s="140"/>
      <c r="Q288" s="140"/>
    </row>
    <row r="289" spans="1:17" hidden="1" x14ac:dyDescent="0.35">
      <c r="A289" s="146"/>
      <c r="B289" s="143"/>
      <c r="C289" s="133"/>
      <c r="D289" s="133"/>
      <c r="E289" s="145" t="s">
        <v>1067</v>
      </c>
      <c r="F289" s="148">
        <v>2186.6</v>
      </c>
      <c r="G289" s="133" t="s">
        <v>1034</v>
      </c>
      <c r="H289" s="144" t="s">
        <v>1341</v>
      </c>
      <c r="I289" s="133" t="s">
        <v>1092</v>
      </c>
      <c r="J289" s="133" t="s">
        <v>2209</v>
      </c>
      <c r="K289" s="143">
        <v>45139</v>
      </c>
      <c r="L289" s="133" t="s">
        <v>1241</v>
      </c>
      <c r="M289" s="133">
        <v>402</v>
      </c>
      <c r="N289" s="147"/>
      <c r="P289" s="140"/>
      <c r="Q289" s="140"/>
    </row>
    <row r="290" spans="1:17" hidden="1" x14ac:dyDescent="0.35">
      <c r="A290" s="146"/>
      <c r="B290" s="143"/>
      <c r="C290" s="133"/>
      <c r="D290" s="133"/>
      <c r="E290" s="145" t="s">
        <v>1171</v>
      </c>
      <c r="F290" s="145">
        <v>25</v>
      </c>
      <c r="G290" s="133"/>
      <c r="H290" s="144"/>
      <c r="I290" s="133"/>
      <c r="J290" s="133"/>
      <c r="K290" s="133"/>
      <c r="L290" s="133"/>
      <c r="M290" s="133"/>
      <c r="N290" s="147"/>
      <c r="P290" s="140"/>
      <c r="Q290" s="140"/>
    </row>
    <row r="291" spans="1:17" hidden="1" x14ac:dyDescent="0.35">
      <c r="A291" s="146"/>
      <c r="B291" s="143"/>
      <c r="C291" s="133"/>
      <c r="D291" s="133"/>
      <c r="E291" s="145" t="s">
        <v>1118</v>
      </c>
      <c r="F291" s="148">
        <v>1693.5</v>
      </c>
      <c r="G291" s="133"/>
      <c r="H291" s="144"/>
      <c r="I291" s="133"/>
      <c r="J291" s="133"/>
      <c r="K291" s="133"/>
      <c r="L291" s="133"/>
      <c r="M291" s="133"/>
      <c r="N291" s="147"/>
      <c r="P291" s="140"/>
      <c r="Q291" s="140"/>
    </row>
    <row r="292" spans="1:17" hidden="1" x14ac:dyDescent="0.35">
      <c r="A292" s="146"/>
      <c r="B292" s="143"/>
      <c r="C292" s="133"/>
      <c r="D292" s="133"/>
      <c r="E292" s="148" t="s">
        <v>1064</v>
      </c>
      <c r="F292" s="148">
        <v>1192.5999999999999</v>
      </c>
      <c r="G292" s="133"/>
      <c r="H292" s="144"/>
      <c r="I292" s="133"/>
      <c r="J292" s="133"/>
      <c r="K292" s="133"/>
      <c r="L292" s="133"/>
      <c r="M292" s="133"/>
      <c r="N292" s="147"/>
      <c r="P292" s="140"/>
      <c r="Q292" s="140"/>
    </row>
    <row r="293" spans="1:17" hidden="1" x14ac:dyDescent="0.35">
      <c r="A293" s="146"/>
      <c r="B293" s="143"/>
      <c r="C293" s="133"/>
      <c r="D293" s="133"/>
      <c r="E293" s="148"/>
      <c r="F293" s="148"/>
      <c r="G293" s="133"/>
      <c r="H293" s="144"/>
      <c r="I293" s="133"/>
      <c r="J293" s="133"/>
      <c r="K293" s="133"/>
      <c r="L293" s="133"/>
      <c r="M293" s="133"/>
      <c r="N293" s="147"/>
      <c r="P293" s="140"/>
      <c r="Q293" s="140"/>
    </row>
    <row r="294" spans="1:17" hidden="1" x14ac:dyDescent="0.35">
      <c r="A294" s="146">
        <v>65</v>
      </c>
      <c r="B294" s="143">
        <v>45108</v>
      </c>
      <c r="C294" s="133" t="s">
        <v>1807</v>
      </c>
      <c r="D294" s="133" t="s">
        <v>2214</v>
      </c>
      <c r="E294" s="145" t="s">
        <v>1342</v>
      </c>
      <c r="F294" s="148">
        <v>4328</v>
      </c>
      <c r="G294" s="133" t="s">
        <v>1034</v>
      </c>
      <c r="H294" s="144" t="s">
        <v>1341</v>
      </c>
      <c r="I294" s="133" t="s">
        <v>1092</v>
      </c>
      <c r="J294" s="133" t="s">
        <v>2212</v>
      </c>
      <c r="K294" s="143">
        <v>45139</v>
      </c>
      <c r="L294" s="133" t="s">
        <v>1092</v>
      </c>
      <c r="M294" s="133">
        <v>5662.8</v>
      </c>
      <c r="N294" s="147">
        <f>+F294+F295-M294-M295</f>
        <v>0</v>
      </c>
      <c r="P294" s="140"/>
      <c r="Q294" s="140"/>
    </row>
    <row r="295" spans="1:17" hidden="1" x14ac:dyDescent="0.35">
      <c r="A295" s="146"/>
      <c r="B295" s="143"/>
      <c r="C295" s="133"/>
      <c r="D295" s="133"/>
      <c r="E295" s="145" t="s">
        <v>1067</v>
      </c>
      <c r="F295" s="148">
        <v>1632.8</v>
      </c>
      <c r="G295" s="133" t="s">
        <v>1034</v>
      </c>
      <c r="H295" s="144" t="s">
        <v>1341</v>
      </c>
      <c r="I295" s="133" t="s">
        <v>1092</v>
      </c>
      <c r="J295" s="133" t="s">
        <v>2209</v>
      </c>
      <c r="K295" s="143">
        <v>45139</v>
      </c>
      <c r="L295" s="133" t="s">
        <v>1241</v>
      </c>
      <c r="M295" s="133">
        <v>298</v>
      </c>
      <c r="N295" s="147"/>
      <c r="P295" s="140"/>
      <c r="Q295" s="140"/>
    </row>
    <row r="296" spans="1:17" hidden="1" x14ac:dyDescent="0.35">
      <c r="A296" s="146"/>
      <c r="B296" s="143"/>
      <c r="C296" s="133"/>
      <c r="D296" s="133"/>
      <c r="E296" s="145"/>
      <c r="F296" s="145"/>
      <c r="G296" s="133"/>
      <c r="H296" s="144"/>
      <c r="I296" s="133"/>
      <c r="J296" s="133"/>
      <c r="K296" s="133"/>
      <c r="L296" s="133"/>
      <c r="M296" s="133"/>
      <c r="N296" s="147"/>
      <c r="P296" s="140"/>
      <c r="Q296" s="140"/>
    </row>
    <row r="297" spans="1:17" hidden="1" x14ac:dyDescent="0.35">
      <c r="A297" s="146">
        <v>66</v>
      </c>
      <c r="B297" s="143">
        <v>45108</v>
      </c>
      <c r="C297" s="133" t="s">
        <v>1805</v>
      </c>
      <c r="D297" s="133" t="s">
        <v>2213</v>
      </c>
      <c r="E297" s="145" t="s">
        <v>1342</v>
      </c>
      <c r="F297" s="148">
        <v>3827</v>
      </c>
      <c r="G297" s="133" t="s">
        <v>1034</v>
      </c>
      <c r="H297" s="144" t="s">
        <v>1341</v>
      </c>
      <c r="I297" s="133" t="s">
        <v>1092</v>
      </c>
      <c r="J297" s="133" t="s">
        <v>2212</v>
      </c>
      <c r="K297" s="143">
        <v>45139</v>
      </c>
      <c r="L297" s="133" t="s">
        <v>1092</v>
      </c>
      <c r="M297" s="133">
        <v>13182.2</v>
      </c>
      <c r="N297" s="147">
        <f>+F297+F298+F299+F300-M297-M298-M299</f>
        <v>0</v>
      </c>
      <c r="P297" s="140"/>
      <c r="Q297" s="140"/>
    </row>
    <row r="298" spans="1:17" hidden="1" x14ac:dyDescent="0.35">
      <c r="A298" s="146"/>
      <c r="B298" s="143"/>
      <c r="C298" s="133"/>
      <c r="D298" s="133"/>
      <c r="E298" s="145" t="s">
        <v>1067</v>
      </c>
      <c r="F298" s="148">
        <v>11596.5</v>
      </c>
      <c r="G298" s="133" t="s">
        <v>1034</v>
      </c>
      <c r="H298" s="144" t="s">
        <v>1341</v>
      </c>
      <c r="I298" s="133" t="s">
        <v>1092</v>
      </c>
      <c r="J298" s="133" t="s">
        <v>2197</v>
      </c>
      <c r="K298" s="143">
        <v>45139</v>
      </c>
      <c r="L298" s="133" t="s">
        <v>1092</v>
      </c>
      <c r="M298" s="133">
        <v>8614.2000000000007</v>
      </c>
      <c r="N298" s="147"/>
      <c r="P298" s="140"/>
      <c r="Q298" s="140"/>
    </row>
    <row r="299" spans="1:17" hidden="1" x14ac:dyDescent="0.35">
      <c r="A299" s="146"/>
      <c r="B299" s="143"/>
      <c r="C299" s="133"/>
      <c r="D299" s="133"/>
      <c r="E299" s="145" t="s">
        <v>1118</v>
      </c>
      <c r="F299" s="148">
        <v>5227.8999999999996</v>
      </c>
      <c r="G299" s="133" t="s">
        <v>1034</v>
      </c>
      <c r="H299" s="144" t="s">
        <v>1341</v>
      </c>
      <c r="I299" s="133" t="s">
        <v>1092</v>
      </c>
      <c r="J299" s="133" t="s">
        <v>2209</v>
      </c>
      <c r="K299" s="143">
        <v>45139</v>
      </c>
      <c r="L299" s="133" t="s">
        <v>1241</v>
      </c>
      <c r="M299" s="133">
        <v>1148</v>
      </c>
      <c r="N299" s="147"/>
      <c r="P299" s="140"/>
      <c r="Q299" s="140"/>
    </row>
    <row r="300" spans="1:17" hidden="1" x14ac:dyDescent="0.35">
      <c r="A300" s="146"/>
      <c r="B300" s="143"/>
      <c r="C300" s="133"/>
      <c r="D300" s="133"/>
      <c r="E300" s="145" t="s">
        <v>1075</v>
      </c>
      <c r="F300" s="148">
        <v>2293</v>
      </c>
      <c r="G300" s="133"/>
      <c r="H300" s="144"/>
      <c r="I300" s="133"/>
      <c r="J300" s="133"/>
      <c r="K300" s="133"/>
      <c r="L300" s="133"/>
      <c r="M300" s="133"/>
      <c r="N300" s="147"/>
      <c r="P300" s="140"/>
      <c r="Q300" s="140"/>
    </row>
    <row r="301" spans="1:17" hidden="1" x14ac:dyDescent="0.35">
      <c r="A301" s="146"/>
      <c r="B301" s="143"/>
      <c r="C301" s="133"/>
      <c r="D301" s="133"/>
      <c r="E301" s="145"/>
      <c r="F301" s="201"/>
      <c r="G301" s="133"/>
      <c r="H301" s="144"/>
      <c r="I301" s="133"/>
      <c r="J301" s="133"/>
      <c r="K301" s="133"/>
      <c r="L301" s="133"/>
      <c r="M301" s="133"/>
      <c r="N301" s="147"/>
      <c r="P301" s="140"/>
      <c r="Q301" s="140"/>
    </row>
    <row r="302" spans="1:17" hidden="1" x14ac:dyDescent="0.35">
      <c r="A302" s="146">
        <v>67</v>
      </c>
      <c r="B302" s="143">
        <v>45108</v>
      </c>
      <c r="C302" s="133" t="s">
        <v>1804</v>
      </c>
      <c r="D302" s="133" t="s">
        <v>2211</v>
      </c>
      <c r="E302" s="145" t="s">
        <v>1342</v>
      </c>
      <c r="F302" s="148">
        <v>2013</v>
      </c>
      <c r="G302" s="133" t="s">
        <v>1034</v>
      </c>
      <c r="H302" s="144" t="s">
        <v>1341</v>
      </c>
      <c r="I302" s="133" t="s">
        <v>1092</v>
      </c>
      <c r="J302" s="133" t="s">
        <v>2197</v>
      </c>
      <c r="K302" s="143">
        <v>45139</v>
      </c>
      <c r="L302" s="133" t="s">
        <v>1092</v>
      </c>
      <c r="M302" s="133">
        <v>2629.3</v>
      </c>
      <c r="N302" s="147">
        <f>+F302+F303-M302-M303</f>
        <v>0</v>
      </c>
      <c r="P302" s="140"/>
      <c r="Q302" s="140"/>
    </row>
    <row r="303" spans="1:17" hidden="1" x14ac:dyDescent="0.35">
      <c r="A303" s="146"/>
      <c r="B303" s="143"/>
      <c r="C303" s="133"/>
      <c r="D303" s="133"/>
      <c r="E303" s="145" t="s">
        <v>1067</v>
      </c>
      <c r="F303" s="148">
        <v>755.3</v>
      </c>
      <c r="G303" s="133" t="s">
        <v>1034</v>
      </c>
      <c r="H303" s="144" t="s">
        <v>1341</v>
      </c>
      <c r="I303" s="133" t="s">
        <v>1092</v>
      </c>
      <c r="J303" s="133" t="s">
        <v>2209</v>
      </c>
      <c r="K303" s="143">
        <v>45139</v>
      </c>
      <c r="L303" s="133" t="s">
        <v>1241</v>
      </c>
      <c r="M303" s="133">
        <v>139</v>
      </c>
      <c r="N303" s="147"/>
      <c r="P303" s="140"/>
      <c r="Q303" s="140"/>
    </row>
    <row r="304" spans="1:17" hidden="1" x14ac:dyDescent="0.35">
      <c r="A304" s="146"/>
      <c r="B304" s="143"/>
      <c r="C304" s="133"/>
      <c r="D304" s="133"/>
      <c r="E304" s="145"/>
      <c r="F304" s="200"/>
      <c r="G304" s="133"/>
      <c r="H304" s="144"/>
      <c r="I304" s="133"/>
      <c r="J304" s="133"/>
      <c r="K304" s="133"/>
      <c r="L304" s="133"/>
      <c r="M304" s="133"/>
      <c r="N304" s="147"/>
      <c r="P304" s="140"/>
      <c r="Q304" s="140"/>
    </row>
    <row r="305" spans="1:17" hidden="1" x14ac:dyDescent="0.35">
      <c r="A305" s="146">
        <v>68</v>
      </c>
      <c r="B305" s="143">
        <v>45108</v>
      </c>
      <c r="C305" s="133" t="s">
        <v>1803</v>
      </c>
      <c r="D305" s="133" t="s">
        <v>2210</v>
      </c>
      <c r="E305" s="145" t="s">
        <v>1342</v>
      </c>
      <c r="F305" s="148">
        <v>1019</v>
      </c>
      <c r="G305" s="133" t="s">
        <v>1034</v>
      </c>
      <c r="H305" s="144" t="s">
        <v>1341</v>
      </c>
      <c r="I305" s="133" t="s">
        <v>1092</v>
      </c>
      <c r="J305" s="133" t="s">
        <v>2197</v>
      </c>
      <c r="K305" s="143">
        <v>45139</v>
      </c>
      <c r="L305" s="133" t="s">
        <v>1092</v>
      </c>
      <c r="M305" s="133">
        <v>3297.6000000000004</v>
      </c>
      <c r="N305" s="147">
        <f>+F305+F306+F307+F308-M305-M306</f>
        <v>0</v>
      </c>
      <c r="P305" s="140"/>
      <c r="Q305" s="140"/>
    </row>
    <row r="306" spans="1:17" hidden="1" x14ac:dyDescent="0.35">
      <c r="A306" s="146"/>
      <c r="B306" s="143"/>
      <c r="C306" s="133"/>
      <c r="D306" s="133"/>
      <c r="E306" s="148" t="s">
        <v>1064</v>
      </c>
      <c r="F306" s="148">
        <v>620.20000000000005</v>
      </c>
      <c r="G306" s="133" t="s">
        <v>1034</v>
      </c>
      <c r="H306" s="144" t="s">
        <v>1341</v>
      </c>
      <c r="I306" s="133" t="s">
        <v>1092</v>
      </c>
      <c r="J306" s="133" t="s">
        <v>2209</v>
      </c>
      <c r="K306" s="143">
        <v>45139</v>
      </c>
      <c r="L306" s="133" t="s">
        <v>1241</v>
      </c>
      <c r="M306" s="133">
        <v>196</v>
      </c>
      <c r="N306" s="147"/>
      <c r="P306" s="140"/>
      <c r="Q306" s="140"/>
    </row>
    <row r="307" spans="1:17" hidden="1" x14ac:dyDescent="0.35">
      <c r="A307" s="146"/>
      <c r="B307" s="143"/>
      <c r="C307" s="133"/>
      <c r="D307" s="133"/>
      <c r="E307" s="145" t="s">
        <v>1118</v>
      </c>
      <c r="F307" s="148">
        <v>1101.4000000000001</v>
      </c>
      <c r="G307" s="133"/>
      <c r="H307" s="144"/>
      <c r="I307" s="133"/>
      <c r="J307" s="133"/>
      <c r="K307" s="133"/>
      <c r="L307" s="133"/>
      <c r="M307" s="133"/>
      <c r="N307" s="147"/>
      <c r="P307" s="140"/>
      <c r="Q307" s="140"/>
    </row>
    <row r="308" spans="1:17" hidden="1" x14ac:dyDescent="0.35">
      <c r="A308" s="146"/>
      <c r="B308" s="143"/>
      <c r="C308" s="133"/>
      <c r="D308" s="133"/>
      <c r="E308" s="145" t="s">
        <v>1075</v>
      </c>
      <c r="F308" s="148">
        <v>753</v>
      </c>
      <c r="G308" s="133"/>
      <c r="H308" s="144"/>
      <c r="I308" s="133"/>
      <c r="J308" s="133"/>
      <c r="K308" s="133"/>
      <c r="L308" s="133"/>
      <c r="M308" s="133"/>
      <c r="N308" s="147"/>
      <c r="P308" s="140"/>
      <c r="Q308" s="140"/>
    </row>
    <row r="309" spans="1:17" hidden="1" x14ac:dyDescent="0.35">
      <c r="A309" s="146"/>
      <c r="B309" s="143"/>
      <c r="C309" s="133"/>
      <c r="D309" s="133"/>
      <c r="E309" s="145"/>
      <c r="F309" s="145"/>
      <c r="G309" s="133"/>
      <c r="H309" s="144"/>
      <c r="I309" s="133"/>
      <c r="J309" s="133"/>
      <c r="K309" s="133"/>
      <c r="L309" s="133"/>
      <c r="M309" s="133"/>
      <c r="N309" s="147"/>
      <c r="P309" s="140"/>
      <c r="Q309" s="140"/>
    </row>
    <row r="310" spans="1:17" hidden="1" x14ac:dyDescent="0.35">
      <c r="A310" s="146">
        <v>69</v>
      </c>
      <c r="B310" s="143">
        <v>45108</v>
      </c>
      <c r="C310" s="133" t="s">
        <v>1802</v>
      </c>
      <c r="D310" s="133" t="s">
        <v>2208</v>
      </c>
      <c r="E310" s="145" t="s">
        <v>1342</v>
      </c>
      <c r="F310" s="148">
        <v>353</v>
      </c>
      <c r="G310" s="133" t="s">
        <v>1034</v>
      </c>
      <c r="H310" s="144" t="s">
        <v>1341</v>
      </c>
      <c r="I310" s="133" t="s">
        <v>1092</v>
      </c>
      <c r="J310" s="133" t="s">
        <v>2197</v>
      </c>
      <c r="K310" s="143">
        <v>45139</v>
      </c>
      <c r="L310" s="133" t="s">
        <v>1092</v>
      </c>
      <c r="M310" s="133">
        <f>7044.9+447.7+1633+353</f>
        <v>9478.5999999999985</v>
      </c>
      <c r="N310" s="147">
        <f>+F310+F311+F312+F313-M310-M311-M312</f>
        <v>1.8189894035458565E-12</v>
      </c>
      <c r="P310" s="140"/>
      <c r="Q310" s="140"/>
    </row>
    <row r="311" spans="1:17" hidden="1" x14ac:dyDescent="0.35">
      <c r="A311" s="146"/>
      <c r="B311" s="143"/>
      <c r="C311" s="133"/>
      <c r="D311" s="133"/>
      <c r="E311" s="145" t="s">
        <v>1067</v>
      </c>
      <c r="F311" s="148">
        <v>7596.9</v>
      </c>
      <c r="G311" s="133" t="s">
        <v>1034</v>
      </c>
      <c r="H311" s="144" t="s">
        <v>1341</v>
      </c>
      <c r="I311" s="133" t="s">
        <v>1092</v>
      </c>
      <c r="J311" s="133" t="s">
        <v>2206</v>
      </c>
      <c r="K311" s="143">
        <v>45139</v>
      </c>
      <c r="L311" s="133" t="s">
        <v>1092</v>
      </c>
      <c r="M311" s="133">
        <v>1000</v>
      </c>
      <c r="N311" s="147"/>
      <c r="P311" s="140"/>
      <c r="Q311" s="140"/>
    </row>
    <row r="312" spans="1:17" hidden="1" x14ac:dyDescent="0.35">
      <c r="A312" s="146"/>
      <c r="B312" s="143"/>
      <c r="C312" s="133"/>
      <c r="D312" s="133"/>
      <c r="E312" s="145" t="s">
        <v>1118</v>
      </c>
      <c r="F312" s="148">
        <v>1447.7</v>
      </c>
      <c r="G312" s="133" t="s">
        <v>1034</v>
      </c>
      <c r="H312" s="144" t="s">
        <v>1341</v>
      </c>
      <c r="I312" s="133" t="s">
        <v>1092</v>
      </c>
      <c r="J312" s="133" t="s">
        <v>2177</v>
      </c>
      <c r="K312" s="143">
        <v>45170</v>
      </c>
      <c r="L312" s="133" t="s">
        <v>1241</v>
      </c>
      <c r="M312" s="133">
        <v>552</v>
      </c>
      <c r="N312" s="147"/>
      <c r="P312" s="140"/>
      <c r="Q312" s="140"/>
    </row>
    <row r="313" spans="1:17" hidden="1" x14ac:dyDescent="0.35">
      <c r="A313" s="146"/>
      <c r="B313" s="143"/>
      <c r="C313" s="133"/>
      <c r="D313" s="133"/>
      <c r="E313" s="145" t="s">
        <v>1075</v>
      </c>
      <c r="F313" s="148">
        <v>1633</v>
      </c>
      <c r="G313" s="133"/>
      <c r="H313" s="144"/>
      <c r="I313" s="133"/>
      <c r="J313" s="133"/>
      <c r="K313" s="133"/>
      <c r="L313" s="133"/>
      <c r="M313" s="133"/>
      <c r="N313" s="147"/>
      <c r="P313" s="140"/>
      <c r="Q313" s="140"/>
    </row>
    <row r="314" spans="1:17" hidden="1" x14ac:dyDescent="0.35">
      <c r="A314" s="146"/>
      <c r="B314" s="143"/>
      <c r="C314" s="133"/>
      <c r="D314" s="133"/>
      <c r="E314" s="145"/>
      <c r="F314" s="145"/>
      <c r="G314" s="133"/>
      <c r="H314" s="144"/>
      <c r="I314" s="133"/>
      <c r="J314" s="133"/>
      <c r="K314" s="133"/>
      <c r="L314" s="133"/>
      <c r="M314" s="133"/>
      <c r="N314" s="147"/>
      <c r="P314" s="140"/>
      <c r="Q314" s="140"/>
    </row>
    <row r="315" spans="1:17" hidden="1" x14ac:dyDescent="0.35">
      <c r="A315" s="146">
        <v>70</v>
      </c>
      <c r="B315" s="143">
        <v>45108</v>
      </c>
      <c r="C315" s="133" t="s">
        <v>1800</v>
      </c>
      <c r="D315" s="133" t="s">
        <v>2207</v>
      </c>
      <c r="E315" s="145" t="s">
        <v>1342</v>
      </c>
      <c r="F315" s="148">
        <v>5468</v>
      </c>
      <c r="G315" s="133" t="s">
        <v>1034</v>
      </c>
      <c r="H315" s="144" t="s">
        <v>1341</v>
      </c>
      <c r="I315" s="133" t="s">
        <v>1092</v>
      </c>
      <c r="J315" s="133" t="s">
        <v>2197</v>
      </c>
      <c r="K315" s="143">
        <v>45139</v>
      </c>
      <c r="L315" s="133" t="s">
        <v>1092</v>
      </c>
      <c r="M315" s="133">
        <v>567.4</v>
      </c>
      <c r="N315" s="147">
        <f>+F315+F316+F317+F318+F319-M315-M316-M317</f>
        <v>0</v>
      </c>
      <c r="P315" s="140"/>
      <c r="Q315" s="140"/>
    </row>
    <row r="316" spans="1:17" hidden="1" x14ac:dyDescent="0.35">
      <c r="A316" s="146"/>
      <c r="B316" s="143"/>
      <c r="C316" s="133"/>
      <c r="D316" s="133"/>
      <c r="E316" s="145" t="s">
        <v>1171</v>
      </c>
      <c r="F316" s="148">
        <v>500</v>
      </c>
      <c r="G316" s="133" t="s">
        <v>1034</v>
      </c>
      <c r="H316" s="144" t="s">
        <v>1341</v>
      </c>
      <c r="I316" s="133" t="s">
        <v>1092</v>
      </c>
      <c r="J316" s="133" t="s">
        <v>2206</v>
      </c>
      <c r="K316" s="143">
        <v>45139</v>
      </c>
      <c r="L316" s="133" t="s">
        <v>1092</v>
      </c>
      <c r="M316" s="133">
        <v>15412</v>
      </c>
      <c r="N316" s="147"/>
      <c r="P316" s="140"/>
      <c r="Q316" s="140"/>
    </row>
    <row r="317" spans="1:17" hidden="1" x14ac:dyDescent="0.35">
      <c r="A317" s="146"/>
      <c r="B317" s="143"/>
      <c r="C317" s="133"/>
      <c r="D317" s="133"/>
      <c r="E317" s="145" t="s">
        <v>1118</v>
      </c>
      <c r="F317" s="148">
        <v>604.79999999999995</v>
      </c>
      <c r="G317" s="133" t="s">
        <v>1034</v>
      </c>
      <c r="H317" s="144" t="s">
        <v>1341</v>
      </c>
      <c r="I317" s="133" t="s">
        <v>1092</v>
      </c>
      <c r="J317" s="133" t="s">
        <v>2177</v>
      </c>
      <c r="K317" s="143">
        <v>45170</v>
      </c>
      <c r="L317" s="133" t="s">
        <v>1241</v>
      </c>
      <c r="M317" s="133">
        <v>755.80000000000109</v>
      </c>
      <c r="N317" s="147"/>
      <c r="P317" s="140"/>
      <c r="Q317" s="140"/>
    </row>
    <row r="318" spans="1:17" hidden="1" x14ac:dyDescent="0.35">
      <c r="A318" s="146"/>
      <c r="B318" s="143"/>
      <c r="C318" s="133"/>
      <c r="D318" s="133"/>
      <c r="E318" s="148" t="s">
        <v>1064</v>
      </c>
      <c r="F318" s="148">
        <v>5162.3999999999996</v>
      </c>
      <c r="G318" s="133"/>
      <c r="H318" s="144"/>
      <c r="I318" s="133"/>
      <c r="J318" s="133"/>
      <c r="K318" s="133"/>
      <c r="L318" s="133"/>
      <c r="M318" s="133"/>
      <c r="N318" s="147"/>
      <c r="P318" s="140"/>
      <c r="Q318" s="140"/>
    </row>
    <row r="319" spans="1:17" hidden="1" x14ac:dyDescent="0.35">
      <c r="A319" s="146"/>
      <c r="B319" s="143"/>
      <c r="C319" s="133"/>
      <c r="D319" s="133"/>
      <c r="E319" s="145" t="s">
        <v>1184</v>
      </c>
      <c r="F319" s="145">
        <v>5000</v>
      </c>
      <c r="G319" s="133"/>
      <c r="H319" s="144"/>
      <c r="I319" s="133"/>
      <c r="J319" s="133"/>
      <c r="K319" s="133"/>
      <c r="L319" s="133"/>
      <c r="M319" s="133"/>
      <c r="N319" s="147"/>
      <c r="P319" s="140"/>
      <c r="Q319" s="140"/>
    </row>
    <row r="320" spans="1:17" hidden="1" x14ac:dyDescent="0.35">
      <c r="A320" s="146"/>
      <c r="B320" s="143"/>
      <c r="C320" s="133"/>
      <c r="D320" s="133"/>
      <c r="E320" s="145"/>
      <c r="F320" s="145"/>
      <c r="G320" s="133"/>
      <c r="H320" s="144"/>
      <c r="I320" s="133"/>
      <c r="J320" s="133"/>
      <c r="K320" s="133"/>
      <c r="L320" s="133"/>
      <c r="M320" s="133"/>
      <c r="N320" s="147"/>
      <c r="P320" s="140"/>
      <c r="Q320" s="140"/>
    </row>
    <row r="321" spans="1:17" hidden="1" x14ac:dyDescent="0.35">
      <c r="A321" s="146">
        <v>71</v>
      </c>
      <c r="B321" s="143">
        <v>45108</v>
      </c>
      <c r="C321" s="133" t="s">
        <v>1798</v>
      </c>
      <c r="D321" s="133" t="s">
        <v>2205</v>
      </c>
      <c r="E321" s="145" t="s">
        <v>1075</v>
      </c>
      <c r="F321" s="148">
        <v>2799.5</v>
      </c>
      <c r="G321" s="133" t="s">
        <v>1034</v>
      </c>
      <c r="H321" s="144" t="s">
        <v>1341</v>
      </c>
      <c r="I321" s="133" t="s">
        <v>1092</v>
      </c>
      <c r="J321" s="133" t="s">
        <v>2196</v>
      </c>
      <c r="K321" s="143">
        <v>45139</v>
      </c>
      <c r="L321" s="133" t="s">
        <v>1092</v>
      </c>
      <c r="M321" s="133">
        <f>5698.8-60</f>
        <v>5638.8</v>
      </c>
      <c r="N321" s="147">
        <f>+F321+F322-M321-M322</f>
        <v>0</v>
      </c>
      <c r="P321" s="140"/>
      <c r="Q321" s="140"/>
    </row>
    <row r="322" spans="1:17" hidden="1" x14ac:dyDescent="0.35">
      <c r="A322" s="146"/>
      <c r="B322" s="143"/>
      <c r="C322" s="133"/>
      <c r="D322" s="133"/>
      <c r="E322" s="148" t="s">
        <v>1064</v>
      </c>
      <c r="F322" s="148">
        <v>3196.3</v>
      </c>
      <c r="G322" s="133" t="s">
        <v>1034</v>
      </c>
      <c r="H322" s="144" t="s">
        <v>1341</v>
      </c>
      <c r="I322" s="133" t="s">
        <v>1092</v>
      </c>
      <c r="J322" s="133" t="s">
        <v>2177</v>
      </c>
      <c r="K322" s="143">
        <v>45170</v>
      </c>
      <c r="L322" s="133" t="s">
        <v>1241</v>
      </c>
      <c r="M322" s="133">
        <v>357</v>
      </c>
      <c r="N322" s="147"/>
      <c r="P322" s="140"/>
      <c r="Q322" s="140"/>
    </row>
    <row r="323" spans="1:17" hidden="1" x14ac:dyDescent="0.35">
      <c r="A323" s="146"/>
      <c r="B323" s="143"/>
      <c r="C323" s="133"/>
      <c r="D323" s="133"/>
      <c r="E323" s="145"/>
      <c r="F323" s="145"/>
      <c r="G323" s="133"/>
      <c r="H323" s="144"/>
      <c r="I323" s="133"/>
      <c r="J323" s="133"/>
      <c r="K323" s="133"/>
      <c r="L323" s="133"/>
      <c r="M323" s="133"/>
      <c r="N323" s="147"/>
      <c r="P323" s="140"/>
      <c r="Q323" s="140"/>
    </row>
    <row r="324" spans="1:17" hidden="1" x14ac:dyDescent="0.35">
      <c r="A324" s="146">
        <v>72</v>
      </c>
      <c r="B324" s="143">
        <v>45108</v>
      </c>
      <c r="C324" s="133" t="s">
        <v>1797</v>
      </c>
      <c r="D324" s="133" t="s">
        <v>2204</v>
      </c>
      <c r="E324" s="145" t="s">
        <v>1075</v>
      </c>
      <c r="F324" s="148">
        <v>371</v>
      </c>
      <c r="G324" s="133" t="s">
        <v>1034</v>
      </c>
      <c r="H324" s="144" t="s">
        <v>1341</v>
      </c>
      <c r="I324" s="133" t="s">
        <v>1092</v>
      </c>
      <c r="J324" s="133" t="s">
        <v>2196</v>
      </c>
      <c r="K324" s="143">
        <v>45139</v>
      </c>
      <c r="L324" s="133" t="s">
        <v>1092</v>
      </c>
      <c r="M324" s="133">
        <v>822</v>
      </c>
      <c r="N324" s="147">
        <f>+F324+F325-M324-M325</f>
        <v>0</v>
      </c>
      <c r="P324" s="140"/>
      <c r="Q324" s="140"/>
    </row>
    <row r="325" spans="1:17" hidden="1" x14ac:dyDescent="0.35">
      <c r="A325" s="146"/>
      <c r="B325" s="143"/>
      <c r="C325" s="133"/>
      <c r="D325" s="133"/>
      <c r="E325" s="145" t="s">
        <v>1342</v>
      </c>
      <c r="F325" s="148">
        <v>495</v>
      </c>
      <c r="G325" s="133" t="s">
        <v>1034</v>
      </c>
      <c r="H325" s="144" t="s">
        <v>1341</v>
      </c>
      <c r="I325" s="133" t="s">
        <v>1092</v>
      </c>
      <c r="J325" s="133" t="s">
        <v>2177</v>
      </c>
      <c r="K325" s="143">
        <v>45170</v>
      </c>
      <c r="L325" s="133" t="s">
        <v>1241</v>
      </c>
      <c r="M325" s="133">
        <v>44</v>
      </c>
      <c r="N325" s="147"/>
      <c r="P325" s="140"/>
      <c r="Q325" s="140"/>
    </row>
    <row r="326" spans="1:17" hidden="1" x14ac:dyDescent="0.35">
      <c r="A326" s="146"/>
      <c r="B326" s="143"/>
      <c r="C326" s="133"/>
      <c r="D326" s="133"/>
      <c r="E326" s="145"/>
      <c r="F326" s="145"/>
      <c r="G326" s="133"/>
      <c r="H326" s="144"/>
      <c r="I326" s="133"/>
      <c r="J326" s="133"/>
      <c r="K326" s="133"/>
      <c r="L326" s="133"/>
      <c r="M326" s="133"/>
      <c r="N326" s="147"/>
      <c r="P326" s="140"/>
      <c r="Q326" s="140"/>
    </row>
    <row r="327" spans="1:17" hidden="1" x14ac:dyDescent="0.35">
      <c r="A327" s="146">
        <v>73</v>
      </c>
      <c r="B327" s="143">
        <v>45108</v>
      </c>
      <c r="C327" s="133" t="s">
        <v>1795</v>
      </c>
      <c r="D327" s="133" t="s">
        <v>2203</v>
      </c>
      <c r="E327" s="145" t="s">
        <v>1075</v>
      </c>
      <c r="F327" s="148">
        <v>2884</v>
      </c>
      <c r="G327" s="133" t="s">
        <v>1034</v>
      </c>
      <c r="H327" s="144" t="s">
        <v>1341</v>
      </c>
      <c r="I327" s="133" t="s">
        <v>1092</v>
      </c>
      <c r="J327" s="133" t="s">
        <v>2196</v>
      </c>
      <c r="K327" s="143">
        <v>45139</v>
      </c>
      <c r="L327" s="133" t="s">
        <v>1092</v>
      </c>
      <c r="M327" s="133">
        <v>8263.1</v>
      </c>
      <c r="N327" s="147">
        <f>+F327+F328+F329-M327-M328</f>
        <v>0</v>
      </c>
      <c r="P327" s="140"/>
      <c r="Q327" s="140"/>
    </row>
    <row r="328" spans="1:17" hidden="1" x14ac:dyDescent="0.35">
      <c r="A328" s="146"/>
      <c r="B328" s="143"/>
      <c r="C328" s="133"/>
      <c r="D328" s="133"/>
      <c r="E328" s="145" t="s">
        <v>1342</v>
      </c>
      <c r="F328" s="148">
        <v>5748</v>
      </c>
      <c r="G328" s="133" t="s">
        <v>1034</v>
      </c>
      <c r="H328" s="144" t="s">
        <v>1341</v>
      </c>
      <c r="I328" s="133" t="s">
        <v>1092</v>
      </c>
      <c r="J328" s="133" t="s">
        <v>2177</v>
      </c>
      <c r="K328" s="143">
        <v>45170</v>
      </c>
      <c r="L328" s="133" t="s">
        <v>1241</v>
      </c>
      <c r="M328" s="133">
        <v>440</v>
      </c>
      <c r="N328" s="147"/>
      <c r="P328" s="140"/>
      <c r="Q328" s="140"/>
    </row>
    <row r="329" spans="1:17" hidden="1" x14ac:dyDescent="0.35">
      <c r="A329" s="146"/>
      <c r="B329" s="143"/>
      <c r="C329" s="133"/>
      <c r="D329" s="133"/>
      <c r="E329" s="145" t="s">
        <v>1067</v>
      </c>
      <c r="F329" s="148">
        <v>71.099999999999994</v>
      </c>
      <c r="G329" s="133"/>
      <c r="H329" s="144"/>
      <c r="I329" s="133"/>
      <c r="J329" s="133"/>
      <c r="K329" s="133"/>
      <c r="L329" s="133"/>
      <c r="M329" s="133"/>
      <c r="N329" s="147"/>
      <c r="P329" s="140"/>
      <c r="Q329" s="140"/>
    </row>
    <row r="330" spans="1:17" hidden="1" x14ac:dyDescent="0.35">
      <c r="A330" s="146"/>
      <c r="B330" s="143"/>
      <c r="C330" s="133"/>
      <c r="D330" s="133"/>
      <c r="E330" s="145"/>
      <c r="F330" s="148"/>
      <c r="G330" s="133"/>
      <c r="H330" s="144"/>
      <c r="I330" s="133"/>
      <c r="J330" s="133"/>
      <c r="K330" s="133"/>
      <c r="L330" s="133"/>
      <c r="M330" s="133"/>
      <c r="N330" s="147"/>
      <c r="P330" s="140"/>
      <c r="Q330" s="140"/>
    </row>
    <row r="331" spans="1:17" hidden="1" x14ac:dyDescent="0.35">
      <c r="A331" s="146">
        <v>74</v>
      </c>
      <c r="B331" s="143">
        <v>45108</v>
      </c>
      <c r="C331" s="133" t="s">
        <v>1793</v>
      </c>
      <c r="D331" s="133" t="s">
        <v>2202</v>
      </c>
      <c r="E331" s="145" t="s">
        <v>1118</v>
      </c>
      <c r="F331" s="148">
        <v>1042.9000000000001</v>
      </c>
      <c r="G331" s="133" t="s">
        <v>1034</v>
      </c>
      <c r="H331" s="144" t="s">
        <v>1341</v>
      </c>
      <c r="I331" s="133" t="s">
        <v>1092</v>
      </c>
      <c r="J331" s="133" t="s">
        <v>2196</v>
      </c>
      <c r="K331" s="143">
        <v>45139</v>
      </c>
      <c r="L331" s="133" t="s">
        <v>1092</v>
      </c>
      <c r="M331" s="133">
        <v>4226.8999999999996</v>
      </c>
      <c r="N331" s="147">
        <f>+F331+F332+F333-M331-M332</f>
        <v>0</v>
      </c>
      <c r="P331" s="140"/>
      <c r="Q331" s="140"/>
    </row>
    <row r="332" spans="1:17" hidden="1" x14ac:dyDescent="0.35">
      <c r="A332" s="146"/>
      <c r="B332" s="143"/>
      <c r="C332" s="133"/>
      <c r="D332" s="133"/>
      <c r="E332" s="145" t="s">
        <v>1342</v>
      </c>
      <c r="F332" s="148">
        <v>2589</v>
      </c>
      <c r="G332" s="133" t="s">
        <v>1034</v>
      </c>
      <c r="H332" s="144" t="s">
        <v>1341</v>
      </c>
      <c r="I332" s="133" t="s">
        <v>1092</v>
      </c>
      <c r="J332" s="133" t="s">
        <v>2177</v>
      </c>
      <c r="K332" s="143">
        <v>45170</v>
      </c>
      <c r="L332" s="133" t="s">
        <v>1241</v>
      </c>
      <c r="M332" s="133">
        <v>225</v>
      </c>
      <c r="N332" s="147"/>
      <c r="P332" s="140"/>
      <c r="Q332" s="140"/>
    </row>
    <row r="333" spans="1:17" hidden="1" x14ac:dyDescent="0.35">
      <c r="A333" s="146"/>
      <c r="B333" s="143"/>
      <c r="C333" s="133"/>
      <c r="D333" s="133"/>
      <c r="E333" s="145" t="s">
        <v>1067</v>
      </c>
      <c r="F333" s="148">
        <v>820</v>
      </c>
      <c r="G333" s="133"/>
      <c r="H333" s="144"/>
      <c r="I333" s="133"/>
      <c r="J333" s="133"/>
      <c r="K333" s="133"/>
      <c r="L333" s="133"/>
      <c r="M333" s="133"/>
      <c r="N333" s="147"/>
      <c r="P333" s="140"/>
      <c r="Q333" s="140"/>
    </row>
    <row r="334" spans="1:17" hidden="1" x14ac:dyDescent="0.35">
      <c r="A334" s="146"/>
      <c r="B334" s="143"/>
      <c r="C334" s="133"/>
      <c r="D334" s="133"/>
      <c r="E334" s="145"/>
      <c r="F334" s="148"/>
      <c r="G334" s="133"/>
      <c r="H334" s="144"/>
      <c r="I334" s="133"/>
      <c r="J334" s="133"/>
      <c r="K334" s="133"/>
      <c r="L334" s="133"/>
      <c r="M334" s="133"/>
      <c r="N334" s="147"/>
      <c r="P334" s="140"/>
      <c r="Q334" s="140"/>
    </row>
    <row r="335" spans="1:17" hidden="1" x14ac:dyDescent="0.35">
      <c r="A335" s="146">
        <v>75</v>
      </c>
      <c r="B335" s="143">
        <v>45108</v>
      </c>
      <c r="C335" s="133" t="s">
        <v>1791</v>
      </c>
      <c r="D335" s="133" t="s">
        <v>2201</v>
      </c>
      <c r="E335" s="145" t="s">
        <v>1118</v>
      </c>
      <c r="F335" s="148">
        <v>5103.3999999999996</v>
      </c>
      <c r="G335" s="133" t="s">
        <v>1034</v>
      </c>
      <c r="H335" s="144" t="s">
        <v>1341</v>
      </c>
      <c r="I335" s="133" t="s">
        <v>1092</v>
      </c>
      <c r="J335" s="133" t="s">
        <v>2196</v>
      </c>
      <c r="K335" s="143">
        <v>45139</v>
      </c>
      <c r="L335" s="133" t="s">
        <v>1092</v>
      </c>
      <c r="M335" s="133">
        <v>7265.3</v>
      </c>
      <c r="N335" s="147">
        <f>+F335+F336+F337-M335-M336</f>
        <v>0</v>
      </c>
      <c r="P335" s="140"/>
      <c r="Q335" s="140"/>
    </row>
    <row r="336" spans="1:17" hidden="1" x14ac:dyDescent="0.35">
      <c r="A336" s="146"/>
      <c r="B336" s="143"/>
      <c r="C336" s="133"/>
      <c r="D336" s="133"/>
      <c r="E336" s="145" t="s">
        <v>1075</v>
      </c>
      <c r="F336" s="148">
        <v>1676.8</v>
      </c>
      <c r="G336" s="133" t="s">
        <v>1034</v>
      </c>
      <c r="H336" s="144" t="s">
        <v>1341</v>
      </c>
      <c r="I336" s="133" t="s">
        <v>1092</v>
      </c>
      <c r="J336" s="133" t="s">
        <v>2177</v>
      </c>
      <c r="K336" s="143">
        <v>45170</v>
      </c>
      <c r="L336" s="133" t="s">
        <v>1241</v>
      </c>
      <c r="M336" s="133">
        <v>380</v>
      </c>
      <c r="N336" s="147"/>
      <c r="P336" s="140"/>
      <c r="Q336" s="140"/>
    </row>
    <row r="337" spans="1:17" hidden="1" x14ac:dyDescent="0.35">
      <c r="A337" s="146"/>
      <c r="B337" s="143"/>
      <c r="C337" s="133"/>
      <c r="D337" s="133"/>
      <c r="E337" s="148" t="s">
        <v>1064</v>
      </c>
      <c r="F337" s="148">
        <v>865.1</v>
      </c>
      <c r="G337" s="133"/>
      <c r="H337" s="144"/>
      <c r="I337" s="133"/>
      <c r="J337" s="133"/>
      <c r="K337" s="133"/>
      <c r="L337" s="133"/>
      <c r="M337" s="133"/>
      <c r="N337" s="147"/>
      <c r="P337" s="140"/>
      <c r="Q337" s="140"/>
    </row>
    <row r="338" spans="1:17" hidden="1" x14ac:dyDescent="0.35">
      <c r="A338" s="146"/>
      <c r="B338" s="143"/>
      <c r="C338" s="133"/>
      <c r="D338" s="133"/>
      <c r="E338" s="145"/>
      <c r="F338" s="148"/>
      <c r="G338" s="133"/>
      <c r="H338" s="144"/>
      <c r="I338" s="133"/>
      <c r="J338" s="133"/>
      <c r="K338" s="133"/>
      <c r="L338" s="133"/>
      <c r="M338" s="133"/>
      <c r="N338" s="147"/>
      <c r="P338" s="140"/>
      <c r="Q338" s="140"/>
    </row>
    <row r="339" spans="1:17" hidden="1" x14ac:dyDescent="0.35">
      <c r="A339" s="146">
        <v>76</v>
      </c>
      <c r="B339" s="143">
        <v>45108</v>
      </c>
      <c r="C339" s="133" t="s">
        <v>1788</v>
      </c>
      <c r="D339" s="133" t="s">
        <v>2200</v>
      </c>
      <c r="E339" s="145" t="s">
        <v>1075</v>
      </c>
      <c r="F339" s="148">
        <v>2926</v>
      </c>
      <c r="G339" s="133" t="s">
        <v>1034</v>
      </c>
      <c r="H339" s="144" t="s">
        <v>1341</v>
      </c>
      <c r="I339" s="133" t="s">
        <v>1092</v>
      </c>
      <c r="J339" s="133" t="s">
        <v>2196</v>
      </c>
      <c r="K339" s="143">
        <v>45139</v>
      </c>
      <c r="L339" s="133" t="s">
        <v>1092</v>
      </c>
      <c r="M339" s="133">
        <v>9669</v>
      </c>
      <c r="N339" s="147">
        <f>+F339+F340-M339-M340</f>
        <v>0</v>
      </c>
      <c r="P339" s="140"/>
      <c r="Q339" s="140"/>
    </row>
    <row r="340" spans="1:17" hidden="1" x14ac:dyDescent="0.35">
      <c r="A340" s="146"/>
      <c r="B340" s="143"/>
      <c r="C340" s="133"/>
      <c r="D340" s="133"/>
      <c r="E340" s="145" t="s">
        <v>1342</v>
      </c>
      <c r="F340" s="148">
        <v>7252</v>
      </c>
      <c r="G340" s="133" t="s">
        <v>1034</v>
      </c>
      <c r="H340" s="144" t="s">
        <v>1341</v>
      </c>
      <c r="I340" s="133" t="s">
        <v>1092</v>
      </c>
      <c r="J340" s="133" t="s">
        <v>2177</v>
      </c>
      <c r="K340" s="143">
        <v>45170</v>
      </c>
      <c r="L340" s="133" t="s">
        <v>1241</v>
      </c>
      <c r="M340" s="133">
        <v>509</v>
      </c>
      <c r="N340" s="147"/>
      <c r="P340" s="140"/>
      <c r="Q340" s="140"/>
    </row>
    <row r="341" spans="1:17" hidden="1" x14ac:dyDescent="0.35">
      <c r="A341" s="146"/>
      <c r="B341" s="143"/>
      <c r="C341" s="133"/>
      <c r="D341" s="133"/>
      <c r="E341" s="145"/>
      <c r="F341" s="148"/>
      <c r="G341" s="133"/>
      <c r="H341" s="144"/>
      <c r="I341" s="133"/>
      <c r="J341" s="133"/>
      <c r="K341" s="133"/>
      <c r="L341" s="133"/>
      <c r="M341" s="133"/>
      <c r="N341" s="147"/>
      <c r="P341" s="140"/>
      <c r="Q341" s="140"/>
    </row>
    <row r="342" spans="1:17" hidden="1" x14ac:dyDescent="0.35">
      <c r="A342" s="146">
        <v>77</v>
      </c>
      <c r="B342" s="143">
        <v>45108</v>
      </c>
      <c r="C342" s="133" t="s">
        <v>1787</v>
      </c>
      <c r="D342" s="133" t="s">
        <v>2199</v>
      </c>
      <c r="E342" s="145" t="s">
        <v>1075</v>
      </c>
      <c r="F342" s="148">
        <v>5350.2</v>
      </c>
      <c r="G342" s="133" t="s">
        <v>1034</v>
      </c>
      <c r="H342" s="144" t="s">
        <v>1341</v>
      </c>
      <c r="I342" s="133" t="s">
        <v>1092</v>
      </c>
      <c r="J342" s="133" t="s">
        <v>2193</v>
      </c>
      <c r="K342" s="143">
        <v>45170</v>
      </c>
      <c r="L342" s="133" t="s">
        <v>1092</v>
      </c>
      <c r="M342" s="133">
        <v>11525.74</v>
      </c>
      <c r="N342" s="147">
        <f>+F342+F343+F344+F345+F346-M342-M343</f>
        <v>0</v>
      </c>
      <c r="P342" s="140"/>
      <c r="Q342" s="140"/>
    </row>
    <row r="343" spans="1:17" hidden="1" x14ac:dyDescent="0.35">
      <c r="A343" s="146"/>
      <c r="B343" s="143"/>
      <c r="C343" s="133"/>
      <c r="D343" s="133"/>
      <c r="E343" s="145" t="s">
        <v>1342</v>
      </c>
      <c r="F343" s="148">
        <v>1333</v>
      </c>
      <c r="G343" s="133" t="s">
        <v>1034</v>
      </c>
      <c r="H343" s="144" t="s">
        <v>1341</v>
      </c>
      <c r="I343" s="133" t="s">
        <v>1092</v>
      </c>
      <c r="J343" s="133" t="s">
        <v>2177</v>
      </c>
      <c r="K343" s="143">
        <v>45170</v>
      </c>
      <c r="L343" s="133" t="s">
        <v>1241</v>
      </c>
      <c r="M343" s="133">
        <v>607</v>
      </c>
      <c r="N343" s="147"/>
      <c r="P343" s="140"/>
      <c r="Q343" s="140"/>
    </row>
    <row r="344" spans="1:17" hidden="1" x14ac:dyDescent="0.35">
      <c r="A344" s="146"/>
      <c r="B344" s="143"/>
      <c r="C344" s="133"/>
      <c r="D344" s="133"/>
      <c r="E344" s="148" t="s">
        <v>1064</v>
      </c>
      <c r="F344" s="148">
        <v>1317.4</v>
      </c>
      <c r="G344" s="133"/>
      <c r="H344" s="144"/>
      <c r="I344" s="133"/>
      <c r="J344" s="133"/>
      <c r="K344" s="133"/>
      <c r="L344" s="133"/>
      <c r="M344" s="133"/>
      <c r="N344" s="147"/>
      <c r="P344" s="140"/>
      <c r="Q344" s="140"/>
    </row>
    <row r="345" spans="1:17" hidden="1" x14ac:dyDescent="0.35">
      <c r="A345" s="146"/>
      <c r="B345" s="143"/>
      <c r="C345" s="133"/>
      <c r="D345" s="133"/>
      <c r="E345" s="133" t="s">
        <v>678</v>
      </c>
      <c r="F345" s="148">
        <v>3859.14</v>
      </c>
      <c r="G345" s="133"/>
      <c r="H345" s="144"/>
      <c r="I345" s="133"/>
      <c r="J345" s="133"/>
      <c r="K345" s="133"/>
      <c r="L345" s="133"/>
      <c r="M345" s="133"/>
      <c r="N345" s="147"/>
      <c r="P345" s="140"/>
      <c r="Q345" s="140"/>
    </row>
    <row r="346" spans="1:17" hidden="1" x14ac:dyDescent="0.35">
      <c r="A346" s="146"/>
      <c r="B346" s="143"/>
      <c r="C346" s="133"/>
      <c r="D346" s="133"/>
      <c r="E346" s="145" t="s">
        <v>1067</v>
      </c>
      <c r="F346" s="148">
        <v>273</v>
      </c>
      <c r="G346" s="133"/>
      <c r="H346" s="144"/>
      <c r="I346" s="133"/>
      <c r="J346" s="133"/>
      <c r="K346" s="133"/>
      <c r="L346" s="133"/>
      <c r="M346" s="133"/>
      <c r="N346" s="147"/>
      <c r="P346" s="140"/>
      <c r="Q346" s="140"/>
    </row>
    <row r="347" spans="1:17" hidden="1" x14ac:dyDescent="0.35">
      <c r="A347" s="146"/>
      <c r="B347" s="143"/>
      <c r="C347" s="133"/>
      <c r="D347" s="133"/>
      <c r="E347" s="145"/>
      <c r="F347" s="148"/>
      <c r="G347" s="133"/>
      <c r="H347" s="144"/>
      <c r="I347" s="133"/>
      <c r="J347" s="133"/>
      <c r="K347" s="133"/>
      <c r="L347" s="133"/>
      <c r="M347" s="133"/>
      <c r="N347" s="147"/>
      <c r="P347" s="140"/>
      <c r="Q347" s="140"/>
    </row>
    <row r="348" spans="1:17" hidden="1" x14ac:dyDescent="0.35">
      <c r="A348" s="146">
        <v>78</v>
      </c>
      <c r="B348" s="143">
        <v>45108</v>
      </c>
      <c r="C348" s="133" t="s">
        <v>1786</v>
      </c>
      <c r="D348" s="133" t="s">
        <v>2195</v>
      </c>
      <c r="E348" s="148" t="s">
        <v>1059</v>
      </c>
      <c r="F348" s="148">
        <v>49500</v>
      </c>
      <c r="G348" s="133" t="s">
        <v>1034</v>
      </c>
      <c r="H348" s="144" t="s">
        <v>1341</v>
      </c>
      <c r="I348" s="133" t="s">
        <v>1092</v>
      </c>
      <c r="J348" s="133" t="s">
        <v>2198</v>
      </c>
      <c r="K348" s="143">
        <v>45139</v>
      </c>
      <c r="L348" s="133" t="s">
        <v>1092</v>
      </c>
      <c r="M348" s="133">
        <v>6339.13</v>
      </c>
      <c r="N348" s="147">
        <f>+F348-M348-M349-M350-M351-M352-M353-M354-M355</f>
        <v>0</v>
      </c>
      <c r="P348" s="140"/>
      <c r="Q348" s="140"/>
    </row>
    <row r="349" spans="1:17" hidden="1" x14ac:dyDescent="0.35">
      <c r="A349" s="146"/>
      <c r="B349" s="143"/>
      <c r="C349" s="133"/>
      <c r="D349" s="133"/>
      <c r="E349" s="148"/>
      <c r="F349" s="148"/>
      <c r="G349" s="133" t="s">
        <v>1034</v>
      </c>
      <c r="H349" s="144" t="s">
        <v>1341</v>
      </c>
      <c r="I349" s="133" t="s">
        <v>1092</v>
      </c>
      <c r="J349" s="133" t="s">
        <v>2197</v>
      </c>
      <c r="K349" s="143">
        <v>45139</v>
      </c>
      <c r="L349" s="133" t="s">
        <v>1092</v>
      </c>
      <c r="M349" s="133">
        <v>11361.9</v>
      </c>
      <c r="N349" s="147"/>
      <c r="P349" s="140"/>
      <c r="Q349" s="140"/>
    </row>
    <row r="350" spans="1:17" hidden="1" x14ac:dyDescent="0.35">
      <c r="A350" s="146"/>
      <c r="B350" s="143"/>
      <c r="C350" s="133"/>
      <c r="D350" s="133"/>
      <c r="E350" s="145"/>
      <c r="F350" s="148"/>
      <c r="G350" s="133" t="s">
        <v>1034</v>
      </c>
      <c r="H350" s="144" t="s">
        <v>1341</v>
      </c>
      <c r="I350" s="133" t="s">
        <v>1092</v>
      </c>
      <c r="J350" s="133" t="s">
        <v>2196</v>
      </c>
      <c r="K350" s="143">
        <v>45139</v>
      </c>
      <c r="L350" s="133" t="s">
        <v>1092</v>
      </c>
      <c r="M350" s="133">
        <v>2521.9</v>
      </c>
      <c r="N350" s="147"/>
      <c r="P350" s="140"/>
      <c r="Q350" s="140"/>
    </row>
    <row r="351" spans="1:17" hidden="1" x14ac:dyDescent="0.35">
      <c r="A351" s="146"/>
      <c r="B351" s="143"/>
      <c r="C351" s="133"/>
      <c r="D351" s="133"/>
      <c r="E351" s="145"/>
      <c r="F351" s="148"/>
      <c r="G351" s="133" t="s">
        <v>1034</v>
      </c>
      <c r="H351" s="144" t="s">
        <v>1341</v>
      </c>
      <c r="I351" s="133" t="s">
        <v>1092</v>
      </c>
      <c r="J351" s="133" t="s">
        <v>2193</v>
      </c>
      <c r="K351" s="143">
        <v>45170</v>
      </c>
      <c r="L351" s="133" t="s">
        <v>1092</v>
      </c>
      <c r="M351" s="133">
        <v>11773.86</v>
      </c>
      <c r="N351" s="147"/>
      <c r="P351" s="140"/>
      <c r="Q351" s="140"/>
    </row>
    <row r="352" spans="1:17" hidden="1" x14ac:dyDescent="0.35">
      <c r="A352" s="146"/>
      <c r="B352" s="143"/>
      <c r="C352" s="133"/>
      <c r="D352" s="133"/>
      <c r="E352" s="145"/>
      <c r="F352" s="148"/>
      <c r="G352" s="133" t="s">
        <v>1034</v>
      </c>
      <c r="H352" s="144" t="s">
        <v>1341</v>
      </c>
      <c r="I352" s="133" t="s">
        <v>1092</v>
      </c>
      <c r="J352" s="133" t="s">
        <v>2188</v>
      </c>
      <c r="K352" s="143">
        <v>45170</v>
      </c>
      <c r="L352" s="133" t="s">
        <v>1092</v>
      </c>
      <c r="M352" s="133">
        <v>4627</v>
      </c>
      <c r="N352" s="147"/>
      <c r="P352" s="140"/>
      <c r="Q352" s="140"/>
    </row>
    <row r="353" spans="1:17" hidden="1" x14ac:dyDescent="0.35">
      <c r="A353" s="146"/>
      <c r="B353" s="143"/>
      <c r="C353" s="133"/>
      <c r="D353" s="133"/>
      <c r="E353" s="145"/>
      <c r="F353" s="148"/>
      <c r="G353" s="133" t="s">
        <v>1034</v>
      </c>
      <c r="H353" s="144" t="s">
        <v>1341</v>
      </c>
      <c r="I353" s="133" t="s">
        <v>1092</v>
      </c>
      <c r="J353" s="133" t="s">
        <v>2187</v>
      </c>
      <c r="K353" s="143">
        <v>45170</v>
      </c>
      <c r="L353" s="133" t="s">
        <v>1092</v>
      </c>
      <c r="M353" s="133">
        <v>8193.9</v>
      </c>
      <c r="N353" s="147"/>
      <c r="P353" s="140"/>
      <c r="Q353" s="140"/>
    </row>
    <row r="354" spans="1:17" hidden="1" x14ac:dyDescent="0.35">
      <c r="A354" s="146"/>
      <c r="B354" s="143"/>
      <c r="C354" s="133"/>
      <c r="D354" s="133"/>
      <c r="E354" s="145"/>
      <c r="F354" s="148"/>
      <c r="G354" s="133" t="s">
        <v>1034</v>
      </c>
      <c r="H354" s="144" t="s">
        <v>1341</v>
      </c>
      <c r="I354" s="133" t="s">
        <v>1092</v>
      </c>
      <c r="J354" s="133" t="s">
        <v>2183</v>
      </c>
      <c r="K354" s="143">
        <v>45170</v>
      </c>
      <c r="L354" s="133" t="s">
        <v>1092</v>
      </c>
      <c r="M354" s="133">
        <v>2205.3099999999995</v>
      </c>
      <c r="N354" s="147"/>
      <c r="P354" s="140"/>
      <c r="Q354" s="140"/>
    </row>
    <row r="355" spans="1:17" hidden="1" x14ac:dyDescent="0.35">
      <c r="A355" s="146"/>
      <c r="B355" s="143"/>
      <c r="C355" s="133"/>
      <c r="D355" s="133"/>
      <c r="E355" s="145"/>
      <c r="F355" s="148"/>
      <c r="G355" s="133" t="s">
        <v>1034</v>
      </c>
      <c r="H355" s="144" t="s">
        <v>1341</v>
      </c>
      <c r="I355" s="133" t="s">
        <v>1092</v>
      </c>
      <c r="J355" s="133" t="s">
        <v>2177</v>
      </c>
      <c r="K355" s="143">
        <v>45170</v>
      </c>
      <c r="L355" s="133" t="s">
        <v>1241</v>
      </c>
      <c r="M355" s="133">
        <v>2477</v>
      </c>
      <c r="N355" s="147"/>
      <c r="P355" s="140"/>
      <c r="Q355" s="140"/>
    </row>
    <row r="356" spans="1:17" hidden="1" x14ac:dyDescent="0.35">
      <c r="A356" s="146"/>
      <c r="B356" s="143"/>
      <c r="C356" s="133"/>
      <c r="D356" s="133"/>
      <c r="E356" s="145"/>
      <c r="F356" s="148"/>
      <c r="G356" s="133"/>
      <c r="H356" s="144"/>
      <c r="I356" s="133"/>
      <c r="J356" s="133"/>
      <c r="K356" s="143"/>
      <c r="L356" s="133"/>
      <c r="M356" s="133"/>
      <c r="N356" s="147"/>
      <c r="P356" s="140"/>
      <c r="Q356" s="140"/>
    </row>
    <row r="357" spans="1:17" hidden="1" x14ac:dyDescent="0.35">
      <c r="A357" s="146">
        <v>79</v>
      </c>
      <c r="B357" s="143">
        <v>45108</v>
      </c>
      <c r="C357" s="133" t="s">
        <v>1784</v>
      </c>
      <c r="D357" s="133" t="s">
        <v>2195</v>
      </c>
      <c r="E357" s="145" t="s">
        <v>1075</v>
      </c>
      <c r="F357" s="148">
        <v>3680</v>
      </c>
      <c r="G357" s="133" t="s">
        <v>1034</v>
      </c>
      <c r="H357" s="144" t="s">
        <v>1341</v>
      </c>
      <c r="I357" s="133" t="s">
        <v>1092</v>
      </c>
      <c r="J357" s="133" t="s">
        <v>2193</v>
      </c>
      <c r="K357" s="143">
        <v>45170</v>
      </c>
      <c r="L357" s="133" t="s">
        <v>1092</v>
      </c>
      <c r="M357" s="133">
        <v>10167.4</v>
      </c>
      <c r="N357" s="147">
        <f>+F357+F358+F359+F360-M357-M358</f>
        <v>0</v>
      </c>
      <c r="P357" s="140"/>
      <c r="Q357" s="140"/>
    </row>
    <row r="358" spans="1:17" hidden="1" x14ac:dyDescent="0.35">
      <c r="A358" s="146"/>
      <c r="B358" s="143"/>
      <c r="C358" s="133"/>
      <c r="D358" s="133"/>
      <c r="E358" s="145" t="s">
        <v>1342</v>
      </c>
      <c r="F358" s="148">
        <v>847</v>
      </c>
      <c r="G358" s="133" t="s">
        <v>1034</v>
      </c>
      <c r="H358" s="144" t="s">
        <v>1341</v>
      </c>
      <c r="I358" s="133" t="s">
        <v>1092</v>
      </c>
      <c r="J358" s="133" t="s">
        <v>2177</v>
      </c>
      <c r="K358" s="143">
        <v>45170</v>
      </c>
      <c r="L358" s="133" t="s">
        <v>1241</v>
      </c>
      <c r="M358" s="133">
        <v>538</v>
      </c>
      <c r="N358" s="147"/>
      <c r="P358" s="140"/>
      <c r="Q358" s="140"/>
    </row>
    <row r="359" spans="1:17" hidden="1" x14ac:dyDescent="0.35">
      <c r="A359" s="146"/>
      <c r="B359" s="143"/>
      <c r="C359" s="133"/>
      <c r="D359" s="133"/>
      <c r="E359" s="145" t="s">
        <v>1118</v>
      </c>
      <c r="F359" s="148">
        <v>5618</v>
      </c>
      <c r="G359" s="133"/>
      <c r="H359" s="144"/>
      <c r="I359" s="133"/>
      <c r="J359" s="133"/>
      <c r="K359" s="133"/>
      <c r="L359" s="133"/>
      <c r="M359" s="133"/>
      <c r="N359" s="147"/>
      <c r="P359" s="140"/>
      <c r="Q359" s="140"/>
    </row>
    <row r="360" spans="1:17" hidden="1" x14ac:dyDescent="0.35">
      <c r="A360" s="146"/>
      <c r="B360" s="143"/>
      <c r="C360" s="133"/>
      <c r="D360" s="133"/>
      <c r="E360" s="145" t="s">
        <v>1067</v>
      </c>
      <c r="F360" s="148">
        <v>560.4</v>
      </c>
      <c r="G360" s="133"/>
      <c r="H360" s="144"/>
      <c r="I360" s="133"/>
      <c r="J360" s="133"/>
      <c r="K360" s="133"/>
      <c r="L360" s="133"/>
      <c r="M360" s="133"/>
      <c r="N360" s="147"/>
      <c r="P360" s="140"/>
      <c r="Q360" s="140"/>
    </row>
    <row r="361" spans="1:17" hidden="1" x14ac:dyDescent="0.35">
      <c r="A361" s="146"/>
      <c r="B361" s="143"/>
      <c r="C361" s="133"/>
      <c r="D361" s="133"/>
      <c r="E361" s="145"/>
      <c r="F361" s="148"/>
      <c r="G361" s="133"/>
      <c r="H361" s="144"/>
      <c r="I361" s="133"/>
      <c r="J361" s="133"/>
      <c r="K361" s="133"/>
      <c r="L361" s="133"/>
      <c r="M361" s="133"/>
      <c r="N361" s="147"/>
      <c r="P361" s="140"/>
      <c r="Q361" s="140"/>
    </row>
    <row r="362" spans="1:17" hidden="1" x14ac:dyDescent="0.35">
      <c r="A362" s="146">
        <v>80</v>
      </c>
      <c r="B362" s="143">
        <v>45108</v>
      </c>
      <c r="C362" s="133" t="s">
        <v>1783</v>
      </c>
      <c r="D362" s="133" t="s">
        <v>2194</v>
      </c>
      <c r="E362" s="145" t="s">
        <v>1075</v>
      </c>
      <c r="F362" s="148">
        <v>1237</v>
      </c>
      <c r="G362" s="133" t="s">
        <v>1034</v>
      </c>
      <c r="H362" s="144" t="s">
        <v>1341</v>
      </c>
      <c r="I362" s="133" t="s">
        <v>1092</v>
      </c>
      <c r="J362" s="133" t="s">
        <v>2193</v>
      </c>
      <c r="K362" s="143">
        <v>45170</v>
      </c>
      <c r="L362" s="133" t="s">
        <v>1092</v>
      </c>
      <c r="M362" s="133">
        <v>5065</v>
      </c>
      <c r="N362" s="147">
        <f>+F362+F363-M362-M363</f>
        <v>0</v>
      </c>
      <c r="P362" s="140"/>
      <c r="Q362" s="140"/>
    </row>
    <row r="363" spans="1:17" hidden="1" x14ac:dyDescent="0.35">
      <c r="A363" s="146"/>
      <c r="B363" s="143"/>
      <c r="C363" s="133"/>
      <c r="D363" s="133"/>
      <c r="E363" s="148" t="s">
        <v>1064</v>
      </c>
      <c r="F363" s="148">
        <v>4097</v>
      </c>
      <c r="G363" s="133" t="s">
        <v>1034</v>
      </c>
      <c r="H363" s="144" t="s">
        <v>1341</v>
      </c>
      <c r="I363" s="133" t="s">
        <v>1092</v>
      </c>
      <c r="J363" s="133" t="s">
        <v>2177</v>
      </c>
      <c r="K363" s="143">
        <v>45170</v>
      </c>
      <c r="L363" s="133" t="s">
        <v>1241</v>
      </c>
      <c r="M363" s="133">
        <v>269</v>
      </c>
      <c r="N363" s="147"/>
      <c r="P363" s="140"/>
      <c r="Q363" s="140"/>
    </row>
    <row r="364" spans="1:17" hidden="1" x14ac:dyDescent="0.35">
      <c r="A364" s="146"/>
      <c r="B364" s="143"/>
      <c r="C364" s="133"/>
      <c r="D364" s="133"/>
      <c r="E364" s="145"/>
      <c r="F364" s="148"/>
      <c r="G364" s="133"/>
      <c r="H364" s="144"/>
      <c r="I364" s="133"/>
      <c r="J364" s="133"/>
      <c r="K364" s="133"/>
      <c r="L364" s="133"/>
      <c r="M364" s="133"/>
      <c r="N364" s="147"/>
      <c r="P364" s="140"/>
      <c r="Q364" s="140"/>
    </row>
    <row r="365" spans="1:17" hidden="1" x14ac:dyDescent="0.35">
      <c r="A365" s="146">
        <v>81</v>
      </c>
      <c r="B365" s="143">
        <v>45108</v>
      </c>
      <c r="C365" s="133" t="s">
        <v>1781</v>
      </c>
      <c r="D365" s="133" t="s">
        <v>2192</v>
      </c>
      <c r="E365" s="145" t="s">
        <v>1075</v>
      </c>
      <c r="F365" s="148">
        <v>5456.6</v>
      </c>
      <c r="G365" s="133" t="s">
        <v>1034</v>
      </c>
      <c r="H365" s="144" t="s">
        <v>1341</v>
      </c>
      <c r="I365" s="133" t="s">
        <v>1092</v>
      </c>
      <c r="J365" s="133" t="s">
        <v>2188</v>
      </c>
      <c r="K365" s="143">
        <v>45170</v>
      </c>
      <c r="L365" s="133" t="s">
        <v>1092</v>
      </c>
      <c r="M365" s="133">
        <v>12400.1</v>
      </c>
      <c r="N365" s="147">
        <f>+F365+F366+F367-M365-M366</f>
        <v>0</v>
      </c>
      <c r="P365" s="140"/>
      <c r="Q365" s="140"/>
    </row>
    <row r="366" spans="1:17" hidden="1" x14ac:dyDescent="0.35">
      <c r="A366" s="146"/>
      <c r="B366" s="143"/>
      <c r="C366" s="133"/>
      <c r="D366" s="133"/>
      <c r="E366" s="148" t="s">
        <v>1064</v>
      </c>
      <c r="F366" s="148">
        <v>3440.5</v>
      </c>
      <c r="G366" s="133" t="s">
        <v>1034</v>
      </c>
      <c r="H366" s="144" t="s">
        <v>1341</v>
      </c>
      <c r="I366" s="133" t="s">
        <v>1092</v>
      </c>
      <c r="J366" s="133" t="s">
        <v>2177</v>
      </c>
      <c r="K366" s="143">
        <v>45170</v>
      </c>
      <c r="L366" s="133" t="s">
        <v>1241</v>
      </c>
      <c r="M366" s="133">
        <v>654</v>
      </c>
      <c r="N366" s="147"/>
      <c r="P366" s="140"/>
      <c r="Q366" s="140"/>
    </row>
    <row r="367" spans="1:17" hidden="1" x14ac:dyDescent="0.35">
      <c r="A367" s="146"/>
      <c r="B367" s="143"/>
      <c r="C367" s="133"/>
      <c r="D367" s="133"/>
      <c r="E367" s="145" t="s">
        <v>1342</v>
      </c>
      <c r="F367" s="148">
        <v>4157</v>
      </c>
      <c r="G367" s="133"/>
      <c r="H367" s="144"/>
      <c r="I367" s="133"/>
      <c r="J367" s="133"/>
      <c r="K367" s="133"/>
      <c r="L367" s="133"/>
      <c r="M367" s="133"/>
      <c r="N367" s="147"/>
      <c r="P367" s="140"/>
      <c r="Q367" s="140"/>
    </row>
    <row r="368" spans="1:17" hidden="1" x14ac:dyDescent="0.35">
      <c r="A368" s="146"/>
      <c r="B368" s="143"/>
      <c r="C368" s="133"/>
      <c r="D368" s="133"/>
      <c r="E368" s="145"/>
      <c r="F368" s="148"/>
      <c r="G368" s="133"/>
      <c r="H368" s="144"/>
      <c r="I368" s="133"/>
      <c r="J368" s="133"/>
      <c r="K368" s="133"/>
      <c r="L368" s="133"/>
      <c r="M368" s="133"/>
      <c r="N368" s="147"/>
      <c r="P368" s="140"/>
      <c r="Q368" s="140"/>
    </row>
    <row r="369" spans="1:17" hidden="1" x14ac:dyDescent="0.35">
      <c r="A369" s="146">
        <v>82</v>
      </c>
      <c r="B369" s="143">
        <v>45108</v>
      </c>
      <c r="C369" s="133" t="s">
        <v>1778</v>
      </c>
      <c r="D369" s="133" t="s">
        <v>2191</v>
      </c>
      <c r="E369" s="145" t="s">
        <v>1075</v>
      </c>
      <c r="F369" s="148">
        <v>1204.5999999999999</v>
      </c>
      <c r="G369" s="133" t="s">
        <v>1034</v>
      </c>
      <c r="H369" s="144" t="s">
        <v>1341</v>
      </c>
      <c r="I369" s="133" t="s">
        <v>1092</v>
      </c>
      <c r="J369" s="133" t="s">
        <v>2188</v>
      </c>
      <c r="K369" s="143">
        <v>45170</v>
      </c>
      <c r="L369" s="133" t="s">
        <v>1092</v>
      </c>
      <c r="M369" s="133">
        <v>1143.5999999999999</v>
      </c>
      <c r="N369" s="147">
        <f>+F369-M369-M370</f>
        <v>0</v>
      </c>
      <c r="P369" s="140"/>
      <c r="Q369" s="140"/>
    </row>
    <row r="370" spans="1:17" hidden="1" x14ac:dyDescent="0.35">
      <c r="A370" s="146"/>
      <c r="B370" s="143"/>
      <c r="C370" s="133"/>
      <c r="D370" s="133"/>
      <c r="E370" s="145"/>
      <c r="F370" s="148"/>
      <c r="G370" s="133" t="s">
        <v>1034</v>
      </c>
      <c r="H370" s="144" t="s">
        <v>1341</v>
      </c>
      <c r="I370" s="133" t="s">
        <v>1092</v>
      </c>
      <c r="J370" s="133" t="s">
        <v>2177</v>
      </c>
      <c r="K370" s="143">
        <v>45170</v>
      </c>
      <c r="L370" s="133" t="s">
        <v>1241</v>
      </c>
      <c r="M370" s="133">
        <v>61</v>
      </c>
      <c r="N370" s="147"/>
      <c r="P370" s="140"/>
      <c r="Q370" s="140"/>
    </row>
    <row r="371" spans="1:17" hidden="1" x14ac:dyDescent="0.35">
      <c r="A371" s="146"/>
      <c r="B371" s="143"/>
      <c r="C371" s="133"/>
      <c r="D371" s="133"/>
      <c r="E371" s="145"/>
      <c r="F371" s="148"/>
      <c r="G371" s="133"/>
      <c r="H371" s="144"/>
      <c r="I371" s="133"/>
      <c r="J371" s="133"/>
      <c r="K371" s="143"/>
      <c r="L371" s="133"/>
      <c r="M371" s="133"/>
      <c r="N371" s="147"/>
      <c r="P371" s="140"/>
      <c r="Q371" s="140"/>
    </row>
    <row r="372" spans="1:17" hidden="1" x14ac:dyDescent="0.35">
      <c r="A372" s="146">
        <v>83</v>
      </c>
      <c r="B372" s="143">
        <v>45108</v>
      </c>
      <c r="C372" s="133" t="s">
        <v>1777</v>
      </c>
      <c r="D372" s="133" t="s">
        <v>2190</v>
      </c>
      <c r="E372" s="145" t="s">
        <v>1075</v>
      </c>
      <c r="F372" s="148">
        <v>4380.8</v>
      </c>
      <c r="G372" s="133" t="s">
        <v>1034</v>
      </c>
      <c r="H372" s="144" t="s">
        <v>1341</v>
      </c>
      <c r="I372" s="133" t="s">
        <v>1092</v>
      </c>
      <c r="J372" s="133" t="s">
        <v>2187</v>
      </c>
      <c r="K372" s="143">
        <v>45170</v>
      </c>
      <c r="L372" s="133" t="s">
        <v>1092</v>
      </c>
      <c r="M372" s="133">
        <v>9838.0999999999985</v>
      </c>
      <c r="N372" s="147">
        <f>+F372+F373+F374+F375+F376-M372-M373</f>
        <v>0</v>
      </c>
      <c r="P372" s="140"/>
      <c r="Q372" s="140"/>
    </row>
    <row r="373" spans="1:17" hidden="1" x14ac:dyDescent="0.35">
      <c r="A373" s="146"/>
      <c r="B373" s="143"/>
      <c r="C373" s="133"/>
      <c r="D373" s="133"/>
      <c r="E373" s="145" t="s">
        <v>1075</v>
      </c>
      <c r="F373" s="148">
        <v>1036.0999999999999</v>
      </c>
      <c r="G373" s="133" t="s">
        <v>1034</v>
      </c>
      <c r="H373" s="144" t="s">
        <v>1341</v>
      </c>
      <c r="I373" s="133" t="s">
        <v>1092</v>
      </c>
      <c r="J373" s="133" t="s">
        <v>2177</v>
      </c>
      <c r="K373" s="143">
        <v>45170</v>
      </c>
      <c r="L373" s="133" t="s">
        <v>1241</v>
      </c>
      <c r="M373" s="133">
        <v>519</v>
      </c>
      <c r="N373" s="147"/>
      <c r="P373" s="140"/>
      <c r="Q373" s="140"/>
    </row>
    <row r="374" spans="1:17" hidden="1" x14ac:dyDescent="0.35">
      <c r="A374" s="146"/>
      <c r="B374" s="143"/>
      <c r="C374" s="133"/>
      <c r="D374" s="133"/>
      <c r="E374" s="145" t="s">
        <v>1342</v>
      </c>
      <c r="F374" s="148">
        <v>2658</v>
      </c>
      <c r="G374" s="133"/>
      <c r="H374" s="144"/>
      <c r="I374" s="133"/>
      <c r="J374" s="133"/>
      <c r="K374" s="133"/>
      <c r="L374" s="133"/>
      <c r="M374" s="133"/>
      <c r="N374" s="147"/>
      <c r="P374" s="140"/>
      <c r="Q374" s="140"/>
    </row>
    <row r="375" spans="1:17" hidden="1" x14ac:dyDescent="0.35">
      <c r="A375" s="146"/>
      <c r="B375" s="143"/>
      <c r="C375" s="133"/>
      <c r="D375" s="133"/>
      <c r="E375" s="148" t="s">
        <v>1064</v>
      </c>
      <c r="F375" s="148">
        <v>898.8</v>
      </c>
      <c r="G375" s="133"/>
      <c r="H375" s="144"/>
      <c r="I375" s="133"/>
      <c r="J375" s="133"/>
      <c r="K375" s="133"/>
      <c r="L375" s="133"/>
      <c r="M375" s="133"/>
      <c r="N375" s="147"/>
      <c r="P375" s="140"/>
      <c r="Q375" s="140"/>
    </row>
    <row r="376" spans="1:17" hidden="1" x14ac:dyDescent="0.35">
      <c r="A376" s="146"/>
      <c r="B376" s="143"/>
      <c r="C376" s="133"/>
      <c r="D376" s="133"/>
      <c r="E376" s="145" t="s">
        <v>1067</v>
      </c>
      <c r="F376" s="148">
        <v>1383.4</v>
      </c>
      <c r="G376" s="133"/>
      <c r="H376" s="144"/>
      <c r="I376" s="133"/>
      <c r="J376" s="133"/>
      <c r="K376" s="133"/>
      <c r="L376" s="133"/>
      <c r="M376" s="133"/>
      <c r="N376" s="147"/>
      <c r="P376" s="140"/>
      <c r="Q376" s="140"/>
    </row>
    <row r="377" spans="1:17" hidden="1" x14ac:dyDescent="0.35">
      <c r="A377" s="146"/>
      <c r="B377" s="143"/>
      <c r="C377" s="133"/>
      <c r="D377" s="133"/>
      <c r="E377" s="145"/>
      <c r="F377" s="148"/>
      <c r="G377" s="133"/>
      <c r="H377" s="144"/>
      <c r="I377" s="133"/>
      <c r="J377" s="133"/>
      <c r="K377" s="133"/>
      <c r="L377" s="133"/>
      <c r="M377" s="133"/>
      <c r="N377" s="147"/>
      <c r="P377" s="140"/>
      <c r="Q377" s="140"/>
    </row>
    <row r="378" spans="1:17" hidden="1" x14ac:dyDescent="0.35">
      <c r="A378" s="156"/>
      <c r="B378" s="152"/>
      <c r="C378" s="151"/>
      <c r="D378" s="151"/>
      <c r="E378" s="154"/>
      <c r="F378" s="155"/>
      <c r="G378" s="151"/>
      <c r="H378" s="153"/>
      <c r="I378" s="151"/>
      <c r="J378" s="151"/>
      <c r="K378" s="151"/>
      <c r="L378" s="151"/>
      <c r="M378" s="151"/>
      <c r="N378" s="151"/>
      <c r="P378" s="140"/>
      <c r="Q378" s="140"/>
    </row>
    <row r="379" spans="1:17" hidden="1" x14ac:dyDescent="0.35">
      <c r="A379" s="146"/>
      <c r="B379" s="143"/>
      <c r="C379" s="133"/>
      <c r="D379" s="133"/>
      <c r="E379" s="145"/>
      <c r="F379" s="148"/>
      <c r="G379" s="133"/>
      <c r="H379" s="144"/>
      <c r="I379" s="133"/>
      <c r="J379" s="133"/>
      <c r="K379" s="133"/>
      <c r="L379" s="133"/>
      <c r="M379" s="133"/>
      <c r="N379" s="147"/>
      <c r="P379" s="140"/>
      <c r="Q379" s="140"/>
    </row>
    <row r="380" spans="1:17" hidden="1" x14ac:dyDescent="0.35">
      <c r="A380" s="146">
        <v>84</v>
      </c>
      <c r="B380" s="143">
        <v>45139</v>
      </c>
      <c r="C380" s="133" t="s">
        <v>1775</v>
      </c>
      <c r="D380" s="133" t="s">
        <v>2189</v>
      </c>
      <c r="E380" s="145" t="s">
        <v>1075</v>
      </c>
      <c r="F380" s="148">
        <v>4113</v>
      </c>
      <c r="G380" s="133" t="s">
        <v>1034</v>
      </c>
      <c r="H380" s="144" t="s">
        <v>1341</v>
      </c>
      <c r="I380" s="133" t="s">
        <v>1092</v>
      </c>
      <c r="J380" s="133" t="s">
        <v>2188</v>
      </c>
      <c r="K380" s="143">
        <v>45170</v>
      </c>
      <c r="L380" s="133" t="s">
        <v>1092</v>
      </c>
      <c r="M380" s="133">
        <v>1104.4000000000001</v>
      </c>
      <c r="N380" s="147">
        <f>+F380+F381+F382+F383-M380-M381-M382-M383</f>
        <v>0</v>
      </c>
      <c r="P380" s="140"/>
      <c r="Q380" s="140"/>
    </row>
    <row r="381" spans="1:17" hidden="1" x14ac:dyDescent="0.35">
      <c r="A381" s="146"/>
      <c r="B381" s="143"/>
      <c r="C381" s="133"/>
      <c r="D381" s="133"/>
      <c r="E381" s="145" t="s">
        <v>1118</v>
      </c>
      <c r="F381" s="148">
        <v>3104.4</v>
      </c>
      <c r="G381" s="133" t="s">
        <v>1034</v>
      </c>
      <c r="H381" s="144" t="s">
        <v>1341</v>
      </c>
      <c r="I381" s="133" t="s">
        <v>1092</v>
      </c>
      <c r="J381" s="133" t="s">
        <v>2187</v>
      </c>
      <c r="K381" s="143">
        <v>45170</v>
      </c>
      <c r="L381" s="133" t="s">
        <v>1092</v>
      </c>
      <c r="M381" s="133">
        <v>1000</v>
      </c>
      <c r="N381" s="147"/>
      <c r="P381" s="140"/>
      <c r="Q381" s="140"/>
    </row>
    <row r="382" spans="1:17" hidden="1" x14ac:dyDescent="0.35">
      <c r="A382" s="146"/>
      <c r="B382" s="143"/>
      <c r="C382" s="133"/>
      <c r="D382" s="133"/>
      <c r="E382" s="145" t="s">
        <v>1342</v>
      </c>
      <c r="F382" s="148">
        <v>3114</v>
      </c>
      <c r="G382" s="133" t="s">
        <v>1034</v>
      </c>
      <c r="H382" s="144" t="s">
        <v>1341</v>
      </c>
      <c r="I382" s="133" t="s">
        <v>1092</v>
      </c>
      <c r="J382" s="133" t="s">
        <v>2183</v>
      </c>
      <c r="K382" s="143">
        <v>45170</v>
      </c>
      <c r="L382" s="133" t="s">
        <v>1092</v>
      </c>
      <c r="M382" s="133">
        <v>11725.300000000001</v>
      </c>
      <c r="N382" s="147"/>
      <c r="P382" s="140"/>
      <c r="Q382" s="140"/>
    </row>
    <row r="383" spans="1:17" hidden="1" x14ac:dyDescent="0.35">
      <c r="A383" s="146"/>
      <c r="B383" s="143"/>
      <c r="C383" s="133"/>
      <c r="D383" s="133"/>
      <c r="E383" s="145" t="s">
        <v>1067</v>
      </c>
      <c r="F383" s="148">
        <v>4227.3</v>
      </c>
      <c r="G383" s="133" t="s">
        <v>1034</v>
      </c>
      <c r="H383" s="144" t="s">
        <v>1341</v>
      </c>
      <c r="I383" s="133" t="s">
        <v>1092</v>
      </c>
      <c r="J383" s="133" t="s">
        <v>2177</v>
      </c>
      <c r="K383" s="143">
        <v>45170</v>
      </c>
      <c r="L383" s="133" t="s">
        <v>1241</v>
      </c>
      <c r="M383" s="133">
        <v>729</v>
      </c>
      <c r="N383" s="147"/>
      <c r="P383" s="140"/>
      <c r="Q383" s="140"/>
    </row>
    <row r="384" spans="1:17" hidden="1" x14ac:dyDescent="0.35">
      <c r="A384" s="146"/>
      <c r="B384" s="143"/>
      <c r="C384" s="133"/>
      <c r="D384" s="133"/>
      <c r="E384" s="145"/>
      <c r="F384" s="148"/>
      <c r="G384" s="133"/>
      <c r="H384" s="144"/>
      <c r="I384" s="133"/>
      <c r="J384" s="133"/>
      <c r="K384" s="133"/>
      <c r="L384" s="133"/>
      <c r="M384" s="133"/>
      <c r="N384" s="147"/>
      <c r="P384" s="140"/>
      <c r="Q384" s="140"/>
    </row>
    <row r="385" spans="1:17" hidden="1" x14ac:dyDescent="0.35">
      <c r="A385" s="146">
        <v>85</v>
      </c>
      <c r="B385" s="143">
        <v>45139</v>
      </c>
      <c r="C385" s="133" t="s">
        <v>1772</v>
      </c>
      <c r="D385" s="133" t="s">
        <v>2186</v>
      </c>
      <c r="E385" s="145" t="s">
        <v>1118</v>
      </c>
      <c r="F385" s="148">
        <v>1052.7</v>
      </c>
      <c r="G385" s="133" t="s">
        <v>1034</v>
      </c>
      <c r="H385" s="144" t="s">
        <v>1341</v>
      </c>
      <c r="I385" s="133" t="s">
        <v>1092</v>
      </c>
      <c r="J385" s="133" t="s">
        <v>2183</v>
      </c>
      <c r="K385" s="143">
        <v>45170</v>
      </c>
      <c r="L385" s="133" t="s">
        <v>1092</v>
      </c>
      <c r="M385" s="133">
        <v>7576.8</v>
      </c>
      <c r="N385" s="147">
        <f>+F385+F386+F387+F388+F389-M385-M386</f>
        <v>0</v>
      </c>
      <c r="P385" s="140"/>
      <c r="Q385" s="140"/>
    </row>
    <row r="386" spans="1:17" hidden="1" x14ac:dyDescent="0.35">
      <c r="A386" s="146"/>
      <c r="B386" s="143"/>
      <c r="C386" s="133"/>
      <c r="D386" s="133"/>
      <c r="E386" s="145" t="s">
        <v>1075</v>
      </c>
      <c r="F386" s="148">
        <v>3079</v>
      </c>
      <c r="G386" s="133" t="s">
        <v>1034</v>
      </c>
      <c r="H386" s="144" t="s">
        <v>1341</v>
      </c>
      <c r="I386" s="133" t="s">
        <v>1092</v>
      </c>
      <c r="J386" s="133" t="s">
        <v>2177</v>
      </c>
      <c r="K386" s="143">
        <v>45170</v>
      </c>
      <c r="L386" s="133" t="s">
        <v>1241</v>
      </c>
      <c r="M386" s="133">
        <v>395</v>
      </c>
      <c r="N386" s="147"/>
      <c r="P386" s="140"/>
      <c r="Q386" s="140"/>
    </row>
    <row r="387" spans="1:17" hidden="1" x14ac:dyDescent="0.35">
      <c r="A387" s="146"/>
      <c r="B387" s="143"/>
      <c r="C387" s="133"/>
      <c r="D387" s="133"/>
      <c r="E387" s="145" t="s">
        <v>1342</v>
      </c>
      <c r="F387" s="148">
        <v>2963</v>
      </c>
      <c r="G387" s="133"/>
      <c r="H387" s="144"/>
      <c r="I387" s="133"/>
      <c r="J387" s="133"/>
      <c r="K387" s="133"/>
      <c r="L387" s="133"/>
      <c r="M387" s="133"/>
      <c r="N387" s="147"/>
      <c r="P387" s="140"/>
      <c r="Q387" s="140"/>
    </row>
    <row r="388" spans="1:17" hidden="1" x14ac:dyDescent="0.35">
      <c r="A388" s="146"/>
      <c r="B388" s="143"/>
      <c r="C388" s="133"/>
      <c r="D388" s="133"/>
      <c r="E388" s="145" t="s">
        <v>1071</v>
      </c>
      <c r="F388" s="148">
        <v>574.29999999999995</v>
      </c>
      <c r="G388" s="133"/>
      <c r="H388" s="144"/>
      <c r="I388" s="133"/>
      <c r="J388" s="133"/>
      <c r="K388" s="133"/>
      <c r="L388" s="133"/>
      <c r="M388" s="133"/>
      <c r="N388" s="147"/>
      <c r="P388" s="140"/>
      <c r="Q388" s="140"/>
    </row>
    <row r="389" spans="1:17" hidden="1" x14ac:dyDescent="0.35">
      <c r="A389" s="146"/>
      <c r="B389" s="143"/>
      <c r="C389" s="133"/>
      <c r="D389" s="133"/>
      <c r="E389" s="145" t="s">
        <v>1067</v>
      </c>
      <c r="F389" s="148">
        <v>302.8</v>
      </c>
      <c r="G389" s="133"/>
      <c r="H389" s="144"/>
      <c r="I389" s="133"/>
      <c r="J389" s="133"/>
      <c r="K389" s="133"/>
      <c r="L389" s="133"/>
      <c r="M389" s="133"/>
      <c r="N389" s="147"/>
      <c r="P389" s="140"/>
      <c r="Q389" s="140"/>
    </row>
    <row r="390" spans="1:17" hidden="1" x14ac:dyDescent="0.35">
      <c r="A390" s="146"/>
      <c r="B390" s="143"/>
      <c r="C390" s="133"/>
      <c r="D390" s="133"/>
      <c r="E390" s="145"/>
      <c r="F390" s="148"/>
      <c r="G390" s="133"/>
      <c r="H390" s="144"/>
      <c r="I390" s="133"/>
      <c r="J390" s="133"/>
      <c r="K390" s="133"/>
      <c r="L390" s="133"/>
      <c r="M390" s="133"/>
      <c r="N390" s="147"/>
      <c r="P390" s="140"/>
      <c r="Q390" s="140"/>
    </row>
    <row r="391" spans="1:17" hidden="1" x14ac:dyDescent="0.35">
      <c r="A391" s="146">
        <v>86</v>
      </c>
      <c r="B391" s="143">
        <v>45139</v>
      </c>
      <c r="C391" s="133" t="s">
        <v>1771</v>
      </c>
      <c r="D391" s="133" t="s">
        <v>2185</v>
      </c>
      <c r="E391" s="148" t="s">
        <v>1064</v>
      </c>
      <c r="F391" s="148">
        <v>835.5</v>
      </c>
      <c r="G391" s="133" t="s">
        <v>1034</v>
      </c>
      <c r="H391" s="144" t="s">
        <v>1341</v>
      </c>
      <c r="I391" s="133" t="s">
        <v>1092</v>
      </c>
      <c r="J391" s="133" t="s">
        <v>2183</v>
      </c>
      <c r="K391" s="143">
        <v>45170</v>
      </c>
      <c r="L391" s="133" t="s">
        <v>1092</v>
      </c>
      <c r="M391" s="133">
        <v>14450.029999999999</v>
      </c>
      <c r="N391" s="147">
        <f>+F391+F392+F393+F394+F395-M391-M392</f>
        <v>0</v>
      </c>
      <c r="P391" s="140"/>
      <c r="Q391" s="140"/>
    </row>
    <row r="392" spans="1:17" hidden="1" x14ac:dyDescent="0.35">
      <c r="A392" s="146"/>
      <c r="B392" s="143"/>
      <c r="C392" s="133"/>
      <c r="D392" s="133"/>
      <c r="E392" s="145" t="s">
        <v>1075</v>
      </c>
      <c r="F392" s="148">
        <v>5919.2</v>
      </c>
      <c r="G392" s="133" t="s">
        <v>1034</v>
      </c>
      <c r="H392" s="144" t="s">
        <v>1341</v>
      </c>
      <c r="I392" s="133" t="s">
        <v>1092</v>
      </c>
      <c r="J392" s="133" t="s">
        <v>2177</v>
      </c>
      <c r="K392" s="143">
        <v>45170</v>
      </c>
      <c r="L392" s="133" t="s">
        <v>1241</v>
      </c>
      <c r="M392" s="133">
        <v>762</v>
      </c>
      <c r="N392" s="147"/>
      <c r="P392" s="140"/>
      <c r="Q392" s="140"/>
    </row>
    <row r="393" spans="1:17" hidden="1" x14ac:dyDescent="0.35">
      <c r="A393" s="146"/>
      <c r="B393" s="143"/>
      <c r="C393" s="133"/>
      <c r="D393" s="133"/>
      <c r="E393" s="145" t="s">
        <v>1342</v>
      </c>
      <c r="F393" s="148">
        <v>2788</v>
      </c>
      <c r="G393" s="133"/>
      <c r="H393" s="144"/>
      <c r="I393" s="133"/>
      <c r="J393" s="133"/>
      <c r="K393" s="133"/>
      <c r="L393" s="133"/>
      <c r="M393" s="133"/>
      <c r="N393" s="147"/>
      <c r="P393" s="140"/>
      <c r="Q393" s="140"/>
    </row>
    <row r="394" spans="1:17" hidden="1" x14ac:dyDescent="0.35">
      <c r="A394" s="146"/>
      <c r="B394" s="143"/>
      <c r="C394" s="133"/>
      <c r="D394" s="133"/>
      <c r="E394" s="145" t="s">
        <v>1071</v>
      </c>
      <c r="F394" s="148">
        <v>274.3</v>
      </c>
      <c r="G394" s="133"/>
      <c r="H394" s="144"/>
      <c r="I394" s="133"/>
      <c r="J394" s="133"/>
      <c r="K394" s="133"/>
      <c r="L394" s="133"/>
      <c r="M394" s="133"/>
      <c r="N394" s="147"/>
      <c r="P394" s="140"/>
      <c r="Q394" s="140"/>
    </row>
    <row r="395" spans="1:17" hidden="1" x14ac:dyDescent="0.35">
      <c r="A395" s="146"/>
      <c r="B395" s="143"/>
      <c r="C395" s="133"/>
      <c r="D395" s="133"/>
      <c r="E395" s="133" t="s">
        <v>678</v>
      </c>
      <c r="F395" s="148">
        <v>5395.03</v>
      </c>
      <c r="G395" s="133"/>
      <c r="H395" s="144"/>
      <c r="I395" s="133"/>
      <c r="J395" s="133"/>
      <c r="K395" s="133"/>
      <c r="L395" s="133"/>
      <c r="M395" s="133"/>
      <c r="N395" s="147"/>
      <c r="P395" s="140"/>
      <c r="Q395" s="140"/>
    </row>
    <row r="396" spans="1:17" hidden="1" x14ac:dyDescent="0.35">
      <c r="A396" s="146"/>
      <c r="B396" s="143"/>
      <c r="C396" s="133"/>
      <c r="D396" s="133"/>
      <c r="E396" s="145"/>
      <c r="F396" s="148"/>
      <c r="G396" s="133"/>
      <c r="H396" s="144"/>
      <c r="I396" s="133"/>
      <c r="J396" s="133"/>
      <c r="K396" s="133"/>
      <c r="L396" s="133"/>
      <c r="M396" s="133"/>
      <c r="N396" s="147"/>
      <c r="P396" s="140"/>
      <c r="Q396" s="140"/>
    </row>
    <row r="397" spans="1:17" hidden="1" x14ac:dyDescent="0.35">
      <c r="A397" s="146">
        <v>87</v>
      </c>
      <c r="B397" s="143">
        <v>45139</v>
      </c>
      <c r="C397" s="133" t="s">
        <v>1769</v>
      </c>
      <c r="D397" s="133" t="s">
        <v>2184</v>
      </c>
      <c r="E397" s="145" t="s">
        <v>1075</v>
      </c>
      <c r="F397" s="148">
        <v>5320</v>
      </c>
      <c r="G397" s="133" t="s">
        <v>1034</v>
      </c>
      <c r="H397" s="144" t="s">
        <v>1341</v>
      </c>
      <c r="I397" s="133" t="s">
        <v>1092</v>
      </c>
      <c r="J397" s="133" t="s">
        <v>2183</v>
      </c>
      <c r="K397" s="143">
        <v>45170</v>
      </c>
      <c r="L397" s="133" t="s">
        <v>1092</v>
      </c>
      <c r="M397" s="133">
        <f>1931.56+1264</f>
        <v>3195.56</v>
      </c>
      <c r="N397" s="147">
        <f>+F397+F398-M397-M398-M399</f>
        <v>0</v>
      </c>
      <c r="P397" s="140"/>
      <c r="Q397" s="140"/>
    </row>
    <row r="398" spans="1:17" hidden="1" x14ac:dyDescent="0.35">
      <c r="A398" s="146"/>
      <c r="B398" s="143"/>
      <c r="C398" s="133"/>
      <c r="D398" s="133"/>
      <c r="E398" s="145" t="s">
        <v>1342</v>
      </c>
      <c r="F398" s="148">
        <v>1611</v>
      </c>
      <c r="G398" s="133" t="s">
        <v>1034</v>
      </c>
      <c r="H398" s="144" t="s">
        <v>1341</v>
      </c>
      <c r="I398" s="133" t="s">
        <v>1092</v>
      </c>
      <c r="J398" s="133" t="s">
        <v>2175</v>
      </c>
      <c r="K398" s="143">
        <v>45170</v>
      </c>
      <c r="L398" s="133" t="s">
        <v>1092</v>
      </c>
      <c r="M398" s="133">
        <v>3388.44</v>
      </c>
      <c r="N398" s="147"/>
      <c r="P398" s="140"/>
      <c r="Q398" s="140"/>
    </row>
    <row r="399" spans="1:17" hidden="1" x14ac:dyDescent="0.35">
      <c r="A399" s="146"/>
      <c r="B399" s="143"/>
      <c r="C399" s="133"/>
      <c r="D399" s="133"/>
      <c r="E399" s="145"/>
      <c r="F399" s="148"/>
      <c r="G399" s="133" t="s">
        <v>1034</v>
      </c>
      <c r="H399" s="144" t="s">
        <v>1341</v>
      </c>
      <c r="I399" s="133" t="s">
        <v>1092</v>
      </c>
      <c r="J399" s="133" t="s">
        <v>2177</v>
      </c>
      <c r="K399" s="143">
        <v>45170</v>
      </c>
      <c r="L399" s="133" t="s">
        <v>1241</v>
      </c>
      <c r="M399" s="133">
        <v>347</v>
      </c>
      <c r="N399" s="147"/>
      <c r="P399" s="140"/>
      <c r="Q399" s="140"/>
    </row>
    <row r="400" spans="1:17" hidden="1" x14ac:dyDescent="0.35">
      <c r="A400" s="146"/>
      <c r="B400" s="143"/>
      <c r="C400" s="133"/>
      <c r="D400" s="133"/>
      <c r="E400" s="145"/>
      <c r="F400" s="148"/>
      <c r="G400" s="133"/>
      <c r="H400" s="144"/>
      <c r="I400" s="133"/>
      <c r="J400" s="133"/>
      <c r="K400" s="133"/>
      <c r="L400" s="133"/>
      <c r="M400" s="133"/>
      <c r="N400" s="147"/>
      <c r="P400" s="140"/>
      <c r="Q400" s="140"/>
    </row>
    <row r="401" spans="1:17" hidden="1" x14ac:dyDescent="0.35">
      <c r="A401" s="146">
        <v>88</v>
      </c>
      <c r="B401" s="143">
        <v>45139</v>
      </c>
      <c r="C401" s="133" t="s">
        <v>1767</v>
      </c>
      <c r="D401" s="133" t="s">
        <v>2182</v>
      </c>
      <c r="E401" s="145" t="s">
        <v>1075</v>
      </c>
      <c r="F401" s="148">
        <v>3589</v>
      </c>
      <c r="G401" s="133" t="s">
        <v>1034</v>
      </c>
      <c r="H401" s="144" t="s">
        <v>1341</v>
      </c>
      <c r="I401" s="133" t="s">
        <v>1092</v>
      </c>
      <c r="J401" s="133" t="s">
        <v>2175</v>
      </c>
      <c r="K401" s="143">
        <v>45170</v>
      </c>
      <c r="L401" s="133" t="s">
        <v>1092</v>
      </c>
      <c r="M401" s="133">
        <v>6915</v>
      </c>
      <c r="N401" s="147">
        <f>+F401+F402+F403+F404-M401-M402</f>
        <v>0</v>
      </c>
      <c r="P401" s="140"/>
      <c r="Q401" s="140"/>
    </row>
    <row r="402" spans="1:17" hidden="1" x14ac:dyDescent="0.35">
      <c r="A402" s="146"/>
      <c r="B402" s="143"/>
      <c r="C402" s="133"/>
      <c r="D402" s="133"/>
      <c r="E402" s="145" t="s">
        <v>1342</v>
      </c>
      <c r="F402" s="148">
        <v>1391</v>
      </c>
      <c r="G402" s="133" t="s">
        <v>1034</v>
      </c>
      <c r="H402" s="144" t="s">
        <v>1341</v>
      </c>
      <c r="I402" s="133" t="s">
        <v>1092</v>
      </c>
      <c r="J402" s="133" t="s">
        <v>2177</v>
      </c>
      <c r="K402" s="143">
        <v>45170</v>
      </c>
      <c r="L402" s="133" t="s">
        <v>1241</v>
      </c>
      <c r="M402" s="133">
        <v>360</v>
      </c>
      <c r="N402" s="147"/>
      <c r="P402" s="140"/>
      <c r="Q402" s="140"/>
    </row>
    <row r="403" spans="1:17" hidden="1" x14ac:dyDescent="0.35">
      <c r="A403" s="146"/>
      <c r="B403" s="143"/>
      <c r="C403" s="133"/>
      <c r="D403" s="133"/>
      <c r="E403" s="145" t="s">
        <v>1071</v>
      </c>
      <c r="F403" s="148">
        <v>560</v>
      </c>
      <c r="G403" s="133"/>
      <c r="H403" s="144"/>
      <c r="I403" s="133"/>
      <c r="J403" s="133"/>
      <c r="K403" s="133"/>
      <c r="L403" s="133"/>
      <c r="M403" s="133"/>
      <c r="N403" s="147"/>
      <c r="P403" s="140"/>
      <c r="Q403" s="140"/>
    </row>
    <row r="404" spans="1:17" hidden="1" x14ac:dyDescent="0.35">
      <c r="A404" s="146"/>
      <c r="B404" s="143"/>
      <c r="C404" s="133"/>
      <c r="D404" s="133"/>
      <c r="E404" s="145" t="s">
        <v>1067</v>
      </c>
      <c r="F404" s="148">
        <v>1735</v>
      </c>
      <c r="G404" s="133"/>
      <c r="H404" s="144"/>
      <c r="I404" s="133"/>
      <c r="J404" s="133"/>
      <c r="K404" s="133"/>
      <c r="L404" s="133"/>
      <c r="M404" s="133"/>
      <c r="N404" s="147"/>
      <c r="P404" s="140"/>
      <c r="Q404" s="140"/>
    </row>
    <row r="405" spans="1:17" hidden="1" x14ac:dyDescent="0.35">
      <c r="A405" s="146"/>
      <c r="B405" s="143"/>
      <c r="C405" s="133"/>
      <c r="D405" s="133"/>
      <c r="E405" s="145"/>
      <c r="F405" s="148"/>
      <c r="G405" s="133"/>
      <c r="H405" s="144"/>
      <c r="I405" s="133"/>
      <c r="J405" s="133"/>
      <c r="K405" s="133"/>
      <c r="L405" s="133"/>
      <c r="M405" s="133"/>
      <c r="N405" s="147"/>
      <c r="P405" s="140"/>
      <c r="Q405" s="140"/>
    </row>
    <row r="406" spans="1:17" hidden="1" x14ac:dyDescent="0.35">
      <c r="A406" s="146">
        <v>89</v>
      </c>
      <c r="B406" s="143">
        <v>45139</v>
      </c>
      <c r="C406" s="133" t="s">
        <v>1766</v>
      </c>
      <c r="D406" s="133" t="s">
        <v>2181</v>
      </c>
      <c r="E406" s="145" t="s">
        <v>1075</v>
      </c>
      <c r="F406" s="148">
        <v>4527.3999999999996</v>
      </c>
      <c r="G406" s="133" t="s">
        <v>1034</v>
      </c>
      <c r="H406" s="144" t="s">
        <v>1341</v>
      </c>
      <c r="I406" s="133" t="s">
        <v>1092</v>
      </c>
      <c r="J406" s="133" t="s">
        <v>2175</v>
      </c>
      <c r="K406" s="143">
        <v>45170</v>
      </c>
      <c r="L406" s="133" t="s">
        <v>1092</v>
      </c>
      <c r="M406" s="133">
        <v>12927.699999999999</v>
      </c>
      <c r="N406" s="147">
        <f>+F406+F407+F408+F409+F410-M406-M407</f>
        <v>0</v>
      </c>
      <c r="P406" s="140"/>
      <c r="Q406" s="140"/>
    </row>
    <row r="407" spans="1:17" hidden="1" x14ac:dyDescent="0.35">
      <c r="A407" s="146"/>
      <c r="B407" s="143"/>
      <c r="C407" s="133"/>
      <c r="D407" s="133"/>
      <c r="E407" s="145" t="s">
        <v>1342</v>
      </c>
      <c r="F407" s="148">
        <v>4381</v>
      </c>
      <c r="G407" s="133" t="s">
        <v>1034</v>
      </c>
      <c r="H407" s="144" t="s">
        <v>1341</v>
      </c>
      <c r="I407" s="133" t="s">
        <v>1092</v>
      </c>
      <c r="J407" s="133" t="s">
        <v>2177</v>
      </c>
      <c r="K407" s="143">
        <v>45170</v>
      </c>
      <c r="L407" s="133" t="s">
        <v>1241</v>
      </c>
      <c r="M407" s="133">
        <v>682</v>
      </c>
      <c r="N407" s="147"/>
      <c r="P407" s="140"/>
      <c r="Q407" s="140"/>
    </row>
    <row r="408" spans="1:17" hidden="1" x14ac:dyDescent="0.35">
      <c r="A408" s="146"/>
      <c r="B408" s="143"/>
      <c r="C408" s="133"/>
      <c r="D408" s="133"/>
      <c r="E408" s="145" t="s">
        <v>1071</v>
      </c>
      <c r="F408" s="148">
        <v>825.9</v>
      </c>
      <c r="G408" s="133"/>
      <c r="H408" s="144"/>
      <c r="I408" s="133"/>
      <c r="J408" s="133"/>
      <c r="K408" s="133"/>
      <c r="L408" s="133"/>
      <c r="M408" s="133"/>
      <c r="N408" s="147"/>
      <c r="P408" s="140"/>
      <c r="Q408" s="140"/>
    </row>
    <row r="409" spans="1:17" hidden="1" x14ac:dyDescent="0.35">
      <c r="A409" s="146"/>
      <c r="B409" s="143"/>
      <c r="C409" s="133"/>
      <c r="D409" s="133"/>
      <c r="E409" s="145" t="s">
        <v>1067</v>
      </c>
      <c r="F409" s="148">
        <v>2471.5</v>
      </c>
      <c r="G409" s="133"/>
      <c r="H409" s="144"/>
      <c r="I409" s="133"/>
      <c r="J409" s="133"/>
      <c r="K409" s="133"/>
      <c r="L409" s="133"/>
      <c r="M409" s="133"/>
      <c r="N409" s="147"/>
      <c r="P409" s="140"/>
      <c r="Q409" s="140"/>
    </row>
    <row r="410" spans="1:17" hidden="1" x14ac:dyDescent="0.35">
      <c r="A410" s="146"/>
      <c r="B410" s="143"/>
      <c r="C410" s="133"/>
      <c r="D410" s="133"/>
      <c r="E410" s="148" t="s">
        <v>1064</v>
      </c>
      <c r="F410" s="148">
        <v>1403.9</v>
      </c>
      <c r="G410" s="133"/>
      <c r="H410" s="144"/>
      <c r="I410" s="133"/>
      <c r="J410" s="133"/>
      <c r="K410" s="133"/>
      <c r="L410" s="133"/>
      <c r="M410" s="133"/>
      <c r="N410" s="147"/>
      <c r="P410" s="140"/>
      <c r="Q410" s="140"/>
    </row>
    <row r="411" spans="1:17" hidden="1" x14ac:dyDescent="0.35">
      <c r="A411" s="146"/>
      <c r="B411" s="143"/>
      <c r="C411" s="133"/>
      <c r="D411" s="133"/>
      <c r="E411" s="145"/>
      <c r="F411" s="148"/>
      <c r="G411" s="133"/>
      <c r="H411" s="144"/>
      <c r="I411" s="133"/>
      <c r="J411" s="133"/>
      <c r="K411" s="133"/>
      <c r="L411" s="133"/>
      <c r="M411" s="133"/>
      <c r="N411" s="147"/>
      <c r="P411" s="140"/>
      <c r="Q411" s="140"/>
    </row>
    <row r="412" spans="1:17" hidden="1" x14ac:dyDescent="0.35">
      <c r="A412" s="146">
        <v>90</v>
      </c>
      <c r="B412" s="143">
        <v>45139</v>
      </c>
      <c r="C412" s="133" t="s">
        <v>1765</v>
      </c>
      <c r="D412" s="133" t="s">
        <v>2180</v>
      </c>
      <c r="E412" s="145" t="s">
        <v>1075</v>
      </c>
      <c r="F412" s="148">
        <v>2612.6</v>
      </c>
      <c r="G412" s="133" t="s">
        <v>1034</v>
      </c>
      <c r="H412" s="144" t="s">
        <v>1341</v>
      </c>
      <c r="I412" s="133" t="s">
        <v>1092</v>
      </c>
      <c r="J412" s="133" t="s">
        <v>2175</v>
      </c>
      <c r="K412" s="143">
        <v>45170</v>
      </c>
      <c r="L412" s="133" t="s">
        <v>1092</v>
      </c>
      <c r="M412" s="133">
        <v>2480.6</v>
      </c>
      <c r="N412" s="147">
        <f>+F412-M412-M413</f>
        <v>0</v>
      </c>
      <c r="P412" s="140"/>
      <c r="Q412" s="140"/>
    </row>
    <row r="413" spans="1:17" hidden="1" x14ac:dyDescent="0.35">
      <c r="A413" s="146"/>
      <c r="B413" s="143"/>
      <c r="C413" s="133"/>
      <c r="D413" s="133"/>
      <c r="E413" s="145"/>
      <c r="F413" s="148"/>
      <c r="G413" s="133" t="s">
        <v>1034</v>
      </c>
      <c r="H413" s="144" t="s">
        <v>1341</v>
      </c>
      <c r="I413" s="133" t="s">
        <v>1092</v>
      </c>
      <c r="J413" s="133" t="s">
        <v>2177</v>
      </c>
      <c r="K413" s="143">
        <v>45170</v>
      </c>
      <c r="L413" s="133" t="s">
        <v>1241</v>
      </c>
      <c r="M413" s="133">
        <v>132</v>
      </c>
      <c r="N413" s="147"/>
      <c r="P413" s="140"/>
      <c r="Q413" s="140"/>
    </row>
    <row r="414" spans="1:17" hidden="1" x14ac:dyDescent="0.35">
      <c r="A414" s="146"/>
      <c r="B414" s="143"/>
      <c r="C414" s="133"/>
      <c r="D414" s="133"/>
      <c r="E414" s="145"/>
      <c r="F414" s="148"/>
      <c r="G414" s="133"/>
      <c r="H414" s="144"/>
      <c r="I414" s="133"/>
      <c r="J414" s="133"/>
      <c r="K414" s="143"/>
      <c r="L414" s="133"/>
      <c r="M414" s="133"/>
      <c r="N414" s="147"/>
      <c r="P414" s="140"/>
      <c r="Q414" s="140"/>
    </row>
    <row r="415" spans="1:17" hidden="1" x14ac:dyDescent="0.35">
      <c r="A415" s="146">
        <v>91</v>
      </c>
      <c r="B415" s="143">
        <v>45139</v>
      </c>
      <c r="C415" s="133" t="s">
        <v>1763</v>
      </c>
      <c r="D415" s="133" t="s">
        <v>2179</v>
      </c>
      <c r="E415" s="145" t="s">
        <v>1075</v>
      </c>
      <c r="F415" s="148">
        <v>4706</v>
      </c>
      <c r="G415" s="133" t="s">
        <v>1034</v>
      </c>
      <c r="H415" s="144" t="s">
        <v>1341</v>
      </c>
      <c r="I415" s="133" t="s">
        <v>1092</v>
      </c>
      <c r="J415" s="133" t="s">
        <v>2175</v>
      </c>
      <c r="K415" s="143">
        <v>45170</v>
      </c>
      <c r="L415" s="133" t="s">
        <v>1092</v>
      </c>
      <c r="M415" s="133">
        <f>4706+2717.06</f>
        <v>7423.0599999999995</v>
      </c>
      <c r="N415" s="147">
        <f>+F415+F416+F417-M415-M416-M417</f>
        <v>0</v>
      </c>
      <c r="P415" s="140"/>
      <c r="Q415" s="140"/>
    </row>
    <row r="416" spans="1:17" hidden="1" x14ac:dyDescent="0.35">
      <c r="A416" s="146"/>
      <c r="B416" s="143"/>
      <c r="C416" s="133"/>
      <c r="D416" s="133"/>
      <c r="E416" s="145" t="s">
        <v>1342</v>
      </c>
      <c r="F416" s="148">
        <v>1910</v>
      </c>
      <c r="G416" s="133" t="s">
        <v>1034</v>
      </c>
      <c r="H416" s="144" t="s">
        <v>1341</v>
      </c>
      <c r="I416" s="133" t="s">
        <v>1092</v>
      </c>
      <c r="J416" s="133" t="s">
        <v>2173</v>
      </c>
      <c r="K416" s="143">
        <v>45170</v>
      </c>
      <c r="L416" s="133" t="s">
        <v>1092</v>
      </c>
      <c r="M416" s="133">
        <v>2118.0400000000009</v>
      </c>
      <c r="N416" s="147"/>
      <c r="P416" s="140"/>
      <c r="Q416" s="140"/>
    </row>
    <row r="417" spans="1:17" hidden="1" x14ac:dyDescent="0.35">
      <c r="A417" s="146"/>
      <c r="B417" s="143"/>
      <c r="C417" s="133"/>
      <c r="D417" s="133"/>
      <c r="E417" s="145" t="s">
        <v>1067</v>
      </c>
      <c r="F417" s="148">
        <v>3429.1</v>
      </c>
      <c r="G417" s="133" t="s">
        <v>1034</v>
      </c>
      <c r="H417" s="144" t="s">
        <v>1341</v>
      </c>
      <c r="I417" s="133" t="s">
        <v>1092</v>
      </c>
      <c r="J417" s="133" t="s">
        <v>2177</v>
      </c>
      <c r="K417" s="143">
        <v>45170</v>
      </c>
      <c r="L417" s="133" t="s">
        <v>1241</v>
      </c>
      <c r="M417" s="133">
        <v>504</v>
      </c>
      <c r="N417" s="147"/>
      <c r="P417" s="140"/>
      <c r="Q417" s="140"/>
    </row>
    <row r="418" spans="1:17" hidden="1" x14ac:dyDescent="0.35">
      <c r="A418" s="146"/>
      <c r="B418" s="143"/>
      <c r="C418" s="133"/>
      <c r="D418" s="133"/>
      <c r="E418" s="145"/>
      <c r="F418" s="148"/>
      <c r="G418" s="133"/>
      <c r="H418" s="144"/>
      <c r="I418" s="133"/>
      <c r="J418" s="133"/>
      <c r="K418" s="133"/>
      <c r="L418" s="133"/>
      <c r="M418" s="133"/>
      <c r="N418" s="147"/>
      <c r="P418" s="140"/>
      <c r="Q418" s="140"/>
    </row>
    <row r="419" spans="1:17" hidden="1" x14ac:dyDescent="0.35">
      <c r="A419" s="146">
        <v>92</v>
      </c>
      <c r="B419" s="143">
        <v>45139</v>
      </c>
      <c r="C419" s="133" t="s">
        <v>1761</v>
      </c>
      <c r="D419" s="133" t="s">
        <v>2179</v>
      </c>
      <c r="E419" s="145" t="s">
        <v>1075</v>
      </c>
      <c r="F419" s="148">
        <v>2861</v>
      </c>
      <c r="G419" s="133" t="s">
        <v>1034</v>
      </c>
      <c r="H419" s="144" t="s">
        <v>1341</v>
      </c>
      <c r="I419" s="133" t="s">
        <v>1092</v>
      </c>
      <c r="J419" s="133" t="s">
        <v>2173</v>
      </c>
      <c r="K419" s="143">
        <v>45170</v>
      </c>
      <c r="L419" s="133" t="s">
        <v>1092</v>
      </c>
      <c r="M419" s="133">
        <v>13467.2</v>
      </c>
      <c r="N419" s="147">
        <f>+F419+F420+F421+F422-M419-M420</f>
        <v>0</v>
      </c>
      <c r="P419" s="140"/>
      <c r="Q419" s="140"/>
    </row>
    <row r="420" spans="1:17" hidden="1" x14ac:dyDescent="0.35">
      <c r="A420" s="146"/>
      <c r="B420" s="143"/>
      <c r="C420" s="133"/>
      <c r="D420" s="133"/>
      <c r="E420" s="145" t="s">
        <v>1342</v>
      </c>
      <c r="F420" s="148">
        <v>3269</v>
      </c>
      <c r="G420" s="133" t="s">
        <v>1034</v>
      </c>
      <c r="H420" s="144" t="s">
        <v>1341</v>
      </c>
      <c r="I420" s="133" t="s">
        <v>1092</v>
      </c>
      <c r="J420" s="133" t="s">
        <v>2177</v>
      </c>
      <c r="K420" s="143">
        <v>45170</v>
      </c>
      <c r="L420" s="133" t="s">
        <v>1241</v>
      </c>
      <c r="M420" s="133">
        <v>710</v>
      </c>
      <c r="N420" s="142"/>
      <c r="P420" s="140"/>
      <c r="Q420" s="140"/>
    </row>
    <row r="421" spans="1:17" hidden="1" x14ac:dyDescent="0.35">
      <c r="A421" s="146"/>
      <c r="B421" s="143"/>
      <c r="C421" s="133"/>
      <c r="D421" s="133"/>
      <c r="E421" s="145" t="s">
        <v>1067</v>
      </c>
      <c r="F421" s="148">
        <v>7660.6</v>
      </c>
      <c r="G421" s="133"/>
      <c r="H421" s="144"/>
      <c r="I421" s="133"/>
      <c r="J421" s="133"/>
      <c r="K421" s="133"/>
      <c r="L421" s="133"/>
      <c r="M421" s="133"/>
      <c r="N421" s="142"/>
      <c r="P421" s="140"/>
      <c r="Q421" s="140"/>
    </row>
    <row r="422" spans="1:17" hidden="1" x14ac:dyDescent="0.35">
      <c r="A422" s="146"/>
      <c r="B422" s="143"/>
      <c r="C422" s="133"/>
      <c r="D422" s="133"/>
      <c r="E422" s="145" t="s">
        <v>1071</v>
      </c>
      <c r="F422" s="148">
        <v>386.6</v>
      </c>
      <c r="G422" s="133"/>
      <c r="H422" s="144"/>
      <c r="I422" s="133"/>
      <c r="J422" s="133"/>
      <c r="K422" s="133"/>
      <c r="L422" s="133"/>
      <c r="M422" s="133"/>
      <c r="N422" s="142"/>
      <c r="P422" s="140"/>
      <c r="Q422" s="140"/>
    </row>
    <row r="423" spans="1:17" hidden="1" x14ac:dyDescent="0.35">
      <c r="A423" s="146"/>
      <c r="B423" s="143"/>
      <c r="C423" s="133"/>
      <c r="D423" s="133"/>
      <c r="E423" s="145"/>
      <c r="F423" s="148"/>
      <c r="G423" s="133"/>
      <c r="H423" s="144"/>
      <c r="I423" s="133"/>
      <c r="J423" s="133"/>
      <c r="K423" s="133"/>
      <c r="L423" s="133"/>
      <c r="M423" s="133"/>
      <c r="N423" s="142"/>
      <c r="P423" s="140"/>
      <c r="Q423" s="140"/>
    </row>
    <row r="424" spans="1:17" hidden="1" x14ac:dyDescent="0.35">
      <c r="A424" s="146">
        <v>93</v>
      </c>
      <c r="B424" s="143">
        <v>45139</v>
      </c>
      <c r="C424" s="133" t="s">
        <v>1759</v>
      </c>
      <c r="D424" s="133" t="s">
        <v>2178</v>
      </c>
      <c r="E424" s="145" t="s">
        <v>1075</v>
      </c>
      <c r="F424" s="148">
        <v>1026</v>
      </c>
      <c r="G424" s="133" t="s">
        <v>1034</v>
      </c>
      <c r="H424" s="144" t="s">
        <v>1341</v>
      </c>
      <c r="I424" s="133" t="s">
        <v>1092</v>
      </c>
      <c r="J424" s="133" t="s">
        <v>2175</v>
      </c>
      <c r="K424" s="143">
        <v>45170</v>
      </c>
      <c r="L424" s="133" t="s">
        <v>1092</v>
      </c>
      <c r="M424" s="148">
        <v>223.5</v>
      </c>
      <c r="N424" s="147">
        <f>+F424+F425+F426+F427+F428+F429-M424-M425-M426-M427-M428</f>
        <v>0</v>
      </c>
      <c r="P424" s="140"/>
      <c r="Q424" s="140"/>
    </row>
    <row r="425" spans="1:17" hidden="1" x14ac:dyDescent="0.35">
      <c r="A425" s="146"/>
      <c r="B425" s="143"/>
      <c r="C425" s="133"/>
      <c r="D425" s="133"/>
      <c r="E425" s="145" t="s">
        <v>1118</v>
      </c>
      <c r="F425" s="148">
        <v>223.5</v>
      </c>
      <c r="G425" s="133" t="s">
        <v>1034</v>
      </c>
      <c r="H425" s="144" t="s">
        <v>1341</v>
      </c>
      <c r="I425" s="133" t="s">
        <v>1092</v>
      </c>
      <c r="J425" s="133" t="s">
        <v>2173</v>
      </c>
      <c r="K425" s="143">
        <v>45170</v>
      </c>
      <c r="L425" s="133" t="s">
        <v>1092</v>
      </c>
      <c r="M425" s="133">
        <v>2971.76</v>
      </c>
      <c r="N425" s="142"/>
      <c r="P425" s="140"/>
      <c r="Q425" s="140"/>
    </row>
    <row r="426" spans="1:17" hidden="1" x14ac:dyDescent="0.35">
      <c r="A426" s="146"/>
      <c r="B426" s="143"/>
      <c r="C426" s="133"/>
      <c r="D426" s="133"/>
      <c r="E426" s="145" t="s">
        <v>1067</v>
      </c>
      <c r="F426" s="148">
        <v>144</v>
      </c>
      <c r="G426" s="133" t="s">
        <v>1034</v>
      </c>
      <c r="H426" s="144" t="s">
        <v>1341</v>
      </c>
      <c r="I426" s="133" t="s">
        <v>1092</v>
      </c>
      <c r="J426" s="133" t="s">
        <v>2177</v>
      </c>
      <c r="K426" s="143">
        <v>45170</v>
      </c>
      <c r="L426" s="133" t="s">
        <v>1241</v>
      </c>
      <c r="M426" s="133">
        <v>483</v>
      </c>
      <c r="N426" s="142"/>
      <c r="P426" s="140"/>
      <c r="Q426" s="140"/>
    </row>
    <row r="427" spans="1:17" hidden="1" x14ac:dyDescent="0.35">
      <c r="A427" s="146"/>
      <c r="B427" s="143"/>
      <c r="C427" s="133"/>
      <c r="D427" s="133"/>
      <c r="E427" s="145" t="s">
        <v>1071</v>
      </c>
      <c r="F427" s="148">
        <v>232</v>
      </c>
      <c r="G427" s="133" t="s">
        <v>1034</v>
      </c>
      <c r="H427" s="144" t="s">
        <v>1341</v>
      </c>
      <c r="I427" s="133" t="s">
        <v>1092</v>
      </c>
      <c r="J427" s="133" t="s">
        <v>2169</v>
      </c>
      <c r="K427" s="143">
        <v>45170</v>
      </c>
      <c r="L427" s="133" t="s">
        <v>1092</v>
      </c>
      <c r="M427" s="133">
        <v>460.19</v>
      </c>
      <c r="N427" s="142"/>
      <c r="P427" s="140"/>
      <c r="Q427" s="140"/>
    </row>
    <row r="428" spans="1:17" hidden="1" x14ac:dyDescent="0.35">
      <c r="A428" s="146"/>
      <c r="B428" s="143"/>
      <c r="C428" s="133"/>
      <c r="D428" s="133"/>
      <c r="E428" s="145" t="s">
        <v>1184</v>
      </c>
      <c r="F428" s="148">
        <v>7000</v>
      </c>
      <c r="G428" s="133" t="s">
        <v>1034</v>
      </c>
      <c r="H428" s="144" t="s">
        <v>1341</v>
      </c>
      <c r="I428" s="133" t="s">
        <v>1092</v>
      </c>
      <c r="J428" s="133" t="s">
        <v>2167</v>
      </c>
      <c r="K428" s="143">
        <v>45170</v>
      </c>
      <c r="L428" s="133" t="s">
        <v>1092</v>
      </c>
      <c r="M428" s="133">
        <v>5487.05</v>
      </c>
      <c r="N428" s="142"/>
      <c r="P428" s="140"/>
      <c r="Q428" s="140"/>
    </row>
    <row r="429" spans="1:17" hidden="1" x14ac:dyDescent="0.35">
      <c r="A429" s="146"/>
      <c r="B429" s="143"/>
      <c r="C429" s="133"/>
      <c r="D429" s="133"/>
      <c r="E429" s="148" t="s">
        <v>1074</v>
      </c>
      <c r="F429" s="148">
        <v>1000</v>
      </c>
      <c r="G429" s="133"/>
      <c r="H429" s="144"/>
      <c r="I429" s="133"/>
      <c r="J429" s="133"/>
      <c r="K429" s="133"/>
      <c r="L429" s="133"/>
      <c r="M429" s="133"/>
      <c r="N429" s="142"/>
      <c r="P429" s="140"/>
      <c r="Q429" s="140"/>
    </row>
    <row r="430" spans="1:17" hidden="1" x14ac:dyDescent="0.35">
      <c r="A430" s="146"/>
      <c r="B430" s="143"/>
      <c r="C430" s="133"/>
      <c r="D430" s="133"/>
      <c r="E430" s="145"/>
      <c r="F430" s="148"/>
      <c r="G430" s="133"/>
      <c r="H430" s="144"/>
      <c r="I430" s="133"/>
      <c r="J430" s="133"/>
      <c r="K430" s="133"/>
      <c r="L430" s="133"/>
      <c r="M430" s="133"/>
      <c r="N430" s="142"/>
      <c r="P430" s="140"/>
      <c r="Q430" s="140"/>
    </row>
    <row r="431" spans="1:17" hidden="1" x14ac:dyDescent="0.35">
      <c r="A431" s="146">
        <v>94</v>
      </c>
      <c r="B431" s="143">
        <v>45139</v>
      </c>
      <c r="C431" s="133" t="s">
        <v>1758</v>
      </c>
      <c r="D431" s="133" t="s">
        <v>2176</v>
      </c>
      <c r="E431" s="145" t="s">
        <v>1075</v>
      </c>
      <c r="F431" s="148">
        <v>6033.4</v>
      </c>
      <c r="G431" s="133" t="s">
        <v>1034</v>
      </c>
      <c r="H431" s="144" t="s">
        <v>1341</v>
      </c>
      <c r="I431" s="133" t="s">
        <v>1092</v>
      </c>
      <c r="J431" s="133" t="s">
        <v>2175</v>
      </c>
      <c r="K431" s="143">
        <v>45170</v>
      </c>
      <c r="L431" s="133" t="s">
        <v>1092</v>
      </c>
      <c r="M431" s="133">
        <v>1067.7</v>
      </c>
      <c r="N431" s="142">
        <f>+F431+F432+F433+F434+F435-M431-M432-M433</f>
        <v>0</v>
      </c>
      <c r="P431" s="140"/>
      <c r="Q431" s="140"/>
    </row>
    <row r="432" spans="1:17" hidden="1" x14ac:dyDescent="0.35">
      <c r="A432" s="146"/>
      <c r="B432" s="143"/>
      <c r="C432" s="133"/>
      <c r="D432" s="133"/>
      <c r="E432" s="145" t="s">
        <v>1118</v>
      </c>
      <c r="F432" s="148">
        <v>1067.7</v>
      </c>
      <c r="G432" s="133" t="s">
        <v>1034</v>
      </c>
      <c r="H432" s="144" t="s">
        <v>1341</v>
      </c>
      <c r="I432" s="133" t="s">
        <v>1092</v>
      </c>
      <c r="J432" s="133" t="s">
        <v>2169</v>
      </c>
      <c r="K432" s="143">
        <v>45170</v>
      </c>
      <c r="L432" s="133" t="s">
        <v>1092</v>
      </c>
      <c r="M432" s="133">
        <v>13900.699999999999</v>
      </c>
      <c r="N432" s="142"/>
      <c r="P432" s="140"/>
      <c r="Q432" s="140"/>
    </row>
    <row r="433" spans="1:17" hidden="1" x14ac:dyDescent="0.35">
      <c r="A433" s="146"/>
      <c r="B433" s="143"/>
      <c r="C433" s="133"/>
      <c r="D433" s="133"/>
      <c r="E433" s="145" t="s">
        <v>1342</v>
      </c>
      <c r="F433" s="148">
        <v>7675</v>
      </c>
      <c r="G433" s="133" t="s">
        <v>1034</v>
      </c>
      <c r="H433" s="144" t="s">
        <v>1341</v>
      </c>
      <c r="I433" s="133" t="s">
        <v>1092</v>
      </c>
      <c r="J433" s="133" t="s">
        <v>2145</v>
      </c>
      <c r="K433" s="143">
        <v>45200</v>
      </c>
      <c r="L433" s="133" t="s">
        <v>1241</v>
      </c>
      <c r="M433" s="133">
        <v>786</v>
      </c>
      <c r="N433" s="142"/>
      <c r="P433" s="140"/>
      <c r="Q433" s="140"/>
    </row>
    <row r="434" spans="1:17" hidden="1" x14ac:dyDescent="0.35">
      <c r="A434" s="146"/>
      <c r="B434" s="143"/>
      <c r="C434" s="133"/>
      <c r="D434" s="133"/>
      <c r="E434" s="145" t="s">
        <v>1071</v>
      </c>
      <c r="F434" s="148">
        <v>258.10000000000002</v>
      </c>
      <c r="G434" s="133"/>
      <c r="H434" s="144"/>
      <c r="I434" s="133"/>
      <c r="J434" s="133"/>
      <c r="K434" s="133"/>
      <c r="L434" s="133"/>
      <c r="M434" s="133"/>
      <c r="N434" s="142"/>
      <c r="P434" s="140"/>
      <c r="Q434" s="140"/>
    </row>
    <row r="435" spans="1:17" hidden="1" x14ac:dyDescent="0.35">
      <c r="A435" s="146"/>
      <c r="B435" s="143"/>
      <c r="C435" s="133"/>
      <c r="D435" s="133"/>
      <c r="E435" s="148" t="s">
        <v>1064</v>
      </c>
      <c r="F435" s="148">
        <v>720.2</v>
      </c>
      <c r="G435" s="133"/>
      <c r="H435" s="144"/>
      <c r="I435" s="133"/>
      <c r="J435" s="133"/>
      <c r="K435" s="133"/>
      <c r="L435" s="133"/>
      <c r="M435" s="133"/>
      <c r="N435" s="142"/>
      <c r="P435" s="140"/>
      <c r="Q435" s="140"/>
    </row>
    <row r="436" spans="1:17" hidden="1" x14ac:dyDescent="0.35">
      <c r="A436" s="146"/>
      <c r="B436" s="143"/>
      <c r="C436" s="133"/>
      <c r="D436" s="133"/>
      <c r="E436" s="145"/>
      <c r="F436" s="148"/>
      <c r="G436" s="133"/>
      <c r="H436" s="144"/>
      <c r="I436" s="133"/>
      <c r="J436" s="133"/>
      <c r="K436" s="133"/>
      <c r="L436" s="133"/>
      <c r="M436" s="133"/>
      <c r="N436" s="142"/>
      <c r="P436" s="140"/>
      <c r="Q436" s="140"/>
    </row>
    <row r="437" spans="1:17" hidden="1" x14ac:dyDescent="0.35">
      <c r="A437" s="146">
        <v>95</v>
      </c>
      <c r="B437" s="143">
        <v>45139</v>
      </c>
      <c r="C437" s="133" t="s">
        <v>1756</v>
      </c>
      <c r="D437" s="133" t="s">
        <v>2174</v>
      </c>
      <c r="E437" s="145" t="s">
        <v>1075</v>
      </c>
      <c r="F437" s="148">
        <v>1124.5999999999999</v>
      </c>
      <c r="G437" s="133" t="s">
        <v>1034</v>
      </c>
      <c r="H437" s="144" t="s">
        <v>1341</v>
      </c>
      <c r="I437" s="133" t="s">
        <v>1092</v>
      </c>
      <c r="J437" s="133" t="s">
        <v>2173</v>
      </c>
      <c r="K437" s="143">
        <v>45170</v>
      </c>
      <c r="L437" s="133" t="s">
        <v>1092</v>
      </c>
      <c r="M437" s="133">
        <v>600</v>
      </c>
      <c r="N437" s="142">
        <f>+F437+F438-M437-M438-M439</f>
        <v>0</v>
      </c>
      <c r="P437" s="140"/>
      <c r="Q437" s="140"/>
    </row>
    <row r="438" spans="1:17" hidden="1" x14ac:dyDescent="0.35">
      <c r="A438" s="146"/>
      <c r="B438" s="143"/>
      <c r="C438" s="133"/>
      <c r="D438" s="133"/>
      <c r="E438" s="145" t="s">
        <v>1118</v>
      </c>
      <c r="F438" s="148">
        <v>600</v>
      </c>
      <c r="G438" s="133" t="s">
        <v>1034</v>
      </c>
      <c r="H438" s="144" t="s">
        <v>1341</v>
      </c>
      <c r="I438" s="133" t="s">
        <v>1092</v>
      </c>
      <c r="J438" s="133" t="s">
        <v>2167</v>
      </c>
      <c r="K438" s="143">
        <v>45170</v>
      </c>
      <c r="L438" s="133" t="s">
        <v>1092</v>
      </c>
      <c r="M438" s="133">
        <v>1036.5999999999999</v>
      </c>
      <c r="N438" s="142"/>
      <c r="P438" s="140"/>
      <c r="Q438" s="140"/>
    </row>
    <row r="439" spans="1:17" hidden="1" x14ac:dyDescent="0.35">
      <c r="A439" s="146"/>
      <c r="B439" s="143"/>
      <c r="C439" s="133"/>
      <c r="D439" s="133"/>
      <c r="E439" s="145"/>
      <c r="F439" s="148"/>
      <c r="G439" s="133" t="s">
        <v>1034</v>
      </c>
      <c r="H439" s="144" t="s">
        <v>1341</v>
      </c>
      <c r="I439" s="133" t="s">
        <v>1092</v>
      </c>
      <c r="J439" s="133" t="s">
        <v>2145</v>
      </c>
      <c r="K439" s="143">
        <v>45200</v>
      </c>
      <c r="L439" s="133" t="s">
        <v>1241</v>
      </c>
      <c r="M439" s="133">
        <v>88</v>
      </c>
      <c r="N439" s="142"/>
      <c r="P439" s="140"/>
      <c r="Q439" s="140"/>
    </row>
    <row r="440" spans="1:17" hidden="1" x14ac:dyDescent="0.35">
      <c r="A440" s="146"/>
      <c r="B440" s="143"/>
      <c r="C440" s="133"/>
      <c r="D440" s="133"/>
      <c r="E440" s="145"/>
      <c r="F440" s="148"/>
      <c r="G440" s="133"/>
      <c r="H440" s="144"/>
      <c r="I440" s="133"/>
      <c r="J440" s="133"/>
      <c r="K440" s="133"/>
      <c r="L440" s="133"/>
      <c r="M440" s="133"/>
      <c r="N440" s="142"/>
      <c r="P440" s="140"/>
      <c r="Q440" s="140"/>
    </row>
    <row r="441" spans="1:17" hidden="1" x14ac:dyDescent="0.35">
      <c r="A441" s="146">
        <v>96</v>
      </c>
      <c r="B441" s="143">
        <v>45139</v>
      </c>
      <c r="C441" s="133" t="s">
        <v>1755</v>
      </c>
      <c r="D441" s="133" t="s">
        <v>2172</v>
      </c>
      <c r="E441" s="145" t="s">
        <v>1075</v>
      </c>
      <c r="F441" s="194">
        <v>4429</v>
      </c>
      <c r="G441" s="133" t="s">
        <v>1034</v>
      </c>
      <c r="H441" s="144" t="s">
        <v>1341</v>
      </c>
      <c r="I441" s="133" t="s">
        <v>1092</v>
      </c>
      <c r="J441" s="133" t="s">
        <v>2167</v>
      </c>
      <c r="K441" s="143">
        <v>45170</v>
      </c>
      <c r="L441" s="133" t="s">
        <v>1092</v>
      </c>
      <c r="M441" s="133">
        <v>8001.4</v>
      </c>
      <c r="N441" s="142">
        <f>+F441+F442+F443+F444-M441-M442</f>
        <v>0</v>
      </c>
      <c r="P441" s="140"/>
      <c r="Q441" s="140"/>
    </row>
    <row r="442" spans="1:17" hidden="1" x14ac:dyDescent="0.35">
      <c r="A442" s="146"/>
      <c r="B442" s="143"/>
      <c r="C442" s="133"/>
      <c r="D442" s="133"/>
      <c r="E442" s="145" t="s">
        <v>1342</v>
      </c>
      <c r="F442" s="197">
        <v>3504</v>
      </c>
      <c r="G442" s="133" t="s">
        <v>1034</v>
      </c>
      <c r="H442" s="144" t="s">
        <v>1341</v>
      </c>
      <c r="I442" s="133" t="s">
        <v>1092</v>
      </c>
      <c r="J442" s="133" t="s">
        <v>2145</v>
      </c>
      <c r="K442" s="143">
        <v>45200</v>
      </c>
      <c r="L442" s="133" t="s">
        <v>1241</v>
      </c>
      <c r="M442" s="133">
        <v>421</v>
      </c>
      <c r="N442" s="142"/>
      <c r="O442" s="140"/>
      <c r="P442" s="140"/>
      <c r="Q442" s="140"/>
    </row>
    <row r="443" spans="1:17" hidden="1" x14ac:dyDescent="0.35">
      <c r="A443" s="146"/>
      <c r="B443" s="143"/>
      <c r="C443" s="133"/>
      <c r="D443" s="133"/>
      <c r="E443" s="145" t="s">
        <v>1071</v>
      </c>
      <c r="F443" s="197">
        <v>134.4</v>
      </c>
      <c r="G443" s="133"/>
      <c r="H443" s="144"/>
      <c r="I443" s="133"/>
      <c r="J443" s="133"/>
      <c r="K443" s="133"/>
      <c r="L443" s="133"/>
      <c r="M443" s="133"/>
      <c r="N443" s="142"/>
      <c r="P443" s="140"/>
      <c r="Q443" s="140"/>
    </row>
    <row r="444" spans="1:17" hidden="1" x14ac:dyDescent="0.35">
      <c r="A444" s="146"/>
      <c r="B444" s="143"/>
      <c r="C444" s="133"/>
      <c r="D444" s="133"/>
      <c r="E444" s="145" t="s">
        <v>1067</v>
      </c>
      <c r="F444" s="197">
        <v>355</v>
      </c>
      <c r="G444" s="133"/>
      <c r="H444" s="144"/>
      <c r="I444" s="133"/>
      <c r="J444" s="133"/>
      <c r="K444" s="133"/>
      <c r="L444" s="133"/>
      <c r="M444" s="133"/>
      <c r="N444" s="142"/>
      <c r="P444" s="140"/>
      <c r="Q444" s="140"/>
    </row>
    <row r="445" spans="1:17" hidden="1" x14ac:dyDescent="0.35">
      <c r="A445" s="146"/>
      <c r="B445" s="143"/>
      <c r="C445" s="133"/>
      <c r="D445" s="133"/>
      <c r="E445" s="145"/>
      <c r="F445" s="148"/>
      <c r="G445" s="133"/>
      <c r="H445" s="144"/>
      <c r="I445" s="133"/>
      <c r="J445" s="133"/>
      <c r="K445" s="133"/>
      <c r="L445" s="133"/>
      <c r="M445" s="133"/>
      <c r="N445" s="142"/>
      <c r="P445" s="140"/>
      <c r="Q445" s="140"/>
    </row>
    <row r="446" spans="1:17" hidden="1" x14ac:dyDescent="0.35">
      <c r="A446" s="146">
        <v>97</v>
      </c>
      <c r="B446" s="143">
        <v>45139</v>
      </c>
      <c r="C446" s="133" t="s">
        <v>1752</v>
      </c>
      <c r="D446" s="133" t="s">
        <v>2171</v>
      </c>
      <c r="E446" s="145" t="s">
        <v>1075</v>
      </c>
      <c r="F446" s="194">
        <v>4833.2</v>
      </c>
      <c r="G446" s="133" t="s">
        <v>1034</v>
      </c>
      <c r="H446" s="144" t="s">
        <v>1341</v>
      </c>
      <c r="I446" s="133" t="s">
        <v>1092</v>
      </c>
      <c r="J446" s="133" t="s">
        <v>2167</v>
      </c>
      <c r="K446" s="143">
        <v>45170</v>
      </c>
      <c r="L446" s="133" t="s">
        <v>1092</v>
      </c>
      <c r="M446" s="133">
        <v>9951.4</v>
      </c>
      <c r="N446" s="142">
        <f>+F446+F447-M446-M447</f>
        <v>0</v>
      </c>
      <c r="P446" s="140"/>
      <c r="Q446" s="140"/>
    </row>
    <row r="447" spans="1:17" hidden="1" x14ac:dyDescent="0.35">
      <c r="A447" s="146"/>
      <c r="B447" s="143"/>
      <c r="C447" s="133"/>
      <c r="D447" s="133"/>
      <c r="E447" s="148" t="s">
        <v>1064</v>
      </c>
      <c r="F447" s="197">
        <v>5642.2</v>
      </c>
      <c r="G447" s="133" t="s">
        <v>1034</v>
      </c>
      <c r="H447" s="144" t="s">
        <v>1341</v>
      </c>
      <c r="I447" s="133" t="s">
        <v>1092</v>
      </c>
      <c r="J447" s="133" t="s">
        <v>2145</v>
      </c>
      <c r="K447" s="143">
        <v>45200</v>
      </c>
      <c r="L447" s="133" t="s">
        <v>1241</v>
      </c>
      <c r="M447" s="133">
        <v>524</v>
      </c>
      <c r="N447" s="142"/>
      <c r="O447" s="140"/>
      <c r="P447" s="140"/>
      <c r="Q447" s="140"/>
    </row>
    <row r="448" spans="1:17" hidden="1" x14ac:dyDescent="0.35">
      <c r="A448" s="146"/>
      <c r="B448" s="143"/>
      <c r="C448" s="133"/>
      <c r="D448" s="133"/>
      <c r="E448" s="145"/>
      <c r="F448" s="197"/>
      <c r="G448" s="133"/>
      <c r="H448" s="144"/>
      <c r="I448" s="133"/>
      <c r="J448" s="133"/>
      <c r="K448" s="133"/>
      <c r="L448" s="133"/>
      <c r="M448" s="133"/>
      <c r="N448" s="142"/>
      <c r="P448" s="140"/>
      <c r="Q448" s="140"/>
    </row>
    <row r="449" spans="1:17" hidden="1" x14ac:dyDescent="0.35">
      <c r="A449" s="146">
        <v>98</v>
      </c>
      <c r="B449" s="143">
        <v>45139</v>
      </c>
      <c r="C449" s="133" t="s">
        <v>1751</v>
      </c>
      <c r="D449" s="133" t="s">
        <v>2170</v>
      </c>
      <c r="E449" s="145" t="s">
        <v>1075</v>
      </c>
      <c r="F449" s="148">
        <v>6001.2</v>
      </c>
      <c r="G449" s="133" t="s">
        <v>1034</v>
      </c>
      <c r="H449" s="144" t="s">
        <v>1341</v>
      </c>
      <c r="I449" s="133" t="s">
        <v>1092</v>
      </c>
      <c r="J449" s="133" t="s">
        <v>2169</v>
      </c>
      <c r="K449" s="143">
        <v>45170</v>
      </c>
      <c r="L449" s="133" t="s">
        <v>1092</v>
      </c>
      <c r="M449" s="133">
        <v>736.11</v>
      </c>
      <c r="N449" s="142">
        <f>+F449+F450+F451+F452+F453-M449-M450-M451</f>
        <v>0</v>
      </c>
      <c r="P449" s="140"/>
      <c r="Q449" s="140"/>
    </row>
    <row r="450" spans="1:17" hidden="1" x14ac:dyDescent="0.35">
      <c r="A450" s="146"/>
      <c r="B450" s="143"/>
      <c r="C450" s="133"/>
      <c r="D450" s="133"/>
      <c r="E450" s="145" t="s">
        <v>1342</v>
      </c>
      <c r="F450" s="148">
        <v>3818</v>
      </c>
      <c r="G450" s="133" t="s">
        <v>1034</v>
      </c>
      <c r="H450" s="144" t="s">
        <v>1341</v>
      </c>
      <c r="I450" s="133" t="s">
        <v>1092</v>
      </c>
      <c r="J450" s="133" t="s">
        <v>2167</v>
      </c>
      <c r="K450" s="143">
        <v>45170</v>
      </c>
      <c r="L450" s="133" t="s">
        <v>1092</v>
      </c>
      <c r="M450" s="133">
        <v>13892.7</v>
      </c>
      <c r="N450" s="142"/>
      <c r="P450" s="140"/>
      <c r="Q450" s="140"/>
    </row>
    <row r="451" spans="1:17" hidden="1" x14ac:dyDescent="0.35">
      <c r="A451" s="146"/>
      <c r="B451" s="143"/>
      <c r="C451" s="133"/>
      <c r="D451" s="133"/>
      <c r="E451" s="145" t="s">
        <v>1071</v>
      </c>
      <c r="F451" s="148">
        <v>147.1</v>
      </c>
      <c r="G451" s="133" t="s">
        <v>1034</v>
      </c>
      <c r="H451" s="144" t="s">
        <v>1341</v>
      </c>
      <c r="I451" s="133" t="s">
        <v>1092</v>
      </c>
      <c r="J451" s="133" t="s">
        <v>2145</v>
      </c>
      <c r="K451" s="143">
        <v>45200</v>
      </c>
      <c r="L451" s="133" t="s">
        <v>1241</v>
      </c>
      <c r="M451" s="133">
        <v>773</v>
      </c>
      <c r="N451" s="142"/>
      <c r="P451" s="140"/>
      <c r="Q451" s="140"/>
    </row>
    <row r="452" spans="1:17" hidden="1" x14ac:dyDescent="0.35">
      <c r="A452" s="146"/>
      <c r="B452" s="143"/>
      <c r="C452" s="133"/>
      <c r="D452" s="133"/>
      <c r="E452" s="145" t="s">
        <v>1067</v>
      </c>
      <c r="F452" s="148">
        <v>699.4</v>
      </c>
      <c r="G452" s="133"/>
      <c r="H452" s="144"/>
      <c r="I452" s="133"/>
      <c r="J452" s="133"/>
      <c r="K452" s="133"/>
      <c r="L452" s="133"/>
      <c r="M452" s="133"/>
      <c r="N452" s="142"/>
      <c r="P452" s="140"/>
      <c r="Q452" s="140"/>
    </row>
    <row r="453" spans="1:17" hidden="1" x14ac:dyDescent="0.35">
      <c r="A453" s="146"/>
      <c r="B453" s="143"/>
      <c r="C453" s="133"/>
      <c r="D453" s="133"/>
      <c r="E453" s="133" t="s">
        <v>678</v>
      </c>
      <c r="F453" s="148">
        <v>4736.1099999999997</v>
      </c>
      <c r="G453" s="133"/>
      <c r="H453" s="144"/>
      <c r="I453" s="133"/>
      <c r="J453" s="133"/>
      <c r="K453" s="133"/>
      <c r="L453" s="133"/>
      <c r="M453" s="133"/>
      <c r="N453" s="142"/>
      <c r="P453" s="140"/>
      <c r="Q453" s="140"/>
    </row>
    <row r="454" spans="1:17" hidden="1" x14ac:dyDescent="0.35">
      <c r="A454" s="146"/>
      <c r="B454" s="143"/>
      <c r="C454" s="133"/>
      <c r="D454" s="133"/>
      <c r="E454" s="145"/>
      <c r="F454" s="148"/>
      <c r="G454" s="133"/>
      <c r="H454" s="144"/>
      <c r="I454" s="133"/>
      <c r="J454" s="133"/>
      <c r="K454" s="133"/>
      <c r="L454" s="133"/>
      <c r="M454" s="133"/>
      <c r="N454" s="142"/>
      <c r="P454" s="140"/>
      <c r="Q454" s="140"/>
    </row>
    <row r="455" spans="1:17" hidden="1" x14ac:dyDescent="0.35">
      <c r="A455" s="146">
        <v>99</v>
      </c>
      <c r="B455" s="143">
        <v>45139</v>
      </c>
      <c r="C455" s="133" t="s">
        <v>1749</v>
      </c>
      <c r="D455" s="133" t="s">
        <v>2168</v>
      </c>
      <c r="E455" s="145" t="s">
        <v>1075</v>
      </c>
      <c r="F455" s="197">
        <v>4691.5</v>
      </c>
      <c r="G455" s="133" t="s">
        <v>1034</v>
      </c>
      <c r="H455" s="144" t="s">
        <v>1341</v>
      </c>
      <c r="I455" s="133" t="s">
        <v>1092</v>
      </c>
      <c r="J455" s="133" t="s">
        <v>2167</v>
      </c>
      <c r="K455" s="143">
        <v>45170</v>
      </c>
      <c r="L455" s="133" t="s">
        <v>1092</v>
      </c>
      <c r="M455" s="133">
        <v>769.75</v>
      </c>
      <c r="N455" s="142">
        <f>+F455+F456+F457+F458+F459+F460-M455-M456-M457</f>
        <v>0</v>
      </c>
      <c r="P455" s="140"/>
      <c r="Q455" s="140"/>
    </row>
    <row r="456" spans="1:17" hidden="1" x14ac:dyDescent="0.35">
      <c r="A456" s="146"/>
      <c r="B456" s="143"/>
      <c r="C456" s="133"/>
      <c r="D456" s="133"/>
      <c r="E456" s="145" t="s">
        <v>1342</v>
      </c>
      <c r="F456" s="194">
        <v>3801</v>
      </c>
      <c r="G456" s="133" t="s">
        <v>1034</v>
      </c>
      <c r="H456" s="144" t="s">
        <v>1341</v>
      </c>
      <c r="I456" s="133" t="s">
        <v>1092</v>
      </c>
      <c r="J456" s="133" t="s">
        <v>2165</v>
      </c>
      <c r="K456" s="143">
        <v>45170</v>
      </c>
      <c r="L456" s="133" t="s">
        <v>1092</v>
      </c>
      <c r="M456" s="133">
        <v>18001.749999999996</v>
      </c>
      <c r="N456" s="142"/>
      <c r="O456" s="140"/>
      <c r="P456" s="140"/>
      <c r="Q456" s="140"/>
    </row>
    <row r="457" spans="1:17" hidden="1" x14ac:dyDescent="0.35">
      <c r="A457" s="146"/>
      <c r="B457" s="143"/>
      <c r="C457" s="133"/>
      <c r="D457" s="133"/>
      <c r="E457" s="145" t="s">
        <v>1071</v>
      </c>
      <c r="F457" s="197">
        <v>311.3</v>
      </c>
      <c r="G457" s="133" t="s">
        <v>1034</v>
      </c>
      <c r="H457" s="144" t="s">
        <v>1341</v>
      </c>
      <c r="I457" s="133" t="s">
        <v>1092</v>
      </c>
      <c r="J457" s="133" t="s">
        <v>2145</v>
      </c>
      <c r="K457" s="143">
        <v>45200</v>
      </c>
      <c r="L457" s="133" t="s">
        <v>1241</v>
      </c>
      <c r="M457" s="133">
        <v>989</v>
      </c>
      <c r="N457" s="142"/>
      <c r="P457" s="140"/>
      <c r="Q457" s="140"/>
    </row>
    <row r="458" spans="1:17" hidden="1" x14ac:dyDescent="0.35">
      <c r="A458" s="146"/>
      <c r="B458" s="143"/>
      <c r="C458" s="133"/>
      <c r="D458" s="133"/>
      <c r="E458" s="145" t="s">
        <v>1067</v>
      </c>
      <c r="F458" s="197">
        <v>1336</v>
      </c>
      <c r="G458" s="133"/>
      <c r="H458" s="144"/>
      <c r="I458" s="133"/>
      <c r="J458" s="133"/>
      <c r="K458" s="133"/>
      <c r="L458" s="133"/>
      <c r="M458" s="133"/>
      <c r="N458" s="142"/>
      <c r="P458" s="140"/>
      <c r="Q458" s="140"/>
    </row>
    <row r="459" spans="1:17" hidden="1" x14ac:dyDescent="0.35">
      <c r="A459" s="146"/>
      <c r="B459" s="143"/>
      <c r="C459" s="133"/>
      <c r="D459" s="133"/>
      <c r="E459" s="148" t="s">
        <v>1064</v>
      </c>
      <c r="F459" s="197">
        <v>8057.4</v>
      </c>
      <c r="G459" s="133"/>
      <c r="H459" s="144"/>
      <c r="I459" s="133"/>
      <c r="J459" s="133"/>
      <c r="K459" s="133"/>
      <c r="L459" s="133"/>
      <c r="M459" s="133"/>
      <c r="N459" s="142"/>
      <c r="P459" s="140"/>
      <c r="Q459" s="140"/>
    </row>
    <row r="460" spans="1:17" hidden="1" x14ac:dyDescent="0.35">
      <c r="A460" s="146"/>
      <c r="B460" s="143"/>
      <c r="C460" s="133"/>
      <c r="D460" s="133"/>
      <c r="E460" s="145" t="s">
        <v>1118</v>
      </c>
      <c r="F460" s="197">
        <v>1563.3</v>
      </c>
      <c r="G460" s="133"/>
      <c r="H460" s="144"/>
      <c r="I460" s="133"/>
      <c r="J460" s="133"/>
      <c r="K460" s="133"/>
      <c r="L460" s="133"/>
      <c r="M460" s="133"/>
      <c r="N460" s="142"/>
      <c r="P460" s="140"/>
      <c r="Q460" s="140"/>
    </row>
    <row r="461" spans="1:17" hidden="1" x14ac:dyDescent="0.35">
      <c r="A461" s="146"/>
      <c r="B461" s="143"/>
      <c r="C461" s="133"/>
      <c r="D461" s="133"/>
      <c r="E461" s="145"/>
      <c r="F461" s="148"/>
      <c r="G461" s="133"/>
      <c r="H461" s="144"/>
      <c r="I461" s="133"/>
      <c r="J461" s="133"/>
      <c r="K461" s="133"/>
      <c r="L461" s="133"/>
      <c r="M461" s="133"/>
      <c r="N461" s="142"/>
      <c r="P461" s="140"/>
      <c r="Q461" s="140"/>
    </row>
    <row r="462" spans="1:17" hidden="1" x14ac:dyDescent="0.35">
      <c r="A462" s="146">
        <v>100</v>
      </c>
      <c r="B462" s="143">
        <v>45139</v>
      </c>
      <c r="C462" s="133" t="s">
        <v>1748</v>
      </c>
      <c r="D462" s="133" t="s">
        <v>2166</v>
      </c>
      <c r="E462" s="145" t="s">
        <v>1075</v>
      </c>
      <c r="F462" s="194">
        <v>862</v>
      </c>
      <c r="G462" s="133" t="s">
        <v>1034</v>
      </c>
      <c r="H462" s="144" t="s">
        <v>1341</v>
      </c>
      <c r="I462" s="133" t="s">
        <v>1092</v>
      </c>
      <c r="J462" s="133" t="s">
        <v>2165</v>
      </c>
      <c r="K462" s="143">
        <v>45170</v>
      </c>
      <c r="L462" s="133" t="s">
        <v>1092</v>
      </c>
      <c r="M462" s="133">
        <v>1074.25</v>
      </c>
      <c r="N462" s="142">
        <f>+F462+F463+F464+F465-M462-M463-M464</f>
        <v>0</v>
      </c>
      <c r="P462" s="140"/>
      <c r="Q462" s="140"/>
    </row>
    <row r="463" spans="1:17" hidden="1" x14ac:dyDescent="0.35">
      <c r="A463" s="146"/>
      <c r="B463" s="143"/>
      <c r="C463" s="133"/>
      <c r="D463" s="133"/>
      <c r="E463" s="145" t="s">
        <v>1342</v>
      </c>
      <c r="F463" s="194">
        <v>9339</v>
      </c>
      <c r="G463" s="133" t="s">
        <v>1034</v>
      </c>
      <c r="H463" s="144" t="s">
        <v>1341</v>
      </c>
      <c r="I463" s="133" t="s">
        <v>1092</v>
      </c>
      <c r="J463" s="133" t="s">
        <v>2162</v>
      </c>
      <c r="K463" s="143">
        <v>45170</v>
      </c>
      <c r="L463" s="133" t="s">
        <v>1092</v>
      </c>
      <c r="M463" s="133">
        <v>12386.75</v>
      </c>
      <c r="N463" s="142"/>
      <c r="O463" s="140"/>
      <c r="P463" s="140"/>
      <c r="Q463" s="140"/>
    </row>
    <row r="464" spans="1:17" hidden="1" x14ac:dyDescent="0.35">
      <c r="A464" s="146"/>
      <c r="B464" s="143"/>
      <c r="C464" s="133"/>
      <c r="D464" s="133"/>
      <c r="E464" s="145" t="s">
        <v>1071</v>
      </c>
      <c r="F464" s="194">
        <v>447.7</v>
      </c>
      <c r="G464" s="133" t="s">
        <v>1034</v>
      </c>
      <c r="H464" s="144" t="s">
        <v>1341</v>
      </c>
      <c r="I464" s="133" t="s">
        <v>1092</v>
      </c>
      <c r="J464" s="133" t="s">
        <v>2145</v>
      </c>
      <c r="K464" s="143">
        <v>45200</v>
      </c>
      <c r="L464" s="133" t="s">
        <v>1241</v>
      </c>
      <c r="M464" s="133">
        <v>707</v>
      </c>
      <c r="N464" s="142"/>
      <c r="P464" s="140"/>
      <c r="Q464" s="140"/>
    </row>
    <row r="465" spans="1:17" hidden="1" x14ac:dyDescent="0.35">
      <c r="A465" s="146"/>
      <c r="B465" s="143"/>
      <c r="C465" s="133"/>
      <c r="D465" s="133"/>
      <c r="E465" s="145" t="s">
        <v>1067</v>
      </c>
      <c r="F465" s="194">
        <v>3519.3</v>
      </c>
      <c r="G465" s="133"/>
      <c r="H465" s="144"/>
      <c r="I465" s="133"/>
      <c r="J465" s="133"/>
      <c r="K465" s="133"/>
      <c r="L465" s="133"/>
      <c r="M465" s="133"/>
      <c r="N465" s="142"/>
      <c r="P465" s="140"/>
      <c r="Q465" s="140"/>
    </row>
    <row r="466" spans="1:17" hidden="1" x14ac:dyDescent="0.35">
      <c r="A466" s="146"/>
      <c r="B466" s="143"/>
      <c r="C466" s="133"/>
      <c r="D466" s="133"/>
      <c r="E466" s="145"/>
      <c r="F466" s="148"/>
      <c r="G466" s="133"/>
      <c r="H466" s="144"/>
      <c r="I466" s="133"/>
      <c r="J466" s="133"/>
      <c r="K466" s="133"/>
      <c r="L466" s="133"/>
      <c r="M466" s="133"/>
      <c r="N466" s="142"/>
      <c r="P466" s="140"/>
      <c r="Q466" s="140"/>
    </row>
    <row r="467" spans="1:17" hidden="1" x14ac:dyDescent="0.35">
      <c r="A467" s="146">
        <v>101</v>
      </c>
      <c r="B467" s="143">
        <v>45139</v>
      </c>
      <c r="C467" s="133" t="s">
        <v>1746</v>
      </c>
      <c r="D467" s="133" t="s">
        <v>2164</v>
      </c>
      <c r="E467" s="145" t="s">
        <v>1075</v>
      </c>
      <c r="F467" s="197">
        <v>181</v>
      </c>
      <c r="G467" s="133" t="s">
        <v>1034</v>
      </c>
      <c r="H467" s="144" t="s">
        <v>1341</v>
      </c>
      <c r="I467" s="133" t="s">
        <v>1092</v>
      </c>
      <c r="J467" s="133" t="s">
        <v>2162</v>
      </c>
      <c r="K467" s="143">
        <v>45170</v>
      </c>
      <c r="L467" s="133" t="s">
        <v>1092</v>
      </c>
      <c r="M467" s="133">
        <v>4451.2000000000007</v>
      </c>
      <c r="N467" s="142">
        <f>+F467+F468+F469+F470+F471-M467-M468</f>
        <v>0</v>
      </c>
      <c r="P467" s="140"/>
      <c r="Q467" s="140"/>
    </row>
    <row r="468" spans="1:17" hidden="1" x14ac:dyDescent="0.35">
      <c r="A468" s="146"/>
      <c r="B468" s="143"/>
      <c r="C468" s="133"/>
      <c r="D468" s="133"/>
      <c r="E468" s="145" t="s">
        <v>1342</v>
      </c>
      <c r="F468" s="197">
        <v>2291</v>
      </c>
      <c r="G468" s="133" t="s">
        <v>1034</v>
      </c>
      <c r="H468" s="144" t="s">
        <v>1341</v>
      </c>
      <c r="I468" s="133" t="s">
        <v>1092</v>
      </c>
      <c r="J468" s="133" t="s">
        <v>2145</v>
      </c>
      <c r="K468" s="143">
        <v>45200</v>
      </c>
      <c r="L468" s="133" t="s">
        <v>1241</v>
      </c>
      <c r="M468" s="133">
        <v>234</v>
      </c>
      <c r="N468" s="142"/>
      <c r="O468" s="140"/>
      <c r="P468" s="140"/>
      <c r="Q468" s="140"/>
    </row>
    <row r="469" spans="1:17" hidden="1" x14ac:dyDescent="0.35">
      <c r="A469" s="146"/>
      <c r="B469" s="143"/>
      <c r="C469" s="133"/>
      <c r="D469" s="133"/>
      <c r="E469" s="145" t="s">
        <v>1071</v>
      </c>
      <c r="F469" s="197">
        <v>1647.8</v>
      </c>
      <c r="G469" s="133"/>
      <c r="H469" s="144"/>
      <c r="I469" s="133"/>
      <c r="J469" s="133"/>
      <c r="K469" s="133"/>
      <c r="L469" s="133"/>
      <c r="M469" s="133"/>
      <c r="N469" s="142"/>
      <c r="P469" s="140"/>
      <c r="Q469" s="140"/>
    </row>
    <row r="470" spans="1:17" hidden="1" x14ac:dyDescent="0.35">
      <c r="A470" s="146"/>
      <c r="B470" s="143"/>
      <c r="C470" s="133"/>
      <c r="D470" s="133"/>
      <c r="E470" s="145" t="s">
        <v>1067</v>
      </c>
      <c r="F470" s="197">
        <v>131.30000000000001</v>
      </c>
      <c r="G470" s="133"/>
      <c r="H470" s="144"/>
      <c r="I470" s="133"/>
      <c r="J470" s="133"/>
      <c r="K470" s="133"/>
      <c r="L470" s="133"/>
      <c r="M470" s="133"/>
      <c r="N470" s="142"/>
      <c r="P470" s="140"/>
      <c r="Q470" s="140"/>
    </row>
    <row r="471" spans="1:17" hidden="1" x14ac:dyDescent="0.35">
      <c r="A471" s="146"/>
      <c r="B471" s="143"/>
      <c r="C471" s="133"/>
      <c r="D471" s="133"/>
      <c r="E471" s="148" t="s">
        <v>1064</v>
      </c>
      <c r="F471" s="197">
        <v>434.1</v>
      </c>
      <c r="G471" s="133"/>
      <c r="H471" s="144"/>
      <c r="I471" s="133"/>
      <c r="J471" s="133"/>
      <c r="K471" s="133"/>
      <c r="L471" s="133"/>
      <c r="M471" s="133"/>
      <c r="N471" s="142"/>
      <c r="P471" s="140"/>
      <c r="Q471" s="140"/>
    </row>
    <row r="472" spans="1:17" hidden="1" x14ac:dyDescent="0.35">
      <c r="A472" s="146"/>
      <c r="B472" s="143"/>
      <c r="C472" s="133"/>
      <c r="D472" s="133"/>
      <c r="E472" s="145"/>
      <c r="F472" s="148"/>
      <c r="G472" s="133"/>
      <c r="H472" s="144"/>
      <c r="I472" s="133"/>
      <c r="J472" s="133"/>
      <c r="K472" s="133"/>
      <c r="L472" s="133"/>
      <c r="M472" s="133"/>
      <c r="N472" s="142"/>
      <c r="P472" s="140"/>
      <c r="Q472" s="140"/>
    </row>
    <row r="473" spans="1:17" hidden="1" x14ac:dyDescent="0.35">
      <c r="A473" s="146">
        <v>102</v>
      </c>
      <c r="B473" s="143">
        <v>45139</v>
      </c>
      <c r="C473" s="133" t="s">
        <v>1745</v>
      </c>
      <c r="D473" s="133" t="s">
        <v>2163</v>
      </c>
      <c r="E473" s="145" t="s">
        <v>1075</v>
      </c>
      <c r="F473" s="197">
        <v>3362.6</v>
      </c>
      <c r="G473" s="133" t="s">
        <v>1034</v>
      </c>
      <c r="H473" s="144" t="s">
        <v>1341</v>
      </c>
      <c r="I473" s="133" t="s">
        <v>1092</v>
      </c>
      <c r="J473" s="133" t="s">
        <v>2162</v>
      </c>
      <c r="K473" s="143">
        <v>45170</v>
      </c>
      <c r="L473" s="133" t="s">
        <v>1092</v>
      </c>
      <c r="M473" s="133">
        <f>450.05+2857</f>
        <v>3307.05</v>
      </c>
      <c r="N473" s="142">
        <f>+F473+F474+F475+F476+F477+F478-M473-M474-M475</f>
        <v>0</v>
      </c>
      <c r="P473" s="140"/>
      <c r="Q473" s="140"/>
    </row>
    <row r="474" spans="1:17" hidden="1" x14ac:dyDescent="0.35">
      <c r="A474" s="146"/>
      <c r="B474" s="143"/>
      <c r="C474" s="133"/>
      <c r="D474" s="133"/>
      <c r="E474" s="145" t="s">
        <v>1342</v>
      </c>
      <c r="F474" s="197">
        <v>3143</v>
      </c>
      <c r="G474" s="133" t="s">
        <v>1034</v>
      </c>
      <c r="H474" s="144" t="s">
        <v>1341</v>
      </c>
      <c r="I474" s="133" t="s">
        <v>1092</v>
      </c>
      <c r="J474" s="133" t="s">
        <v>2158</v>
      </c>
      <c r="K474" s="143">
        <v>45170</v>
      </c>
      <c r="L474" s="133" t="s">
        <v>1092</v>
      </c>
      <c r="M474" s="133">
        <v>8617.4500000000007</v>
      </c>
      <c r="N474" s="142"/>
      <c r="O474" s="140"/>
      <c r="P474" s="140"/>
      <c r="Q474" s="140"/>
    </row>
    <row r="475" spans="1:17" hidden="1" x14ac:dyDescent="0.35">
      <c r="A475" s="146"/>
      <c r="B475" s="143"/>
      <c r="C475" s="133"/>
      <c r="D475" s="133"/>
      <c r="E475" s="145" t="s">
        <v>1071</v>
      </c>
      <c r="F475" s="197">
        <v>261.89999999999998</v>
      </c>
      <c r="G475" s="133" t="s">
        <v>1034</v>
      </c>
      <c r="H475" s="144" t="s">
        <v>1341</v>
      </c>
      <c r="I475" s="133" t="s">
        <v>1092</v>
      </c>
      <c r="J475" s="133" t="s">
        <v>2145</v>
      </c>
      <c r="K475" s="143">
        <v>45200</v>
      </c>
      <c r="L475" s="133" t="s">
        <v>1241</v>
      </c>
      <c r="M475" s="133">
        <v>629</v>
      </c>
      <c r="N475" s="142"/>
      <c r="P475" s="140"/>
      <c r="Q475" s="140"/>
    </row>
    <row r="476" spans="1:17" hidden="1" x14ac:dyDescent="0.35">
      <c r="A476" s="146"/>
      <c r="B476" s="143"/>
      <c r="C476" s="133"/>
      <c r="D476" s="133"/>
      <c r="E476" s="145" t="s">
        <v>1067</v>
      </c>
      <c r="F476" s="197">
        <v>1101.5999999999999</v>
      </c>
      <c r="G476" s="133"/>
      <c r="H476" s="144"/>
      <c r="I476" s="133"/>
      <c r="J476" s="133"/>
      <c r="K476" s="133"/>
      <c r="L476" s="133"/>
      <c r="M476" s="133"/>
      <c r="N476" s="142"/>
      <c r="P476" s="140"/>
      <c r="Q476" s="140"/>
    </row>
    <row r="477" spans="1:17" hidden="1" x14ac:dyDescent="0.35">
      <c r="A477" s="146"/>
      <c r="B477" s="143"/>
      <c r="C477" s="133"/>
      <c r="D477" s="133"/>
      <c r="E477" s="148" t="s">
        <v>1064</v>
      </c>
      <c r="F477" s="197">
        <v>1827.4</v>
      </c>
      <c r="G477" s="133"/>
      <c r="H477" s="144"/>
      <c r="I477" s="133"/>
      <c r="J477" s="133"/>
      <c r="K477" s="133"/>
      <c r="L477" s="133"/>
      <c r="M477" s="133"/>
      <c r="N477" s="142"/>
      <c r="P477" s="140"/>
      <c r="Q477" s="140"/>
    </row>
    <row r="478" spans="1:17" hidden="1" x14ac:dyDescent="0.35">
      <c r="A478" s="146"/>
      <c r="B478" s="143"/>
      <c r="C478" s="133"/>
      <c r="D478" s="133"/>
      <c r="E478" s="145" t="s">
        <v>1118</v>
      </c>
      <c r="F478" s="148">
        <v>2857</v>
      </c>
      <c r="G478" s="133"/>
      <c r="H478" s="144"/>
      <c r="I478" s="133"/>
      <c r="J478" s="133"/>
      <c r="K478" s="133"/>
      <c r="L478" s="133"/>
      <c r="M478" s="133"/>
      <c r="N478" s="142"/>
      <c r="P478" s="140"/>
      <c r="Q478" s="140"/>
    </row>
    <row r="479" spans="1:17" hidden="1" x14ac:dyDescent="0.35">
      <c r="A479" s="146"/>
      <c r="B479" s="143"/>
      <c r="C479" s="133"/>
      <c r="D479" s="133"/>
      <c r="E479" s="145"/>
      <c r="F479" s="148"/>
      <c r="G479" s="133"/>
      <c r="H479" s="144"/>
      <c r="I479" s="133"/>
      <c r="J479" s="133"/>
      <c r="K479" s="133"/>
      <c r="L479" s="133"/>
      <c r="M479" s="133"/>
      <c r="N479" s="142"/>
      <c r="P479" s="140"/>
      <c r="Q479" s="140"/>
    </row>
    <row r="480" spans="1:17" hidden="1" x14ac:dyDescent="0.35">
      <c r="A480" s="146">
        <v>103</v>
      </c>
      <c r="B480" s="143">
        <v>45139</v>
      </c>
      <c r="C480" s="133" t="s">
        <v>1744</v>
      </c>
      <c r="D480" s="133" t="s">
        <v>2161</v>
      </c>
      <c r="E480" s="145" t="s">
        <v>1075</v>
      </c>
      <c r="F480" s="197">
        <v>288</v>
      </c>
      <c r="G480" s="133" t="s">
        <v>1034</v>
      </c>
      <c r="H480" s="144" t="s">
        <v>1341</v>
      </c>
      <c r="I480" s="133" t="s">
        <v>1092</v>
      </c>
      <c r="J480" s="133" t="s">
        <v>2158</v>
      </c>
      <c r="K480" s="143">
        <v>45170</v>
      </c>
      <c r="L480" s="133" t="s">
        <v>1092</v>
      </c>
      <c r="M480" s="133">
        <v>5110.5999999999995</v>
      </c>
      <c r="N480" s="142">
        <f>+F480+F481+F482+F483-M480-M481</f>
        <v>0</v>
      </c>
      <c r="P480" s="140"/>
      <c r="Q480" s="140"/>
    </row>
    <row r="481" spans="1:17" hidden="1" x14ac:dyDescent="0.35">
      <c r="A481" s="146"/>
      <c r="B481" s="143"/>
      <c r="C481" s="133"/>
      <c r="D481" s="133"/>
      <c r="E481" s="145" t="s">
        <v>1342</v>
      </c>
      <c r="F481" s="197">
        <v>4265</v>
      </c>
      <c r="G481" s="133" t="s">
        <v>1034</v>
      </c>
      <c r="H481" s="144" t="s">
        <v>1341</v>
      </c>
      <c r="I481" s="133" t="s">
        <v>1092</v>
      </c>
      <c r="J481" s="133" t="s">
        <v>2145</v>
      </c>
      <c r="K481" s="143">
        <v>45200</v>
      </c>
      <c r="L481" s="133" t="s">
        <v>1241</v>
      </c>
      <c r="M481" s="133">
        <v>263</v>
      </c>
      <c r="N481" s="142"/>
      <c r="O481" s="140"/>
      <c r="P481" s="140"/>
      <c r="Q481" s="140"/>
    </row>
    <row r="482" spans="1:17" hidden="1" x14ac:dyDescent="0.35">
      <c r="A482" s="146"/>
      <c r="B482" s="143"/>
      <c r="C482" s="133"/>
      <c r="D482" s="133"/>
      <c r="E482" s="145" t="s">
        <v>1071</v>
      </c>
      <c r="F482" s="197">
        <v>362.7</v>
      </c>
      <c r="G482" s="133"/>
      <c r="H482" s="144"/>
      <c r="I482" s="133"/>
      <c r="J482" s="133"/>
      <c r="K482" s="133"/>
      <c r="L482" s="133"/>
      <c r="M482" s="133"/>
      <c r="N482" s="142"/>
      <c r="P482" s="140"/>
      <c r="Q482" s="140"/>
    </row>
    <row r="483" spans="1:17" hidden="1" x14ac:dyDescent="0.35">
      <c r="A483" s="146"/>
      <c r="B483" s="143"/>
      <c r="C483" s="133"/>
      <c r="D483" s="133"/>
      <c r="E483" s="145" t="s">
        <v>1067</v>
      </c>
      <c r="F483" s="197">
        <v>457.9</v>
      </c>
      <c r="G483" s="133"/>
      <c r="H483" s="144"/>
      <c r="I483" s="133"/>
      <c r="J483" s="133"/>
      <c r="K483" s="133"/>
      <c r="L483" s="133"/>
      <c r="M483" s="133"/>
      <c r="N483" s="142"/>
      <c r="P483" s="140"/>
      <c r="Q483" s="140"/>
    </row>
    <row r="484" spans="1:17" hidden="1" x14ac:dyDescent="0.35">
      <c r="A484" s="146"/>
      <c r="B484" s="143"/>
      <c r="C484" s="133"/>
      <c r="D484" s="133"/>
      <c r="E484" s="145"/>
      <c r="F484" s="148"/>
      <c r="G484" s="133"/>
      <c r="H484" s="144"/>
      <c r="I484" s="133"/>
      <c r="J484" s="133"/>
      <c r="K484" s="133"/>
      <c r="L484" s="133"/>
      <c r="M484" s="133"/>
      <c r="N484" s="142"/>
      <c r="P484" s="140"/>
      <c r="Q484" s="140"/>
    </row>
    <row r="485" spans="1:17" hidden="1" x14ac:dyDescent="0.35">
      <c r="A485" s="146">
        <v>104</v>
      </c>
      <c r="B485" s="143">
        <v>45139</v>
      </c>
      <c r="C485" s="133" t="s">
        <v>1743</v>
      </c>
      <c r="D485" s="133" t="s">
        <v>2160</v>
      </c>
      <c r="E485" s="145" t="s">
        <v>1075</v>
      </c>
      <c r="F485" s="194">
        <v>4610.1000000000004</v>
      </c>
      <c r="G485" s="133" t="s">
        <v>1034</v>
      </c>
      <c r="H485" s="144" t="s">
        <v>1341</v>
      </c>
      <c r="I485" s="133" t="s">
        <v>1092</v>
      </c>
      <c r="J485" s="133" t="s">
        <v>2158</v>
      </c>
      <c r="K485" s="143">
        <v>45170</v>
      </c>
      <c r="L485" s="133" t="s">
        <v>1092</v>
      </c>
      <c r="M485" s="133">
        <v>21906.3</v>
      </c>
      <c r="N485" s="142">
        <f>+F485+F486+F487+F488-M485-M486</f>
        <v>0</v>
      </c>
      <c r="P485" s="140"/>
      <c r="Q485" s="140"/>
    </row>
    <row r="486" spans="1:17" hidden="1" x14ac:dyDescent="0.35">
      <c r="A486" s="146"/>
      <c r="B486" s="143"/>
      <c r="C486" s="133"/>
      <c r="D486" s="133"/>
      <c r="E486" s="145" t="s">
        <v>1342</v>
      </c>
      <c r="F486" s="194">
        <v>10414</v>
      </c>
      <c r="G486" s="133" t="s">
        <v>1034</v>
      </c>
      <c r="H486" s="144" t="s">
        <v>1341</v>
      </c>
      <c r="I486" s="133" t="s">
        <v>1092</v>
      </c>
      <c r="J486" s="133" t="s">
        <v>2145</v>
      </c>
      <c r="K486" s="143">
        <v>45200</v>
      </c>
      <c r="L486" s="133" t="s">
        <v>1241</v>
      </c>
      <c r="M486" s="133">
        <v>1150</v>
      </c>
      <c r="N486" s="142"/>
      <c r="O486" s="140"/>
      <c r="P486" s="140"/>
      <c r="Q486" s="140"/>
    </row>
    <row r="487" spans="1:17" hidden="1" x14ac:dyDescent="0.35">
      <c r="A487" s="146"/>
      <c r="B487" s="143"/>
      <c r="C487" s="133"/>
      <c r="D487" s="133"/>
      <c r="E487" s="148" t="s">
        <v>1064</v>
      </c>
      <c r="F487" s="197">
        <v>1123.3</v>
      </c>
      <c r="G487" s="133"/>
      <c r="H487" s="144"/>
      <c r="I487" s="133"/>
      <c r="J487" s="133"/>
      <c r="K487" s="133"/>
      <c r="L487" s="133"/>
      <c r="M487" s="133"/>
      <c r="N487" s="142"/>
      <c r="P487" s="140"/>
      <c r="Q487" s="140"/>
    </row>
    <row r="488" spans="1:17" hidden="1" x14ac:dyDescent="0.35">
      <c r="A488" s="146"/>
      <c r="B488" s="143"/>
      <c r="C488" s="133"/>
      <c r="D488" s="133"/>
      <c r="E488" s="145" t="s">
        <v>1067</v>
      </c>
      <c r="F488" s="194">
        <v>6908.9</v>
      </c>
      <c r="G488" s="133"/>
      <c r="H488" s="144"/>
      <c r="I488" s="133"/>
      <c r="J488" s="133"/>
      <c r="K488" s="133"/>
      <c r="L488" s="133"/>
      <c r="M488" s="133"/>
      <c r="N488" s="142"/>
      <c r="P488" s="140"/>
      <c r="Q488" s="140"/>
    </row>
    <row r="489" spans="1:17" hidden="1" x14ac:dyDescent="0.35">
      <c r="A489" s="146"/>
      <c r="B489" s="143"/>
      <c r="C489" s="133"/>
      <c r="D489" s="133"/>
      <c r="E489" s="145"/>
      <c r="F489" s="148"/>
      <c r="G489" s="133"/>
      <c r="H489" s="144"/>
      <c r="I489" s="133"/>
      <c r="J489" s="133"/>
      <c r="K489" s="133"/>
      <c r="L489" s="133"/>
      <c r="M489" s="133"/>
      <c r="N489" s="142"/>
      <c r="P489" s="140"/>
      <c r="Q489" s="140"/>
    </row>
    <row r="490" spans="1:17" hidden="1" x14ac:dyDescent="0.35">
      <c r="A490" s="146">
        <v>105</v>
      </c>
      <c r="B490" s="143">
        <v>45139</v>
      </c>
      <c r="C490" s="133" t="s">
        <v>1742</v>
      </c>
      <c r="D490" s="133" t="s">
        <v>2159</v>
      </c>
      <c r="E490" s="145" t="s">
        <v>1075</v>
      </c>
      <c r="F490" s="148">
        <v>306</v>
      </c>
      <c r="G490" s="133" t="s">
        <v>1034</v>
      </c>
      <c r="H490" s="144" t="s">
        <v>1341</v>
      </c>
      <c r="I490" s="133" t="s">
        <v>1092</v>
      </c>
      <c r="J490" s="133" t="s">
        <v>2158</v>
      </c>
      <c r="K490" s="143">
        <v>45170</v>
      </c>
      <c r="L490" s="133" t="s">
        <v>1092</v>
      </c>
      <c r="M490" s="133">
        <f>306+156+2160.2+1342.45</f>
        <v>3964.6499999999996</v>
      </c>
      <c r="N490" s="142">
        <f>+F490+F491+F492+F493-M490-M491-M492</f>
        <v>0</v>
      </c>
      <c r="P490" s="140"/>
      <c r="Q490" s="140"/>
    </row>
    <row r="491" spans="1:17" hidden="1" x14ac:dyDescent="0.35">
      <c r="A491" s="146"/>
      <c r="B491" s="143"/>
      <c r="C491" s="133"/>
      <c r="D491" s="133"/>
      <c r="E491" s="145" t="s">
        <v>1342</v>
      </c>
      <c r="F491" s="148">
        <v>4420</v>
      </c>
      <c r="G491" s="133" t="s">
        <v>1034</v>
      </c>
      <c r="H491" s="144" t="s">
        <v>1341</v>
      </c>
      <c r="I491" s="133" t="s">
        <v>1092</v>
      </c>
      <c r="J491" s="133" t="s">
        <v>2150</v>
      </c>
      <c r="K491" s="143">
        <v>45200</v>
      </c>
      <c r="L491" s="133" t="s">
        <v>1092</v>
      </c>
      <c r="M491" s="133">
        <v>2727.55</v>
      </c>
      <c r="N491" s="142"/>
      <c r="P491" s="140"/>
      <c r="Q491" s="140"/>
    </row>
    <row r="492" spans="1:17" hidden="1" x14ac:dyDescent="0.35">
      <c r="A492" s="146"/>
      <c r="B492" s="143"/>
      <c r="C492" s="133"/>
      <c r="D492" s="133"/>
      <c r="E492" s="145" t="s">
        <v>1118</v>
      </c>
      <c r="F492" s="148">
        <v>2160.1999999999998</v>
      </c>
      <c r="G492" s="133" t="s">
        <v>1034</v>
      </c>
      <c r="H492" s="144" t="s">
        <v>1341</v>
      </c>
      <c r="I492" s="133" t="s">
        <v>1092</v>
      </c>
      <c r="J492" s="133" t="s">
        <v>2145</v>
      </c>
      <c r="K492" s="143">
        <v>45200</v>
      </c>
      <c r="L492" s="133" t="s">
        <v>1241</v>
      </c>
      <c r="M492" s="133">
        <v>350</v>
      </c>
      <c r="N492" s="142"/>
      <c r="P492" s="140"/>
      <c r="Q492" s="140"/>
    </row>
    <row r="493" spans="1:17" hidden="1" x14ac:dyDescent="0.35">
      <c r="A493" s="146"/>
      <c r="B493" s="143"/>
      <c r="C493" s="133"/>
      <c r="D493" s="133"/>
      <c r="E493" s="145" t="s">
        <v>1067</v>
      </c>
      <c r="F493" s="194">
        <v>156</v>
      </c>
      <c r="G493" s="133"/>
      <c r="H493" s="144"/>
      <c r="I493" s="133"/>
      <c r="J493" s="133"/>
      <c r="K493" s="133"/>
      <c r="L493" s="133"/>
      <c r="M493" s="133"/>
      <c r="N493" s="142"/>
      <c r="P493" s="140"/>
      <c r="Q493" s="140"/>
    </row>
    <row r="494" spans="1:17" hidden="1" x14ac:dyDescent="0.35">
      <c r="A494" s="146"/>
      <c r="B494" s="143"/>
      <c r="C494" s="133"/>
      <c r="D494" s="133"/>
      <c r="E494" s="145"/>
      <c r="F494" s="148"/>
      <c r="G494" s="133"/>
      <c r="H494" s="144"/>
      <c r="I494" s="133"/>
      <c r="J494" s="133"/>
      <c r="K494" s="133"/>
      <c r="L494" s="133"/>
      <c r="M494" s="133"/>
      <c r="N494" s="142"/>
      <c r="P494" s="140"/>
      <c r="Q494" s="140"/>
    </row>
    <row r="495" spans="1:17" hidden="1" x14ac:dyDescent="0.35">
      <c r="A495" s="146">
        <v>106</v>
      </c>
      <c r="B495" s="143">
        <v>45139</v>
      </c>
      <c r="C495" s="133" t="s">
        <v>1740</v>
      </c>
      <c r="D495" s="133" t="s">
        <v>2157</v>
      </c>
      <c r="E495" s="145" t="s">
        <v>1075</v>
      </c>
      <c r="F495" s="148">
        <v>1232.5</v>
      </c>
      <c r="G495" s="133" t="s">
        <v>1034</v>
      </c>
      <c r="H495" s="144" t="s">
        <v>1341</v>
      </c>
      <c r="I495" s="133" t="s">
        <v>1092</v>
      </c>
      <c r="J495" s="133" t="s">
        <v>2139</v>
      </c>
      <c r="K495" s="143">
        <v>45170</v>
      </c>
      <c r="L495" s="133" t="s">
        <v>1092</v>
      </c>
      <c r="M495" s="133">
        <v>1640.3</v>
      </c>
      <c r="N495" s="142">
        <f>+F495+F496+F497-M495-M496-M497</f>
        <v>0</v>
      </c>
      <c r="P495" s="140"/>
      <c r="Q495" s="140"/>
    </row>
    <row r="496" spans="1:17" hidden="1" x14ac:dyDescent="0.35">
      <c r="A496" s="146"/>
      <c r="B496" s="143"/>
      <c r="C496" s="133"/>
      <c r="D496" s="133"/>
      <c r="E496" s="148" t="s">
        <v>1064</v>
      </c>
      <c r="F496" s="148">
        <v>1640.3</v>
      </c>
      <c r="G496" s="133" t="s">
        <v>1034</v>
      </c>
      <c r="H496" s="144" t="s">
        <v>1341</v>
      </c>
      <c r="I496" s="133" t="s">
        <v>1092</v>
      </c>
      <c r="J496" s="133" t="s">
        <v>2150</v>
      </c>
      <c r="K496" s="143">
        <v>45200</v>
      </c>
      <c r="L496" s="133" t="s">
        <v>1092</v>
      </c>
      <c r="M496" s="133">
        <v>1126.4000000000003</v>
      </c>
      <c r="N496" s="142"/>
      <c r="P496" s="140"/>
      <c r="Q496" s="140"/>
    </row>
    <row r="497" spans="1:17" hidden="1" x14ac:dyDescent="0.35">
      <c r="A497" s="146"/>
      <c r="B497" s="143"/>
      <c r="C497" s="133"/>
      <c r="D497" s="133"/>
      <c r="E497" s="145" t="s">
        <v>1067</v>
      </c>
      <c r="F497" s="148">
        <v>41.9</v>
      </c>
      <c r="G497" s="133" t="s">
        <v>1034</v>
      </c>
      <c r="H497" s="144" t="s">
        <v>1341</v>
      </c>
      <c r="I497" s="133" t="s">
        <v>1092</v>
      </c>
      <c r="J497" s="133" t="s">
        <v>2145</v>
      </c>
      <c r="K497" s="143">
        <v>45200</v>
      </c>
      <c r="L497" s="133" t="s">
        <v>1241</v>
      </c>
      <c r="M497" s="133">
        <v>148</v>
      </c>
      <c r="N497" s="142"/>
      <c r="P497" s="140"/>
      <c r="Q497" s="140"/>
    </row>
    <row r="498" spans="1:17" hidden="1" x14ac:dyDescent="0.35">
      <c r="A498" s="146"/>
      <c r="B498" s="143"/>
      <c r="C498" s="133"/>
      <c r="D498" s="133"/>
      <c r="E498" s="145"/>
      <c r="F498" s="148"/>
      <c r="G498" s="133"/>
      <c r="H498" s="144"/>
      <c r="I498" s="133"/>
      <c r="J498" s="133"/>
      <c r="K498" s="133"/>
      <c r="L498" s="133"/>
      <c r="M498" s="133"/>
      <c r="N498" s="142"/>
      <c r="P498" s="140"/>
      <c r="Q498" s="140"/>
    </row>
    <row r="499" spans="1:17" hidden="1" x14ac:dyDescent="0.35">
      <c r="A499" s="146">
        <v>107</v>
      </c>
      <c r="B499" s="143">
        <v>45139</v>
      </c>
      <c r="C499" s="133" t="s">
        <v>1738</v>
      </c>
      <c r="D499" s="133" t="s">
        <v>2156</v>
      </c>
      <c r="E499" s="145" t="s">
        <v>1342</v>
      </c>
      <c r="F499" s="148">
        <v>7673</v>
      </c>
      <c r="G499" s="133" t="s">
        <v>1034</v>
      </c>
      <c r="H499" s="144" t="s">
        <v>1341</v>
      </c>
      <c r="I499" s="133" t="s">
        <v>1092</v>
      </c>
      <c r="J499" s="133" t="s">
        <v>2150</v>
      </c>
      <c r="K499" s="143">
        <v>45200</v>
      </c>
      <c r="L499" s="133" t="s">
        <v>1092</v>
      </c>
      <c r="M499" s="133">
        <v>7288</v>
      </c>
      <c r="N499" s="142">
        <f>+F499-M499-M500</f>
        <v>0</v>
      </c>
      <c r="P499" s="140"/>
      <c r="Q499" s="140"/>
    </row>
    <row r="500" spans="1:17" hidden="1" x14ac:dyDescent="0.35">
      <c r="A500" s="146"/>
      <c r="B500" s="143"/>
      <c r="C500" s="133"/>
      <c r="D500" s="133"/>
      <c r="E500" s="145"/>
      <c r="F500" s="148"/>
      <c r="G500" s="133" t="s">
        <v>1034</v>
      </c>
      <c r="H500" s="144" t="s">
        <v>1341</v>
      </c>
      <c r="I500" s="133" t="s">
        <v>1092</v>
      </c>
      <c r="J500" s="133" t="s">
        <v>2145</v>
      </c>
      <c r="K500" s="143">
        <v>45200</v>
      </c>
      <c r="L500" s="133" t="s">
        <v>1241</v>
      </c>
      <c r="M500" s="133">
        <v>385</v>
      </c>
      <c r="N500" s="142"/>
      <c r="P500" s="140"/>
      <c r="Q500" s="140"/>
    </row>
    <row r="501" spans="1:17" hidden="1" x14ac:dyDescent="0.35">
      <c r="A501" s="146"/>
      <c r="B501" s="143"/>
      <c r="C501" s="133"/>
      <c r="D501" s="133"/>
      <c r="E501" s="145"/>
      <c r="F501" s="148"/>
      <c r="G501" s="133"/>
      <c r="H501" s="144"/>
      <c r="I501" s="133"/>
      <c r="J501" s="133"/>
      <c r="K501" s="143"/>
      <c r="L501" s="133"/>
      <c r="M501" s="133"/>
      <c r="N501" s="142"/>
      <c r="P501" s="140"/>
      <c r="Q501" s="140"/>
    </row>
    <row r="502" spans="1:17" hidden="1" x14ac:dyDescent="0.35">
      <c r="A502" s="156"/>
      <c r="B502" s="152"/>
      <c r="C502" s="151"/>
      <c r="D502" s="151"/>
      <c r="E502" s="154"/>
      <c r="F502" s="155"/>
      <c r="G502" s="151"/>
      <c r="H502" s="153"/>
      <c r="I502" s="151"/>
      <c r="J502" s="151"/>
      <c r="K502" s="151"/>
      <c r="L502" s="151"/>
      <c r="M502" s="151"/>
      <c r="N502" s="150"/>
      <c r="P502" s="140"/>
      <c r="Q502" s="140"/>
    </row>
    <row r="503" spans="1:17" hidden="1" x14ac:dyDescent="0.35">
      <c r="A503" s="146"/>
      <c r="B503" s="143"/>
      <c r="C503" s="133"/>
      <c r="D503" s="133"/>
      <c r="E503" s="145"/>
      <c r="F503" s="148"/>
      <c r="G503" s="133"/>
      <c r="H503" s="144"/>
      <c r="I503" s="133"/>
      <c r="J503" s="133"/>
      <c r="K503" s="133"/>
      <c r="L503" s="133"/>
      <c r="M503" s="133"/>
      <c r="N503" s="142"/>
      <c r="P503" s="140"/>
      <c r="Q503" s="140"/>
    </row>
    <row r="504" spans="1:17" hidden="1" x14ac:dyDescent="0.35">
      <c r="A504" s="146">
        <v>108</v>
      </c>
      <c r="B504" s="143">
        <v>45170</v>
      </c>
      <c r="C504" s="133" t="s">
        <v>1736</v>
      </c>
      <c r="D504" s="133" t="s">
        <v>2155</v>
      </c>
      <c r="E504" s="148" t="s">
        <v>1064</v>
      </c>
      <c r="F504" s="148">
        <v>5335.5</v>
      </c>
      <c r="G504" s="133" t="s">
        <v>1034</v>
      </c>
      <c r="H504" s="144" t="s">
        <v>1341</v>
      </c>
      <c r="I504" s="133" t="s">
        <v>1092</v>
      </c>
      <c r="J504" s="133" t="s">
        <v>2150</v>
      </c>
      <c r="K504" s="143">
        <v>45200</v>
      </c>
      <c r="L504" s="133" t="s">
        <v>1092</v>
      </c>
      <c r="M504" s="133">
        <v>5066.5</v>
      </c>
      <c r="N504" s="147">
        <f>+F504-M504-M505</f>
        <v>0</v>
      </c>
      <c r="P504" s="140"/>
      <c r="Q504" s="140"/>
    </row>
    <row r="505" spans="1:17" hidden="1" x14ac:dyDescent="0.35">
      <c r="A505" s="146"/>
      <c r="B505" s="143"/>
      <c r="C505" s="133"/>
      <c r="D505" s="133"/>
      <c r="E505" s="145"/>
      <c r="F505" s="148"/>
      <c r="G505" s="133" t="s">
        <v>1034</v>
      </c>
      <c r="H505" s="144" t="s">
        <v>1341</v>
      </c>
      <c r="I505" s="133" t="s">
        <v>1092</v>
      </c>
      <c r="J505" s="133" t="s">
        <v>2145</v>
      </c>
      <c r="K505" s="143">
        <v>45200</v>
      </c>
      <c r="L505" s="133" t="s">
        <v>1241</v>
      </c>
      <c r="M505" s="133">
        <v>269</v>
      </c>
      <c r="N505" s="147"/>
      <c r="P505" s="140"/>
      <c r="Q505" s="140"/>
    </row>
    <row r="506" spans="1:17" hidden="1" x14ac:dyDescent="0.35">
      <c r="A506" s="146"/>
      <c r="B506" s="143"/>
      <c r="C506" s="133"/>
      <c r="D506" s="133"/>
      <c r="E506" s="145"/>
      <c r="F506" s="148"/>
      <c r="G506" s="133"/>
      <c r="H506" s="144"/>
      <c r="I506" s="133"/>
      <c r="J506" s="133"/>
      <c r="K506" s="143"/>
      <c r="L506" s="133"/>
      <c r="M506" s="133"/>
      <c r="N506" s="147"/>
      <c r="P506" s="140"/>
      <c r="Q506" s="140"/>
    </row>
    <row r="507" spans="1:17" hidden="1" x14ac:dyDescent="0.35">
      <c r="A507" s="146">
        <v>109</v>
      </c>
      <c r="B507" s="143">
        <v>45170</v>
      </c>
      <c r="C507" s="133" t="s">
        <v>1735</v>
      </c>
      <c r="D507" s="133" t="s">
        <v>2154</v>
      </c>
      <c r="E507" s="148" t="s">
        <v>1064</v>
      </c>
      <c r="F507" s="148">
        <v>2307.6</v>
      </c>
      <c r="G507" s="133" t="s">
        <v>1034</v>
      </c>
      <c r="H507" s="144" t="s">
        <v>1341</v>
      </c>
      <c r="I507" s="133" t="s">
        <v>1092</v>
      </c>
      <c r="J507" s="133" t="s">
        <v>2139</v>
      </c>
      <c r="K507" s="143">
        <v>45170</v>
      </c>
      <c r="L507" s="133" t="s">
        <v>1092</v>
      </c>
      <c r="M507" s="133">
        <v>1359.7</v>
      </c>
      <c r="N507" s="147">
        <f>+F507+F508+F509+F510-M507-M508-M509</f>
        <v>0</v>
      </c>
      <c r="P507" s="140"/>
      <c r="Q507" s="140"/>
    </row>
    <row r="508" spans="1:17" hidden="1" x14ac:dyDescent="0.35">
      <c r="A508" s="146"/>
      <c r="B508" s="143"/>
      <c r="C508" s="133"/>
      <c r="D508" s="133"/>
      <c r="E508" s="145" t="s">
        <v>1075</v>
      </c>
      <c r="F508" s="148">
        <v>868.9</v>
      </c>
      <c r="G508" s="133" t="s">
        <v>1034</v>
      </c>
      <c r="H508" s="144" t="s">
        <v>1341</v>
      </c>
      <c r="I508" s="133" t="s">
        <v>1092</v>
      </c>
      <c r="J508" s="133" t="s">
        <v>2149</v>
      </c>
      <c r="K508" s="143">
        <v>45200</v>
      </c>
      <c r="L508" s="133" t="s">
        <v>1092</v>
      </c>
      <c r="M508" s="133">
        <v>3296</v>
      </c>
      <c r="N508" s="147"/>
      <c r="P508" s="140"/>
      <c r="Q508" s="140"/>
    </row>
    <row r="509" spans="1:17" hidden="1" x14ac:dyDescent="0.35">
      <c r="A509" s="146"/>
      <c r="B509" s="143"/>
      <c r="C509" s="133"/>
      <c r="D509" s="133"/>
      <c r="E509" s="145" t="s">
        <v>1067</v>
      </c>
      <c r="F509" s="148">
        <v>131.19999999999999</v>
      </c>
      <c r="G509" s="133" t="s">
        <v>1034</v>
      </c>
      <c r="H509" s="144" t="s">
        <v>1341</v>
      </c>
      <c r="I509" s="133" t="s">
        <v>1092</v>
      </c>
      <c r="J509" s="133" t="s">
        <v>2145</v>
      </c>
      <c r="K509" s="143">
        <v>45200</v>
      </c>
      <c r="L509" s="133" t="s">
        <v>1241</v>
      </c>
      <c r="M509" s="133">
        <v>255</v>
      </c>
      <c r="N509" s="147"/>
      <c r="P509" s="140"/>
      <c r="Q509" s="140"/>
    </row>
    <row r="510" spans="1:17" hidden="1" x14ac:dyDescent="0.35">
      <c r="A510" s="146"/>
      <c r="B510" s="143"/>
      <c r="C510" s="133"/>
      <c r="D510" s="133"/>
      <c r="E510" s="145" t="s">
        <v>1342</v>
      </c>
      <c r="F510" s="148">
        <v>1603</v>
      </c>
      <c r="G510" s="133"/>
      <c r="H510" s="144"/>
      <c r="I510" s="133"/>
      <c r="J510" s="133"/>
      <c r="K510" s="133"/>
      <c r="L510" s="133"/>
      <c r="M510" s="133"/>
      <c r="N510" s="147"/>
      <c r="P510" s="140"/>
      <c r="Q510" s="140"/>
    </row>
    <row r="511" spans="1:17" hidden="1" x14ac:dyDescent="0.35">
      <c r="A511" s="146"/>
      <c r="B511" s="143"/>
      <c r="C511" s="133"/>
      <c r="D511" s="133"/>
      <c r="E511" s="145"/>
      <c r="F511" s="148"/>
      <c r="G511" s="133"/>
      <c r="H511" s="144"/>
      <c r="I511" s="133"/>
      <c r="J511" s="133"/>
      <c r="K511" s="133"/>
      <c r="L511" s="133"/>
      <c r="M511" s="133"/>
      <c r="N511" s="147"/>
      <c r="P511" s="140"/>
      <c r="Q511" s="140"/>
    </row>
    <row r="512" spans="1:17" hidden="1" x14ac:dyDescent="0.35">
      <c r="A512" s="146">
        <v>110</v>
      </c>
      <c r="B512" s="143">
        <v>45170</v>
      </c>
      <c r="C512" s="133" t="s">
        <v>1733</v>
      </c>
      <c r="D512" s="133" t="s">
        <v>2153</v>
      </c>
      <c r="E512" s="148" t="s">
        <v>1064</v>
      </c>
      <c r="F512" s="148">
        <v>5072</v>
      </c>
      <c r="G512" s="133" t="s">
        <v>1034</v>
      </c>
      <c r="H512" s="144" t="s">
        <v>1341</v>
      </c>
      <c r="I512" s="133" t="s">
        <v>1092</v>
      </c>
      <c r="J512" s="133" t="s">
        <v>2149</v>
      </c>
      <c r="K512" s="143">
        <v>45200</v>
      </c>
      <c r="L512" s="133" t="s">
        <v>1092</v>
      </c>
      <c r="M512" s="133">
        <f>5072+87+670</f>
        <v>5829</v>
      </c>
      <c r="N512" s="147">
        <f>+F512+F513+F514+F515-M512-M513-M514</f>
        <v>0</v>
      </c>
      <c r="P512" s="140"/>
      <c r="Q512" s="140"/>
    </row>
    <row r="513" spans="1:17" hidden="1" x14ac:dyDescent="0.35">
      <c r="A513" s="146"/>
      <c r="B513" s="143"/>
      <c r="C513" s="133"/>
      <c r="D513" s="133"/>
      <c r="E513" s="145" t="s">
        <v>1075</v>
      </c>
      <c r="F513" s="148">
        <v>87</v>
      </c>
      <c r="G513" s="133" t="s">
        <v>1034</v>
      </c>
      <c r="H513" s="144" t="s">
        <v>1341</v>
      </c>
      <c r="I513" s="133" t="s">
        <v>1092</v>
      </c>
      <c r="J513" s="133" t="s">
        <v>2147</v>
      </c>
      <c r="K513" s="143">
        <v>45200</v>
      </c>
      <c r="L513" s="133" t="s">
        <v>1092</v>
      </c>
      <c r="M513" s="133">
        <v>13073</v>
      </c>
      <c r="N513" s="147"/>
      <c r="P513" s="140"/>
      <c r="Q513" s="140"/>
    </row>
    <row r="514" spans="1:17" hidden="1" x14ac:dyDescent="0.35">
      <c r="A514" s="146"/>
      <c r="B514" s="143"/>
      <c r="C514" s="133"/>
      <c r="D514" s="133"/>
      <c r="E514" s="145" t="s">
        <v>1067</v>
      </c>
      <c r="F514" s="148">
        <v>670</v>
      </c>
      <c r="G514" s="133" t="s">
        <v>1034</v>
      </c>
      <c r="H514" s="144" t="s">
        <v>1341</v>
      </c>
      <c r="I514" s="133" t="s">
        <v>1092</v>
      </c>
      <c r="J514" s="133" t="s">
        <v>2145</v>
      </c>
      <c r="K514" s="143">
        <v>45200</v>
      </c>
      <c r="L514" s="133" t="s">
        <v>1241</v>
      </c>
      <c r="M514" s="133">
        <v>990</v>
      </c>
      <c r="N514" s="147"/>
      <c r="P514" s="140"/>
      <c r="Q514" s="140"/>
    </row>
    <row r="515" spans="1:17" hidden="1" x14ac:dyDescent="0.35">
      <c r="A515" s="146"/>
      <c r="B515" s="143"/>
      <c r="C515" s="133"/>
      <c r="D515" s="133"/>
      <c r="E515" s="145" t="s">
        <v>1342</v>
      </c>
      <c r="F515" s="148">
        <v>14063</v>
      </c>
      <c r="G515" s="133"/>
      <c r="H515" s="144"/>
      <c r="I515" s="133"/>
      <c r="J515" s="133"/>
      <c r="K515" s="133"/>
      <c r="L515" s="133"/>
      <c r="M515" s="133"/>
      <c r="N515" s="147"/>
      <c r="P515" s="140"/>
      <c r="Q515" s="140"/>
    </row>
    <row r="516" spans="1:17" hidden="1" x14ac:dyDescent="0.35">
      <c r="A516" s="146"/>
      <c r="B516" s="143"/>
      <c r="C516" s="133"/>
      <c r="D516" s="133"/>
      <c r="E516" s="145"/>
      <c r="F516" s="148"/>
      <c r="G516" s="133"/>
      <c r="H516" s="144"/>
      <c r="I516" s="133"/>
      <c r="J516" s="133"/>
      <c r="K516" s="133"/>
      <c r="L516" s="133"/>
      <c r="M516" s="133"/>
      <c r="N516" s="147"/>
      <c r="P516" s="140"/>
      <c r="Q516" s="140"/>
    </row>
    <row r="517" spans="1:17" hidden="1" x14ac:dyDescent="0.35">
      <c r="A517" s="146">
        <v>111</v>
      </c>
      <c r="B517" s="143">
        <v>45170</v>
      </c>
      <c r="C517" s="133" t="s">
        <v>1731</v>
      </c>
      <c r="D517" s="133" t="s">
        <v>2152</v>
      </c>
      <c r="E517" s="145" t="s">
        <v>1118</v>
      </c>
      <c r="F517" s="148">
        <v>3861.4</v>
      </c>
      <c r="G517" s="133" t="s">
        <v>1034</v>
      </c>
      <c r="H517" s="144" t="s">
        <v>1341</v>
      </c>
      <c r="I517" s="133" t="s">
        <v>1092</v>
      </c>
      <c r="J517" s="133" t="s">
        <v>2139</v>
      </c>
      <c r="K517" s="143">
        <v>45170</v>
      </c>
      <c r="L517" s="133" t="s">
        <v>1092</v>
      </c>
      <c r="M517" s="133">
        <v>442</v>
      </c>
      <c r="N517" s="147">
        <f>+F517+F518+F519+F520-M517-M518-M519-M520-M521-M522</f>
        <v>0</v>
      </c>
      <c r="P517" s="140"/>
      <c r="Q517" s="140"/>
    </row>
    <row r="518" spans="1:17" hidden="1" x14ac:dyDescent="0.35">
      <c r="A518" s="146"/>
      <c r="B518" s="143"/>
      <c r="C518" s="133"/>
      <c r="D518" s="133"/>
      <c r="E518" s="133" t="s">
        <v>678</v>
      </c>
      <c r="F518" s="148">
        <v>4075.87</v>
      </c>
      <c r="G518" s="133" t="s">
        <v>1034</v>
      </c>
      <c r="H518" s="144" t="s">
        <v>1341</v>
      </c>
      <c r="I518" s="133" t="s">
        <v>1092</v>
      </c>
      <c r="J518" s="133" t="s">
        <v>2150</v>
      </c>
      <c r="K518" s="143">
        <v>45200</v>
      </c>
      <c r="L518" s="133" t="s">
        <v>1092</v>
      </c>
      <c r="M518" s="133">
        <v>633.87</v>
      </c>
      <c r="N518" s="147"/>
      <c r="P518" s="140"/>
      <c r="Q518" s="140"/>
    </row>
    <row r="519" spans="1:17" hidden="1" x14ac:dyDescent="0.35">
      <c r="A519" s="146"/>
      <c r="B519" s="143"/>
      <c r="C519" s="133"/>
      <c r="D519" s="133"/>
      <c r="E519" s="145" t="s">
        <v>1067</v>
      </c>
      <c r="F519" s="148">
        <v>1437.7</v>
      </c>
      <c r="G519" s="133" t="s">
        <v>1034</v>
      </c>
      <c r="H519" s="144" t="s">
        <v>1341</v>
      </c>
      <c r="I519" s="133" t="s">
        <v>1092</v>
      </c>
      <c r="J519" s="133" t="s">
        <v>2149</v>
      </c>
      <c r="K519" s="143">
        <v>45200</v>
      </c>
      <c r="L519" s="133" t="s">
        <v>1092</v>
      </c>
      <c r="M519" s="133">
        <v>1000</v>
      </c>
      <c r="N519" s="147"/>
      <c r="P519" s="140"/>
      <c r="Q519" s="140"/>
    </row>
    <row r="520" spans="1:17" hidden="1" x14ac:dyDescent="0.35">
      <c r="A520" s="146"/>
      <c r="B520" s="143"/>
      <c r="C520" s="133"/>
      <c r="D520" s="133"/>
      <c r="E520" s="145" t="s">
        <v>1342</v>
      </c>
      <c r="F520" s="148">
        <v>1794</v>
      </c>
      <c r="G520" s="133" t="s">
        <v>1034</v>
      </c>
      <c r="H520" s="144" t="s">
        <v>1341</v>
      </c>
      <c r="I520" s="133" t="s">
        <v>1092</v>
      </c>
      <c r="J520" s="133" t="s">
        <v>2147</v>
      </c>
      <c r="K520" s="143">
        <v>45200</v>
      </c>
      <c r="L520" s="133" t="s">
        <v>1092</v>
      </c>
      <c r="M520" s="133">
        <v>2000</v>
      </c>
      <c r="N520" s="147"/>
      <c r="P520" s="140"/>
      <c r="Q520" s="140"/>
    </row>
    <row r="521" spans="1:17" hidden="1" x14ac:dyDescent="0.35">
      <c r="A521" s="146"/>
      <c r="B521" s="143"/>
      <c r="C521" s="133"/>
      <c r="D521" s="133"/>
      <c r="E521" s="145"/>
      <c r="F521" s="148"/>
      <c r="G521" s="133" t="s">
        <v>1034</v>
      </c>
      <c r="H521" s="144" t="s">
        <v>1341</v>
      </c>
      <c r="I521" s="133" t="s">
        <v>1092</v>
      </c>
      <c r="J521" s="133" t="s">
        <v>2126</v>
      </c>
      <c r="K521" s="143">
        <v>45200</v>
      </c>
      <c r="L521" s="133" t="s">
        <v>1092</v>
      </c>
      <c r="M521" s="140">
        <v>6534.1</v>
      </c>
      <c r="N521" s="147"/>
      <c r="P521" s="140"/>
      <c r="Q521" s="140"/>
    </row>
    <row r="522" spans="1:17" hidden="1" x14ac:dyDescent="0.35">
      <c r="A522" s="146"/>
      <c r="B522" s="143"/>
      <c r="C522" s="133"/>
      <c r="D522" s="133"/>
      <c r="E522" s="145"/>
      <c r="F522" s="148"/>
      <c r="G522" s="133" t="s">
        <v>1034</v>
      </c>
      <c r="H522" s="144" t="s">
        <v>1341</v>
      </c>
      <c r="I522" s="133" t="s">
        <v>1092</v>
      </c>
      <c r="J522" s="133" t="s">
        <v>2145</v>
      </c>
      <c r="K522" s="143">
        <v>45200</v>
      </c>
      <c r="L522" s="133" t="s">
        <v>1241</v>
      </c>
      <c r="M522" s="133">
        <v>559</v>
      </c>
      <c r="N522" s="147"/>
      <c r="P522" s="140"/>
      <c r="Q522" s="140"/>
    </row>
    <row r="523" spans="1:17" hidden="1" x14ac:dyDescent="0.35">
      <c r="A523" s="146"/>
      <c r="B523" s="143"/>
      <c r="C523" s="133"/>
      <c r="D523" s="133"/>
      <c r="E523" s="145"/>
      <c r="F523" s="148"/>
      <c r="G523" s="133"/>
      <c r="H523" s="144"/>
      <c r="I523" s="133"/>
      <c r="J523" s="133"/>
      <c r="K523" s="143"/>
      <c r="L523" s="133"/>
      <c r="M523" s="133"/>
      <c r="N523" s="147"/>
      <c r="P523" s="140"/>
      <c r="Q523" s="140"/>
    </row>
    <row r="524" spans="1:17" hidden="1" x14ac:dyDescent="0.35">
      <c r="A524" s="146">
        <v>112</v>
      </c>
      <c r="B524" s="143">
        <v>45170</v>
      </c>
      <c r="C524" s="133" t="s">
        <v>1729</v>
      </c>
      <c r="D524" s="133" t="s">
        <v>2151</v>
      </c>
      <c r="E524" s="145" t="s">
        <v>1067</v>
      </c>
      <c r="F524" s="148">
        <v>1625</v>
      </c>
      <c r="G524" s="133" t="s">
        <v>1034</v>
      </c>
      <c r="H524" s="144" t="s">
        <v>1341</v>
      </c>
      <c r="I524" s="133" t="s">
        <v>1092</v>
      </c>
      <c r="J524" s="133" t="s">
        <v>2147</v>
      </c>
      <c r="K524" s="143">
        <v>45200</v>
      </c>
      <c r="L524" s="133" t="s">
        <v>1092</v>
      </c>
      <c r="M524" s="133">
        <v>4985</v>
      </c>
      <c r="N524" s="147">
        <f>+F524+F525-M524-M525</f>
        <v>0</v>
      </c>
      <c r="P524" s="140"/>
      <c r="Q524" s="140"/>
    </row>
    <row r="525" spans="1:17" hidden="1" x14ac:dyDescent="0.35">
      <c r="A525" s="146"/>
      <c r="B525" s="143"/>
      <c r="C525" s="133"/>
      <c r="D525" s="133"/>
      <c r="E525" s="145" t="s">
        <v>1342</v>
      </c>
      <c r="F525" s="148">
        <v>3625</v>
      </c>
      <c r="G525" s="133" t="s">
        <v>1034</v>
      </c>
      <c r="H525" s="144" t="s">
        <v>1341</v>
      </c>
      <c r="I525" s="133" t="s">
        <v>1092</v>
      </c>
      <c r="J525" s="133" t="s">
        <v>2145</v>
      </c>
      <c r="K525" s="143">
        <v>45200</v>
      </c>
      <c r="L525" s="133" t="s">
        <v>1241</v>
      </c>
      <c r="M525" s="133">
        <v>265</v>
      </c>
      <c r="N525" s="147"/>
      <c r="P525" s="140"/>
      <c r="Q525" s="140"/>
    </row>
    <row r="526" spans="1:17" hidden="1" x14ac:dyDescent="0.35">
      <c r="A526" s="146"/>
      <c r="B526" s="143"/>
      <c r="C526" s="133"/>
      <c r="D526" s="133"/>
      <c r="E526" s="145"/>
      <c r="F526" s="148"/>
      <c r="G526" s="133"/>
      <c r="H526" s="144"/>
      <c r="I526" s="133"/>
      <c r="J526" s="133"/>
      <c r="K526" s="133"/>
      <c r="L526" s="133"/>
      <c r="M526" s="133"/>
      <c r="N526" s="147"/>
      <c r="P526" s="140"/>
      <c r="Q526" s="140"/>
    </row>
    <row r="527" spans="1:17" hidden="1" x14ac:dyDescent="0.35">
      <c r="A527" s="146">
        <v>113</v>
      </c>
      <c r="B527" s="143">
        <v>45170</v>
      </c>
      <c r="C527" s="133" t="s">
        <v>1728</v>
      </c>
      <c r="D527" s="133" t="s">
        <v>2148</v>
      </c>
      <c r="E527" s="148" t="s">
        <v>1059</v>
      </c>
      <c r="F527" s="148">
        <v>49500</v>
      </c>
      <c r="G527" s="133" t="s">
        <v>1034</v>
      </c>
      <c r="H527" s="144" t="s">
        <v>1341</v>
      </c>
      <c r="I527" s="133" t="s">
        <v>1092</v>
      </c>
      <c r="J527" s="133" t="s">
        <v>2139</v>
      </c>
      <c r="K527" s="143">
        <v>45170</v>
      </c>
      <c r="L527" s="133" t="s">
        <v>1092</v>
      </c>
      <c r="M527" s="133">
        <v>10000</v>
      </c>
      <c r="N527" s="147">
        <f>+F527-M527-M528-M529-M530-M531-M532</f>
        <v>0</v>
      </c>
      <c r="P527" s="140"/>
      <c r="Q527" s="140"/>
    </row>
    <row r="528" spans="1:17" hidden="1" x14ac:dyDescent="0.35">
      <c r="A528" s="146"/>
      <c r="B528" s="143"/>
      <c r="C528" s="133"/>
      <c r="D528" s="133"/>
      <c r="E528" s="145"/>
      <c r="F528" s="148"/>
      <c r="G528" s="133" t="s">
        <v>1034</v>
      </c>
      <c r="H528" s="144" t="s">
        <v>1341</v>
      </c>
      <c r="I528" s="133" t="s">
        <v>1092</v>
      </c>
      <c r="J528" s="133" t="s">
        <v>2150</v>
      </c>
      <c r="K528" s="143">
        <v>45200</v>
      </c>
      <c r="L528" s="133" t="s">
        <v>1092</v>
      </c>
      <c r="M528" s="133">
        <v>2556.88</v>
      </c>
      <c r="N528" s="147"/>
      <c r="P528" s="140"/>
      <c r="Q528" s="140"/>
    </row>
    <row r="529" spans="1:17" hidden="1" x14ac:dyDescent="0.35">
      <c r="A529" s="146"/>
      <c r="B529" s="143"/>
      <c r="C529" s="133"/>
      <c r="D529" s="133"/>
      <c r="E529" s="145"/>
      <c r="F529" s="148"/>
      <c r="G529" s="133" t="s">
        <v>1034</v>
      </c>
      <c r="H529" s="144" t="s">
        <v>1341</v>
      </c>
      <c r="I529" s="133" t="s">
        <v>1092</v>
      </c>
      <c r="J529" s="133" t="s">
        <v>2149</v>
      </c>
      <c r="K529" s="143">
        <v>45200</v>
      </c>
      <c r="L529" s="133" t="s">
        <v>1092</v>
      </c>
      <c r="M529" s="133">
        <v>8043</v>
      </c>
      <c r="N529" s="147"/>
      <c r="P529" s="140"/>
      <c r="Q529" s="140"/>
    </row>
    <row r="530" spans="1:17" hidden="1" x14ac:dyDescent="0.35">
      <c r="A530" s="146"/>
      <c r="B530" s="143"/>
      <c r="C530" s="133"/>
      <c r="D530" s="133"/>
      <c r="E530" s="145"/>
      <c r="F530" s="148"/>
      <c r="G530" s="133" t="s">
        <v>1034</v>
      </c>
      <c r="H530" s="144" t="s">
        <v>1341</v>
      </c>
      <c r="I530" s="133" t="s">
        <v>1092</v>
      </c>
      <c r="J530" s="133" t="s">
        <v>2147</v>
      </c>
      <c r="K530" s="143">
        <v>45200</v>
      </c>
      <c r="L530" s="133" t="s">
        <v>1092</v>
      </c>
      <c r="M530" s="133">
        <v>10566</v>
      </c>
      <c r="N530" s="147"/>
      <c r="P530" s="140"/>
      <c r="Q530" s="140"/>
    </row>
    <row r="531" spans="1:17" hidden="1" x14ac:dyDescent="0.35">
      <c r="A531" s="146"/>
      <c r="B531" s="143"/>
      <c r="C531" s="133"/>
      <c r="D531" s="133"/>
      <c r="E531" s="145"/>
      <c r="F531" s="148"/>
      <c r="G531" s="133" t="s">
        <v>1034</v>
      </c>
      <c r="H531" s="144" t="s">
        <v>1341</v>
      </c>
      <c r="I531" s="133" t="s">
        <v>1092</v>
      </c>
      <c r="J531" s="133" t="s">
        <v>2126</v>
      </c>
      <c r="K531" s="143">
        <v>45200</v>
      </c>
      <c r="L531" s="133" t="s">
        <v>1092</v>
      </c>
      <c r="M531" s="133">
        <v>15864.120000000003</v>
      </c>
      <c r="N531" s="147"/>
      <c r="P531" s="140"/>
      <c r="Q531" s="140"/>
    </row>
    <row r="532" spans="1:17" hidden="1" x14ac:dyDescent="0.35">
      <c r="A532" s="146"/>
      <c r="B532" s="143"/>
      <c r="C532" s="133"/>
      <c r="D532" s="133"/>
      <c r="E532" s="145"/>
      <c r="F532" s="148"/>
      <c r="G532" s="133" t="s">
        <v>1034</v>
      </c>
      <c r="H532" s="144" t="s">
        <v>1341</v>
      </c>
      <c r="I532" s="133" t="s">
        <v>1092</v>
      </c>
      <c r="J532" s="133" t="s">
        <v>2145</v>
      </c>
      <c r="K532" s="143">
        <v>45200</v>
      </c>
      <c r="L532" s="133" t="s">
        <v>1241</v>
      </c>
      <c r="M532" s="133">
        <v>2470</v>
      </c>
      <c r="N532" s="147"/>
      <c r="P532" s="140"/>
      <c r="Q532" s="140"/>
    </row>
    <row r="533" spans="1:17" hidden="1" x14ac:dyDescent="0.35">
      <c r="A533" s="146"/>
      <c r="B533" s="143"/>
      <c r="C533" s="133"/>
      <c r="D533" s="133"/>
      <c r="E533" s="145"/>
      <c r="F533" s="148"/>
      <c r="G533" s="133"/>
      <c r="H533" s="144"/>
      <c r="I533" s="133"/>
      <c r="J533" s="133"/>
      <c r="K533" s="143"/>
      <c r="L533" s="133"/>
      <c r="M533" s="133"/>
      <c r="N533" s="147"/>
      <c r="P533" s="140"/>
      <c r="Q533" s="140"/>
    </row>
    <row r="534" spans="1:17" hidden="1" x14ac:dyDescent="0.35">
      <c r="A534" s="146">
        <v>114</v>
      </c>
      <c r="B534" s="143">
        <v>45170</v>
      </c>
      <c r="C534" s="133" t="s">
        <v>1727</v>
      </c>
      <c r="D534" s="133" t="s">
        <v>2148</v>
      </c>
      <c r="E534" s="145" t="s">
        <v>1075</v>
      </c>
      <c r="F534" s="148">
        <v>2878.7</v>
      </c>
      <c r="G534" s="133" t="s">
        <v>1034</v>
      </c>
      <c r="H534" s="144" t="s">
        <v>1341</v>
      </c>
      <c r="I534" s="133" t="s">
        <v>1092</v>
      </c>
      <c r="J534" s="133" t="s">
        <v>2147</v>
      </c>
      <c r="K534" s="143">
        <v>45200</v>
      </c>
      <c r="L534" s="133" t="s">
        <v>1092</v>
      </c>
      <c r="M534" s="133">
        <v>1000</v>
      </c>
      <c r="N534" s="147">
        <f>+F534+F535+F536+F537-M534-M535-M536</f>
        <v>0</v>
      </c>
      <c r="P534" s="140"/>
      <c r="Q534" s="140"/>
    </row>
    <row r="535" spans="1:17" hidden="1" x14ac:dyDescent="0.35">
      <c r="A535" s="146"/>
      <c r="B535" s="143"/>
      <c r="C535" s="133"/>
      <c r="D535" s="133"/>
      <c r="E535" s="148" t="s">
        <v>1064</v>
      </c>
      <c r="F535" s="148">
        <v>1525.3</v>
      </c>
      <c r="G535" s="133" t="s">
        <v>1034</v>
      </c>
      <c r="H535" s="144" t="s">
        <v>1341</v>
      </c>
      <c r="I535" s="133" t="s">
        <v>1092</v>
      </c>
      <c r="J535" s="133" t="s">
        <v>2126</v>
      </c>
      <c r="K535" s="143">
        <v>45200</v>
      </c>
      <c r="L535" s="133" t="s">
        <v>1092</v>
      </c>
      <c r="M535" s="133">
        <v>6827.2000000000007</v>
      </c>
      <c r="N535" s="147"/>
      <c r="P535" s="140"/>
      <c r="Q535" s="140"/>
    </row>
    <row r="536" spans="1:17" hidden="1" x14ac:dyDescent="0.35">
      <c r="A536" s="146"/>
      <c r="B536" s="143"/>
      <c r="C536" s="133"/>
      <c r="D536" s="133"/>
      <c r="E536" s="145" t="s">
        <v>1067</v>
      </c>
      <c r="F536" s="148">
        <v>2833.2</v>
      </c>
      <c r="G536" s="133" t="s">
        <v>1034</v>
      </c>
      <c r="H536" s="144" t="s">
        <v>1341</v>
      </c>
      <c r="I536" s="133" t="s">
        <v>1092</v>
      </c>
      <c r="J536" s="133" t="s">
        <v>2145</v>
      </c>
      <c r="K536" s="143">
        <v>45200</v>
      </c>
      <c r="L536" s="133" t="s">
        <v>1241</v>
      </c>
      <c r="M536" s="133">
        <v>410</v>
      </c>
      <c r="N536" s="147"/>
      <c r="P536" s="140"/>
      <c r="Q536" s="140"/>
    </row>
    <row r="537" spans="1:17" hidden="1" x14ac:dyDescent="0.35">
      <c r="A537" s="146"/>
      <c r="B537" s="143"/>
      <c r="C537" s="133"/>
      <c r="D537" s="133"/>
      <c r="E537" s="145" t="s">
        <v>1074</v>
      </c>
      <c r="F537" s="148">
        <v>1000</v>
      </c>
      <c r="G537" s="133"/>
      <c r="H537" s="144"/>
      <c r="I537" s="133"/>
      <c r="J537" s="133"/>
      <c r="K537" s="133"/>
      <c r="L537" s="133"/>
      <c r="M537" s="133"/>
      <c r="N537" s="147"/>
      <c r="P537" s="140"/>
      <c r="Q537" s="140"/>
    </row>
    <row r="538" spans="1:17" hidden="1" x14ac:dyDescent="0.35">
      <c r="A538" s="146"/>
      <c r="B538" s="143"/>
      <c r="C538" s="133"/>
      <c r="D538" s="133"/>
      <c r="E538" s="145"/>
      <c r="F538" s="148"/>
      <c r="G538" s="133"/>
      <c r="H538" s="144"/>
      <c r="I538" s="133"/>
      <c r="J538" s="133"/>
      <c r="K538" s="133"/>
      <c r="L538" s="133"/>
      <c r="M538" s="133"/>
      <c r="N538" s="147"/>
      <c r="P538" s="140"/>
      <c r="Q538" s="140"/>
    </row>
    <row r="539" spans="1:17" hidden="1" x14ac:dyDescent="0.35">
      <c r="A539" s="146">
        <v>115</v>
      </c>
      <c r="B539" s="143">
        <v>45170</v>
      </c>
      <c r="C539" s="133" t="s">
        <v>1726</v>
      </c>
      <c r="D539" s="133" t="s">
        <v>2146</v>
      </c>
      <c r="E539" s="145" t="s">
        <v>1075</v>
      </c>
      <c r="F539" s="148">
        <v>1972</v>
      </c>
      <c r="G539" s="133" t="s">
        <v>1034</v>
      </c>
      <c r="H539" s="144" t="s">
        <v>1341</v>
      </c>
      <c r="I539" s="133" t="s">
        <v>1092</v>
      </c>
      <c r="J539" s="133" t="s">
        <v>2126</v>
      </c>
      <c r="K539" s="143">
        <v>45200</v>
      </c>
      <c r="L539" s="133" t="s">
        <v>1092</v>
      </c>
      <c r="M539" s="133">
        <v>12550</v>
      </c>
      <c r="N539" s="147">
        <f>+F539+F540+F541+F542-M539-M540</f>
        <v>0</v>
      </c>
      <c r="P539" s="140"/>
      <c r="Q539" s="140"/>
    </row>
    <row r="540" spans="1:17" hidden="1" x14ac:dyDescent="0.35">
      <c r="A540" s="146"/>
      <c r="B540" s="143"/>
      <c r="C540" s="133"/>
      <c r="D540" s="133"/>
      <c r="E540" s="145" t="s">
        <v>1342</v>
      </c>
      <c r="F540" s="148">
        <v>9564</v>
      </c>
      <c r="G540" s="133" t="s">
        <v>1034</v>
      </c>
      <c r="H540" s="144" t="s">
        <v>1341</v>
      </c>
      <c r="I540" s="133" t="s">
        <v>1092</v>
      </c>
      <c r="J540" s="133" t="s">
        <v>2145</v>
      </c>
      <c r="K540" s="143">
        <v>45200</v>
      </c>
      <c r="L540" s="133" t="s">
        <v>1241</v>
      </c>
      <c r="M540" s="133">
        <v>662</v>
      </c>
      <c r="N540" s="147"/>
      <c r="P540" s="140"/>
      <c r="Q540" s="140"/>
    </row>
    <row r="541" spans="1:17" hidden="1" x14ac:dyDescent="0.35">
      <c r="A541" s="146"/>
      <c r="B541" s="143"/>
      <c r="C541" s="133"/>
      <c r="D541" s="133"/>
      <c r="E541" s="145" t="s">
        <v>1067</v>
      </c>
      <c r="F541" s="148">
        <v>1499.6</v>
      </c>
      <c r="G541" s="133"/>
      <c r="H541" s="144"/>
      <c r="I541" s="133"/>
      <c r="J541" s="133"/>
      <c r="K541" s="133"/>
      <c r="L541" s="133"/>
      <c r="M541" s="133"/>
      <c r="N541" s="147"/>
      <c r="P541" s="140"/>
      <c r="Q541" s="140"/>
    </row>
    <row r="542" spans="1:17" hidden="1" x14ac:dyDescent="0.35">
      <c r="A542" s="146"/>
      <c r="B542" s="143"/>
      <c r="C542" s="133"/>
      <c r="D542" s="133"/>
      <c r="E542" s="145" t="s">
        <v>1071</v>
      </c>
      <c r="F542" s="148">
        <v>176.4</v>
      </c>
      <c r="G542" s="133"/>
      <c r="H542" s="144"/>
      <c r="I542" s="133"/>
      <c r="J542" s="133"/>
      <c r="K542" s="133"/>
      <c r="L542" s="133"/>
      <c r="M542" s="133"/>
      <c r="N542" s="147"/>
      <c r="P542" s="140"/>
      <c r="Q542" s="140"/>
    </row>
    <row r="543" spans="1:17" hidden="1" x14ac:dyDescent="0.35">
      <c r="A543" s="146"/>
      <c r="B543" s="143"/>
      <c r="C543" s="133"/>
      <c r="D543" s="133"/>
      <c r="E543" s="145"/>
      <c r="F543" s="148"/>
      <c r="G543" s="133"/>
      <c r="H543" s="144"/>
      <c r="I543" s="133"/>
      <c r="J543" s="133"/>
      <c r="K543" s="133"/>
      <c r="L543" s="133"/>
      <c r="M543" s="133"/>
      <c r="N543" s="147"/>
      <c r="P543" s="140"/>
      <c r="Q543" s="140"/>
    </row>
    <row r="544" spans="1:17" hidden="1" x14ac:dyDescent="0.35">
      <c r="A544" s="146">
        <v>116</v>
      </c>
      <c r="B544" s="143">
        <v>45170</v>
      </c>
      <c r="C544" s="133" t="s">
        <v>1722</v>
      </c>
      <c r="D544" s="133" t="s">
        <v>2144</v>
      </c>
      <c r="E544" s="145" t="s">
        <v>1075</v>
      </c>
      <c r="F544" s="197">
        <v>4946.6000000000004</v>
      </c>
      <c r="G544" s="133" t="s">
        <v>1034</v>
      </c>
      <c r="H544" s="144" t="s">
        <v>1341</v>
      </c>
      <c r="I544" s="133" t="s">
        <v>1092</v>
      </c>
      <c r="J544" s="133" t="s">
        <v>2138</v>
      </c>
      <c r="K544" s="143">
        <v>45200</v>
      </c>
      <c r="L544" s="133" t="s">
        <v>1092</v>
      </c>
      <c r="M544" s="133">
        <v>7480.9000000000005</v>
      </c>
      <c r="N544" s="147">
        <f>+F544+F545+F546+F547+F548+F549-M544-M545</f>
        <v>0</v>
      </c>
      <c r="P544" s="140"/>
      <c r="Q544" s="140"/>
    </row>
    <row r="545" spans="1:17" hidden="1" x14ac:dyDescent="0.35">
      <c r="A545" s="146"/>
      <c r="B545" s="143"/>
      <c r="C545" s="133"/>
      <c r="D545" s="133"/>
      <c r="E545" s="145" t="s">
        <v>1342</v>
      </c>
      <c r="F545" s="197">
        <v>643</v>
      </c>
      <c r="G545" s="133" t="s">
        <v>1034</v>
      </c>
      <c r="H545" s="144" t="s">
        <v>1341</v>
      </c>
      <c r="I545" s="133" t="s">
        <v>1092</v>
      </c>
      <c r="J545" s="133" t="s">
        <v>2107</v>
      </c>
      <c r="K545" s="143">
        <v>45231</v>
      </c>
      <c r="L545" s="133" t="s">
        <v>1241</v>
      </c>
      <c r="M545" s="133">
        <v>394</v>
      </c>
      <c r="N545" s="147"/>
      <c r="O545" s="140"/>
      <c r="P545" s="140"/>
      <c r="Q545" s="140"/>
    </row>
    <row r="546" spans="1:17" hidden="1" x14ac:dyDescent="0.35">
      <c r="A546" s="146"/>
      <c r="B546" s="143"/>
      <c r="C546" s="133"/>
      <c r="D546" s="133"/>
      <c r="E546" s="145" t="s">
        <v>1067</v>
      </c>
      <c r="F546" s="194">
        <v>470</v>
      </c>
      <c r="G546" s="133"/>
      <c r="H546" s="144"/>
      <c r="I546" s="133"/>
      <c r="J546" s="133"/>
      <c r="K546" s="133"/>
      <c r="L546" s="133"/>
      <c r="M546" s="133"/>
      <c r="N546" s="147"/>
      <c r="P546" s="140"/>
      <c r="Q546" s="140"/>
    </row>
    <row r="547" spans="1:17" hidden="1" x14ac:dyDescent="0.35">
      <c r="A547" s="146"/>
      <c r="B547" s="143"/>
      <c r="C547" s="133"/>
      <c r="D547" s="133"/>
      <c r="E547" s="145" t="s">
        <v>1071</v>
      </c>
      <c r="F547" s="197">
        <v>63.9</v>
      </c>
      <c r="G547" s="133"/>
      <c r="H547" s="144"/>
      <c r="I547" s="133"/>
      <c r="J547" s="133"/>
      <c r="K547" s="133"/>
      <c r="L547" s="133"/>
      <c r="M547" s="133"/>
      <c r="N547" s="147"/>
      <c r="P547" s="140"/>
      <c r="Q547" s="140"/>
    </row>
    <row r="548" spans="1:17" hidden="1" x14ac:dyDescent="0.35">
      <c r="A548" s="146"/>
      <c r="B548" s="143"/>
      <c r="C548" s="133"/>
      <c r="D548" s="133"/>
      <c r="E548" s="148" t="s">
        <v>1064</v>
      </c>
      <c r="F548" s="197">
        <v>795.1</v>
      </c>
      <c r="G548" s="133"/>
      <c r="H548" s="144"/>
      <c r="I548" s="133"/>
      <c r="J548" s="133"/>
      <c r="K548" s="133"/>
      <c r="L548" s="133"/>
      <c r="M548" s="133"/>
      <c r="N548" s="147"/>
      <c r="P548" s="140"/>
      <c r="Q548" s="140"/>
    </row>
    <row r="549" spans="1:17" hidden="1" x14ac:dyDescent="0.35">
      <c r="A549" s="146"/>
      <c r="B549" s="143"/>
      <c r="C549" s="133"/>
      <c r="D549" s="133"/>
      <c r="E549" s="145" t="s">
        <v>1118</v>
      </c>
      <c r="F549" s="197">
        <v>956.3</v>
      </c>
      <c r="G549" s="133"/>
      <c r="H549" s="144"/>
      <c r="I549" s="133"/>
      <c r="J549" s="133"/>
      <c r="K549" s="133"/>
      <c r="L549" s="133"/>
      <c r="M549" s="133"/>
      <c r="N549" s="147"/>
      <c r="P549" s="140"/>
      <c r="Q549" s="140"/>
    </row>
    <row r="550" spans="1:17" hidden="1" x14ac:dyDescent="0.35">
      <c r="A550" s="146"/>
      <c r="B550" s="143"/>
      <c r="C550" s="133"/>
      <c r="D550" s="133"/>
      <c r="E550" s="145"/>
      <c r="F550" s="148"/>
      <c r="G550" s="133"/>
      <c r="H550" s="144"/>
      <c r="I550" s="133"/>
      <c r="J550" s="133"/>
      <c r="K550" s="133"/>
      <c r="L550" s="133"/>
      <c r="M550" s="133"/>
      <c r="N550" s="147"/>
      <c r="P550" s="140"/>
      <c r="Q550" s="140"/>
    </row>
    <row r="551" spans="1:17" hidden="1" x14ac:dyDescent="0.35">
      <c r="A551" s="146">
        <v>117</v>
      </c>
      <c r="B551" s="143">
        <v>45170</v>
      </c>
      <c r="C551" s="133" t="s">
        <v>1720</v>
      </c>
      <c r="D551" s="133" t="s">
        <v>2143</v>
      </c>
      <c r="E551" s="145" t="s">
        <v>1075</v>
      </c>
      <c r="F551" s="197">
        <v>925</v>
      </c>
      <c r="G551" s="133" t="s">
        <v>1034</v>
      </c>
      <c r="H551" s="144" t="s">
        <v>1341</v>
      </c>
      <c r="I551" s="133" t="s">
        <v>1092</v>
      </c>
      <c r="J551" s="133" t="s">
        <v>2138</v>
      </c>
      <c r="K551" s="143">
        <v>45200</v>
      </c>
      <c r="L551" s="133" t="s">
        <v>1092</v>
      </c>
      <c r="M551" s="133">
        <v>2123</v>
      </c>
      <c r="N551" s="147">
        <f>+F551+F552-M551-M552</f>
        <v>0</v>
      </c>
      <c r="P551" s="140"/>
      <c r="Q551" s="140"/>
    </row>
    <row r="552" spans="1:17" hidden="1" x14ac:dyDescent="0.35">
      <c r="A552" s="146"/>
      <c r="B552" s="143"/>
      <c r="C552" s="133"/>
      <c r="D552" s="133"/>
      <c r="E552" s="145" t="s">
        <v>1067</v>
      </c>
      <c r="F552" s="197">
        <v>1313</v>
      </c>
      <c r="G552" s="133" t="s">
        <v>1034</v>
      </c>
      <c r="H552" s="144" t="s">
        <v>1341</v>
      </c>
      <c r="I552" s="133" t="s">
        <v>1092</v>
      </c>
      <c r="J552" s="133" t="s">
        <v>2107</v>
      </c>
      <c r="K552" s="143">
        <v>45231</v>
      </c>
      <c r="L552" s="133" t="s">
        <v>1241</v>
      </c>
      <c r="M552" s="133">
        <v>115</v>
      </c>
      <c r="N552" s="147"/>
      <c r="O552" s="140"/>
      <c r="P552" s="140"/>
      <c r="Q552" s="140"/>
    </row>
    <row r="553" spans="1:17" hidden="1" x14ac:dyDescent="0.35">
      <c r="A553" s="146"/>
      <c r="B553" s="143"/>
      <c r="C553" s="133"/>
      <c r="D553" s="133"/>
      <c r="E553" s="145"/>
      <c r="F553" s="148"/>
      <c r="G553" s="133"/>
      <c r="H553" s="144"/>
      <c r="I553" s="133"/>
      <c r="J553" s="133"/>
      <c r="K553" s="133"/>
      <c r="L553" s="133"/>
      <c r="M553" s="133"/>
      <c r="N553" s="147"/>
      <c r="P553" s="140"/>
      <c r="Q553" s="140"/>
    </row>
    <row r="554" spans="1:17" hidden="1" x14ac:dyDescent="0.35">
      <c r="A554" s="146">
        <v>118</v>
      </c>
      <c r="B554" s="143">
        <v>45170</v>
      </c>
      <c r="C554" s="133" t="s">
        <v>1716</v>
      </c>
      <c r="D554" s="133" t="s">
        <v>2142</v>
      </c>
      <c r="E554" s="145" t="s">
        <v>1075</v>
      </c>
      <c r="F554" s="197">
        <v>2643.9</v>
      </c>
      <c r="G554" s="133" t="s">
        <v>1034</v>
      </c>
      <c r="H554" s="144" t="s">
        <v>1341</v>
      </c>
      <c r="I554" s="133" t="s">
        <v>1092</v>
      </c>
      <c r="J554" s="133" t="s">
        <v>2138</v>
      </c>
      <c r="K554" s="143">
        <v>45200</v>
      </c>
      <c r="L554" s="133" t="s">
        <v>1092</v>
      </c>
      <c r="M554" s="133">
        <v>8785</v>
      </c>
      <c r="N554" s="147">
        <f>+F554+F555+F556-M554-M555</f>
        <v>0</v>
      </c>
      <c r="P554" s="140"/>
      <c r="Q554" s="140"/>
    </row>
    <row r="555" spans="1:17" hidden="1" x14ac:dyDescent="0.35">
      <c r="A555" s="146"/>
      <c r="B555" s="143"/>
      <c r="C555" s="133"/>
      <c r="D555" s="133"/>
      <c r="E555" s="145" t="s">
        <v>1067</v>
      </c>
      <c r="F555" s="197">
        <v>1038.0999999999999</v>
      </c>
      <c r="G555" s="133" t="s">
        <v>1034</v>
      </c>
      <c r="H555" s="144" t="s">
        <v>1341</v>
      </c>
      <c r="I555" s="133" t="s">
        <v>1092</v>
      </c>
      <c r="J555" s="133" t="s">
        <v>2107</v>
      </c>
      <c r="K555" s="143">
        <v>45231</v>
      </c>
      <c r="L555" s="133" t="s">
        <v>1241</v>
      </c>
      <c r="M555" s="133">
        <v>461</v>
      </c>
      <c r="N555" s="147"/>
      <c r="O555" s="140"/>
      <c r="P555" s="140"/>
      <c r="Q555" s="140"/>
    </row>
    <row r="556" spans="1:17" hidden="1" x14ac:dyDescent="0.35">
      <c r="A556" s="146"/>
      <c r="B556" s="143"/>
      <c r="C556" s="133"/>
      <c r="D556" s="133"/>
      <c r="E556" s="145" t="s">
        <v>1342</v>
      </c>
      <c r="F556" s="197">
        <v>5564</v>
      </c>
      <c r="G556" s="133"/>
      <c r="H556" s="144"/>
      <c r="I556" s="133"/>
      <c r="J556" s="133"/>
      <c r="K556" s="133"/>
      <c r="L556" s="133"/>
      <c r="M556" s="133"/>
      <c r="N556" s="147"/>
      <c r="P556" s="140"/>
      <c r="Q556" s="140"/>
    </row>
    <row r="557" spans="1:17" hidden="1" x14ac:dyDescent="0.35">
      <c r="A557" s="146"/>
      <c r="B557" s="143"/>
      <c r="C557" s="133"/>
      <c r="D557" s="133"/>
      <c r="E557" s="145"/>
      <c r="F557" s="148"/>
      <c r="G557" s="133"/>
      <c r="H557" s="144"/>
      <c r="I557" s="133"/>
      <c r="J557" s="133"/>
      <c r="K557" s="133"/>
      <c r="L557" s="133"/>
      <c r="M557" s="133"/>
      <c r="N557" s="147"/>
      <c r="P557" s="140"/>
      <c r="Q557" s="140"/>
    </row>
    <row r="558" spans="1:17" hidden="1" x14ac:dyDescent="0.35">
      <c r="A558" s="146">
        <v>119</v>
      </c>
      <c r="B558" s="143">
        <v>45170</v>
      </c>
      <c r="C558" s="133" t="s">
        <v>1715</v>
      </c>
      <c r="D558" s="133" t="s">
        <v>2141</v>
      </c>
      <c r="E558" s="145" t="s">
        <v>1075</v>
      </c>
      <c r="F558" s="197">
        <v>5565.3</v>
      </c>
      <c r="G558" s="133" t="s">
        <v>1034</v>
      </c>
      <c r="H558" s="144" t="s">
        <v>1341</v>
      </c>
      <c r="I558" s="133" t="s">
        <v>1092</v>
      </c>
      <c r="J558" s="133" t="s">
        <v>2125</v>
      </c>
      <c r="K558" s="143">
        <v>45200</v>
      </c>
      <c r="L558" s="133" t="s">
        <v>1092</v>
      </c>
      <c r="M558" s="133">
        <v>6140.69</v>
      </c>
      <c r="N558" s="147">
        <f>+F558+F559+F560-M558-M559-M560</f>
        <v>0</v>
      </c>
      <c r="P558" s="140"/>
      <c r="Q558" s="140"/>
    </row>
    <row r="559" spans="1:17" hidden="1" x14ac:dyDescent="0.35">
      <c r="A559" s="146"/>
      <c r="B559" s="143"/>
      <c r="C559" s="133"/>
      <c r="D559" s="133"/>
      <c r="E559" s="148" t="s">
        <v>1064</v>
      </c>
      <c r="F559" s="197">
        <v>8668.2999999999993</v>
      </c>
      <c r="G559" s="133" t="s">
        <v>1034</v>
      </c>
      <c r="H559" s="144" t="s">
        <v>1341</v>
      </c>
      <c r="I559" s="133" t="s">
        <v>1092</v>
      </c>
      <c r="J559" s="133" t="s">
        <v>2124</v>
      </c>
      <c r="K559" s="143">
        <v>45200</v>
      </c>
      <c r="L559" s="133" t="s">
        <v>1092</v>
      </c>
      <c r="M559" s="133">
        <v>16051.91</v>
      </c>
      <c r="N559" s="147"/>
      <c r="O559" s="140"/>
      <c r="P559" s="140"/>
      <c r="Q559" s="140"/>
    </row>
    <row r="560" spans="1:17" hidden="1" x14ac:dyDescent="0.35">
      <c r="A560" s="146"/>
      <c r="B560" s="143"/>
      <c r="C560" s="133"/>
      <c r="D560" s="133"/>
      <c r="E560" s="145" t="s">
        <v>1342</v>
      </c>
      <c r="F560" s="197">
        <v>9128</v>
      </c>
      <c r="G560" s="133" t="s">
        <v>1034</v>
      </c>
      <c r="H560" s="144" t="s">
        <v>1341</v>
      </c>
      <c r="I560" s="133" t="s">
        <v>1092</v>
      </c>
      <c r="J560" s="133" t="s">
        <v>2107</v>
      </c>
      <c r="K560" s="143">
        <v>45231</v>
      </c>
      <c r="L560" s="133" t="s">
        <v>1241</v>
      </c>
      <c r="M560" s="133">
        <v>1169</v>
      </c>
      <c r="N560" s="147"/>
      <c r="P560" s="140"/>
      <c r="Q560" s="140"/>
    </row>
    <row r="561" spans="1:17" hidden="1" x14ac:dyDescent="0.35">
      <c r="A561" s="146"/>
      <c r="B561" s="143"/>
      <c r="C561" s="133"/>
      <c r="D561" s="133"/>
      <c r="E561" s="145"/>
      <c r="F561" s="197"/>
      <c r="G561" s="133"/>
      <c r="H561" s="144"/>
      <c r="I561" s="133"/>
      <c r="J561" s="133"/>
      <c r="K561" s="133"/>
      <c r="L561" s="133"/>
      <c r="M561" s="133"/>
      <c r="N561" s="147"/>
      <c r="P561" s="140"/>
      <c r="Q561" s="140"/>
    </row>
    <row r="562" spans="1:17" hidden="1" x14ac:dyDescent="0.35">
      <c r="A562" s="146">
        <v>120</v>
      </c>
      <c r="B562" s="143">
        <v>45170</v>
      </c>
      <c r="C562" s="133" t="s">
        <v>1713</v>
      </c>
      <c r="D562" s="133" t="s">
        <v>2140</v>
      </c>
      <c r="E562" s="133" t="s">
        <v>678</v>
      </c>
      <c r="F562" s="197">
        <v>4508.99</v>
      </c>
      <c r="G562" s="133" t="s">
        <v>1034</v>
      </c>
      <c r="H562" s="144" t="s">
        <v>1341</v>
      </c>
      <c r="I562" s="133" t="s">
        <v>1092</v>
      </c>
      <c r="J562" s="133" t="s">
        <v>2139</v>
      </c>
      <c r="K562" s="143">
        <v>45170</v>
      </c>
      <c r="L562" s="133" t="s">
        <v>1092</v>
      </c>
      <c r="M562" s="133">
        <v>5000</v>
      </c>
      <c r="N562" s="147">
        <f>+F562+F563-M562-M563-M564</f>
        <v>0</v>
      </c>
      <c r="P562" s="140"/>
      <c r="Q562" s="140"/>
    </row>
    <row r="563" spans="1:17" hidden="1" x14ac:dyDescent="0.35">
      <c r="A563" s="146"/>
      <c r="B563" s="143"/>
      <c r="C563" s="133"/>
      <c r="D563" s="133"/>
      <c r="E563" s="145" t="s">
        <v>1184</v>
      </c>
      <c r="F563" s="197">
        <v>7000</v>
      </c>
      <c r="G563" s="133" t="s">
        <v>1034</v>
      </c>
      <c r="H563" s="144" t="s">
        <v>1341</v>
      </c>
      <c r="I563" s="133" t="s">
        <v>1092</v>
      </c>
      <c r="J563" s="133" t="s">
        <v>2138</v>
      </c>
      <c r="K563" s="143">
        <v>45200</v>
      </c>
      <c r="L563" s="133" t="s">
        <v>1092</v>
      </c>
      <c r="M563" s="133">
        <v>5930.99</v>
      </c>
      <c r="N563" s="147"/>
      <c r="O563" s="140"/>
      <c r="P563" s="140"/>
      <c r="Q563" s="140"/>
    </row>
    <row r="564" spans="1:17" hidden="1" x14ac:dyDescent="0.35">
      <c r="A564" s="146"/>
      <c r="B564" s="143"/>
      <c r="C564" s="133"/>
      <c r="D564" s="133"/>
      <c r="E564" s="145"/>
      <c r="F564" s="197"/>
      <c r="G564" s="133" t="s">
        <v>1034</v>
      </c>
      <c r="H564" s="144" t="s">
        <v>1341</v>
      </c>
      <c r="I564" s="133" t="s">
        <v>1092</v>
      </c>
      <c r="J564" s="133" t="s">
        <v>2125</v>
      </c>
      <c r="K564" s="143">
        <v>45200</v>
      </c>
      <c r="L564" s="133" t="s">
        <v>1092</v>
      </c>
      <c r="M564" s="133">
        <v>578</v>
      </c>
      <c r="N564" s="147"/>
      <c r="O564" s="140"/>
      <c r="P564" s="140"/>
      <c r="Q564" s="140"/>
    </row>
    <row r="565" spans="1:17" hidden="1" x14ac:dyDescent="0.35">
      <c r="A565" s="146"/>
      <c r="B565" s="143"/>
      <c r="C565" s="133"/>
      <c r="D565" s="133"/>
      <c r="E565" s="145"/>
      <c r="F565" s="197"/>
      <c r="G565" s="133"/>
      <c r="H565" s="144"/>
      <c r="I565" s="133"/>
      <c r="J565" s="133"/>
      <c r="K565" s="133"/>
      <c r="L565" s="133"/>
      <c r="M565" s="133"/>
      <c r="N565" s="147"/>
      <c r="P565" s="140"/>
      <c r="Q565" s="140"/>
    </row>
    <row r="566" spans="1:17" hidden="1" x14ac:dyDescent="0.35">
      <c r="A566" s="146">
        <v>121</v>
      </c>
      <c r="B566" s="143">
        <v>45170</v>
      </c>
      <c r="C566" s="133" t="s">
        <v>1712</v>
      </c>
      <c r="D566" s="133" t="s">
        <v>2137</v>
      </c>
      <c r="E566" s="145" t="s">
        <v>1067</v>
      </c>
      <c r="F566" s="197">
        <v>2249.1999999999998</v>
      </c>
      <c r="G566" s="133" t="s">
        <v>1034</v>
      </c>
      <c r="H566" s="144" t="s">
        <v>1341</v>
      </c>
      <c r="I566" s="133" t="s">
        <v>1092</v>
      </c>
      <c r="J566" s="133" t="s">
        <v>2124</v>
      </c>
      <c r="K566" s="143">
        <v>45200</v>
      </c>
      <c r="L566" s="133" t="s">
        <v>1092</v>
      </c>
      <c r="M566" s="133">
        <v>7160.2</v>
      </c>
      <c r="N566" s="147">
        <f>+F566+F567+F568-M566-M567</f>
        <v>0</v>
      </c>
      <c r="P566" s="140"/>
      <c r="Q566" s="140"/>
    </row>
    <row r="567" spans="1:17" hidden="1" x14ac:dyDescent="0.35">
      <c r="A567" s="146"/>
      <c r="B567" s="143"/>
      <c r="C567" s="133"/>
      <c r="D567" s="133"/>
      <c r="E567" s="148" t="s">
        <v>1064</v>
      </c>
      <c r="F567" s="197">
        <v>2170</v>
      </c>
      <c r="G567" s="133" t="s">
        <v>1034</v>
      </c>
      <c r="H567" s="144" t="s">
        <v>1341</v>
      </c>
      <c r="I567" s="133" t="s">
        <v>1092</v>
      </c>
      <c r="J567" s="133" t="s">
        <v>2107</v>
      </c>
      <c r="K567" s="143">
        <v>45231</v>
      </c>
      <c r="L567" s="133" t="s">
        <v>1241</v>
      </c>
      <c r="M567" s="133">
        <v>373</v>
      </c>
      <c r="N567" s="147"/>
      <c r="O567" s="140"/>
      <c r="P567" s="140"/>
      <c r="Q567" s="140"/>
    </row>
    <row r="568" spans="1:17" hidden="1" x14ac:dyDescent="0.35">
      <c r="A568" s="146"/>
      <c r="B568" s="143"/>
      <c r="C568" s="133"/>
      <c r="D568" s="133"/>
      <c r="E568" s="145" t="s">
        <v>1342</v>
      </c>
      <c r="F568" s="197">
        <v>3114</v>
      </c>
      <c r="G568" s="133"/>
      <c r="H568" s="144"/>
      <c r="I568" s="133"/>
      <c r="J568" s="133"/>
      <c r="K568" s="133"/>
      <c r="L568" s="133"/>
      <c r="M568" s="133"/>
      <c r="N568" s="147"/>
      <c r="P568" s="140"/>
      <c r="Q568" s="140"/>
    </row>
    <row r="569" spans="1:17" hidden="1" x14ac:dyDescent="0.35">
      <c r="A569" s="146"/>
      <c r="B569" s="143"/>
      <c r="C569" s="133"/>
      <c r="D569" s="133"/>
      <c r="E569" s="145"/>
      <c r="F569" s="197"/>
      <c r="G569" s="133"/>
      <c r="H569" s="144"/>
      <c r="I569" s="133"/>
      <c r="J569" s="133"/>
      <c r="K569" s="133"/>
      <c r="L569" s="133"/>
      <c r="M569" s="133"/>
      <c r="N569" s="147"/>
      <c r="P569" s="140"/>
      <c r="Q569" s="140"/>
    </row>
    <row r="570" spans="1:17" hidden="1" x14ac:dyDescent="0.35">
      <c r="A570" s="146">
        <v>122</v>
      </c>
      <c r="B570" s="143">
        <v>45170</v>
      </c>
      <c r="C570" s="133" t="s">
        <v>1711</v>
      </c>
      <c r="D570" s="133" t="s">
        <v>2136</v>
      </c>
      <c r="E570" s="145" t="s">
        <v>1067</v>
      </c>
      <c r="F570" s="194">
        <v>1463</v>
      </c>
      <c r="G570" s="133" t="s">
        <v>1034</v>
      </c>
      <c r="H570" s="144" t="s">
        <v>1341</v>
      </c>
      <c r="I570" s="133" t="s">
        <v>1092</v>
      </c>
      <c r="J570" s="133" t="s">
        <v>2124</v>
      </c>
      <c r="K570" s="143">
        <v>45200</v>
      </c>
      <c r="L570" s="133" t="s">
        <v>1092</v>
      </c>
      <c r="M570" s="133">
        <v>1677.4</v>
      </c>
      <c r="N570" s="147">
        <f>+F570+F571+F572+F573+F574+F576+F575-M570-M571-M572</f>
        <v>0</v>
      </c>
      <c r="P570" s="140"/>
      <c r="Q570" s="140"/>
    </row>
    <row r="571" spans="1:17" hidden="1" x14ac:dyDescent="0.35">
      <c r="A571" s="146"/>
      <c r="B571" s="143"/>
      <c r="C571" s="133"/>
      <c r="D571" s="133"/>
      <c r="E571" s="148" t="s">
        <v>1064</v>
      </c>
      <c r="F571" s="194">
        <v>1218.4000000000001</v>
      </c>
      <c r="G571" s="133" t="s">
        <v>1034</v>
      </c>
      <c r="H571" s="144" t="s">
        <v>1341</v>
      </c>
      <c r="I571" s="133" t="s">
        <v>1092</v>
      </c>
      <c r="J571" s="133" t="s">
        <v>2123</v>
      </c>
      <c r="K571" s="143">
        <v>45200</v>
      </c>
      <c r="L571" s="133" t="s">
        <v>1092</v>
      </c>
      <c r="M571" s="133">
        <v>11693</v>
      </c>
      <c r="N571" s="147"/>
      <c r="O571" s="140"/>
      <c r="P571" s="140"/>
      <c r="Q571" s="140"/>
    </row>
    <row r="572" spans="1:17" hidden="1" x14ac:dyDescent="0.35">
      <c r="A572" s="146"/>
      <c r="B572" s="143"/>
      <c r="C572" s="133"/>
      <c r="D572" s="133"/>
      <c r="E572" s="145" t="s">
        <v>1342</v>
      </c>
      <c r="F572" s="194">
        <v>5337.4</v>
      </c>
      <c r="G572" s="133" t="s">
        <v>1034</v>
      </c>
      <c r="H572" s="144" t="s">
        <v>1341</v>
      </c>
      <c r="I572" s="133" t="s">
        <v>1092</v>
      </c>
      <c r="J572" s="133" t="s">
        <v>2107</v>
      </c>
      <c r="K572" s="143">
        <v>45231</v>
      </c>
      <c r="L572" s="133" t="s">
        <v>1241</v>
      </c>
      <c r="M572" s="133">
        <v>705</v>
      </c>
      <c r="N572" s="147"/>
      <c r="P572" s="140"/>
      <c r="Q572" s="140"/>
    </row>
    <row r="573" spans="1:17" hidden="1" x14ac:dyDescent="0.35">
      <c r="A573" s="146"/>
      <c r="B573" s="143"/>
      <c r="C573" s="133"/>
      <c r="D573" s="133"/>
      <c r="E573" s="145" t="s">
        <v>1075</v>
      </c>
      <c r="F573" s="194">
        <v>2819.7</v>
      </c>
      <c r="G573" s="133"/>
      <c r="H573" s="144"/>
      <c r="I573" s="133"/>
      <c r="J573" s="133"/>
      <c r="K573" s="133"/>
      <c r="L573" s="133"/>
      <c r="M573" s="133"/>
      <c r="N573" s="147"/>
      <c r="P573" s="140"/>
      <c r="Q573" s="140"/>
    </row>
    <row r="574" spans="1:17" hidden="1" x14ac:dyDescent="0.35">
      <c r="A574" s="146"/>
      <c r="B574" s="143"/>
      <c r="C574" s="133"/>
      <c r="D574" s="133"/>
      <c r="E574" s="145" t="s">
        <v>1075</v>
      </c>
      <c r="F574" s="194">
        <v>1322.1</v>
      </c>
      <c r="G574" s="133"/>
      <c r="H574" s="144"/>
      <c r="I574" s="133"/>
      <c r="J574" s="133"/>
      <c r="K574" s="133"/>
      <c r="L574" s="133"/>
      <c r="M574" s="133"/>
      <c r="N574" s="147"/>
      <c r="P574" s="140"/>
      <c r="Q574" s="140"/>
    </row>
    <row r="575" spans="1:17" hidden="1" x14ac:dyDescent="0.35">
      <c r="A575" s="146"/>
      <c r="B575" s="143"/>
      <c r="C575" s="133"/>
      <c r="D575" s="133"/>
      <c r="E575" s="145" t="s">
        <v>1118</v>
      </c>
      <c r="F575" s="194">
        <v>1677.4</v>
      </c>
      <c r="G575" s="133"/>
      <c r="H575" s="144"/>
      <c r="I575" s="133"/>
      <c r="J575" s="133"/>
      <c r="K575" s="133"/>
      <c r="L575" s="133"/>
      <c r="M575" s="133"/>
      <c r="N575" s="147"/>
      <c r="P575" s="140"/>
      <c r="Q575" s="140"/>
    </row>
    <row r="576" spans="1:17" hidden="1" x14ac:dyDescent="0.35">
      <c r="A576" s="146"/>
      <c r="B576" s="143"/>
      <c r="C576" s="133"/>
      <c r="D576" s="133"/>
      <c r="E576" s="145" t="s">
        <v>1071</v>
      </c>
      <c r="F576" s="194">
        <v>237.4</v>
      </c>
      <c r="G576" s="133"/>
      <c r="H576" s="144"/>
      <c r="I576" s="133"/>
      <c r="J576" s="133"/>
      <c r="K576" s="133"/>
      <c r="L576" s="133"/>
      <c r="M576" s="133"/>
      <c r="N576" s="147"/>
      <c r="P576" s="140"/>
      <c r="Q576" s="140"/>
    </row>
    <row r="577" spans="1:17" hidden="1" x14ac:dyDescent="0.35">
      <c r="A577" s="146"/>
      <c r="B577" s="143"/>
      <c r="C577" s="133"/>
      <c r="D577" s="133"/>
      <c r="E577" s="145"/>
      <c r="F577" s="197"/>
      <c r="G577" s="133"/>
      <c r="H577" s="144"/>
      <c r="I577" s="133"/>
      <c r="J577" s="133"/>
      <c r="K577" s="133"/>
      <c r="L577" s="133"/>
      <c r="M577" s="133"/>
      <c r="N577" s="147"/>
      <c r="P577" s="140"/>
      <c r="Q577" s="140"/>
    </row>
    <row r="578" spans="1:17" hidden="1" x14ac:dyDescent="0.35">
      <c r="A578" s="146">
        <v>123</v>
      </c>
      <c r="B578" s="143">
        <v>45170</v>
      </c>
      <c r="C578" s="133" t="s">
        <v>1708</v>
      </c>
      <c r="D578" s="133" t="s">
        <v>2135</v>
      </c>
      <c r="E578" s="145" t="s">
        <v>1075</v>
      </c>
      <c r="F578" s="199">
        <v>1190.5</v>
      </c>
      <c r="G578" s="133" t="s">
        <v>1034</v>
      </c>
      <c r="H578" s="144" t="s">
        <v>1341</v>
      </c>
      <c r="I578" s="133" t="s">
        <v>1092</v>
      </c>
      <c r="J578" s="133" t="s">
        <v>2123</v>
      </c>
      <c r="K578" s="143">
        <v>45200</v>
      </c>
      <c r="L578" s="133" t="s">
        <v>1092</v>
      </c>
      <c r="M578" s="133">
        <v>1130.5</v>
      </c>
      <c r="N578" s="147">
        <f>+F578-M578-M579</f>
        <v>0</v>
      </c>
      <c r="P578" s="140"/>
      <c r="Q578" s="140"/>
    </row>
    <row r="579" spans="1:17" hidden="1" x14ac:dyDescent="0.35">
      <c r="A579" s="146"/>
      <c r="B579" s="143"/>
      <c r="C579" s="133"/>
      <c r="D579" s="133"/>
      <c r="E579" s="145"/>
      <c r="F579" s="199"/>
      <c r="G579" s="133" t="s">
        <v>1034</v>
      </c>
      <c r="H579" s="144" t="s">
        <v>1341</v>
      </c>
      <c r="I579" s="133" t="s">
        <v>1092</v>
      </c>
      <c r="J579" s="133" t="s">
        <v>2107</v>
      </c>
      <c r="K579" s="143">
        <v>45231</v>
      </c>
      <c r="L579" s="133" t="s">
        <v>1241</v>
      </c>
      <c r="M579" s="133">
        <v>60</v>
      </c>
      <c r="N579" s="147"/>
      <c r="P579" s="140"/>
      <c r="Q579" s="140"/>
    </row>
    <row r="580" spans="1:17" hidden="1" x14ac:dyDescent="0.35">
      <c r="A580" s="146"/>
      <c r="B580" s="143"/>
      <c r="C580" s="133"/>
      <c r="D580" s="133"/>
      <c r="E580" s="145"/>
      <c r="F580" s="197"/>
      <c r="G580" s="133"/>
      <c r="H580" s="144"/>
      <c r="I580" s="133"/>
      <c r="J580" s="133"/>
      <c r="K580" s="133"/>
      <c r="L580" s="133"/>
      <c r="M580" s="133"/>
      <c r="N580" s="147"/>
      <c r="P580" s="140"/>
      <c r="Q580" s="140"/>
    </row>
    <row r="581" spans="1:17" hidden="1" x14ac:dyDescent="0.35">
      <c r="A581" s="146">
        <v>124</v>
      </c>
      <c r="B581" s="143">
        <v>45170</v>
      </c>
      <c r="C581" s="133" t="s">
        <v>1707</v>
      </c>
      <c r="D581" s="133" t="s">
        <v>2134</v>
      </c>
      <c r="E581" s="148" t="s">
        <v>1064</v>
      </c>
      <c r="F581" s="199">
        <v>3400.5</v>
      </c>
      <c r="G581" s="133" t="s">
        <v>1034</v>
      </c>
      <c r="H581" s="144" t="s">
        <v>1341</v>
      </c>
      <c r="I581" s="133" t="s">
        <v>1092</v>
      </c>
      <c r="J581" s="133" t="s">
        <v>2123</v>
      </c>
      <c r="K581" s="143">
        <v>45200</v>
      </c>
      <c r="L581" s="133" t="s">
        <v>1092</v>
      </c>
      <c r="M581" s="133">
        <v>3231.5</v>
      </c>
      <c r="N581" s="147">
        <f>+F581-M581-M582</f>
        <v>0</v>
      </c>
      <c r="P581" s="140"/>
      <c r="Q581" s="140"/>
    </row>
    <row r="582" spans="1:17" hidden="1" x14ac:dyDescent="0.35">
      <c r="A582" s="146"/>
      <c r="B582" s="143"/>
      <c r="C582" s="133"/>
      <c r="D582" s="133"/>
      <c r="E582" s="145"/>
      <c r="F582" s="197"/>
      <c r="G582" s="133" t="s">
        <v>1034</v>
      </c>
      <c r="H582" s="144" t="s">
        <v>1341</v>
      </c>
      <c r="I582" s="133" t="s">
        <v>1092</v>
      </c>
      <c r="J582" s="133" t="s">
        <v>2107</v>
      </c>
      <c r="K582" s="143">
        <v>45231</v>
      </c>
      <c r="L582" s="133" t="s">
        <v>1241</v>
      </c>
      <c r="M582" s="133">
        <v>169</v>
      </c>
      <c r="N582" s="147"/>
      <c r="P582" s="140"/>
      <c r="Q582" s="140"/>
    </row>
    <row r="583" spans="1:17" hidden="1" x14ac:dyDescent="0.35">
      <c r="A583" s="146"/>
      <c r="B583" s="143"/>
      <c r="C583" s="133"/>
      <c r="D583" s="133"/>
      <c r="E583" s="145"/>
      <c r="F583" s="197"/>
      <c r="G583" s="133"/>
      <c r="H583" s="144"/>
      <c r="I583" s="133"/>
      <c r="J583" s="133"/>
      <c r="K583" s="143"/>
      <c r="L583" s="133"/>
      <c r="M583" s="133"/>
      <c r="N583" s="147"/>
      <c r="P583" s="140"/>
      <c r="Q583" s="140"/>
    </row>
    <row r="584" spans="1:17" hidden="1" x14ac:dyDescent="0.35">
      <c r="A584" s="146">
        <v>125</v>
      </c>
      <c r="B584" s="143">
        <v>45170</v>
      </c>
      <c r="C584" s="133" t="s">
        <v>1706</v>
      </c>
      <c r="D584" s="133" t="s">
        <v>2133</v>
      </c>
      <c r="E584" s="145" t="s">
        <v>1342</v>
      </c>
      <c r="F584" s="197">
        <v>14412</v>
      </c>
      <c r="G584" s="133" t="s">
        <v>1034</v>
      </c>
      <c r="H584" s="144" t="s">
        <v>1341</v>
      </c>
      <c r="I584" s="133" t="s">
        <v>1092</v>
      </c>
      <c r="J584" s="133" t="s">
        <v>2123</v>
      </c>
      <c r="K584" s="143">
        <v>45200</v>
      </c>
      <c r="L584" s="133" t="s">
        <v>1092</v>
      </c>
      <c r="M584" s="133">
        <f>1426+952.2+500.4</f>
        <v>2878.6</v>
      </c>
      <c r="N584" s="147">
        <f>+F584+F585+F587+F586-M584-M585-M586-M587</f>
        <v>0</v>
      </c>
      <c r="P584" s="140"/>
      <c r="Q584" s="140"/>
    </row>
    <row r="585" spans="1:17" hidden="1" x14ac:dyDescent="0.35">
      <c r="A585" s="146"/>
      <c r="B585" s="143"/>
      <c r="C585" s="133"/>
      <c r="D585" s="133"/>
      <c r="E585" s="145" t="s">
        <v>1075</v>
      </c>
      <c r="F585" s="197">
        <v>1426</v>
      </c>
      <c r="G585" s="133" t="s">
        <v>1034</v>
      </c>
      <c r="H585" s="144" t="s">
        <v>1341</v>
      </c>
      <c r="I585" s="133" t="s">
        <v>1092</v>
      </c>
      <c r="J585" s="133" t="s">
        <v>2129</v>
      </c>
      <c r="K585" s="143">
        <v>45200</v>
      </c>
      <c r="L585" s="133" t="s">
        <v>1092</v>
      </c>
      <c r="M585" s="133">
        <v>9849.2999999999993</v>
      </c>
      <c r="N585" s="147"/>
      <c r="P585" s="140"/>
      <c r="Q585" s="140"/>
    </row>
    <row r="586" spans="1:17" hidden="1" x14ac:dyDescent="0.35">
      <c r="A586" s="146"/>
      <c r="B586" s="143"/>
      <c r="C586" s="133"/>
      <c r="D586" s="133"/>
      <c r="E586" s="145" t="s">
        <v>1118</v>
      </c>
      <c r="F586" s="197">
        <v>952.2</v>
      </c>
      <c r="G586" s="133" t="s">
        <v>1034</v>
      </c>
      <c r="H586" s="144" t="s">
        <v>1341</v>
      </c>
      <c r="I586" s="133" t="s">
        <v>1092</v>
      </c>
      <c r="J586" s="133" t="s">
        <v>2122</v>
      </c>
      <c r="K586" s="143">
        <v>45200</v>
      </c>
      <c r="L586" s="133" t="s">
        <v>1092</v>
      </c>
      <c r="M586" s="133">
        <v>3696.6999999999989</v>
      </c>
      <c r="N586" s="147"/>
      <c r="P586" s="140"/>
      <c r="Q586" s="140"/>
    </row>
    <row r="587" spans="1:17" hidden="1" x14ac:dyDescent="0.35">
      <c r="A587" s="146"/>
      <c r="B587" s="143"/>
      <c r="C587" s="133"/>
      <c r="D587" s="133"/>
      <c r="E587" s="145" t="s">
        <v>1067</v>
      </c>
      <c r="F587" s="197">
        <v>500.4</v>
      </c>
      <c r="G587" s="133" t="s">
        <v>1034</v>
      </c>
      <c r="H587" s="144" t="s">
        <v>1341</v>
      </c>
      <c r="I587" s="133" t="s">
        <v>1092</v>
      </c>
      <c r="J587" s="133" t="s">
        <v>2107</v>
      </c>
      <c r="K587" s="143">
        <v>45231</v>
      </c>
      <c r="L587" s="133" t="s">
        <v>1241</v>
      </c>
      <c r="M587" s="133">
        <v>866</v>
      </c>
      <c r="N587" s="147"/>
      <c r="P587" s="140"/>
      <c r="Q587" s="140"/>
    </row>
    <row r="588" spans="1:17" hidden="1" x14ac:dyDescent="0.35">
      <c r="A588" s="146"/>
      <c r="B588" s="143"/>
      <c r="C588" s="133"/>
      <c r="D588" s="133"/>
      <c r="E588" s="145"/>
      <c r="F588" s="197"/>
      <c r="G588" s="133"/>
      <c r="H588" s="144"/>
      <c r="I588" s="133"/>
      <c r="J588" s="133"/>
      <c r="K588" s="133"/>
      <c r="L588" s="133"/>
      <c r="M588" s="133"/>
      <c r="N588" s="147"/>
      <c r="P588" s="140"/>
      <c r="Q588" s="140"/>
    </row>
    <row r="589" spans="1:17" hidden="1" x14ac:dyDescent="0.35">
      <c r="A589" s="146">
        <v>126</v>
      </c>
      <c r="B589" s="143">
        <v>45170</v>
      </c>
      <c r="C589" s="133" t="s">
        <v>1704</v>
      </c>
      <c r="D589" s="133" t="s">
        <v>2132</v>
      </c>
      <c r="E589" s="145" t="s">
        <v>1342</v>
      </c>
      <c r="F589" s="148">
        <v>4518</v>
      </c>
      <c r="G589" s="133" t="s">
        <v>1034</v>
      </c>
      <c r="H589" s="144" t="s">
        <v>1341</v>
      </c>
      <c r="I589" s="133" t="s">
        <v>1092</v>
      </c>
      <c r="J589" s="133" t="s">
        <v>2123</v>
      </c>
      <c r="K589" s="143">
        <v>45200</v>
      </c>
      <c r="L589" s="133" t="s">
        <v>1092</v>
      </c>
      <c r="M589" s="133">
        <f>1273.5+135+4166.2</f>
        <v>5574.7</v>
      </c>
      <c r="N589" s="147">
        <f>+F589+F590+F592+F591+F593-M589-M590-M591-M592</f>
        <v>0</v>
      </c>
      <c r="P589" s="140"/>
      <c r="Q589" s="140"/>
    </row>
    <row r="590" spans="1:17" hidden="1" x14ac:dyDescent="0.35">
      <c r="A590" s="146"/>
      <c r="B590" s="143"/>
      <c r="C590" s="133"/>
      <c r="D590" s="133"/>
      <c r="E590" s="145" t="s">
        <v>1075</v>
      </c>
      <c r="F590" s="194">
        <v>4166.2</v>
      </c>
      <c r="G590" s="133" t="s">
        <v>1034</v>
      </c>
      <c r="H590" s="144" t="s">
        <v>1341</v>
      </c>
      <c r="I590" s="133" t="s">
        <v>1092</v>
      </c>
      <c r="J590" s="133" t="s">
        <v>2129</v>
      </c>
      <c r="K590" s="143">
        <v>45200</v>
      </c>
      <c r="L590" s="133" t="s">
        <v>1092</v>
      </c>
      <c r="M590" s="133">
        <f>3513+5000</f>
        <v>8513</v>
      </c>
      <c r="N590" s="147"/>
      <c r="P590" s="140"/>
      <c r="Q590" s="140"/>
    </row>
    <row r="591" spans="1:17" hidden="1" x14ac:dyDescent="0.35">
      <c r="A591" s="146"/>
      <c r="B591" s="143"/>
      <c r="C591" s="133"/>
      <c r="D591" s="133"/>
      <c r="E591" s="148" t="s">
        <v>1064</v>
      </c>
      <c r="F591" s="197">
        <v>1273.5</v>
      </c>
      <c r="G591" s="133" t="s">
        <v>1034</v>
      </c>
      <c r="H591" s="144" t="s">
        <v>1341</v>
      </c>
      <c r="I591" s="133" t="s">
        <v>1092</v>
      </c>
      <c r="J591" s="133" t="s">
        <v>2122</v>
      </c>
      <c r="K591" s="143">
        <v>45200</v>
      </c>
      <c r="L591" s="133" t="s">
        <v>1092</v>
      </c>
      <c r="M591" s="133">
        <v>5000</v>
      </c>
      <c r="N591" s="147"/>
      <c r="P591" s="140"/>
      <c r="Q591" s="140"/>
    </row>
    <row r="592" spans="1:17" hidden="1" x14ac:dyDescent="0.35">
      <c r="A592" s="146"/>
      <c r="B592" s="143"/>
      <c r="C592" s="133"/>
      <c r="D592" s="133"/>
      <c r="E592" s="145" t="s">
        <v>1071</v>
      </c>
      <c r="F592" s="148">
        <v>135</v>
      </c>
      <c r="G592" s="133" t="s">
        <v>1034</v>
      </c>
      <c r="H592" s="144" t="s">
        <v>1341</v>
      </c>
      <c r="I592" s="133" t="s">
        <v>1092</v>
      </c>
      <c r="J592" s="133" t="s">
        <v>2107</v>
      </c>
      <c r="K592" s="143">
        <v>45231</v>
      </c>
      <c r="L592" s="133" t="s">
        <v>1241</v>
      </c>
      <c r="M592" s="133">
        <v>1005</v>
      </c>
      <c r="N592" s="147"/>
      <c r="P592" s="140"/>
      <c r="Q592" s="140"/>
    </row>
    <row r="593" spans="1:17" hidden="1" x14ac:dyDescent="0.35">
      <c r="A593" s="146"/>
      <c r="B593" s="143"/>
      <c r="C593" s="133"/>
      <c r="D593" s="133"/>
      <c r="E593" s="145" t="s">
        <v>1184</v>
      </c>
      <c r="F593" s="148">
        <v>10000</v>
      </c>
      <c r="G593" s="133"/>
      <c r="H593" s="144"/>
      <c r="I593" s="133"/>
      <c r="J593" s="133"/>
      <c r="K593" s="133"/>
      <c r="L593" s="133"/>
      <c r="M593" s="133"/>
      <c r="N593" s="147"/>
      <c r="P593" s="140"/>
      <c r="Q593" s="140"/>
    </row>
    <row r="594" spans="1:17" hidden="1" x14ac:dyDescent="0.35">
      <c r="A594" s="146"/>
      <c r="B594" s="143"/>
      <c r="C594" s="133"/>
      <c r="D594" s="133"/>
      <c r="E594" s="145"/>
      <c r="F594" s="148"/>
      <c r="G594" s="133"/>
      <c r="H594" s="144"/>
      <c r="I594" s="133"/>
      <c r="J594" s="133"/>
      <c r="K594" s="133"/>
      <c r="L594" s="133"/>
      <c r="M594" s="133"/>
      <c r="N594" s="147"/>
      <c r="P594" s="140"/>
      <c r="Q594" s="140"/>
    </row>
    <row r="595" spans="1:17" hidden="1" x14ac:dyDescent="0.35">
      <c r="A595" s="146">
        <v>127</v>
      </c>
      <c r="B595" s="143">
        <v>45170</v>
      </c>
      <c r="C595" s="133" t="s">
        <v>1702</v>
      </c>
      <c r="D595" s="133" t="s">
        <v>2131</v>
      </c>
      <c r="E595" s="145" t="s">
        <v>1071</v>
      </c>
      <c r="F595" s="148">
        <v>1768.4</v>
      </c>
      <c r="G595" s="133" t="s">
        <v>1034</v>
      </c>
      <c r="H595" s="144" t="s">
        <v>1341</v>
      </c>
      <c r="I595" s="133" t="s">
        <v>1092</v>
      </c>
      <c r="J595" s="133" t="s">
        <v>2122</v>
      </c>
      <c r="K595" s="143">
        <v>45200</v>
      </c>
      <c r="L595" s="133" t="s">
        <v>1092</v>
      </c>
      <c r="M595" s="133">
        <v>1679.4</v>
      </c>
      <c r="N595" s="147">
        <f>+F595-M595-M596</f>
        <v>0</v>
      </c>
      <c r="P595" s="140"/>
      <c r="Q595" s="140"/>
    </row>
    <row r="596" spans="1:17" hidden="1" x14ac:dyDescent="0.35">
      <c r="A596" s="146"/>
      <c r="B596" s="143"/>
      <c r="C596" s="133"/>
      <c r="D596" s="133"/>
      <c r="E596" s="145"/>
      <c r="F596" s="148"/>
      <c r="G596" s="133" t="s">
        <v>1034</v>
      </c>
      <c r="H596" s="144" t="s">
        <v>1341</v>
      </c>
      <c r="I596" s="133" t="s">
        <v>1092</v>
      </c>
      <c r="J596" s="133" t="s">
        <v>2107</v>
      </c>
      <c r="K596" s="143">
        <v>45231</v>
      </c>
      <c r="L596" s="133" t="s">
        <v>1241</v>
      </c>
      <c r="M596" s="133">
        <v>89</v>
      </c>
      <c r="N596" s="147"/>
      <c r="P596" s="140"/>
      <c r="Q596" s="140"/>
    </row>
    <row r="597" spans="1:17" hidden="1" x14ac:dyDescent="0.35">
      <c r="A597" s="146"/>
      <c r="B597" s="143"/>
      <c r="C597" s="133"/>
      <c r="D597" s="133"/>
      <c r="E597" s="145"/>
      <c r="F597" s="197"/>
      <c r="G597" s="133"/>
      <c r="H597" s="144"/>
      <c r="I597" s="133"/>
      <c r="J597" s="133"/>
      <c r="K597" s="133"/>
      <c r="L597" s="133"/>
      <c r="M597" s="133"/>
      <c r="N597" s="147"/>
      <c r="P597" s="140"/>
      <c r="Q597" s="140"/>
    </row>
    <row r="598" spans="1:17" hidden="1" x14ac:dyDescent="0.35">
      <c r="A598" s="146">
        <v>128</v>
      </c>
      <c r="B598" s="143">
        <v>45170</v>
      </c>
      <c r="C598" s="133" t="s">
        <v>1701</v>
      </c>
      <c r="D598" s="133" t="s">
        <v>2130</v>
      </c>
      <c r="E598" s="145" t="s">
        <v>1342</v>
      </c>
      <c r="F598" s="148">
        <v>1335</v>
      </c>
      <c r="G598" s="133" t="s">
        <v>1034</v>
      </c>
      <c r="H598" s="144" t="s">
        <v>1341</v>
      </c>
      <c r="I598" s="133" t="s">
        <v>1092</v>
      </c>
      <c r="J598" s="133" t="s">
        <v>2129</v>
      </c>
      <c r="K598" s="143">
        <v>45200</v>
      </c>
      <c r="L598" s="133" t="s">
        <v>1092</v>
      </c>
      <c r="M598" s="133">
        <v>611</v>
      </c>
      <c r="N598" s="147">
        <f>+F598+F599+F600+F601-M598-M599-M600-M601-M602</f>
        <v>0</v>
      </c>
      <c r="P598" s="140"/>
      <c r="Q598" s="140"/>
    </row>
    <row r="599" spans="1:17" hidden="1" x14ac:dyDescent="0.35">
      <c r="A599" s="146"/>
      <c r="B599" s="143"/>
      <c r="C599" s="133"/>
      <c r="D599" s="133"/>
      <c r="E599" s="148" t="s">
        <v>1064</v>
      </c>
      <c r="F599" s="197">
        <v>984</v>
      </c>
      <c r="G599" s="133" t="s">
        <v>1034</v>
      </c>
      <c r="H599" s="144" t="s">
        <v>1341</v>
      </c>
      <c r="I599" s="133" t="s">
        <v>1092</v>
      </c>
      <c r="J599" s="133" t="s">
        <v>2122</v>
      </c>
      <c r="K599" s="143">
        <v>45200</v>
      </c>
      <c r="L599" s="133" t="s">
        <v>1092</v>
      </c>
      <c r="M599" s="133">
        <f>594+895.99</f>
        <v>1489.99</v>
      </c>
      <c r="N599" s="147"/>
      <c r="O599" s="140"/>
      <c r="P599" s="140"/>
      <c r="Q599" s="140"/>
    </row>
    <row r="600" spans="1:17" hidden="1" x14ac:dyDescent="0.35">
      <c r="A600" s="146"/>
      <c r="B600" s="143"/>
      <c r="C600" s="133"/>
      <c r="D600" s="133"/>
      <c r="E600" s="133" t="s">
        <v>678</v>
      </c>
      <c r="F600" s="197">
        <v>611</v>
      </c>
      <c r="G600" s="133" t="s">
        <v>1034</v>
      </c>
      <c r="H600" s="144" t="s">
        <v>1341</v>
      </c>
      <c r="I600" s="133" t="s">
        <v>1092</v>
      </c>
      <c r="J600" s="133" t="s">
        <v>2121</v>
      </c>
      <c r="K600" s="143">
        <v>45231</v>
      </c>
      <c r="L600" s="133" t="s">
        <v>1092</v>
      </c>
      <c r="M600" s="133">
        <f>1000+1335</f>
        <v>2335</v>
      </c>
      <c r="N600" s="147"/>
      <c r="P600" s="140"/>
      <c r="Q600" s="140"/>
    </row>
    <row r="601" spans="1:17" hidden="1" x14ac:dyDescent="0.35">
      <c r="A601" s="146"/>
      <c r="B601" s="143"/>
      <c r="C601" s="133"/>
      <c r="D601" s="133"/>
      <c r="E601" s="145" t="s">
        <v>1118</v>
      </c>
      <c r="F601" s="197">
        <v>4895.99</v>
      </c>
      <c r="G601" s="133" t="s">
        <v>1034</v>
      </c>
      <c r="H601" s="144" t="s">
        <v>1341</v>
      </c>
      <c r="I601" s="133" t="s">
        <v>1092</v>
      </c>
      <c r="J601" s="133" t="s">
        <v>2114</v>
      </c>
      <c r="K601" s="143">
        <v>45231</v>
      </c>
      <c r="L601" s="133" t="s">
        <v>1092</v>
      </c>
      <c r="M601" s="133">
        <v>3000</v>
      </c>
      <c r="N601" s="147"/>
      <c r="P601" s="140"/>
      <c r="Q601" s="140"/>
    </row>
    <row r="602" spans="1:17" hidden="1" x14ac:dyDescent="0.35">
      <c r="A602" s="146"/>
      <c r="B602" s="143"/>
      <c r="C602" s="133"/>
      <c r="D602" s="133"/>
      <c r="E602" s="145"/>
      <c r="F602" s="197"/>
      <c r="G602" s="133" t="s">
        <v>1034</v>
      </c>
      <c r="H602" s="144" t="s">
        <v>1341</v>
      </c>
      <c r="I602" s="133" t="s">
        <v>1092</v>
      </c>
      <c r="J602" s="133" t="s">
        <v>2107</v>
      </c>
      <c r="K602" s="143">
        <v>45231</v>
      </c>
      <c r="L602" s="133" t="s">
        <v>1241</v>
      </c>
      <c r="M602" s="133">
        <v>390</v>
      </c>
      <c r="N602" s="147"/>
      <c r="P602" s="140"/>
      <c r="Q602" s="140"/>
    </row>
    <row r="603" spans="1:17" hidden="1" x14ac:dyDescent="0.35">
      <c r="A603" s="146"/>
      <c r="B603" s="143"/>
      <c r="C603" s="133"/>
      <c r="D603" s="133"/>
      <c r="E603" s="145"/>
      <c r="F603" s="197"/>
      <c r="G603" s="133"/>
      <c r="H603" s="144"/>
      <c r="I603" s="133"/>
      <c r="J603" s="133"/>
      <c r="K603" s="133"/>
      <c r="L603" s="133"/>
      <c r="M603" s="133"/>
      <c r="N603" s="147"/>
      <c r="P603" s="140"/>
      <c r="Q603" s="140"/>
    </row>
    <row r="604" spans="1:17" hidden="1" x14ac:dyDescent="0.35">
      <c r="A604" s="146">
        <v>129</v>
      </c>
      <c r="B604" s="143">
        <v>45170</v>
      </c>
      <c r="C604" s="133" t="s">
        <v>1700</v>
      </c>
      <c r="D604" s="133" t="s">
        <v>2128</v>
      </c>
      <c r="E604" s="148" t="s">
        <v>1064</v>
      </c>
      <c r="F604" s="145">
        <v>955.8</v>
      </c>
      <c r="G604" s="133" t="s">
        <v>1034</v>
      </c>
      <c r="H604" s="144" t="s">
        <v>1341</v>
      </c>
      <c r="I604" s="133" t="s">
        <v>1092</v>
      </c>
      <c r="J604" s="133" t="s">
        <v>2121</v>
      </c>
      <c r="K604" s="143">
        <v>45231</v>
      </c>
      <c r="L604" s="133" t="s">
        <v>1092</v>
      </c>
      <c r="M604" s="133">
        <v>5459.7</v>
      </c>
      <c r="N604" s="147">
        <f>+F604+F605-M604-M605</f>
        <v>0</v>
      </c>
      <c r="P604" s="140"/>
      <c r="Q604" s="140"/>
    </row>
    <row r="605" spans="1:17" hidden="1" x14ac:dyDescent="0.35">
      <c r="A605" s="146"/>
      <c r="B605" s="143"/>
      <c r="C605" s="133"/>
      <c r="D605" s="133"/>
      <c r="E605" s="145" t="s">
        <v>1075</v>
      </c>
      <c r="F605" s="145">
        <v>4791.8999999999996</v>
      </c>
      <c r="G605" s="133" t="s">
        <v>1034</v>
      </c>
      <c r="H605" s="144" t="s">
        <v>1341</v>
      </c>
      <c r="I605" s="133" t="s">
        <v>1092</v>
      </c>
      <c r="J605" s="133" t="s">
        <v>2107</v>
      </c>
      <c r="K605" s="143">
        <v>45231</v>
      </c>
      <c r="L605" s="133" t="s">
        <v>1241</v>
      </c>
      <c r="M605" s="133">
        <v>288</v>
      </c>
      <c r="N605" s="147"/>
      <c r="P605" s="140"/>
      <c r="Q605" s="140"/>
    </row>
    <row r="606" spans="1:17" hidden="1" x14ac:dyDescent="0.35">
      <c r="A606" s="146"/>
      <c r="B606" s="143"/>
      <c r="C606" s="133"/>
      <c r="D606" s="133"/>
      <c r="E606" s="145"/>
      <c r="F606" s="197"/>
      <c r="G606" s="133"/>
      <c r="H606" s="144"/>
      <c r="I606" s="133"/>
      <c r="J606" s="133"/>
      <c r="K606" s="133"/>
      <c r="L606" s="133"/>
      <c r="M606" s="133"/>
      <c r="N606" s="147"/>
      <c r="P606" s="140"/>
      <c r="Q606" s="140"/>
    </row>
    <row r="607" spans="1:17" hidden="1" x14ac:dyDescent="0.35">
      <c r="A607" s="146">
        <v>130</v>
      </c>
      <c r="B607" s="143">
        <v>45170</v>
      </c>
      <c r="C607" s="133" t="s">
        <v>1698</v>
      </c>
      <c r="D607" s="133" t="s">
        <v>2127</v>
      </c>
      <c r="E607" s="145" t="s">
        <v>1075</v>
      </c>
      <c r="F607" s="145">
        <v>906</v>
      </c>
      <c r="G607" s="133" t="s">
        <v>1034</v>
      </c>
      <c r="H607" s="144" t="s">
        <v>1341</v>
      </c>
      <c r="I607" s="133" t="s">
        <v>1092</v>
      </c>
      <c r="J607" s="133" t="s">
        <v>2121</v>
      </c>
      <c r="K607" s="143">
        <v>45231</v>
      </c>
      <c r="L607" s="133" t="s">
        <v>1092</v>
      </c>
      <c r="M607" s="133">
        <v>5876.3</v>
      </c>
      <c r="N607" s="147">
        <f>+F607+F608+F609+F610+F611-M607-M608</f>
        <v>0</v>
      </c>
      <c r="P607" s="140"/>
      <c r="Q607" s="140"/>
    </row>
    <row r="608" spans="1:17" hidden="1" x14ac:dyDescent="0.35">
      <c r="A608" s="146"/>
      <c r="B608" s="143"/>
      <c r="C608" s="133"/>
      <c r="D608" s="133"/>
      <c r="E608" s="145" t="s">
        <v>1067</v>
      </c>
      <c r="F608" s="145">
        <v>1342.7</v>
      </c>
      <c r="G608" s="133" t="s">
        <v>1034</v>
      </c>
      <c r="H608" s="144" t="s">
        <v>1341</v>
      </c>
      <c r="I608" s="133" t="s">
        <v>1092</v>
      </c>
      <c r="J608" s="133" t="s">
        <v>2107</v>
      </c>
      <c r="K608" s="143">
        <v>45231</v>
      </c>
      <c r="L608" s="133" t="s">
        <v>1241</v>
      </c>
      <c r="M608" s="133">
        <v>310</v>
      </c>
      <c r="N608" s="147"/>
      <c r="P608" s="140"/>
      <c r="Q608" s="140"/>
    </row>
    <row r="609" spans="1:17" hidden="1" x14ac:dyDescent="0.35">
      <c r="A609" s="146"/>
      <c r="B609" s="143"/>
      <c r="C609" s="133"/>
      <c r="D609" s="133"/>
      <c r="E609" s="145" t="s">
        <v>1342</v>
      </c>
      <c r="F609" s="197">
        <v>3584</v>
      </c>
      <c r="G609" s="133"/>
      <c r="H609" s="144"/>
      <c r="I609" s="133"/>
      <c r="J609" s="133"/>
      <c r="K609" s="133"/>
      <c r="L609" s="133"/>
      <c r="M609" s="133"/>
      <c r="N609" s="147"/>
      <c r="P609" s="140"/>
      <c r="Q609" s="140"/>
    </row>
    <row r="610" spans="1:17" hidden="1" x14ac:dyDescent="0.35">
      <c r="A610" s="146"/>
      <c r="B610" s="143"/>
      <c r="C610" s="133"/>
      <c r="D610" s="133"/>
      <c r="E610" s="145" t="s">
        <v>1071</v>
      </c>
      <c r="F610" s="197">
        <v>153.6</v>
      </c>
      <c r="G610" s="133"/>
      <c r="H610" s="144"/>
      <c r="I610" s="133"/>
      <c r="J610" s="133"/>
      <c r="K610" s="133"/>
      <c r="L610" s="133"/>
      <c r="M610" s="133"/>
      <c r="N610" s="147"/>
      <c r="P610" s="140"/>
      <c r="Q610" s="140"/>
    </row>
    <row r="611" spans="1:17" hidden="1" x14ac:dyDescent="0.35">
      <c r="A611" s="146"/>
      <c r="B611" s="143"/>
      <c r="C611" s="133"/>
      <c r="D611" s="133"/>
      <c r="E611" s="145" t="s">
        <v>32</v>
      </c>
      <c r="F611" s="197">
        <v>200</v>
      </c>
      <c r="G611" s="133"/>
      <c r="H611" s="144"/>
      <c r="I611" s="133"/>
      <c r="J611" s="133"/>
      <c r="K611" s="133"/>
      <c r="L611" s="133"/>
      <c r="M611" s="133"/>
      <c r="N611" s="147"/>
      <c r="P611" s="140"/>
      <c r="Q611" s="140"/>
    </row>
    <row r="612" spans="1:17" hidden="1" x14ac:dyDescent="0.35">
      <c r="A612" s="146"/>
      <c r="B612" s="143"/>
      <c r="C612" s="133"/>
      <c r="D612" s="133"/>
      <c r="E612" s="145"/>
      <c r="F612" s="197"/>
      <c r="G612" s="133"/>
      <c r="H612" s="144"/>
      <c r="I612" s="133"/>
      <c r="J612" s="133"/>
      <c r="K612" s="133"/>
      <c r="L612" s="133"/>
      <c r="M612" s="133"/>
      <c r="N612" s="147"/>
      <c r="P612" s="140"/>
      <c r="Q612" s="140"/>
    </row>
    <row r="613" spans="1:17" hidden="1" x14ac:dyDescent="0.35">
      <c r="A613" s="146">
        <v>131</v>
      </c>
      <c r="B613" s="143">
        <v>45170</v>
      </c>
      <c r="C613" s="133" t="s">
        <v>1697</v>
      </c>
      <c r="D613" s="133" t="s">
        <v>2127</v>
      </c>
      <c r="E613" s="148" t="s">
        <v>1059</v>
      </c>
      <c r="F613" s="145">
        <v>99000</v>
      </c>
      <c r="G613" s="133" t="s">
        <v>1034</v>
      </c>
      <c r="H613" s="144" t="s">
        <v>1341</v>
      </c>
      <c r="I613" s="133" t="s">
        <v>1092</v>
      </c>
      <c r="J613" s="133" t="s">
        <v>2126</v>
      </c>
      <c r="K613" s="143">
        <v>45200</v>
      </c>
      <c r="L613" s="133" t="s">
        <v>1092</v>
      </c>
      <c r="M613" s="133">
        <v>17293.580000000002</v>
      </c>
      <c r="N613" s="147">
        <f>+F613-M613-M614-M615-M616-M617-M618-M619-M620-M621</f>
        <v>7.2759576141834259E-12</v>
      </c>
      <c r="P613" s="140"/>
      <c r="Q613" s="140"/>
    </row>
    <row r="614" spans="1:17" hidden="1" x14ac:dyDescent="0.35">
      <c r="A614" s="146"/>
      <c r="B614" s="143"/>
      <c r="C614" s="133"/>
      <c r="D614" s="133"/>
      <c r="E614" s="145"/>
      <c r="F614" s="197"/>
      <c r="G614" s="133" t="s">
        <v>1034</v>
      </c>
      <c r="H614" s="144" t="s">
        <v>1341</v>
      </c>
      <c r="I614" s="133" t="s">
        <v>1092</v>
      </c>
      <c r="J614" s="133" t="s">
        <v>2126</v>
      </c>
      <c r="K614" s="143">
        <v>45200</v>
      </c>
      <c r="L614" s="133" t="s">
        <v>1092</v>
      </c>
      <c r="M614" s="133">
        <v>13543.11</v>
      </c>
      <c r="N614" s="147"/>
      <c r="P614" s="140"/>
      <c r="Q614" s="140"/>
    </row>
    <row r="615" spans="1:17" hidden="1" x14ac:dyDescent="0.35">
      <c r="A615" s="146"/>
      <c r="B615" s="143"/>
      <c r="C615" s="133"/>
      <c r="D615" s="133"/>
      <c r="E615" s="145"/>
      <c r="F615" s="197"/>
      <c r="G615" s="133" t="s">
        <v>1034</v>
      </c>
      <c r="H615" s="144" t="s">
        <v>1341</v>
      </c>
      <c r="I615" s="133" t="s">
        <v>1092</v>
      </c>
      <c r="J615" s="133" t="s">
        <v>2125</v>
      </c>
      <c r="K615" s="143">
        <v>45200</v>
      </c>
      <c r="L615" s="133" t="s">
        <v>1092</v>
      </c>
      <c r="M615" s="133">
        <v>5163.3100000000004</v>
      </c>
      <c r="N615" s="147"/>
      <c r="P615" s="140"/>
      <c r="Q615" s="140"/>
    </row>
    <row r="616" spans="1:17" hidden="1" x14ac:dyDescent="0.35">
      <c r="A616" s="146"/>
      <c r="B616" s="143"/>
      <c r="C616" s="133"/>
      <c r="D616" s="133"/>
      <c r="E616" s="145"/>
      <c r="F616" s="197"/>
      <c r="G616" s="133" t="s">
        <v>1034</v>
      </c>
      <c r="H616" s="144" t="s">
        <v>1341</v>
      </c>
      <c r="I616" s="133" t="s">
        <v>1092</v>
      </c>
      <c r="J616" s="133" t="s">
        <v>2124</v>
      </c>
      <c r="K616" s="143">
        <v>45200</v>
      </c>
      <c r="L616" s="133" t="s">
        <v>1092</v>
      </c>
      <c r="M616" s="133">
        <v>16236.99</v>
      </c>
      <c r="N616" s="147"/>
      <c r="P616" s="140"/>
      <c r="Q616" s="140"/>
    </row>
    <row r="617" spans="1:17" hidden="1" x14ac:dyDescent="0.35">
      <c r="A617" s="146"/>
      <c r="B617" s="143"/>
      <c r="C617" s="133"/>
      <c r="D617" s="133"/>
      <c r="E617" s="145"/>
      <c r="F617" s="197"/>
      <c r="G617" s="133" t="s">
        <v>1034</v>
      </c>
      <c r="H617" s="144" t="s">
        <v>1341</v>
      </c>
      <c r="I617" s="133" t="s">
        <v>1092</v>
      </c>
      <c r="J617" s="133" t="s">
        <v>2123</v>
      </c>
      <c r="K617" s="143">
        <v>45200</v>
      </c>
      <c r="L617" s="133" t="s">
        <v>1092</v>
      </c>
      <c r="M617" s="133">
        <v>5546.7</v>
      </c>
      <c r="N617" s="147"/>
      <c r="P617" s="140"/>
      <c r="Q617" s="140"/>
    </row>
    <row r="618" spans="1:17" hidden="1" x14ac:dyDescent="0.35">
      <c r="A618" s="146"/>
      <c r="B618" s="143"/>
      <c r="C618" s="133"/>
      <c r="D618" s="133"/>
      <c r="E618" s="145"/>
      <c r="F618" s="197"/>
      <c r="G618" s="133" t="s">
        <v>1034</v>
      </c>
      <c r="H618" s="144" t="s">
        <v>1341</v>
      </c>
      <c r="I618" s="133" t="s">
        <v>1092</v>
      </c>
      <c r="J618" s="133" t="s">
        <v>2122</v>
      </c>
      <c r="K618" s="143">
        <v>45200</v>
      </c>
      <c r="L618" s="133" t="s">
        <v>1092</v>
      </c>
      <c r="M618" s="133">
        <v>7459.21</v>
      </c>
      <c r="N618" s="147"/>
      <c r="P618" s="140"/>
      <c r="Q618" s="140"/>
    </row>
    <row r="619" spans="1:17" hidden="1" x14ac:dyDescent="0.35">
      <c r="A619" s="146"/>
      <c r="B619" s="143"/>
      <c r="C619" s="133"/>
      <c r="D619" s="133"/>
      <c r="E619" s="145"/>
      <c r="F619" s="197"/>
      <c r="G619" s="133" t="s">
        <v>1034</v>
      </c>
      <c r="H619" s="144" t="s">
        <v>1341</v>
      </c>
      <c r="I619" s="133" t="s">
        <v>1092</v>
      </c>
      <c r="J619" s="133" t="s">
        <v>2121</v>
      </c>
      <c r="K619" s="143">
        <v>45231</v>
      </c>
      <c r="L619" s="133" t="s">
        <v>1092</v>
      </c>
      <c r="M619" s="133">
        <v>5995.1</v>
      </c>
      <c r="N619" s="147"/>
      <c r="P619" s="140"/>
      <c r="Q619" s="140"/>
    </row>
    <row r="620" spans="1:17" hidden="1" x14ac:dyDescent="0.35">
      <c r="A620" s="146"/>
      <c r="B620" s="143"/>
      <c r="C620" s="133"/>
      <c r="D620" s="133"/>
      <c r="E620" s="145"/>
      <c r="F620" s="197"/>
      <c r="G620" s="133" t="s">
        <v>1034</v>
      </c>
      <c r="H620" s="144" t="s">
        <v>1341</v>
      </c>
      <c r="I620" s="133" t="s">
        <v>1092</v>
      </c>
      <c r="J620" s="133" t="s">
        <v>2114</v>
      </c>
      <c r="K620" s="143">
        <v>45231</v>
      </c>
      <c r="L620" s="133" t="s">
        <v>1092</v>
      </c>
      <c r="M620" s="133">
        <v>22810</v>
      </c>
      <c r="N620" s="147"/>
      <c r="P620" s="140"/>
      <c r="Q620" s="140"/>
    </row>
    <row r="621" spans="1:17" hidden="1" x14ac:dyDescent="0.35">
      <c r="A621" s="146"/>
      <c r="B621" s="143"/>
      <c r="C621" s="133"/>
      <c r="D621" s="133"/>
      <c r="E621" s="145"/>
      <c r="F621" s="197"/>
      <c r="G621" s="133" t="s">
        <v>1034</v>
      </c>
      <c r="H621" s="144" t="s">
        <v>1341</v>
      </c>
      <c r="I621" s="133" t="s">
        <v>1092</v>
      </c>
      <c r="J621" s="133" t="s">
        <v>2107</v>
      </c>
      <c r="K621" s="143">
        <v>45231</v>
      </c>
      <c r="L621" s="133" t="s">
        <v>1241</v>
      </c>
      <c r="M621" s="133">
        <v>4952</v>
      </c>
      <c r="N621" s="147"/>
      <c r="P621" s="140"/>
      <c r="Q621" s="140"/>
    </row>
    <row r="622" spans="1:17" hidden="1" x14ac:dyDescent="0.35">
      <c r="A622" s="146"/>
      <c r="B622" s="143"/>
      <c r="C622" s="133"/>
      <c r="D622" s="133"/>
      <c r="E622" s="145"/>
      <c r="F622" s="197"/>
      <c r="G622" s="133"/>
      <c r="H622" s="144"/>
      <c r="I622" s="133"/>
      <c r="J622" s="133"/>
      <c r="K622" s="143"/>
      <c r="L622" s="133"/>
      <c r="M622" s="133"/>
      <c r="N622" s="147"/>
      <c r="P622" s="140"/>
      <c r="Q622" s="140"/>
    </row>
    <row r="623" spans="1:17" hidden="1" x14ac:dyDescent="0.35">
      <c r="A623" s="146">
        <v>132</v>
      </c>
      <c r="B623" s="143">
        <v>45170</v>
      </c>
      <c r="C623" s="133" t="s">
        <v>1695</v>
      </c>
      <c r="D623" s="133" t="s">
        <v>2120</v>
      </c>
      <c r="E623" s="145" t="s">
        <v>1067</v>
      </c>
      <c r="F623" s="145">
        <v>1503</v>
      </c>
      <c r="G623" s="133" t="s">
        <v>1034</v>
      </c>
      <c r="H623" s="144" t="s">
        <v>1341</v>
      </c>
      <c r="I623" s="133" t="s">
        <v>1092</v>
      </c>
      <c r="J623" s="133" t="s">
        <v>2114</v>
      </c>
      <c r="K623" s="143">
        <v>45231</v>
      </c>
      <c r="L623" s="133" t="s">
        <v>1092</v>
      </c>
      <c r="M623" s="133">
        <v>6117</v>
      </c>
      <c r="N623" s="147">
        <f>+F623+F624-M623-M624</f>
        <v>0</v>
      </c>
      <c r="P623" s="140"/>
      <c r="Q623" s="140"/>
    </row>
    <row r="624" spans="1:17" hidden="1" x14ac:dyDescent="0.35">
      <c r="A624" s="146"/>
      <c r="B624" s="143"/>
      <c r="C624" s="133"/>
      <c r="D624" s="133"/>
      <c r="E624" s="145" t="s">
        <v>1342</v>
      </c>
      <c r="F624" s="197">
        <v>4934</v>
      </c>
      <c r="G624" s="133" t="s">
        <v>1034</v>
      </c>
      <c r="H624" s="144" t="s">
        <v>1341</v>
      </c>
      <c r="I624" s="133" t="s">
        <v>1092</v>
      </c>
      <c r="J624" s="133" t="s">
        <v>2107</v>
      </c>
      <c r="K624" s="143">
        <v>45231</v>
      </c>
      <c r="L624" s="133" t="s">
        <v>1241</v>
      </c>
      <c r="M624" s="133">
        <v>320</v>
      </c>
      <c r="N624" s="147"/>
      <c r="O624" s="140"/>
      <c r="P624" s="140"/>
      <c r="Q624" s="140"/>
    </row>
    <row r="625" spans="1:17" hidden="1" x14ac:dyDescent="0.35">
      <c r="A625" s="146"/>
      <c r="B625" s="143"/>
      <c r="C625" s="133"/>
      <c r="D625" s="133"/>
      <c r="E625" s="145"/>
      <c r="F625" s="197"/>
      <c r="G625" s="133"/>
      <c r="H625" s="144"/>
      <c r="I625" s="133"/>
      <c r="J625" s="133"/>
      <c r="K625" s="133"/>
      <c r="L625" s="133"/>
      <c r="M625" s="133"/>
      <c r="N625" s="147"/>
      <c r="P625" s="140"/>
      <c r="Q625" s="140"/>
    </row>
    <row r="626" spans="1:17" hidden="1" x14ac:dyDescent="0.35">
      <c r="A626" s="146">
        <v>133</v>
      </c>
      <c r="B626" s="143">
        <v>45170</v>
      </c>
      <c r="C626" s="133" t="s">
        <v>1693</v>
      </c>
      <c r="D626" s="133" t="s">
        <v>2119</v>
      </c>
      <c r="E626" s="145" t="s">
        <v>1067</v>
      </c>
      <c r="F626" s="145">
        <v>657</v>
      </c>
      <c r="G626" s="133" t="s">
        <v>1034</v>
      </c>
      <c r="H626" s="144" t="s">
        <v>1341</v>
      </c>
      <c r="I626" s="133" t="s">
        <v>1092</v>
      </c>
      <c r="J626" s="133" t="s">
        <v>2114</v>
      </c>
      <c r="K626" s="143">
        <v>45231</v>
      </c>
      <c r="L626" s="133" t="s">
        <v>1092</v>
      </c>
      <c r="M626" s="133">
        <v>10618.5</v>
      </c>
      <c r="N626" s="147">
        <f>+F626+F627+F628+F629-M626-M627</f>
        <v>0</v>
      </c>
      <c r="P626" s="140"/>
      <c r="Q626" s="140"/>
    </row>
    <row r="627" spans="1:17" hidden="1" x14ac:dyDescent="0.35">
      <c r="A627" s="146"/>
      <c r="B627" s="143"/>
      <c r="C627" s="133"/>
      <c r="D627" s="133"/>
      <c r="E627" s="145" t="s">
        <v>1342</v>
      </c>
      <c r="F627" s="197">
        <v>3988</v>
      </c>
      <c r="G627" s="133" t="s">
        <v>1034</v>
      </c>
      <c r="H627" s="144" t="s">
        <v>1341</v>
      </c>
      <c r="I627" s="133" t="s">
        <v>1092</v>
      </c>
      <c r="J627" s="133" t="s">
        <v>2107</v>
      </c>
      <c r="K627" s="143">
        <v>45231</v>
      </c>
      <c r="L627" s="133" t="s">
        <v>1241</v>
      </c>
      <c r="M627" s="133">
        <v>320</v>
      </c>
      <c r="N627" s="147"/>
      <c r="P627" s="140"/>
      <c r="Q627" s="140"/>
    </row>
    <row r="628" spans="1:17" hidden="1" x14ac:dyDescent="0.35">
      <c r="A628" s="146"/>
      <c r="B628" s="143"/>
      <c r="C628" s="133"/>
      <c r="D628" s="133"/>
      <c r="E628" s="145" t="s">
        <v>1075</v>
      </c>
      <c r="F628" s="197">
        <v>3926.4</v>
      </c>
      <c r="G628" s="133"/>
      <c r="H628" s="144"/>
      <c r="I628" s="133"/>
      <c r="J628" s="133"/>
      <c r="K628" s="133"/>
      <c r="L628" s="133"/>
      <c r="M628" s="133"/>
      <c r="N628" s="147"/>
      <c r="P628" s="140"/>
      <c r="Q628" s="140"/>
    </row>
    <row r="629" spans="1:17" hidden="1" x14ac:dyDescent="0.35">
      <c r="A629" s="146"/>
      <c r="B629" s="143"/>
      <c r="C629" s="133"/>
      <c r="D629" s="133"/>
      <c r="E629" s="148" t="s">
        <v>1064</v>
      </c>
      <c r="F629" s="197">
        <v>2367.1</v>
      </c>
      <c r="G629" s="133"/>
      <c r="H629" s="144"/>
      <c r="I629" s="133"/>
      <c r="J629" s="133"/>
      <c r="K629" s="133"/>
      <c r="L629" s="133"/>
      <c r="M629" s="133"/>
      <c r="N629" s="147"/>
      <c r="P629" s="140"/>
      <c r="Q629" s="140"/>
    </row>
    <row r="630" spans="1:17" hidden="1" x14ac:dyDescent="0.35">
      <c r="A630" s="146"/>
      <c r="B630" s="143"/>
      <c r="C630" s="133"/>
      <c r="D630" s="133"/>
      <c r="E630" s="145"/>
      <c r="F630" s="197"/>
      <c r="G630" s="133"/>
      <c r="H630" s="144"/>
      <c r="I630" s="133"/>
      <c r="J630" s="133"/>
      <c r="K630" s="133"/>
      <c r="L630" s="133"/>
      <c r="M630" s="133"/>
      <c r="N630" s="142"/>
      <c r="P630" s="140"/>
      <c r="Q630" s="140"/>
    </row>
    <row r="631" spans="1:17" hidden="1" x14ac:dyDescent="0.35">
      <c r="A631" s="156"/>
      <c r="B631" s="152"/>
      <c r="C631" s="151"/>
      <c r="D631" s="151"/>
      <c r="E631" s="154"/>
      <c r="F631" s="198"/>
      <c r="G631" s="151"/>
      <c r="H631" s="153"/>
      <c r="I631" s="151"/>
      <c r="J631" s="151"/>
      <c r="K631" s="151"/>
      <c r="L631" s="151"/>
      <c r="M631" s="151"/>
      <c r="N631" s="150"/>
      <c r="P631" s="140"/>
      <c r="Q631" s="140"/>
    </row>
    <row r="632" spans="1:17" hidden="1" x14ac:dyDescent="0.35">
      <c r="A632" s="146"/>
      <c r="B632" s="143"/>
      <c r="C632" s="133"/>
      <c r="D632" s="133"/>
      <c r="E632" s="145"/>
      <c r="F632" s="197"/>
      <c r="G632" s="133"/>
      <c r="H632" s="144"/>
      <c r="I632" s="133"/>
      <c r="J632" s="133"/>
      <c r="K632" s="133"/>
      <c r="L632" s="133"/>
      <c r="M632" s="133"/>
      <c r="N632" s="147"/>
      <c r="P632" s="140"/>
      <c r="Q632" s="140"/>
    </row>
    <row r="633" spans="1:17" hidden="1" x14ac:dyDescent="0.35">
      <c r="A633" s="146">
        <v>134</v>
      </c>
      <c r="B633" s="143">
        <v>45200</v>
      </c>
      <c r="C633" s="133" t="s">
        <v>1692</v>
      </c>
      <c r="D633" s="133" t="s">
        <v>2118</v>
      </c>
      <c r="E633" s="145" t="s">
        <v>1067</v>
      </c>
      <c r="F633" s="197">
        <v>3016.9</v>
      </c>
      <c r="G633" s="133" t="s">
        <v>1034</v>
      </c>
      <c r="H633" s="144" t="s">
        <v>1341</v>
      </c>
      <c r="I633" s="133" t="s">
        <v>1092</v>
      </c>
      <c r="J633" s="133" t="s">
        <v>2114</v>
      </c>
      <c r="K633" s="143">
        <v>45231</v>
      </c>
      <c r="L633" s="133" t="s">
        <v>1092</v>
      </c>
      <c r="M633" s="133">
        <v>18031.2</v>
      </c>
      <c r="N633" s="147">
        <f>+F633+F634+F635+F636+F637+F638-M633-M634</f>
        <v>0</v>
      </c>
      <c r="P633" s="140"/>
      <c r="Q633" s="140"/>
    </row>
    <row r="634" spans="1:17" hidden="1" x14ac:dyDescent="0.35">
      <c r="A634" s="146"/>
      <c r="B634" s="143"/>
      <c r="C634" s="133"/>
      <c r="D634" s="133"/>
      <c r="E634" s="145" t="s">
        <v>1342</v>
      </c>
      <c r="F634" s="197">
        <v>1963</v>
      </c>
      <c r="G634" s="133" t="s">
        <v>1034</v>
      </c>
      <c r="H634" s="144" t="s">
        <v>1341</v>
      </c>
      <c r="I634" s="133" t="s">
        <v>1092</v>
      </c>
      <c r="J634" s="133" t="s">
        <v>2107</v>
      </c>
      <c r="K634" s="143">
        <v>45231</v>
      </c>
      <c r="L634" s="133" t="s">
        <v>1241</v>
      </c>
      <c r="M634" s="133">
        <v>950</v>
      </c>
      <c r="N634" s="147"/>
      <c r="O634" s="140"/>
      <c r="P634" s="140"/>
      <c r="Q634" s="140"/>
    </row>
    <row r="635" spans="1:17" hidden="1" x14ac:dyDescent="0.35">
      <c r="A635" s="146"/>
      <c r="B635" s="143"/>
      <c r="C635" s="133"/>
      <c r="D635" s="133"/>
      <c r="E635" s="145" t="s">
        <v>1075</v>
      </c>
      <c r="F635" s="197">
        <v>8880.9</v>
      </c>
      <c r="G635" s="133"/>
      <c r="H635" s="144"/>
      <c r="I635" s="133"/>
      <c r="J635" s="133"/>
      <c r="K635" s="133"/>
      <c r="L635" s="133"/>
      <c r="M635" s="133"/>
      <c r="N635" s="147"/>
      <c r="P635" s="140"/>
      <c r="Q635" s="140"/>
    </row>
    <row r="636" spans="1:17" hidden="1" x14ac:dyDescent="0.35">
      <c r="A636" s="146"/>
      <c r="B636" s="143"/>
      <c r="C636" s="133"/>
      <c r="D636" s="133"/>
      <c r="E636" s="145" t="s">
        <v>1118</v>
      </c>
      <c r="F636" s="197">
        <v>2515</v>
      </c>
      <c r="G636" s="133"/>
      <c r="H636" s="144"/>
      <c r="I636" s="133"/>
      <c r="J636" s="133"/>
      <c r="K636" s="133"/>
      <c r="L636" s="133"/>
      <c r="M636" s="133"/>
      <c r="N636" s="147"/>
      <c r="P636" s="140"/>
      <c r="Q636" s="140"/>
    </row>
    <row r="637" spans="1:17" hidden="1" x14ac:dyDescent="0.35">
      <c r="A637" s="146"/>
      <c r="B637" s="143"/>
      <c r="C637" s="133"/>
      <c r="D637" s="133"/>
      <c r="E637" s="145" t="s">
        <v>1071</v>
      </c>
      <c r="F637" s="197">
        <v>1605.4</v>
      </c>
      <c r="G637" s="133"/>
      <c r="H637" s="144"/>
      <c r="I637" s="133"/>
      <c r="J637" s="133"/>
      <c r="K637" s="133"/>
      <c r="L637" s="133"/>
      <c r="M637" s="133"/>
      <c r="N637" s="147"/>
      <c r="P637" s="140"/>
      <c r="Q637" s="140"/>
    </row>
    <row r="638" spans="1:17" hidden="1" x14ac:dyDescent="0.35">
      <c r="A638" s="146"/>
      <c r="B638" s="143"/>
      <c r="C638" s="133"/>
      <c r="D638" s="133"/>
      <c r="E638" s="133" t="s">
        <v>1089</v>
      </c>
      <c r="F638" s="197">
        <v>1000</v>
      </c>
      <c r="G638" s="133"/>
      <c r="H638" s="144"/>
      <c r="I638" s="133"/>
      <c r="J638" s="133"/>
      <c r="K638" s="133"/>
      <c r="L638" s="133"/>
      <c r="M638" s="133"/>
      <c r="N638" s="147"/>
      <c r="P638" s="140"/>
      <c r="Q638" s="140"/>
    </row>
    <row r="639" spans="1:17" hidden="1" x14ac:dyDescent="0.35">
      <c r="A639" s="146"/>
      <c r="B639" s="143"/>
      <c r="C639" s="133"/>
      <c r="D639" s="133"/>
      <c r="E639" s="145"/>
      <c r="F639" s="197"/>
      <c r="G639" s="133"/>
      <c r="H639" s="144"/>
      <c r="I639" s="133"/>
      <c r="J639" s="133"/>
      <c r="K639" s="133"/>
      <c r="L639" s="133"/>
      <c r="M639" s="133"/>
      <c r="N639" s="147"/>
      <c r="P639" s="140"/>
      <c r="Q639" s="140"/>
    </row>
    <row r="640" spans="1:17" hidden="1" x14ac:dyDescent="0.35">
      <c r="A640" s="146">
        <v>135</v>
      </c>
      <c r="B640" s="143">
        <v>45200</v>
      </c>
      <c r="C640" s="133" t="s">
        <v>1688</v>
      </c>
      <c r="D640" s="133" t="s">
        <v>2117</v>
      </c>
      <c r="E640" s="145" t="s">
        <v>1067</v>
      </c>
      <c r="F640" s="197">
        <v>2907.3</v>
      </c>
      <c r="G640" s="133" t="s">
        <v>1034</v>
      </c>
      <c r="H640" s="144" t="s">
        <v>1341</v>
      </c>
      <c r="I640" s="133" t="s">
        <v>1092</v>
      </c>
      <c r="J640" s="133" t="s">
        <v>2114</v>
      </c>
      <c r="K640" s="143">
        <v>45231</v>
      </c>
      <c r="L640" s="133" t="s">
        <v>1092</v>
      </c>
      <c r="M640" s="133">
        <v>621.79999999999995</v>
      </c>
      <c r="N640" s="147">
        <f>+F640+F641+F642+F643-M640-M641-M642</f>
        <v>0</v>
      </c>
      <c r="P640" s="140"/>
      <c r="Q640" s="140"/>
    </row>
    <row r="641" spans="1:17" hidden="1" x14ac:dyDescent="0.35">
      <c r="A641" s="146"/>
      <c r="B641" s="143"/>
      <c r="C641" s="133"/>
      <c r="D641" s="133"/>
      <c r="E641" s="145" t="s">
        <v>1071</v>
      </c>
      <c r="F641" s="197">
        <v>1608.2</v>
      </c>
      <c r="G641" s="133" t="s">
        <v>1034</v>
      </c>
      <c r="H641" s="144" t="s">
        <v>1341</v>
      </c>
      <c r="I641" s="133" t="s">
        <v>1092</v>
      </c>
      <c r="J641" s="133" t="s">
        <v>2105</v>
      </c>
      <c r="K641" s="143">
        <v>45231</v>
      </c>
      <c r="L641" s="133" t="s">
        <v>1092</v>
      </c>
      <c r="M641" s="133">
        <v>8240.9000000000015</v>
      </c>
      <c r="N641" s="147"/>
      <c r="P641" s="140"/>
      <c r="Q641" s="140"/>
    </row>
    <row r="642" spans="1:17" hidden="1" x14ac:dyDescent="0.35">
      <c r="A642" s="146"/>
      <c r="B642" s="143"/>
      <c r="C642" s="133"/>
      <c r="D642" s="133"/>
      <c r="E642" s="145" t="s">
        <v>1075</v>
      </c>
      <c r="F642" s="197">
        <v>3526.2</v>
      </c>
      <c r="G642" s="133" t="s">
        <v>1034</v>
      </c>
      <c r="H642" s="144" t="s">
        <v>1341</v>
      </c>
      <c r="I642" s="133" t="s">
        <v>1092</v>
      </c>
      <c r="J642" s="133" t="s">
        <v>2107</v>
      </c>
      <c r="K642" s="143">
        <v>45231</v>
      </c>
      <c r="L642" s="133" t="s">
        <v>1241</v>
      </c>
      <c r="M642" s="133">
        <v>465</v>
      </c>
      <c r="N642" s="147"/>
      <c r="P642" s="140"/>
      <c r="Q642" s="140"/>
    </row>
    <row r="643" spans="1:17" hidden="1" x14ac:dyDescent="0.35">
      <c r="A643" s="146"/>
      <c r="B643" s="143"/>
      <c r="C643" s="133"/>
      <c r="D643" s="133"/>
      <c r="E643" s="148" t="s">
        <v>1064</v>
      </c>
      <c r="F643" s="197">
        <v>1286</v>
      </c>
      <c r="G643" s="133"/>
      <c r="H643" s="144"/>
      <c r="I643" s="133"/>
      <c r="J643" s="133"/>
      <c r="K643" s="133"/>
      <c r="L643" s="133"/>
      <c r="M643" s="133"/>
      <c r="N643" s="147"/>
      <c r="P643" s="140"/>
      <c r="Q643" s="140"/>
    </row>
    <row r="644" spans="1:17" hidden="1" x14ac:dyDescent="0.35">
      <c r="A644" s="146"/>
      <c r="B644" s="143"/>
      <c r="C644" s="133"/>
      <c r="D644" s="133"/>
      <c r="E644" s="145"/>
      <c r="F644" s="197"/>
      <c r="G644" s="133"/>
      <c r="H644" s="144"/>
      <c r="I644" s="133"/>
      <c r="J644" s="133"/>
      <c r="K644" s="133"/>
      <c r="L644" s="133"/>
      <c r="M644" s="133"/>
      <c r="N644" s="147"/>
      <c r="P644" s="140"/>
      <c r="Q644" s="140"/>
    </row>
    <row r="645" spans="1:17" hidden="1" x14ac:dyDescent="0.35">
      <c r="A645" s="146">
        <v>136</v>
      </c>
      <c r="B645" s="143">
        <v>45200</v>
      </c>
      <c r="C645" s="133" t="s">
        <v>1686</v>
      </c>
      <c r="D645" s="133" t="s">
        <v>2116</v>
      </c>
      <c r="E645" s="145" t="s">
        <v>1342</v>
      </c>
      <c r="F645" s="197">
        <v>537</v>
      </c>
      <c r="G645" s="133" t="s">
        <v>1034</v>
      </c>
      <c r="H645" s="144" t="s">
        <v>1341</v>
      </c>
      <c r="I645" s="133" t="s">
        <v>1092</v>
      </c>
      <c r="J645" s="133" t="s">
        <v>2105</v>
      </c>
      <c r="K645" s="143">
        <v>45231</v>
      </c>
      <c r="L645" s="133" t="s">
        <v>1092</v>
      </c>
      <c r="M645" s="133">
        <f>537+1851+291+1926.8</f>
        <v>4605.8</v>
      </c>
      <c r="N645" s="147">
        <f>+F645+F646+F647+F648-M645-M646</f>
        <v>0</v>
      </c>
      <c r="P645" s="140"/>
      <c r="Q645" s="140"/>
    </row>
    <row r="646" spans="1:17" hidden="1" x14ac:dyDescent="0.35">
      <c r="A646" s="146"/>
      <c r="B646" s="143"/>
      <c r="C646" s="133"/>
      <c r="D646" s="133"/>
      <c r="E646" s="145" t="s">
        <v>1075</v>
      </c>
      <c r="F646" s="197">
        <v>1851</v>
      </c>
      <c r="G646" s="133" t="s">
        <v>1034</v>
      </c>
      <c r="H646" s="144" t="s">
        <v>1341</v>
      </c>
      <c r="I646" s="133" t="s">
        <v>1092</v>
      </c>
      <c r="J646" s="133" t="s">
        <v>2107</v>
      </c>
      <c r="K646" s="143">
        <v>45231</v>
      </c>
      <c r="L646" s="133" t="s">
        <v>1241</v>
      </c>
      <c r="M646" s="133">
        <v>349</v>
      </c>
      <c r="N646" s="147"/>
      <c r="O646" s="140"/>
      <c r="P646" s="140"/>
      <c r="Q646" s="140"/>
    </row>
    <row r="647" spans="1:17" hidden="1" x14ac:dyDescent="0.35">
      <c r="A647" s="146"/>
      <c r="B647" s="143"/>
      <c r="C647" s="133"/>
      <c r="D647" s="133"/>
      <c r="E647" s="145" t="s">
        <v>1067</v>
      </c>
      <c r="F647" s="197">
        <v>640</v>
      </c>
      <c r="G647" s="133"/>
      <c r="H647" s="144"/>
      <c r="I647" s="133"/>
      <c r="J647" s="133"/>
      <c r="K647" s="133"/>
      <c r="L647" s="133"/>
      <c r="M647" s="133"/>
      <c r="N647" s="147"/>
      <c r="P647" s="140"/>
      <c r="Q647" s="140"/>
    </row>
    <row r="648" spans="1:17" hidden="1" x14ac:dyDescent="0.35">
      <c r="A648" s="146"/>
      <c r="B648" s="143"/>
      <c r="C648" s="133"/>
      <c r="D648" s="133"/>
      <c r="E648" s="145" t="s">
        <v>1118</v>
      </c>
      <c r="F648" s="197">
        <v>1926.8</v>
      </c>
      <c r="G648" s="133"/>
      <c r="H648" s="144"/>
      <c r="I648" s="133"/>
      <c r="J648" s="133"/>
      <c r="K648" s="133"/>
      <c r="L648" s="133"/>
      <c r="M648" s="133"/>
      <c r="N648" s="147"/>
      <c r="P648" s="140"/>
      <c r="Q648" s="140"/>
    </row>
    <row r="649" spans="1:17" hidden="1" x14ac:dyDescent="0.35">
      <c r="A649" s="146"/>
      <c r="B649" s="143"/>
      <c r="C649" s="133"/>
      <c r="D649" s="133"/>
      <c r="E649" s="145"/>
      <c r="F649" s="197"/>
      <c r="G649" s="133"/>
      <c r="H649" s="144"/>
      <c r="I649" s="133"/>
      <c r="J649" s="133"/>
      <c r="K649" s="133"/>
      <c r="L649" s="133"/>
      <c r="M649" s="133"/>
      <c r="N649" s="147"/>
      <c r="P649" s="140"/>
      <c r="Q649" s="140"/>
    </row>
    <row r="650" spans="1:17" hidden="1" x14ac:dyDescent="0.35">
      <c r="A650" s="146">
        <v>137</v>
      </c>
      <c r="B650" s="143">
        <v>45200</v>
      </c>
      <c r="C650" s="133" t="s">
        <v>1685</v>
      </c>
      <c r="D650" s="133" t="s">
        <v>2115</v>
      </c>
      <c r="E650" s="145" t="s">
        <v>1112</v>
      </c>
      <c r="F650" s="197">
        <v>73.400000000000006</v>
      </c>
      <c r="G650" s="133" t="s">
        <v>1034</v>
      </c>
      <c r="H650" s="144" t="s">
        <v>1341</v>
      </c>
      <c r="I650" s="133" t="s">
        <v>1092</v>
      </c>
      <c r="J650" s="133" t="s">
        <v>2114</v>
      </c>
      <c r="K650" s="143">
        <v>45231</v>
      </c>
      <c r="L650" s="133" t="s">
        <v>1092</v>
      </c>
      <c r="M650" s="133">
        <v>73.400000000000006</v>
      </c>
      <c r="N650" s="147">
        <f>+F650+F651+F652+F653-M650-M651-M652</f>
        <v>0</v>
      </c>
      <c r="P650" s="140"/>
      <c r="Q650" s="140"/>
    </row>
    <row r="651" spans="1:17" hidden="1" x14ac:dyDescent="0.35">
      <c r="A651" s="146"/>
      <c r="B651" s="143"/>
      <c r="C651" s="133"/>
      <c r="D651" s="133"/>
      <c r="E651" s="145" t="s">
        <v>1075</v>
      </c>
      <c r="F651" s="197">
        <v>540</v>
      </c>
      <c r="G651" s="133" t="s">
        <v>1034</v>
      </c>
      <c r="H651" s="144" t="s">
        <v>1341</v>
      </c>
      <c r="I651" s="133" t="s">
        <v>1092</v>
      </c>
      <c r="J651" s="133" t="s">
        <v>2105</v>
      </c>
      <c r="K651" s="143">
        <v>45231</v>
      </c>
      <c r="L651" s="133" t="s">
        <v>1092</v>
      </c>
      <c r="M651" s="133">
        <v>4295.8</v>
      </c>
      <c r="N651" s="147"/>
      <c r="O651" s="140"/>
      <c r="P651" s="140"/>
      <c r="Q651" s="140"/>
    </row>
    <row r="652" spans="1:17" hidden="1" x14ac:dyDescent="0.35">
      <c r="A652" s="146"/>
      <c r="B652" s="143"/>
      <c r="C652" s="133"/>
      <c r="D652" s="133"/>
      <c r="E652" s="145" t="s">
        <v>1067</v>
      </c>
      <c r="F652" s="197">
        <v>2209</v>
      </c>
      <c r="G652" s="133" t="s">
        <v>1034</v>
      </c>
      <c r="H652" s="144" t="s">
        <v>1341</v>
      </c>
      <c r="I652" s="133" t="s">
        <v>1092</v>
      </c>
      <c r="J652" s="133" t="s">
        <v>2107</v>
      </c>
      <c r="K652" s="143">
        <v>45231</v>
      </c>
      <c r="L652" s="133" t="s">
        <v>1241</v>
      </c>
      <c r="M652" s="133">
        <v>235</v>
      </c>
      <c r="N652" s="147"/>
      <c r="P652" s="140"/>
      <c r="Q652" s="140"/>
    </row>
    <row r="653" spans="1:17" hidden="1" x14ac:dyDescent="0.35">
      <c r="A653" s="146"/>
      <c r="B653" s="143"/>
      <c r="C653" s="133"/>
      <c r="D653" s="133"/>
      <c r="E653" s="145" t="s">
        <v>1118</v>
      </c>
      <c r="F653" s="197">
        <v>1781.8</v>
      </c>
      <c r="G653" s="133"/>
      <c r="H653" s="144"/>
      <c r="I653" s="133"/>
      <c r="J653" s="133"/>
      <c r="K653" s="133"/>
      <c r="L653" s="133"/>
      <c r="M653" s="133"/>
      <c r="N653" s="147"/>
      <c r="P653" s="140"/>
      <c r="Q653" s="140"/>
    </row>
    <row r="654" spans="1:17" hidden="1" x14ac:dyDescent="0.35">
      <c r="A654" s="146"/>
      <c r="B654" s="143"/>
      <c r="C654" s="133"/>
      <c r="D654" s="133"/>
      <c r="E654" s="145"/>
      <c r="F654" s="197"/>
      <c r="G654" s="133"/>
      <c r="H654" s="144"/>
      <c r="I654" s="133"/>
      <c r="J654" s="133"/>
      <c r="K654" s="133"/>
      <c r="L654" s="133"/>
      <c r="M654" s="133"/>
      <c r="N654" s="147"/>
      <c r="P654" s="140"/>
      <c r="Q654" s="140"/>
    </row>
    <row r="655" spans="1:17" hidden="1" x14ac:dyDescent="0.35">
      <c r="A655" s="146">
        <v>138</v>
      </c>
      <c r="B655" s="143">
        <v>45200</v>
      </c>
      <c r="C655" s="133" t="s">
        <v>1684</v>
      </c>
      <c r="D655" s="133" t="s">
        <v>2113</v>
      </c>
      <c r="E655" s="145" t="s">
        <v>1067</v>
      </c>
      <c r="F655" s="197">
        <v>1296</v>
      </c>
      <c r="G655" s="133" t="s">
        <v>1034</v>
      </c>
      <c r="H655" s="144" t="s">
        <v>1341</v>
      </c>
      <c r="I655" s="133" t="s">
        <v>1092</v>
      </c>
      <c r="J655" s="133" t="s">
        <v>2104</v>
      </c>
      <c r="K655" s="143">
        <v>45231</v>
      </c>
      <c r="L655" s="133" t="s">
        <v>1092</v>
      </c>
      <c r="M655" s="133">
        <v>1338</v>
      </c>
      <c r="N655" s="147">
        <f>+F655+F656-M655-M656</f>
        <v>0</v>
      </c>
      <c r="P655" s="140"/>
      <c r="Q655" s="140"/>
    </row>
    <row r="656" spans="1:17" hidden="1" x14ac:dyDescent="0.35">
      <c r="A656" s="146"/>
      <c r="B656" s="143"/>
      <c r="C656" s="133"/>
      <c r="D656" s="133"/>
      <c r="E656" s="145" t="s">
        <v>1342</v>
      </c>
      <c r="F656" s="197">
        <v>111</v>
      </c>
      <c r="G656" s="133" t="s">
        <v>1034</v>
      </c>
      <c r="H656" s="144" t="s">
        <v>1341</v>
      </c>
      <c r="I656" s="133" t="s">
        <v>1092</v>
      </c>
      <c r="J656" s="133" t="s">
        <v>2107</v>
      </c>
      <c r="K656" s="143">
        <v>45231</v>
      </c>
      <c r="L656" s="133" t="s">
        <v>1241</v>
      </c>
      <c r="M656" s="133">
        <v>69</v>
      </c>
      <c r="N656" s="147"/>
      <c r="O656" s="140"/>
      <c r="P656" s="140"/>
      <c r="Q656" s="140"/>
    </row>
    <row r="657" spans="1:17" hidden="1" x14ac:dyDescent="0.35">
      <c r="A657" s="146"/>
      <c r="B657" s="143"/>
      <c r="C657" s="133"/>
      <c r="D657" s="133"/>
      <c r="E657" s="145"/>
      <c r="F657" s="197"/>
      <c r="G657" s="133"/>
      <c r="H657" s="144"/>
      <c r="I657" s="133"/>
      <c r="J657" s="133"/>
      <c r="K657" s="133"/>
      <c r="L657" s="133"/>
      <c r="M657" s="133"/>
      <c r="N657" s="147"/>
      <c r="P657" s="140"/>
      <c r="Q657" s="140"/>
    </row>
    <row r="658" spans="1:17" hidden="1" x14ac:dyDescent="0.35">
      <c r="A658" s="146">
        <v>139</v>
      </c>
      <c r="B658" s="143">
        <v>45200</v>
      </c>
      <c r="C658" s="133" t="s">
        <v>1682</v>
      </c>
      <c r="D658" s="133" t="s">
        <v>2112</v>
      </c>
      <c r="E658" s="148" t="s">
        <v>1064</v>
      </c>
      <c r="F658" s="197">
        <v>1720.3</v>
      </c>
      <c r="G658" s="133" t="s">
        <v>1034</v>
      </c>
      <c r="H658" s="144" t="s">
        <v>1341</v>
      </c>
      <c r="I658" s="133" t="s">
        <v>1092</v>
      </c>
      <c r="J658" s="133" t="s">
        <v>2104</v>
      </c>
      <c r="K658" s="143">
        <v>45231</v>
      </c>
      <c r="L658" s="133" t="s">
        <v>1092</v>
      </c>
      <c r="M658" s="133">
        <v>6479.5099999999993</v>
      </c>
      <c r="N658" s="147">
        <f>+F658+F659+F660+F661+F662-M658-M659</f>
        <v>0</v>
      </c>
      <c r="P658" s="140"/>
      <c r="Q658" s="140"/>
    </row>
    <row r="659" spans="1:17" hidden="1" x14ac:dyDescent="0.35">
      <c r="A659" s="146"/>
      <c r="B659" s="143"/>
      <c r="C659" s="133"/>
      <c r="D659" s="133"/>
      <c r="E659" s="145" t="s">
        <v>1342</v>
      </c>
      <c r="F659" s="197">
        <v>130.30000000000001</v>
      </c>
      <c r="G659" s="133" t="s">
        <v>1034</v>
      </c>
      <c r="H659" s="144" t="s">
        <v>1341</v>
      </c>
      <c r="I659" s="133" t="s">
        <v>1092</v>
      </c>
      <c r="J659" s="133" t="s">
        <v>2107</v>
      </c>
      <c r="K659" s="143">
        <v>45231</v>
      </c>
      <c r="L659" s="133" t="s">
        <v>1241</v>
      </c>
      <c r="M659" s="133">
        <v>342</v>
      </c>
      <c r="N659" s="142"/>
      <c r="O659" s="140"/>
      <c r="P659" s="140"/>
      <c r="Q659" s="140"/>
    </row>
    <row r="660" spans="1:17" hidden="1" x14ac:dyDescent="0.35">
      <c r="A660" s="146"/>
      <c r="B660" s="143"/>
      <c r="C660" s="133"/>
      <c r="D660" s="133"/>
      <c r="E660" s="145" t="s">
        <v>1075</v>
      </c>
      <c r="F660" s="197">
        <v>2572.6999999999998</v>
      </c>
      <c r="G660" s="133"/>
      <c r="H660" s="144"/>
      <c r="I660" s="133"/>
      <c r="J660" s="133"/>
      <c r="K660" s="133"/>
      <c r="L660" s="133"/>
      <c r="M660" s="133"/>
      <c r="N660" s="142"/>
      <c r="P660" s="140"/>
      <c r="Q660" s="140"/>
    </row>
    <row r="661" spans="1:17" hidden="1" x14ac:dyDescent="0.35">
      <c r="A661" s="146"/>
      <c r="B661" s="143"/>
      <c r="C661" s="133"/>
      <c r="D661" s="133"/>
      <c r="E661" s="145" t="s">
        <v>1118</v>
      </c>
      <c r="F661" s="197">
        <v>848.21</v>
      </c>
      <c r="G661" s="133"/>
      <c r="H661" s="144"/>
      <c r="I661" s="133"/>
      <c r="J661" s="133"/>
      <c r="K661" s="133"/>
      <c r="L661" s="133"/>
      <c r="M661" s="133"/>
      <c r="N661" s="142"/>
      <c r="P661" s="140"/>
      <c r="Q661" s="140"/>
    </row>
    <row r="662" spans="1:17" hidden="1" x14ac:dyDescent="0.35">
      <c r="A662" s="146"/>
      <c r="B662" s="143"/>
      <c r="C662" s="133"/>
      <c r="D662" s="133"/>
      <c r="E662" s="145" t="s">
        <v>1067</v>
      </c>
      <c r="F662" s="197">
        <v>1550</v>
      </c>
      <c r="G662" s="133"/>
      <c r="H662" s="144"/>
      <c r="I662" s="133"/>
      <c r="J662" s="133"/>
      <c r="K662" s="133"/>
      <c r="L662" s="133"/>
      <c r="M662" s="133"/>
      <c r="N662" s="142"/>
      <c r="P662" s="140"/>
      <c r="Q662" s="140"/>
    </row>
    <row r="663" spans="1:17" hidden="1" x14ac:dyDescent="0.35">
      <c r="A663" s="146"/>
      <c r="B663" s="143"/>
      <c r="C663" s="133"/>
      <c r="D663" s="133"/>
      <c r="E663" s="145"/>
      <c r="F663" s="197"/>
      <c r="G663" s="133"/>
      <c r="H663" s="144"/>
      <c r="I663" s="133"/>
      <c r="J663" s="133"/>
      <c r="K663" s="133"/>
      <c r="L663" s="133"/>
      <c r="M663" s="133"/>
      <c r="N663" s="142"/>
      <c r="P663" s="140"/>
      <c r="Q663" s="140"/>
    </row>
    <row r="664" spans="1:17" hidden="1" x14ac:dyDescent="0.35">
      <c r="A664" s="146">
        <v>140</v>
      </c>
      <c r="B664" s="143">
        <v>45200</v>
      </c>
      <c r="C664" s="133" t="s">
        <v>1681</v>
      </c>
      <c r="D664" s="133" t="s">
        <v>2111</v>
      </c>
      <c r="E664" s="145" t="s">
        <v>1071</v>
      </c>
      <c r="F664" s="197">
        <v>1277.3</v>
      </c>
      <c r="G664" s="133" t="s">
        <v>1034</v>
      </c>
      <c r="H664" s="144" t="s">
        <v>1341</v>
      </c>
      <c r="I664" s="133" t="s">
        <v>1092</v>
      </c>
      <c r="J664" s="133" t="s">
        <v>2103</v>
      </c>
      <c r="K664" s="143">
        <v>45231</v>
      </c>
      <c r="L664" s="133" t="s">
        <v>1092</v>
      </c>
      <c r="M664" s="133">
        <v>5014</v>
      </c>
      <c r="N664" s="142">
        <f>+F664+F665+F666+F667-M664-M665</f>
        <v>0</v>
      </c>
      <c r="P664" s="140"/>
      <c r="Q664" s="140"/>
    </row>
    <row r="665" spans="1:17" hidden="1" x14ac:dyDescent="0.35">
      <c r="A665" s="146"/>
      <c r="B665" s="143"/>
      <c r="C665" s="133"/>
      <c r="D665" s="133"/>
      <c r="E665" s="145" t="s">
        <v>1342</v>
      </c>
      <c r="F665" s="197">
        <v>683</v>
      </c>
      <c r="G665" s="133" t="s">
        <v>1034</v>
      </c>
      <c r="H665" s="144" t="s">
        <v>1341</v>
      </c>
      <c r="I665" s="133" t="s">
        <v>1092</v>
      </c>
      <c r="J665" s="133" t="s">
        <v>2107</v>
      </c>
      <c r="K665" s="143">
        <v>45231</v>
      </c>
      <c r="L665" s="133" t="s">
        <v>1241</v>
      </c>
      <c r="M665" s="133">
        <v>265</v>
      </c>
      <c r="N665" s="142"/>
      <c r="O665" s="140"/>
      <c r="P665" s="140"/>
      <c r="Q665" s="140"/>
    </row>
    <row r="666" spans="1:17" hidden="1" x14ac:dyDescent="0.35">
      <c r="A666" s="146"/>
      <c r="B666" s="143"/>
      <c r="C666" s="133"/>
      <c r="D666" s="133"/>
      <c r="E666" s="145" t="s">
        <v>1067</v>
      </c>
      <c r="F666" s="197">
        <v>920.7</v>
      </c>
      <c r="G666" s="133"/>
      <c r="H666" s="144"/>
      <c r="I666" s="133"/>
      <c r="J666" s="133"/>
      <c r="K666" s="133"/>
      <c r="L666" s="133"/>
      <c r="M666" s="133"/>
      <c r="N666" s="142"/>
      <c r="P666" s="140"/>
      <c r="Q666" s="140"/>
    </row>
    <row r="667" spans="1:17" hidden="1" x14ac:dyDescent="0.35">
      <c r="A667" s="146"/>
      <c r="B667" s="143"/>
      <c r="C667" s="133"/>
      <c r="D667" s="133"/>
      <c r="E667" s="145" t="s">
        <v>1118</v>
      </c>
      <c r="F667" s="197">
        <v>2398</v>
      </c>
      <c r="G667" s="133"/>
      <c r="H667" s="144"/>
      <c r="I667" s="133"/>
      <c r="J667" s="133"/>
      <c r="K667" s="133"/>
      <c r="L667" s="133"/>
      <c r="M667" s="133"/>
      <c r="N667" s="142"/>
      <c r="P667" s="140"/>
      <c r="Q667" s="140"/>
    </row>
    <row r="668" spans="1:17" hidden="1" x14ac:dyDescent="0.35">
      <c r="A668" s="146"/>
      <c r="B668" s="143"/>
      <c r="C668" s="133"/>
      <c r="D668" s="133"/>
      <c r="E668" s="145"/>
      <c r="F668" s="197"/>
      <c r="G668" s="133"/>
      <c r="H668" s="144"/>
      <c r="I668" s="133"/>
      <c r="J668" s="133"/>
      <c r="K668" s="133"/>
      <c r="L668" s="133"/>
      <c r="M668" s="133"/>
      <c r="N668" s="142"/>
      <c r="P668" s="140"/>
      <c r="Q668" s="140"/>
    </row>
    <row r="669" spans="1:17" hidden="1" x14ac:dyDescent="0.35">
      <c r="A669" s="146">
        <v>141</v>
      </c>
      <c r="B669" s="143">
        <v>45200</v>
      </c>
      <c r="C669" s="133" t="s">
        <v>1678</v>
      </c>
      <c r="D669" s="133" t="s">
        <v>2110</v>
      </c>
      <c r="E669" s="145" t="s">
        <v>1118</v>
      </c>
      <c r="F669" s="197">
        <v>1177.5</v>
      </c>
      <c r="G669" s="133" t="s">
        <v>1034</v>
      </c>
      <c r="H669" s="144" t="s">
        <v>1341</v>
      </c>
      <c r="I669" s="133" t="s">
        <v>1092</v>
      </c>
      <c r="J669" s="133" t="s">
        <v>2103</v>
      </c>
      <c r="K669" s="143">
        <v>45231</v>
      </c>
      <c r="L669" s="133" t="s">
        <v>1092</v>
      </c>
      <c r="M669" s="133">
        <v>5905.8</v>
      </c>
      <c r="N669" s="142">
        <f>+F669+F670+F671-M669-M670</f>
        <v>0</v>
      </c>
      <c r="P669" s="140"/>
      <c r="Q669" s="140"/>
    </row>
    <row r="670" spans="1:17" hidden="1" x14ac:dyDescent="0.35">
      <c r="A670" s="146"/>
      <c r="B670" s="143"/>
      <c r="C670" s="133"/>
      <c r="D670" s="133"/>
      <c r="E670" s="145" t="s">
        <v>1342</v>
      </c>
      <c r="F670" s="197">
        <v>1345</v>
      </c>
      <c r="G670" s="133" t="s">
        <v>1034</v>
      </c>
      <c r="H670" s="144" t="s">
        <v>1341</v>
      </c>
      <c r="I670" s="133" t="s">
        <v>1092</v>
      </c>
      <c r="J670" s="133" t="s">
        <v>2107</v>
      </c>
      <c r="K670" s="143">
        <v>45231</v>
      </c>
      <c r="L670" s="133" t="s">
        <v>1241</v>
      </c>
      <c r="M670" s="133">
        <v>308</v>
      </c>
      <c r="N670" s="142"/>
      <c r="O670" s="140"/>
      <c r="P670" s="140"/>
      <c r="Q670" s="140"/>
    </row>
    <row r="671" spans="1:17" hidden="1" x14ac:dyDescent="0.35">
      <c r="A671" s="146"/>
      <c r="B671" s="143"/>
      <c r="C671" s="133"/>
      <c r="D671" s="133"/>
      <c r="E671" s="145" t="s">
        <v>1067</v>
      </c>
      <c r="F671" s="197">
        <v>3691.3</v>
      </c>
      <c r="G671" s="133"/>
      <c r="H671" s="144"/>
      <c r="I671" s="133"/>
      <c r="J671" s="133"/>
      <c r="K671" s="133"/>
      <c r="L671" s="133"/>
      <c r="M671" s="133"/>
      <c r="N671" s="142"/>
      <c r="P671" s="140"/>
      <c r="Q671" s="140"/>
    </row>
    <row r="672" spans="1:17" hidden="1" x14ac:dyDescent="0.35">
      <c r="A672" s="146"/>
      <c r="B672" s="143"/>
      <c r="C672" s="133"/>
      <c r="D672" s="133"/>
      <c r="E672" s="145"/>
      <c r="F672" s="197"/>
      <c r="G672" s="133"/>
      <c r="H672" s="144"/>
      <c r="I672" s="133"/>
      <c r="J672" s="133"/>
      <c r="K672" s="133"/>
      <c r="L672" s="133"/>
      <c r="M672" s="133"/>
      <c r="N672" s="142"/>
      <c r="P672" s="140"/>
      <c r="Q672" s="140"/>
    </row>
    <row r="673" spans="1:17" hidden="1" x14ac:dyDescent="0.35">
      <c r="A673" s="146">
        <v>142</v>
      </c>
      <c r="B673" s="143">
        <v>45200</v>
      </c>
      <c r="C673" s="133" t="s">
        <v>1677</v>
      </c>
      <c r="D673" s="133" t="s">
        <v>2109</v>
      </c>
      <c r="E673" s="148" t="s">
        <v>1064</v>
      </c>
      <c r="F673" s="197">
        <v>1726.9</v>
      </c>
      <c r="G673" s="133" t="s">
        <v>1034</v>
      </c>
      <c r="H673" s="144" t="s">
        <v>1341</v>
      </c>
      <c r="I673" s="133" t="s">
        <v>1092</v>
      </c>
      <c r="J673" s="133" t="s">
        <v>2103</v>
      </c>
      <c r="K673" s="143">
        <v>45231</v>
      </c>
      <c r="L673" s="133" t="s">
        <v>1092</v>
      </c>
      <c r="M673" s="133">
        <v>7126.9000000000005</v>
      </c>
      <c r="N673" s="142">
        <f>+F673+F674+F675+F676+F677-M673-M674</f>
        <v>0</v>
      </c>
      <c r="P673" s="140"/>
      <c r="Q673" s="140"/>
    </row>
    <row r="674" spans="1:17" hidden="1" x14ac:dyDescent="0.35">
      <c r="A674" s="146"/>
      <c r="B674" s="143"/>
      <c r="C674" s="133"/>
      <c r="D674" s="133"/>
      <c r="E674" s="145" t="s">
        <v>1075</v>
      </c>
      <c r="F674" s="197">
        <v>870.2</v>
      </c>
      <c r="G674" s="133" t="s">
        <v>1034</v>
      </c>
      <c r="H674" s="144" t="s">
        <v>1341</v>
      </c>
      <c r="I674" s="133" t="s">
        <v>1092</v>
      </c>
      <c r="J674" s="133" t="s">
        <v>2107</v>
      </c>
      <c r="K674" s="143">
        <v>45231</v>
      </c>
      <c r="L674" s="133" t="s">
        <v>1241</v>
      </c>
      <c r="M674" s="133">
        <v>380</v>
      </c>
      <c r="N674" s="142"/>
      <c r="O674" s="140"/>
      <c r="P674" s="140"/>
      <c r="Q674" s="140"/>
    </row>
    <row r="675" spans="1:17" hidden="1" x14ac:dyDescent="0.35">
      <c r="A675" s="146"/>
      <c r="B675" s="143"/>
      <c r="C675" s="133"/>
      <c r="D675" s="133"/>
      <c r="E675" s="145" t="s">
        <v>1118</v>
      </c>
      <c r="F675" s="197">
        <v>2293.3000000000002</v>
      </c>
      <c r="G675" s="133"/>
      <c r="H675" s="144"/>
      <c r="I675" s="133"/>
      <c r="J675" s="133"/>
      <c r="K675" s="133"/>
      <c r="L675" s="133"/>
      <c r="M675" s="133"/>
      <c r="N675" s="142"/>
      <c r="P675" s="140"/>
      <c r="Q675" s="140"/>
    </row>
    <row r="676" spans="1:17" hidden="1" x14ac:dyDescent="0.35">
      <c r="A676" s="146"/>
      <c r="B676" s="143"/>
      <c r="C676" s="133"/>
      <c r="D676" s="133"/>
      <c r="E676" s="145" t="s">
        <v>1067</v>
      </c>
      <c r="F676" s="197">
        <v>2033.5</v>
      </c>
      <c r="G676" s="133"/>
      <c r="H676" s="144"/>
      <c r="I676" s="133"/>
      <c r="J676" s="133"/>
      <c r="K676" s="133"/>
      <c r="L676" s="133"/>
      <c r="M676" s="133"/>
      <c r="N676" s="142"/>
      <c r="P676" s="140"/>
      <c r="Q676" s="140"/>
    </row>
    <row r="677" spans="1:17" hidden="1" x14ac:dyDescent="0.35">
      <c r="A677" s="146"/>
      <c r="B677" s="143"/>
      <c r="C677" s="133"/>
      <c r="D677" s="133"/>
      <c r="E677" s="145" t="s">
        <v>1075</v>
      </c>
      <c r="F677" s="197">
        <v>583</v>
      </c>
      <c r="G677" s="133"/>
      <c r="H677" s="144"/>
      <c r="I677" s="133"/>
      <c r="J677" s="133"/>
      <c r="K677" s="133"/>
      <c r="L677" s="133"/>
      <c r="M677" s="133"/>
      <c r="N677" s="142"/>
      <c r="P677" s="140"/>
      <c r="Q677" s="140"/>
    </row>
    <row r="678" spans="1:17" hidden="1" x14ac:dyDescent="0.35">
      <c r="A678" s="146"/>
      <c r="B678" s="143"/>
      <c r="C678" s="133"/>
      <c r="D678" s="133"/>
      <c r="E678" s="145"/>
      <c r="F678" s="197"/>
      <c r="G678" s="133"/>
      <c r="H678" s="144"/>
      <c r="I678" s="133"/>
      <c r="J678" s="133"/>
      <c r="K678" s="133"/>
      <c r="L678" s="133"/>
      <c r="M678" s="133"/>
      <c r="N678" s="142"/>
      <c r="P678" s="140"/>
      <c r="Q678" s="140"/>
    </row>
    <row r="679" spans="1:17" hidden="1" x14ac:dyDescent="0.35">
      <c r="A679" s="146">
        <v>143</v>
      </c>
      <c r="B679" s="143">
        <v>45200</v>
      </c>
      <c r="C679" s="133" t="s">
        <v>1676</v>
      </c>
      <c r="D679" s="133" t="s">
        <v>2108</v>
      </c>
      <c r="E679" s="145" t="s">
        <v>1112</v>
      </c>
      <c r="F679" s="197">
        <v>120.4</v>
      </c>
      <c r="G679" s="133" t="s">
        <v>1034</v>
      </c>
      <c r="H679" s="144" t="s">
        <v>1341</v>
      </c>
      <c r="I679" s="133" t="s">
        <v>1092</v>
      </c>
      <c r="J679" s="133" t="s">
        <v>2103</v>
      </c>
      <c r="K679" s="143">
        <v>45231</v>
      </c>
      <c r="L679" s="133" t="s">
        <v>1092</v>
      </c>
      <c r="M679" s="133">
        <v>4414.3999999999996</v>
      </c>
      <c r="N679" s="142">
        <f>+F679+F680+F681-M679-M680</f>
        <v>0</v>
      </c>
      <c r="P679" s="140"/>
      <c r="Q679" s="140"/>
    </row>
    <row r="680" spans="1:17" hidden="1" x14ac:dyDescent="0.35">
      <c r="A680" s="146"/>
      <c r="B680" s="143"/>
      <c r="C680" s="133"/>
      <c r="D680" s="133"/>
      <c r="E680" s="145" t="s">
        <v>1067</v>
      </c>
      <c r="F680" s="197">
        <v>1477.8</v>
      </c>
      <c r="G680" s="133" t="s">
        <v>1034</v>
      </c>
      <c r="H680" s="144" t="s">
        <v>1341</v>
      </c>
      <c r="I680" s="133" t="s">
        <v>1092</v>
      </c>
      <c r="J680" s="133" t="s">
        <v>2107</v>
      </c>
      <c r="K680" s="143">
        <v>45231</v>
      </c>
      <c r="L680" s="133" t="s">
        <v>1241</v>
      </c>
      <c r="M680" s="133">
        <v>333</v>
      </c>
      <c r="N680" s="142"/>
      <c r="O680" s="140"/>
      <c r="P680" s="140"/>
      <c r="Q680" s="140"/>
    </row>
    <row r="681" spans="1:17" hidden="1" x14ac:dyDescent="0.35">
      <c r="A681" s="146"/>
      <c r="B681" s="143"/>
      <c r="C681" s="133"/>
      <c r="D681" s="133"/>
      <c r="E681" s="145" t="s">
        <v>1118</v>
      </c>
      <c r="F681" s="197">
        <v>3149.2</v>
      </c>
      <c r="G681" s="133"/>
      <c r="H681" s="144"/>
      <c r="I681" s="133"/>
      <c r="J681" s="133"/>
      <c r="K681" s="133"/>
      <c r="L681" s="133"/>
      <c r="M681" s="133"/>
      <c r="N681" s="142"/>
      <c r="P681" s="140"/>
      <c r="Q681" s="140"/>
    </row>
    <row r="682" spans="1:17" hidden="1" x14ac:dyDescent="0.35">
      <c r="A682" s="146"/>
      <c r="B682" s="143"/>
      <c r="C682" s="133"/>
      <c r="D682" s="133"/>
      <c r="E682" s="145"/>
      <c r="F682" s="197"/>
      <c r="G682" s="133"/>
      <c r="H682" s="144"/>
      <c r="I682" s="133"/>
      <c r="J682" s="133"/>
      <c r="K682" s="133"/>
      <c r="L682" s="133"/>
      <c r="M682" s="133"/>
      <c r="N682" s="142"/>
      <c r="P682" s="140"/>
      <c r="Q682" s="140"/>
    </row>
    <row r="683" spans="1:17" hidden="1" x14ac:dyDescent="0.35">
      <c r="A683" s="146">
        <v>144</v>
      </c>
      <c r="B683" s="143">
        <v>45200</v>
      </c>
      <c r="C683" s="133" t="s">
        <v>1675</v>
      </c>
      <c r="D683" s="133" t="s">
        <v>2106</v>
      </c>
      <c r="E683" s="148" t="s">
        <v>1064</v>
      </c>
      <c r="F683" s="197">
        <v>1580.1</v>
      </c>
      <c r="G683" s="133" t="s">
        <v>1034</v>
      </c>
      <c r="H683" s="144" t="s">
        <v>1341</v>
      </c>
      <c r="I683" s="133" t="s">
        <v>1092</v>
      </c>
      <c r="J683" s="133" t="s">
        <v>2103</v>
      </c>
      <c r="K683" s="143">
        <v>45231</v>
      </c>
      <c r="L683" s="133" t="s">
        <v>1092</v>
      </c>
      <c r="M683" s="133">
        <v>8022.9599999999991</v>
      </c>
      <c r="N683" s="142">
        <f>+F683+F684+F685-M683-M684</f>
        <v>0</v>
      </c>
      <c r="P683" s="140"/>
      <c r="Q683" s="140"/>
    </row>
    <row r="684" spans="1:17" hidden="1" x14ac:dyDescent="0.35">
      <c r="A684" s="146"/>
      <c r="B684" s="143"/>
      <c r="C684" s="133"/>
      <c r="D684" s="133"/>
      <c r="E684" s="145" t="s">
        <v>1075</v>
      </c>
      <c r="F684" s="197">
        <v>3370.9</v>
      </c>
      <c r="G684" s="133" t="s">
        <v>1034</v>
      </c>
      <c r="H684" s="144" t="s">
        <v>1341</v>
      </c>
      <c r="I684" s="133" t="s">
        <v>1092</v>
      </c>
      <c r="J684" s="133" t="s">
        <v>2107</v>
      </c>
      <c r="K684" s="143">
        <v>45231</v>
      </c>
      <c r="L684" s="133" t="s">
        <v>1241</v>
      </c>
      <c r="M684" s="133">
        <v>421</v>
      </c>
      <c r="N684" s="142"/>
      <c r="O684" s="140"/>
      <c r="P684" s="140"/>
      <c r="Q684" s="140"/>
    </row>
    <row r="685" spans="1:17" hidden="1" x14ac:dyDescent="0.35">
      <c r="A685" s="146"/>
      <c r="B685" s="143"/>
      <c r="C685" s="133"/>
      <c r="D685" s="133"/>
      <c r="E685" s="133" t="s">
        <v>678</v>
      </c>
      <c r="F685" s="197">
        <v>3492.96</v>
      </c>
      <c r="G685" s="133"/>
      <c r="H685" s="144"/>
      <c r="I685" s="133"/>
      <c r="J685" s="133"/>
      <c r="K685" s="133"/>
      <c r="L685" s="133"/>
      <c r="M685" s="133"/>
      <c r="N685" s="142"/>
      <c r="P685" s="140"/>
      <c r="Q685" s="140"/>
    </row>
    <row r="686" spans="1:17" hidden="1" x14ac:dyDescent="0.35">
      <c r="A686" s="146"/>
      <c r="B686" s="143"/>
      <c r="C686" s="133"/>
      <c r="D686" s="133"/>
      <c r="E686" s="145"/>
      <c r="F686" s="197"/>
      <c r="G686" s="133"/>
      <c r="H686" s="144"/>
      <c r="I686" s="133"/>
      <c r="J686" s="133"/>
      <c r="K686" s="133"/>
      <c r="L686" s="133"/>
      <c r="M686" s="133"/>
      <c r="N686" s="142"/>
      <c r="P686" s="140"/>
      <c r="Q686" s="140"/>
    </row>
    <row r="687" spans="1:17" hidden="1" x14ac:dyDescent="0.35">
      <c r="A687" s="146">
        <v>145</v>
      </c>
      <c r="B687" s="143">
        <v>45200</v>
      </c>
      <c r="C687" s="133" t="s">
        <v>1673</v>
      </c>
      <c r="D687" s="133" t="s">
        <v>2106</v>
      </c>
      <c r="E687" s="148" t="s">
        <v>1059</v>
      </c>
      <c r="F687" s="197">
        <v>74250</v>
      </c>
      <c r="G687" s="133" t="s">
        <v>1034</v>
      </c>
      <c r="H687" s="144" t="s">
        <v>1341</v>
      </c>
      <c r="I687" s="133" t="s">
        <v>1092</v>
      </c>
      <c r="J687" s="133" t="s">
        <v>2105</v>
      </c>
      <c r="K687" s="143">
        <v>45231</v>
      </c>
      <c r="L687" s="133" t="s">
        <v>1092</v>
      </c>
      <c r="M687" s="133">
        <v>20216.099999999999</v>
      </c>
      <c r="N687" s="142">
        <f>+F687-M687-M688-M689-M690-M691-M692-M693</f>
        <v>0</v>
      </c>
      <c r="P687" s="140"/>
      <c r="Q687" s="140"/>
    </row>
    <row r="688" spans="1:17" hidden="1" x14ac:dyDescent="0.35">
      <c r="A688" s="146"/>
      <c r="B688" s="143"/>
      <c r="C688" s="133"/>
      <c r="D688" s="133"/>
      <c r="E688" s="148"/>
      <c r="F688" s="197"/>
      <c r="G688" s="133" t="s">
        <v>1034</v>
      </c>
      <c r="H688" s="144" t="s">
        <v>1341</v>
      </c>
      <c r="I688" s="133" t="s">
        <v>1092</v>
      </c>
      <c r="J688" s="133" t="s">
        <v>2104</v>
      </c>
      <c r="K688" s="143">
        <v>45231</v>
      </c>
      <c r="L688" s="133" t="s">
        <v>1092</v>
      </c>
      <c r="M688" s="133">
        <v>13899.49</v>
      </c>
      <c r="N688" s="142"/>
      <c r="P688" s="140"/>
      <c r="Q688" s="140"/>
    </row>
    <row r="689" spans="1:17" hidden="1" x14ac:dyDescent="0.35">
      <c r="A689" s="146"/>
      <c r="B689" s="143"/>
      <c r="C689" s="133"/>
      <c r="D689" s="133"/>
      <c r="E689" s="148"/>
      <c r="F689" s="197"/>
      <c r="G689" s="133" t="s">
        <v>1034</v>
      </c>
      <c r="H689" s="144" t="s">
        <v>1341</v>
      </c>
      <c r="I689" s="133" t="s">
        <v>1092</v>
      </c>
      <c r="J689" s="133" t="s">
        <v>2103</v>
      </c>
      <c r="K689" s="143">
        <v>45231</v>
      </c>
      <c r="L689" s="133" t="s">
        <v>1092</v>
      </c>
      <c r="M689" s="133">
        <v>8239.94</v>
      </c>
      <c r="N689" s="142"/>
      <c r="P689" s="140"/>
      <c r="Q689" s="140"/>
    </row>
    <row r="690" spans="1:17" hidden="1" x14ac:dyDescent="0.35">
      <c r="A690" s="146"/>
      <c r="B690" s="143"/>
      <c r="C690" s="133"/>
      <c r="D690" s="133"/>
      <c r="E690" s="148"/>
      <c r="F690" s="197"/>
      <c r="G690" s="133" t="s">
        <v>1034</v>
      </c>
      <c r="H690" s="144" t="s">
        <v>1341</v>
      </c>
      <c r="I690" s="133" t="s">
        <v>1092</v>
      </c>
      <c r="J690" s="133" t="s">
        <v>2100</v>
      </c>
      <c r="K690" s="143">
        <v>45231</v>
      </c>
      <c r="L690" s="133" t="s">
        <v>1092</v>
      </c>
      <c r="M690" s="133">
        <v>13557.2</v>
      </c>
      <c r="N690" s="142"/>
      <c r="P690" s="140"/>
      <c r="Q690" s="140"/>
    </row>
    <row r="691" spans="1:17" hidden="1" x14ac:dyDescent="0.35">
      <c r="A691" s="146"/>
      <c r="B691" s="143"/>
      <c r="C691" s="133"/>
      <c r="D691" s="133"/>
      <c r="E691" s="148"/>
      <c r="F691" s="197"/>
      <c r="G691" s="133" t="s">
        <v>1034</v>
      </c>
      <c r="H691" s="144" t="s">
        <v>1341</v>
      </c>
      <c r="I691" s="133" t="s">
        <v>1092</v>
      </c>
      <c r="J691" s="133" t="s">
        <v>2097</v>
      </c>
      <c r="K691" s="143">
        <v>45231</v>
      </c>
      <c r="L691" s="133" t="s">
        <v>1092</v>
      </c>
      <c r="M691" s="133">
        <v>10395.4</v>
      </c>
      <c r="N691" s="142"/>
      <c r="P691" s="140"/>
      <c r="Q691" s="140"/>
    </row>
    <row r="692" spans="1:17" hidden="1" x14ac:dyDescent="0.35">
      <c r="A692" s="146"/>
      <c r="B692" s="143"/>
      <c r="C692" s="133"/>
      <c r="D692" s="133"/>
      <c r="E692" s="148"/>
      <c r="F692" s="197"/>
      <c r="G692" s="133" t="s">
        <v>1034</v>
      </c>
      <c r="H692" s="144" t="s">
        <v>1341</v>
      </c>
      <c r="I692" s="133" t="s">
        <v>1092</v>
      </c>
      <c r="J692" s="133" t="s">
        <v>2092</v>
      </c>
      <c r="K692" s="143">
        <v>45231</v>
      </c>
      <c r="L692" s="133" t="s">
        <v>1092</v>
      </c>
      <c r="M692" s="133">
        <v>4228.8700000000008</v>
      </c>
      <c r="N692" s="142"/>
      <c r="P692" s="140"/>
      <c r="Q692" s="140"/>
    </row>
    <row r="693" spans="1:17" hidden="1" x14ac:dyDescent="0.35">
      <c r="A693" s="146"/>
      <c r="B693" s="143"/>
      <c r="C693" s="133"/>
      <c r="D693" s="133"/>
      <c r="E693" s="148"/>
      <c r="F693" s="197"/>
      <c r="G693" s="133" t="s">
        <v>1034</v>
      </c>
      <c r="H693" s="144" t="s">
        <v>1341</v>
      </c>
      <c r="I693" s="133" t="s">
        <v>1092</v>
      </c>
      <c r="J693" s="133" t="s">
        <v>2075</v>
      </c>
      <c r="K693" s="143">
        <v>45261</v>
      </c>
      <c r="L693" s="133" t="s">
        <v>1241</v>
      </c>
      <c r="M693" s="133">
        <v>3713</v>
      </c>
      <c r="N693" s="142"/>
      <c r="P693" s="140"/>
      <c r="Q693" s="140"/>
    </row>
    <row r="694" spans="1:17" hidden="1" x14ac:dyDescent="0.35">
      <c r="A694" s="146"/>
      <c r="B694" s="143"/>
      <c r="C694" s="133"/>
      <c r="D694" s="133"/>
      <c r="E694" s="145"/>
      <c r="F694" s="197"/>
      <c r="G694" s="133"/>
      <c r="H694" s="144"/>
      <c r="I694" s="133"/>
      <c r="J694" s="133"/>
      <c r="K694" s="133"/>
      <c r="L694" s="133"/>
      <c r="M694" s="133"/>
      <c r="N694" s="142"/>
      <c r="P694" s="140"/>
      <c r="Q694" s="140"/>
    </row>
    <row r="695" spans="1:17" hidden="1" x14ac:dyDescent="0.35">
      <c r="A695" s="146">
        <v>146</v>
      </c>
      <c r="B695" s="143">
        <v>45200</v>
      </c>
      <c r="C695" s="133" t="s">
        <v>1672</v>
      </c>
      <c r="D695" s="133" t="s">
        <v>2102</v>
      </c>
      <c r="E695" s="148" t="s">
        <v>1059</v>
      </c>
      <c r="F695" s="197">
        <v>24750</v>
      </c>
      <c r="G695" s="133" t="s">
        <v>1034</v>
      </c>
      <c r="H695" s="144" t="s">
        <v>1341</v>
      </c>
      <c r="I695" s="133" t="s">
        <v>1092</v>
      </c>
      <c r="J695" s="133" t="s">
        <v>2092</v>
      </c>
      <c r="K695" s="143">
        <v>45231</v>
      </c>
      <c r="L695" s="133" t="s">
        <v>1092</v>
      </c>
      <c r="M695" s="133">
        <v>7936.63</v>
      </c>
      <c r="N695" s="142">
        <f>+F695-M695-M696-M697</f>
        <v>0</v>
      </c>
      <c r="P695" s="140"/>
      <c r="Q695" s="140"/>
    </row>
    <row r="696" spans="1:17" hidden="1" x14ac:dyDescent="0.35">
      <c r="A696" s="146"/>
      <c r="B696" s="143"/>
      <c r="C696" s="133"/>
      <c r="D696" s="133"/>
      <c r="E696" s="148"/>
      <c r="F696" s="197"/>
      <c r="G696" s="133" t="s">
        <v>1034</v>
      </c>
      <c r="H696" s="144" t="s">
        <v>1341</v>
      </c>
      <c r="I696" s="133" t="s">
        <v>1092</v>
      </c>
      <c r="J696" s="133" t="s">
        <v>2089</v>
      </c>
      <c r="K696" s="143">
        <v>45231</v>
      </c>
      <c r="L696" s="133" t="s">
        <v>1092</v>
      </c>
      <c r="M696" s="133">
        <v>15573.369999999999</v>
      </c>
      <c r="N696" s="142"/>
      <c r="P696" s="140"/>
      <c r="Q696" s="140"/>
    </row>
    <row r="697" spans="1:17" hidden="1" x14ac:dyDescent="0.35">
      <c r="A697" s="146"/>
      <c r="B697" s="143"/>
      <c r="C697" s="133"/>
      <c r="D697" s="133"/>
      <c r="E697" s="148"/>
      <c r="F697" s="197"/>
      <c r="G697" s="133" t="s">
        <v>1034</v>
      </c>
      <c r="H697" s="144" t="s">
        <v>1341</v>
      </c>
      <c r="I697" s="133" t="s">
        <v>1092</v>
      </c>
      <c r="J697" s="133" t="s">
        <v>2075</v>
      </c>
      <c r="K697" s="143">
        <v>45261</v>
      </c>
      <c r="L697" s="133" t="s">
        <v>1241</v>
      </c>
      <c r="M697" s="133">
        <v>1240</v>
      </c>
      <c r="N697" s="142"/>
      <c r="P697" s="140"/>
      <c r="Q697" s="140"/>
    </row>
    <row r="698" spans="1:17" hidden="1" x14ac:dyDescent="0.35">
      <c r="A698" s="146"/>
      <c r="B698" s="143"/>
      <c r="C698" s="133"/>
      <c r="D698" s="133"/>
      <c r="E698" s="145"/>
      <c r="F698" s="197"/>
      <c r="G698" s="133"/>
      <c r="H698" s="144"/>
      <c r="I698" s="133"/>
      <c r="J698" s="133"/>
      <c r="K698" s="133"/>
      <c r="L698" s="133"/>
      <c r="M698" s="133"/>
      <c r="N698" s="142"/>
      <c r="P698" s="140"/>
      <c r="Q698" s="140"/>
    </row>
    <row r="699" spans="1:17" hidden="1" x14ac:dyDescent="0.35">
      <c r="A699" s="146">
        <v>147</v>
      </c>
      <c r="B699" s="143">
        <v>45200</v>
      </c>
      <c r="C699" s="133" t="s">
        <v>1670</v>
      </c>
      <c r="D699" s="133" t="s">
        <v>2101</v>
      </c>
      <c r="E699" s="145" t="s">
        <v>1118</v>
      </c>
      <c r="F699" s="197">
        <v>989.9</v>
      </c>
      <c r="G699" s="133" t="s">
        <v>1034</v>
      </c>
      <c r="H699" s="144" t="s">
        <v>1341</v>
      </c>
      <c r="I699" s="133" t="s">
        <v>1092</v>
      </c>
      <c r="J699" s="133" t="s">
        <v>2100</v>
      </c>
      <c r="K699" s="143">
        <v>45231</v>
      </c>
      <c r="L699" s="133" t="s">
        <v>1092</v>
      </c>
      <c r="M699" s="133">
        <v>3465.8</v>
      </c>
      <c r="N699" s="142">
        <f>+F699+F700+F701+F702+F703-M699-M700</f>
        <v>0</v>
      </c>
      <c r="P699" s="140"/>
      <c r="Q699" s="140"/>
    </row>
    <row r="700" spans="1:17" hidden="1" x14ac:dyDescent="0.35">
      <c r="A700" s="146"/>
      <c r="B700" s="143"/>
      <c r="C700" s="133"/>
      <c r="D700" s="133"/>
      <c r="E700" s="145" t="s">
        <v>1067</v>
      </c>
      <c r="F700" s="197">
        <v>635.9</v>
      </c>
      <c r="G700" s="133" t="s">
        <v>1034</v>
      </c>
      <c r="H700" s="144" t="s">
        <v>1341</v>
      </c>
      <c r="I700" s="133" t="s">
        <v>1092</v>
      </c>
      <c r="J700" s="133" t="s">
        <v>2075</v>
      </c>
      <c r="K700" s="143">
        <v>45261</v>
      </c>
      <c r="L700" s="133" t="s">
        <v>1241</v>
      </c>
      <c r="M700" s="133">
        <v>183</v>
      </c>
      <c r="N700" s="142"/>
      <c r="O700" s="140"/>
      <c r="P700" s="140"/>
      <c r="Q700" s="140"/>
    </row>
    <row r="701" spans="1:17" hidden="1" x14ac:dyDescent="0.35">
      <c r="A701" s="146"/>
      <c r="B701" s="143"/>
      <c r="C701" s="133"/>
      <c r="D701" s="133"/>
      <c r="E701" s="145" t="s">
        <v>1342</v>
      </c>
      <c r="F701" s="197">
        <v>873</v>
      </c>
      <c r="G701" s="133"/>
      <c r="H701" s="144"/>
      <c r="I701" s="133"/>
      <c r="J701" s="133"/>
      <c r="K701" s="133"/>
      <c r="L701" s="133"/>
      <c r="M701" s="133"/>
      <c r="N701" s="142"/>
      <c r="P701" s="140"/>
      <c r="Q701" s="140"/>
    </row>
    <row r="702" spans="1:17" hidden="1" x14ac:dyDescent="0.35">
      <c r="A702" s="146"/>
      <c r="B702" s="143"/>
      <c r="C702" s="133"/>
      <c r="D702" s="133"/>
      <c r="E702" s="133" t="s">
        <v>1089</v>
      </c>
      <c r="F702" s="197">
        <v>1000</v>
      </c>
      <c r="G702" s="133"/>
      <c r="H702" s="144"/>
      <c r="I702" s="133"/>
      <c r="J702" s="133"/>
      <c r="K702" s="133"/>
      <c r="L702" s="133"/>
      <c r="M702" s="133"/>
      <c r="N702" s="142"/>
      <c r="P702" s="140"/>
      <c r="Q702" s="140"/>
    </row>
    <row r="703" spans="1:17" hidden="1" x14ac:dyDescent="0.35">
      <c r="A703" s="146"/>
      <c r="B703" s="143"/>
      <c r="C703" s="133"/>
      <c r="D703" s="133"/>
      <c r="E703" s="145" t="s">
        <v>32</v>
      </c>
      <c r="F703" s="197">
        <v>150</v>
      </c>
      <c r="G703" s="133"/>
      <c r="H703" s="144"/>
      <c r="I703" s="133"/>
      <c r="J703" s="133"/>
      <c r="K703" s="133"/>
      <c r="L703" s="133"/>
      <c r="M703" s="133"/>
      <c r="N703" s="142"/>
      <c r="P703" s="140"/>
      <c r="Q703" s="140"/>
    </row>
    <row r="704" spans="1:17" hidden="1" x14ac:dyDescent="0.35">
      <c r="A704" s="146"/>
      <c r="B704" s="143"/>
      <c r="C704" s="133"/>
      <c r="D704" s="133"/>
      <c r="E704" s="145"/>
      <c r="F704" s="197"/>
      <c r="G704" s="133"/>
      <c r="H704" s="144"/>
      <c r="I704" s="133"/>
      <c r="J704" s="133"/>
      <c r="K704" s="133"/>
      <c r="L704" s="133"/>
      <c r="M704" s="133"/>
      <c r="N704" s="142"/>
      <c r="P704" s="140"/>
      <c r="Q704" s="140"/>
    </row>
    <row r="705" spans="1:17" hidden="1" x14ac:dyDescent="0.35">
      <c r="A705" s="146">
        <v>148</v>
      </c>
      <c r="B705" s="143">
        <v>45200</v>
      </c>
      <c r="C705" s="133" t="s">
        <v>1666</v>
      </c>
      <c r="D705" s="133" t="s">
        <v>2099</v>
      </c>
      <c r="E705" s="148" t="s">
        <v>1064</v>
      </c>
      <c r="F705" s="197">
        <v>842.9</v>
      </c>
      <c r="G705" s="133" t="s">
        <v>1034</v>
      </c>
      <c r="H705" s="144" t="s">
        <v>1341</v>
      </c>
      <c r="I705" s="133" t="s">
        <v>1092</v>
      </c>
      <c r="J705" s="133" t="s">
        <v>2097</v>
      </c>
      <c r="K705" s="143">
        <v>45231</v>
      </c>
      <c r="L705" s="133" t="s">
        <v>1092</v>
      </c>
      <c r="M705" s="133">
        <v>2664.5</v>
      </c>
      <c r="N705" s="142">
        <f>+F705+F706-M705-M706</f>
        <v>0</v>
      </c>
      <c r="P705" s="140"/>
      <c r="Q705" s="140"/>
    </row>
    <row r="706" spans="1:17" hidden="1" x14ac:dyDescent="0.35">
      <c r="A706" s="146"/>
      <c r="B706" s="143"/>
      <c r="C706" s="133"/>
      <c r="D706" s="133"/>
      <c r="E706" s="145" t="s">
        <v>1075</v>
      </c>
      <c r="F706" s="197">
        <v>1962.6</v>
      </c>
      <c r="G706" s="133" t="s">
        <v>1034</v>
      </c>
      <c r="H706" s="144" t="s">
        <v>1341</v>
      </c>
      <c r="I706" s="133" t="s">
        <v>1092</v>
      </c>
      <c r="J706" s="133" t="s">
        <v>2075</v>
      </c>
      <c r="K706" s="143">
        <v>45261</v>
      </c>
      <c r="L706" s="133" t="s">
        <v>1241</v>
      </c>
      <c r="M706" s="133">
        <v>141</v>
      </c>
      <c r="N706" s="142"/>
      <c r="O706" s="140"/>
      <c r="P706" s="140"/>
      <c r="Q706" s="140"/>
    </row>
    <row r="707" spans="1:17" hidden="1" x14ac:dyDescent="0.35">
      <c r="A707" s="146"/>
      <c r="B707" s="143"/>
      <c r="C707" s="133"/>
      <c r="D707" s="133"/>
      <c r="E707" s="145"/>
      <c r="F707" s="197"/>
      <c r="G707" s="133"/>
      <c r="H707" s="144"/>
      <c r="I707" s="133"/>
      <c r="J707" s="133"/>
      <c r="K707" s="133"/>
      <c r="L707" s="133"/>
      <c r="M707" s="133"/>
      <c r="N707" s="142"/>
      <c r="P707" s="140"/>
      <c r="Q707" s="140"/>
    </row>
    <row r="708" spans="1:17" hidden="1" x14ac:dyDescent="0.35">
      <c r="A708" s="146">
        <v>149</v>
      </c>
      <c r="B708" s="143">
        <v>45200</v>
      </c>
      <c r="C708" s="133" t="s">
        <v>1665</v>
      </c>
      <c r="D708" s="133" t="s">
        <v>2098</v>
      </c>
      <c r="E708" s="145" t="s">
        <v>32</v>
      </c>
      <c r="F708" s="197">
        <v>100</v>
      </c>
      <c r="G708" s="133" t="s">
        <v>1034</v>
      </c>
      <c r="H708" s="144" t="s">
        <v>1341</v>
      </c>
      <c r="I708" s="133" t="s">
        <v>1092</v>
      </c>
      <c r="J708" s="133" t="s">
        <v>2097</v>
      </c>
      <c r="K708" s="143">
        <v>45231</v>
      </c>
      <c r="L708" s="133" t="s">
        <v>1092</v>
      </c>
      <c r="M708" s="133">
        <v>6249.1</v>
      </c>
      <c r="N708" s="142">
        <f>+F708+F709+F710-M708-M709</f>
        <v>0</v>
      </c>
      <c r="P708" s="140"/>
      <c r="Q708" s="140"/>
    </row>
    <row r="709" spans="1:17" hidden="1" x14ac:dyDescent="0.35">
      <c r="A709" s="146"/>
      <c r="B709" s="143"/>
      <c r="C709" s="133"/>
      <c r="D709" s="133"/>
      <c r="E709" s="145" t="s">
        <v>1067</v>
      </c>
      <c r="F709" s="197">
        <v>5436.5</v>
      </c>
      <c r="G709" s="133" t="s">
        <v>1034</v>
      </c>
      <c r="H709" s="144" t="s">
        <v>1341</v>
      </c>
      <c r="I709" s="133" t="s">
        <v>1092</v>
      </c>
      <c r="J709" s="133" t="s">
        <v>2075</v>
      </c>
      <c r="K709" s="143">
        <v>45261</v>
      </c>
      <c r="L709" s="133" t="s">
        <v>1241</v>
      </c>
      <c r="M709" s="133">
        <v>331</v>
      </c>
      <c r="N709" s="142"/>
      <c r="O709" s="140"/>
      <c r="P709" s="140"/>
      <c r="Q709" s="140"/>
    </row>
    <row r="710" spans="1:17" hidden="1" x14ac:dyDescent="0.35">
      <c r="A710" s="146"/>
      <c r="B710" s="143"/>
      <c r="C710" s="133"/>
      <c r="D710" s="133"/>
      <c r="E710" s="145" t="s">
        <v>1118</v>
      </c>
      <c r="F710" s="197">
        <v>1043.5999999999999</v>
      </c>
      <c r="G710" s="133"/>
      <c r="H710" s="144"/>
      <c r="I710" s="133"/>
      <c r="J710" s="133"/>
      <c r="K710" s="133"/>
      <c r="L710" s="133"/>
      <c r="M710" s="133"/>
      <c r="N710" s="142"/>
      <c r="P710" s="140"/>
      <c r="Q710" s="140"/>
    </row>
    <row r="711" spans="1:17" hidden="1" x14ac:dyDescent="0.35">
      <c r="A711" s="146"/>
      <c r="B711" s="143"/>
      <c r="C711" s="133"/>
      <c r="D711" s="133"/>
      <c r="E711" s="145"/>
      <c r="F711" s="197"/>
      <c r="G711" s="133"/>
      <c r="H711" s="144"/>
      <c r="I711" s="133"/>
      <c r="J711" s="133"/>
      <c r="K711" s="133"/>
      <c r="L711" s="133"/>
      <c r="M711" s="133"/>
      <c r="N711" s="142"/>
      <c r="P711" s="140"/>
      <c r="Q711" s="140"/>
    </row>
    <row r="712" spans="1:17" hidden="1" x14ac:dyDescent="0.35">
      <c r="A712" s="146">
        <v>150</v>
      </c>
      <c r="B712" s="143">
        <v>45200</v>
      </c>
      <c r="C712" s="133" t="s">
        <v>1663</v>
      </c>
      <c r="D712" s="133" t="s">
        <v>2096</v>
      </c>
      <c r="E712" s="148" t="s">
        <v>1059</v>
      </c>
      <c r="F712" s="197">
        <v>99000</v>
      </c>
      <c r="G712" s="133" t="s">
        <v>1034</v>
      </c>
      <c r="H712" s="144" t="s">
        <v>1341</v>
      </c>
      <c r="I712" s="133" t="s">
        <v>1092</v>
      </c>
      <c r="J712" s="133" t="s">
        <v>2089</v>
      </c>
      <c r="K712" s="143">
        <v>45231</v>
      </c>
      <c r="L712" s="133" t="s">
        <v>1092</v>
      </c>
      <c r="M712" s="133">
        <v>30650.73</v>
      </c>
      <c r="N712" s="142">
        <f>+F712-M712-M713-M714-M715-M716-M717-M718</f>
        <v>0</v>
      </c>
      <c r="P712" s="140"/>
      <c r="Q712" s="140"/>
    </row>
    <row r="713" spans="1:17" hidden="1" x14ac:dyDescent="0.35">
      <c r="A713" s="146"/>
      <c r="B713" s="143"/>
      <c r="C713" s="133"/>
      <c r="D713" s="133"/>
      <c r="E713" s="148"/>
      <c r="F713" s="197"/>
      <c r="G713" s="133" t="s">
        <v>1034</v>
      </c>
      <c r="H713" s="144" t="s">
        <v>1341</v>
      </c>
      <c r="I713" s="133" t="s">
        <v>1092</v>
      </c>
      <c r="J713" s="133" t="s">
        <v>2095</v>
      </c>
      <c r="K713" s="143">
        <v>45231</v>
      </c>
      <c r="L713" s="133" t="s">
        <v>1092</v>
      </c>
      <c r="M713" s="133">
        <v>947.6</v>
      </c>
      <c r="N713" s="142"/>
      <c r="P713" s="140"/>
      <c r="Q713" s="140"/>
    </row>
    <row r="714" spans="1:17" hidden="1" x14ac:dyDescent="0.35">
      <c r="A714" s="146"/>
      <c r="B714" s="143"/>
      <c r="C714" s="133"/>
      <c r="D714" s="133"/>
      <c r="E714" s="148"/>
      <c r="F714" s="197"/>
      <c r="G714" s="133" t="s">
        <v>1034</v>
      </c>
      <c r="H714" s="144" t="s">
        <v>1341</v>
      </c>
      <c r="I714" s="133" t="s">
        <v>1092</v>
      </c>
      <c r="J714" s="133" t="s">
        <v>2094</v>
      </c>
      <c r="K714" s="143">
        <v>45231</v>
      </c>
      <c r="L714" s="133" t="s">
        <v>1092</v>
      </c>
      <c r="M714" s="133">
        <v>783</v>
      </c>
      <c r="N714" s="142"/>
      <c r="P714" s="140"/>
      <c r="Q714" s="140"/>
    </row>
    <row r="715" spans="1:17" hidden="1" x14ac:dyDescent="0.35">
      <c r="A715" s="146"/>
      <c r="B715" s="143"/>
      <c r="C715" s="133"/>
      <c r="D715" s="133"/>
      <c r="E715" s="148"/>
      <c r="F715" s="197"/>
      <c r="G715" s="133" t="s">
        <v>1034</v>
      </c>
      <c r="H715" s="144" t="s">
        <v>1341</v>
      </c>
      <c r="I715" s="133" t="s">
        <v>1092</v>
      </c>
      <c r="J715" s="133" t="s">
        <v>2083</v>
      </c>
      <c r="K715" s="143">
        <v>45231</v>
      </c>
      <c r="L715" s="133" t="s">
        <v>1092</v>
      </c>
      <c r="M715" s="133">
        <v>16111.5</v>
      </c>
      <c r="N715" s="142"/>
      <c r="P715" s="140"/>
      <c r="Q715" s="140"/>
    </row>
    <row r="716" spans="1:17" hidden="1" x14ac:dyDescent="0.35">
      <c r="A716" s="146"/>
      <c r="B716" s="143"/>
      <c r="C716" s="133"/>
      <c r="D716" s="133"/>
      <c r="E716" s="148"/>
      <c r="F716" s="197"/>
      <c r="G716" s="133" t="s">
        <v>1034</v>
      </c>
      <c r="H716" s="144" t="s">
        <v>1341</v>
      </c>
      <c r="I716" s="133" t="s">
        <v>1092</v>
      </c>
      <c r="J716" s="133" t="s">
        <v>2086</v>
      </c>
      <c r="K716" s="143">
        <v>45261</v>
      </c>
      <c r="L716" s="133" t="s">
        <v>1092</v>
      </c>
      <c r="M716" s="133">
        <v>16322.04</v>
      </c>
      <c r="N716" s="142"/>
      <c r="P716" s="140"/>
      <c r="Q716" s="140"/>
    </row>
    <row r="717" spans="1:17" hidden="1" x14ac:dyDescent="0.35">
      <c r="A717" s="146"/>
      <c r="B717" s="143"/>
      <c r="C717" s="133"/>
      <c r="D717" s="133"/>
      <c r="E717" s="148"/>
      <c r="F717" s="197"/>
      <c r="G717" s="133" t="s">
        <v>1034</v>
      </c>
      <c r="H717" s="144" t="s">
        <v>1341</v>
      </c>
      <c r="I717" s="133" t="s">
        <v>1092</v>
      </c>
      <c r="J717" s="133" t="s">
        <v>2085</v>
      </c>
      <c r="K717" s="143">
        <v>45261</v>
      </c>
      <c r="L717" s="133" t="s">
        <v>1092</v>
      </c>
      <c r="M717" s="133">
        <v>29233.129999999997</v>
      </c>
      <c r="N717" s="142"/>
      <c r="P717" s="140"/>
      <c r="Q717" s="140"/>
    </row>
    <row r="718" spans="1:17" hidden="1" x14ac:dyDescent="0.35">
      <c r="A718" s="146"/>
      <c r="B718" s="143"/>
      <c r="C718" s="133"/>
      <c r="D718" s="133"/>
      <c r="E718" s="148"/>
      <c r="F718" s="197"/>
      <c r="G718" s="133" t="s">
        <v>1034</v>
      </c>
      <c r="H718" s="144" t="s">
        <v>1341</v>
      </c>
      <c r="I718" s="133" t="s">
        <v>1092</v>
      </c>
      <c r="J718" s="133" t="s">
        <v>2075</v>
      </c>
      <c r="K718" s="143">
        <v>45261</v>
      </c>
      <c r="L718" s="133" t="s">
        <v>1241</v>
      </c>
      <c r="M718" s="133">
        <v>4952</v>
      </c>
      <c r="N718" s="142"/>
      <c r="P718" s="140"/>
      <c r="Q718" s="140"/>
    </row>
    <row r="719" spans="1:17" hidden="1" x14ac:dyDescent="0.35">
      <c r="A719" s="146"/>
      <c r="B719" s="143"/>
      <c r="C719" s="133"/>
      <c r="D719" s="133"/>
      <c r="E719" s="145"/>
      <c r="F719" s="197"/>
      <c r="G719" s="133"/>
      <c r="H719" s="144"/>
      <c r="I719" s="133"/>
      <c r="J719" s="133"/>
      <c r="K719" s="133"/>
      <c r="L719" s="133"/>
      <c r="M719" s="133"/>
      <c r="N719" s="142"/>
      <c r="P719" s="140"/>
      <c r="Q719" s="140"/>
    </row>
    <row r="720" spans="1:17" hidden="1" x14ac:dyDescent="0.35">
      <c r="A720" s="146">
        <v>151</v>
      </c>
      <c r="B720" s="143">
        <v>45200</v>
      </c>
      <c r="C720" s="133" t="s">
        <v>1661</v>
      </c>
      <c r="D720" s="133" t="s">
        <v>2093</v>
      </c>
      <c r="E720" s="145" t="s">
        <v>1118</v>
      </c>
      <c r="F720" s="197">
        <v>1495</v>
      </c>
      <c r="G720" s="133" t="s">
        <v>1034</v>
      </c>
      <c r="H720" s="144" t="s">
        <v>1341</v>
      </c>
      <c r="I720" s="133" t="s">
        <v>1092</v>
      </c>
      <c r="J720" s="133" t="s">
        <v>2092</v>
      </c>
      <c r="K720" s="143">
        <v>45231</v>
      </c>
      <c r="L720" s="133" t="s">
        <v>1092</v>
      </c>
      <c r="M720" s="133">
        <v>6746.5</v>
      </c>
      <c r="N720" s="142">
        <f>+F720+F721-M720-M721</f>
        <v>0</v>
      </c>
      <c r="P720" s="140"/>
      <c r="Q720" s="140"/>
    </row>
    <row r="721" spans="1:17" hidden="1" x14ac:dyDescent="0.35">
      <c r="A721" s="146"/>
      <c r="B721" s="143"/>
      <c r="C721" s="133"/>
      <c r="D721" s="133"/>
      <c r="E721" s="145" t="s">
        <v>1067</v>
      </c>
      <c r="F721" s="197">
        <v>5607.5</v>
      </c>
      <c r="G721" s="133" t="s">
        <v>1034</v>
      </c>
      <c r="H721" s="144" t="s">
        <v>1341</v>
      </c>
      <c r="I721" s="133" t="s">
        <v>1092</v>
      </c>
      <c r="J721" s="133" t="s">
        <v>2075</v>
      </c>
      <c r="K721" s="143">
        <v>45261</v>
      </c>
      <c r="L721" s="133" t="s">
        <v>1241</v>
      </c>
      <c r="M721" s="133">
        <v>356</v>
      </c>
      <c r="N721" s="142"/>
      <c r="O721" s="140"/>
      <c r="P721" s="140"/>
      <c r="Q721" s="140"/>
    </row>
    <row r="722" spans="1:17" hidden="1" x14ac:dyDescent="0.35">
      <c r="A722" s="146"/>
      <c r="B722" s="143"/>
      <c r="C722" s="133"/>
      <c r="D722" s="133"/>
      <c r="E722" s="145"/>
      <c r="F722" s="197"/>
      <c r="G722" s="133"/>
      <c r="H722" s="144"/>
      <c r="I722" s="133"/>
      <c r="J722" s="133"/>
      <c r="K722" s="133"/>
      <c r="L722" s="133"/>
      <c r="M722" s="133"/>
      <c r="N722" s="142"/>
      <c r="P722" s="140"/>
      <c r="Q722" s="140"/>
    </row>
    <row r="723" spans="1:17" hidden="1" x14ac:dyDescent="0.35">
      <c r="A723" s="146">
        <v>152</v>
      </c>
      <c r="B723" s="143">
        <v>45200</v>
      </c>
      <c r="C723" s="133" t="s">
        <v>1659</v>
      </c>
      <c r="D723" s="133" t="s">
        <v>2091</v>
      </c>
      <c r="E723" s="145" t="s">
        <v>1118</v>
      </c>
      <c r="F723" s="197">
        <v>3683.1</v>
      </c>
      <c r="G723" s="133" t="s">
        <v>1034</v>
      </c>
      <c r="H723" s="144" t="s">
        <v>1341</v>
      </c>
      <c r="I723" s="133" t="s">
        <v>1092</v>
      </c>
      <c r="J723" s="133" t="s">
        <v>2089</v>
      </c>
      <c r="K723" s="143">
        <v>45231</v>
      </c>
      <c r="L723" s="133" t="s">
        <v>1092</v>
      </c>
      <c r="M723" s="133">
        <v>7365.5</v>
      </c>
      <c r="N723" s="142">
        <f>+F723+F724+F725+F726+F727-M723-M724</f>
        <v>0</v>
      </c>
      <c r="P723" s="140"/>
      <c r="Q723" s="140"/>
    </row>
    <row r="724" spans="1:17" hidden="1" x14ac:dyDescent="0.35">
      <c r="A724" s="146"/>
      <c r="B724" s="143"/>
      <c r="C724" s="133"/>
      <c r="D724" s="133"/>
      <c r="E724" s="145" t="s">
        <v>1067</v>
      </c>
      <c r="F724" s="197">
        <v>64.099999999999994</v>
      </c>
      <c r="G724" s="133" t="s">
        <v>1034</v>
      </c>
      <c r="H724" s="144" t="s">
        <v>1341</v>
      </c>
      <c r="I724" s="133" t="s">
        <v>1092</v>
      </c>
      <c r="J724" s="133" t="s">
        <v>2075</v>
      </c>
      <c r="K724" s="143">
        <v>45261</v>
      </c>
      <c r="L724" s="133" t="s">
        <v>1241</v>
      </c>
      <c r="M724" s="133">
        <v>384</v>
      </c>
      <c r="N724" s="142"/>
      <c r="O724" s="140"/>
      <c r="P724" s="140"/>
      <c r="Q724" s="140"/>
    </row>
    <row r="725" spans="1:17" hidden="1" x14ac:dyDescent="0.35">
      <c r="A725" s="146"/>
      <c r="B725" s="143"/>
      <c r="C725" s="133"/>
      <c r="D725" s="133"/>
      <c r="E725" s="145" t="s">
        <v>1075</v>
      </c>
      <c r="F725" s="197">
        <v>1050</v>
      </c>
      <c r="G725" s="133"/>
      <c r="H725" s="144"/>
      <c r="I725" s="133"/>
      <c r="J725" s="133"/>
      <c r="K725" s="133"/>
      <c r="L725" s="133"/>
      <c r="M725" s="133"/>
      <c r="N725" s="142"/>
      <c r="P725" s="140"/>
      <c r="Q725" s="140"/>
    </row>
    <row r="726" spans="1:17" hidden="1" x14ac:dyDescent="0.35">
      <c r="A726" s="146"/>
      <c r="B726" s="143"/>
      <c r="C726" s="133"/>
      <c r="D726" s="133"/>
      <c r="E726" s="148" t="s">
        <v>1064</v>
      </c>
      <c r="F726" s="197">
        <v>1195.3</v>
      </c>
      <c r="G726" s="133"/>
      <c r="H726" s="144"/>
      <c r="I726" s="133"/>
      <c r="J726" s="133"/>
      <c r="K726" s="133"/>
      <c r="L726" s="133"/>
      <c r="M726" s="133"/>
      <c r="N726" s="142"/>
      <c r="P726" s="140"/>
      <c r="Q726" s="140"/>
    </row>
    <row r="727" spans="1:17" hidden="1" x14ac:dyDescent="0.35">
      <c r="A727" s="146"/>
      <c r="B727" s="143"/>
      <c r="C727" s="133"/>
      <c r="D727" s="133"/>
      <c r="E727" s="145" t="s">
        <v>1342</v>
      </c>
      <c r="F727" s="197">
        <v>1757</v>
      </c>
      <c r="G727" s="133"/>
      <c r="H727" s="144"/>
      <c r="I727" s="133"/>
      <c r="J727" s="133"/>
      <c r="K727" s="133"/>
      <c r="L727" s="133"/>
      <c r="M727" s="133"/>
      <c r="N727" s="142"/>
      <c r="P727" s="140"/>
      <c r="Q727" s="140"/>
    </row>
    <row r="728" spans="1:17" hidden="1" x14ac:dyDescent="0.35">
      <c r="A728" s="146"/>
      <c r="B728" s="143"/>
      <c r="C728" s="133"/>
      <c r="D728" s="133"/>
      <c r="E728" s="145"/>
      <c r="F728" s="197"/>
      <c r="G728" s="133"/>
      <c r="H728" s="144"/>
      <c r="I728" s="133"/>
      <c r="J728" s="133"/>
      <c r="K728" s="133"/>
      <c r="L728" s="133"/>
      <c r="M728" s="133"/>
      <c r="N728" s="142"/>
      <c r="P728" s="140"/>
      <c r="Q728" s="140"/>
    </row>
    <row r="729" spans="1:17" hidden="1" x14ac:dyDescent="0.35">
      <c r="A729" s="146">
        <v>153</v>
      </c>
      <c r="B729" s="143">
        <v>45200</v>
      </c>
      <c r="C729" s="133" t="s">
        <v>1657</v>
      </c>
      <c r="D729" s="133" t="s">
        <v>2090</v>
      </c>
      <c r="E729" s="145" t="s">
        <v>1067</v>
      </c>
      <c r="F729" s="145">
        <v>5351.2</v>
      </c>
      <c r="G729" s="133" t="s">
        <v>1034</v>
      </c>
      <c r="H729" s="144" t="s">
        <v>1341</v>
      </c>
      <c r="I729" s="133" t="s">
        <v>1092</v>
      </c>
      <c r="J729" s="133" t="s">
        <v>2089</v>
      </c>
      <c r="K729" s="143">
        <v>45231</v>
      </c>
      <c r="L729" s="133" t="s">
        <v>1092</v>
      </c>
      <c r="M729" s="133">
        <v>5470.2</v>
      </c>
      <c r="N729" s="142">
        <f>+F729+F730-M729-M730</f>
        <v>0</v>
      </c>
      <c r="P729" s="140"/>
      <c r="Q729" s="140"/>
    </row>
    <row r="730" spans="1:17" hidden="1" x14ac:dyDescent="0.35">
      <c r="A730" s="146"/>
      <c r="B730" s="143"/>
      <c r="C730" s="133"/>
      <c r="D730" s="133"/>
      <c r="E730" s="145" t="s">
        <v>1342</v>
      </c>
      <c r="F730" s="145">
        <v>407</v>
      </c>
      <c r="G730" s="133" t="s">
        <v>1034</v>
      </c>
      <c r="H730" s="144" t="s">
        <v>1341</v>
      </c>
      <c r="I730" s="133" t="s">
        <v>1092</v>
      </c>
      <c r="J730" s="133" t="s">
        <v>2075</v>
      </c>
      <c r="K730" s="143">
        <v>45261</v>
      </c>
      <c r="L730" s="133" t="s">
        <v>1241</v>
      </c>
      <c r="M730" s="133">
        <v>288</v>
      </c>
      <c r="N730" s="142"/>
      <c r="P730" s="140"/>
      <c r="Q730" s="140"/>
    </row>
    <row r="731" spans="1:17" hidden="1" x14ac:dyDescent="0.35">
      <c r="A731" s="146"/>
      <c r="B731" s="143"/>
      <c r="C731" s="133"/>
      <c r="D731" s="133"/>
      <c r="E731" s="145"/>
      <c r="F731" s="197"/>
      <c r="G731" s="133"/>
      <c r="H731" s="144"/>
      <c r="I731" s="133"/>
      <c r="J731" s="133"/>
      <c r="K731" s="133"/>
      <c r="L731" s="133"/>
      <c r="M731" s="133"/>
      <c r="N731" s="142"/>
      <c r="P731" s="140"/>
      <c r="Q731" s="140"/>
    </row>
    <row r="732" spans="1:17" hidden="1" x14ac:dyDescent="0.35">
      <c r="A732" s="156"/>
      <c r="B732" s="152"/>
      <c r="C732" s="151"/>
      <c r="D732" s="151"/>
      <c r="E732" s="154"/>
      <c r="F732" s="198"/>
      <c r="G732" s="151"/>
      <c r="H732" s="153"/>
      <c r="I732" s="151"/>
      <c r="J732" s="151"/>
      <c r="K732" s="151"/>
      <c r="L732" s="151"/>
      <c r="M732" s="151"/>
      <c r="N732" s="150"/>
      <c r="P732" s="140"/>
      <c r="Q732" s="140"/>
    </row>
    <row r="733" spans="1:17" hidden="1" x14ac:dyDescent="0.35">
      <c r="A733" s="146"/>
      <c r="B733" s="143"/>
      <c r="C733" s="133"/>
      <c r="D733" s="133"/>
      <c r="E733" s="145"/>
      <c r="F733" s="197"/>
      <c r="G733" s="133"/>
      <c r="H733" s="144"/>
      <c r="I733" s="133"/>
      <c r="J733" s="133"/>
      <c r="K733" s="133"/>
      <c r="L733" s="133"/>
      <c r="M733" s="133"/>
      <c r="N733" s="142"/>
      <c r="P733" s="140"/>
      <c r="Q733" s="140"/>
    </row>
    <row r="734" spans="1:17" hidden="1" x14ac:dyDescent="0.35">
      <c r="A734" s="146">
        <v>154</v>
      </c>
      <c r="B734" s="143">
        <v>45231</v>
      </c>
      <c r="C734" s="133" t="s">
        <v>1656</v>
      </c>
      <c r="D734" s="133" t="s">
        <v>2088</v>
      </c>
      <c r="E734" s="145" t="s">
        <v>1075</v>
      </c>
      <c r="F734" s="145">
        <v>172.5</v>
      </c>
      <c r="G734" s="133" t="s">
        <v>1034</v>
      </c>
      <c r="H734" s="144" t="s">
        <v>1341</v>
      </c>
      <c r="I734" s="133" t="s">
        <v>1092</v>
      </c>
      <c r="J734" s="133" t="s">
        <v>2085</v>
      </c>
      <c r="K734" s="143">
        <v>45261</v>
      </c>
      <c r="L734" s="133" t="s">
        <v>1092</v>
      </c>
      <c r="M734" s="133">
        <v>172.5</v>
      </c>
      <c r="N734" s="142">
        <f>+F734-M734</f>
        <v>0</v>
      </c>
      <c r="P734" s="140"/>
      <c r="Q734" s="140"/>
    </row>
    <row r="735" spans="1:17" hidden="1" x14ac:dyDescent="0.35">
      <c r="A735" s="146"/>
      <c r="B735" s="143"/>
      <c r="C735" s="133"/>
      <c r="D735" s="133"/>
      <c r="E735" s="145"/>
      <c r="F735" s="197"/>
      <c r="G735" s="133"/>
      <c r="H735" s="144"/>
      <c r="I735" s="133"/>
      <c r="J735" s="133"/>
      <c r="K735" s="133"/>
      <c r="L735" s="133"/>
      <c r="M735" s="133"/>
      <c r="N735" s="142"/>
      <c r="P735" s="140"/>
      <c r="Q735" s="140"/>
    </row>
    <row r="736" spans="1:17" hidden="1" x14ac:dyDescent="0.35">
      <c r="A736" s="146">
        <v>155</v>
      </c>
      <c r="B736" s="143">
        <v>45231</v>
      </c>
      <c r="C736" s="133" t="s">
        <v>1654</v>
      </c>
      <c r="D736" s="133" t="s">
        <v>2087</v>
      </c>
      <c r="E736" s="145" t="s">
        <v>1075</v>
      </c>
      <c r="F736" s="145">
        <v>1409.4</v>
      </c>
      <c r="G736" s="133" t="s">
        <v>1034</v>
      </c>
      <c r="H736" s="144" t="s">
        <v>1341</v>
      </c>
      <c r="I736" s="133" t="s">
        <v>1092</v>
      </c>
      <c r="J736" s="133" t="s">
        <v>2086</v>
      </c>
      <c r="K736" s="143">
        <v>45261</v>
      </c>
      <c r="L736" s="133" t="s">
        <v>1092</v>
      </c>
      <c r="M736" s="133">
        <v>2195.06</v>
      </c>
      <c r="N736" s="142">
        <f>+F736+F737+F738+F739+F740-M736-M737-M738-M739</f>
        <v>3.2969182939268649E-12</v>
      </c>
      <c r="P736" s="140"/>
      <c r="Q736" s="140"/>
    </row>
    <row r="737" spans="1:17" hidden="1" x14ac:dyDescent="0.35">
      <c r="A737" s="146"/>
      <c r="B737" s="143"/>
      <c r="C737" s="133"/>
      <c r="D737" s="133"/>
      <c r="E737" s="145" t="s">
        <v>1067</v>
      </c>
      <c r="F737" s="197">
        <v>5142.3</v>
      </c>
      <c r="G737" s="133" t="s">
        <v>1034</v>
      </c>
      <c r="H737" s="144" t="s">
        <v>1341</v>
      </c>
      <c r="I737" s="133" t="s">
        <v>1092</v>
      </c>
      <c r="J737" s="133" t="s">
        <v>2085</v>
      </c>
      <c r="K737" s="143">
        <v>45261</v>
      </c>
      <c r="L737" s="133" t="s">
        <v>1092</v>
      </c>
      <c r="M737" s="133">
        <f>5000+8.57+723</f>
        <v>5731.57</v>
      </c>
      <c r="N737" s="142"/>
      <c r="P737" s="140"/>
      <c r="Q737" s="140"/>
    </row>
    <row r="738" spans="1:17" hidden="1" x14ac:dyDescent="0.35">
      <c r="A738" s="146"/>
      <c r="B738" s="143"/>
      <c r="C738" s="133"/>
      <c r="D738" s="133"/>
      <c r="E738" s="148" t="s">
        <v>1064</v>
      </c>
      <c r="F738" s="197">
        <v>1872</v>
      </c>
      <c r="G738" s="133" t="s">
        <v>1034</v>
      </c>
      <c r="H738" s="144" t="s">
        <v>1341</v>
      </c>
      <c r="I738" s="133" t="s">
        <v>1092</v>
      </c>
      <c r="J738" s="133" t="s">
        <v>2073</v>
      </c>
      <c r="K738" s="143">
        <v>45261</v>
      </c>
      <c r="L738" s="133" t="s">
        <v>1092</v>
      </c>
      <c r="M738" s="133">
        <f>1872+1409+4314.73</f>
        <v>7595.73</v>
      </c>
      <c r="N738" s="142"/>
      <c r="P738" s="140"/>
      <c r="Q738" s="140"/>
    </row>
    <row r="739" spans="1:17" hidden="1" x14ac:dyDescent="0.35">
      <c r="A739" s="146"/>
      <c r="B739" s="143"/>
      <c r="C739" s="133"/>
      <c r="D739" s="133"/>
      <c r="E739" s="145" t="s">
        <v>1342</v>
      </c>
      <c r="F739" s="197">
        <v>723</v>
      </c>
      <c r="G739" s="133" t="s">
        <v>1034</v>
      </c>
      <c r="H739" s="144" t="s">
        <v>1341</v>
      </c>
      <c r="I739" s="133" t="s">
        <v>1092</v>
      </c>
      <c r="J739" s="133" t="s">
        <v>2075</v>
      </c>
      <c r="K739" s="143">
        <v>45261</v>
      </c>
      <c r="L739" s="133" t="s">
        <v>1241</v>
      </c>
      <c r="M739" s="133">
        <v>819.4</v>
      </c>
      <c r="N739" s="142"/>
      <c r="P739" s="140"/>
      <c r="Q739" s="140"/>
    </row>
    <row r="740" spans="1:17" hidden="1" x14ac:dyDescent="0.35">
      <c r="A740" s="146"/>
      <c r="B740" s="143"/>
      <c r="C740" s="133"/>
      <c r="D740" s="133"/>
      <c r="E740" s="145" t="s">
        <v>1118</v>
      </c>
      <c r="F740" s="197">
        <v>7195.06</v>
      </c>
      <c r="G740" s="133"/>
      <c r="H740" s="144"/>
      <c r="I740" s="133"/>
      <c r="J740" s="133"/>
      <c r="K740" s="133"/>
      <c r="L740" s="133"/>
      <c r="M740" s="133"/>
      <c r="N740" s="142"/>
      <c r="P740" s="140"/>
      <c r="Q740" s="140"/>
    </row>
    <row r="741" spans="1:17" hidden="1" x14ac:dyDescent="0.35">
      <c r="A741" s="146"/>
      <c r="B741" s="143"/>
      <c r="C741" s="133"/>
      <c r="D741" s="133"/>
      <c r="E741" s="145"/>
      <c r="F741" s="197"/>
      <c r="G741" s="133"/>
      <c r="H741" s="144"/>
      <c r="I741" s="133"/>
      <c r="J741" s="133"/>
      <c r="K741" s="133"/>
      <c r="L741" s="133"/>
      <c r="M741" s="133"/>
      <c r="N741" s="142"/>
      <c r="P741" s="140"/>
      <c r="Q741" s="140"/>
    </row>
    <row r="742" spans="1:17" hidden="1" x14ac:dyDescent="0.35">
      <c r="A742" s="146">
        <v>156</v>
      </c>
      <c r="B742" s="143">
        <v>45231</v>
      </c>
      <c r="C742" s="133" t="s">
        <v>1653</v>
      </c>
      <c r="D742" s="133" t="s">
        <v>2084</v>
      </c>
      <c r="E742" s="145" t="s">
        <v>1075</v>
      </c>
      <c r="F742" s="145">
        <v>1037</v>
      </c>
      <c r="G742" s="133" t="s">
        <v>1034</v>
      </c>
      <c r="H742" s="144" t="s">
        <v>1341</v>
      </c>
      <c r="I742" s="133" t="s">
        <v>1092</v>
      </c>
      <c r="J742" s="133" t="s">
        <v>2083</v>
      </c>
      <c r="K742" s="143">
        <v>45231</v>
      </c>
      <c r="L742" s="133" t="s">
        <v>1092</v>
      </c>
      <c r="M742" s="133">
        <v>3599.5</v>
      </c>
      <c r="N742" s="142">
        <f>+F742+F743+F744+F745-M742-M743-M744</f>
        <v>0</v>
      </c>
      <c r="P742" s="140"/>
      <c r="Q742" s="140"/>
    </row>
    <row r="743" spans="1:17" hidden="1" x14ac:dyDescent="0.35">
      <c r="A743" s="146"/>
      <c r="B743" s="143"/>
      <c r="C743" s="133"/>
      <c r="D743" s="133"/>
      <c r="E743" s="145" t="s">
        <v>1342</v>
      </c>
      <c r="F743" s="197">
        <v>4393</v>
      </c>
      <c r="G743" s="133" t="s">
        <v>1034</v>
      </c>
      <c r="H743" s="144" t="s">
        <v>1341</v>
      </c>
      <c r="I743" s="133" t="s">
        <v>1092</v>
      </c>
      <c r="J743" s="133" t="s">
        <v>2073</v>
      </c>
      <c r="K743" s="143">
        <v>45261</v>
      </c>
      <c r="L743" s="133" t="s">
        <v>1092</v>
      </c>
      <c r="M743" s="133">
        <v>6088</v>
      </c>
      <c r="N743" s="142"/>
      <c r="O743" s="140"/>
      <c r="P743" s="140"/>
      <c r="Q743" s="140"/>
    </row>
    <row r="744" spans="1:17" hidden="1" x14ac:dyDescent="0.35">
      <c r="A744" s="146"/>
      <c r="B744" s="143"/>
      <c r="C744" s="133"/>
      <c r="D744" s="133"/>
      <c r="E744" s="145" t="s">
        <v>1118</v>
      </c>
      <c r="F744" s="197">
        <v>3599.5</v>
      </c>
      <c r="G744" s="133" t="s">
        <v>1034</v>
      </c>
      <c r="H744" s="144" t="s">
        <v>1341</v>
      </c>
      <c r="I744" s="133" t="s">
        <v>1092</v>
      </c>
      <c r="J744" s="133" t="s">
        <v>2075</v>
      </c>
      <c r="K744" s="143">
        <v>45261</v>
      </c>
      <c r="L744" s="133" t="s">
        <v>1241</v>
      </c>
      <c r="M744" s="133">
        <v>511</v>
      </c>
      <c r="N744" s="142"/>
      <c r="P744" s="140"/>
      <c r="Q744" s="140"/>
    </row>
    <row r="745" spans="1:17" hidden="1" x14ac:dyDescent="0.35">
      <c r="A745" s="146"/>
      <c r="B745" s="143"/>
      <c r="C745" s="133"/>
      <c r="D745" s="133"/>
      <c r="E745" s="145" t="s">
        <v>1067</v>
      </c>
      <c r="F745" s="197">
        <v>1169</v>
      </c>
      <c r="G745" s="133"/>
      <c r="H745" s="144"/>
      <c r="I745" s="133"/>
      <c r="J745" s="133"/>
      <c r="K745" s="133"/>
      <c r="L745" s="133"/>
      <c r="M745" s="133"/>
      <c r="N745" s="142"/>
      <c r="P745" s="140"/>
      <c r="Q745" s="140"/>
    </row>
    <row r="746" spans="1:17" hidden="1" x14ac:dyDescent="0.35">
      <c r="A746" s="146"/>
      <c r="B746" s="143"/>
      <c r="C746" s="133"/>
      <c r="D746" s="133"/>
      <c r="E746" s="145"/>
      <c r="F746" s="197"/>
      <c r="G746" s="133"/>
      <c r="H746" s="144"/>
      <c r="I746" s="133"/>
      <c r="J746" s="133"/>
      <c r="K746" s="133"/>
      <c r="L746" s="133"/>
      <c r="M746" s="133"/>
      <c r="N746" s="142"/>
      <c r="P746" s="140"/>
      <c r="Q746" s="140"/>
    </row>
    <row r="747" spans="1:17" hidden="1" x14ac:dyDescent="0.35">
      <c r="A747" s="146">
        <v>157</v>
      </c>
      <c r="B747" s="143">
        <v>45231</v>
      </c>
      <c r="C747" s="133" t="s">
        <v>1651</v>
      </c>
      <c r="D747" s="133" t="s">
        <v>2082</v>
      </c>
      <c r="E747" s="145" t="s">
        <v>1075</v>
      </c>
      <c r="F747" s="145">
        <v>903</v>
      </c>
      <c r="G747" s="133" t="s">
        <v>1034</v>
      </c>
      <c r="H747" s="144" t="s">
        <v>1341</v>
      </c>
      <c r="I747" s="133" t="s">
        <v>1092</v>
      </c>
      <c r="J747" s="133" t="s">
        <v>2072</v>
      </c>
      <c r="K747" s="143">
        <v>45261</v>
      </c>
      <c r="L747" s="133" t="s">
        <v>1092</v>
      </c>
      <c r="M747" s="133">
        <v>3613.5</v>
      </c>
      <c r="N747" s="142">
        <f>+F747+F748-M747-M748</f>
        <v>0</v>
      </c>
      <c r="P747" s="140"/>
      <c r="Q747" s="140"/>
    </row>
    <row r="748" spans="1:17" hidden="1" x14ac:dyDescent="0.35">
      <c r="A748" s="146"/>
      <c r="B748" s="143"/>
      <c r="C748" s="133"/>
      <c r="D748" s="133"/>
      <c r="E748" s="145" t="s">
        <v>1342</v>
      </c>
      <c r="F748" s="197">
        <v>2897.5</v>
      </c>
      <c r="G748" s="133" t="s">
        <v>1034</v>
      </c>
      <c r="H748" s="144" t="s">
        <v>1341</v>
      </c>
      <c r="I748" s="133" t="s">
        <v>1092</v>
      </c>
      <c r="J748" s="133" t="s">
        <v>2075</v>
      </c>
      <c r="K748" s="143">
        <v>45261</v>
      </c>
      <c r="L748" s="133" t="s">
        <v>1241</v>
      </c>
      <c r="M748" s="133">
        <v>187</v>
      </c>
      <c r="N748" s="142"/>
      <c r="O748" s="140"/>
      <c r="P748" s="140"/>
      <c r="Q748" s="140"/>
    </row>
    <row r="749" spans="1:17" hidden="1" x14ac:dyDescent="0.35">
      <c r="A749" s="146"/>
      <c r="B749" s="143"/>
      <c r="C749" s="133"/>
      <c r="D749" s="133"/>
      <c r="E749" s="145"/>
      <c r="F749" s="197"/>
      <c r="G749" s="133"/>
      <c r="H749" s="144"/>
      <c r="I749" s="133"/>
      <c r="J749" s="133"/>
      <c r="K749" s="133"/>
      <c r="L749" s="133"/>
      <c r="M749" s="133"/>
      <c r="N749" s="142"/>
      <c r="P749" s="140"/>
      <c r="Q749" s="140"/>
    </row>
    <row r="750" spans="1:17" hidden="1" x14ac:dyDescent="0.35">
      <c r="A750" s="146">
        <v>158</v>
      </c>
      <c r="B750" s="143">
        <v>45231</v>
      </c>
      <c r="C750" s="133" t="s">
        <v>1650</v>
      </c>
      <c r="D750" s="133" t="s">
        <v>2081</v>
      </c>
      <c r="E750" s="145" t="s">
        <v>1075</v>
      </c>
      <c r="F750" s="145">
        <v>484.1</v>
      </c>
      <c r="G750" s="133" t="s">
        <v>1034</v>
      </c>
      <c r="H750" s="144" t="s">
        <v>1341</v>
      </c>
      <c r="I750" s="133" t="s">
        <v>1092</v>
      </c>
      <c r="J750" s="133" t="s">
        <v>2072</v>
      </c>
      <c r="K750" s="143">
        <v>45261</v>
      </c>
      <c r="L750" s="133" t="s">
        <v>1092</v>
      </c>
      <c r="M750" s="133">
        <v>5731.2000000000007</v>
      </c>
      <c r="N750" s="142">
        <f>+F750+F751+F752-M750-M751</f>
        <v>0</v>
      </c>
      <c r="P750" s="140"/>
      <c r="Q750" s="140"/>
    </row>
    <row r="751" spans="1:17" hidden="1" x14ac:dyDescent="0.35">
      <c r="A751" s="146"/>
      <c r="B751" s="143"/>
      <c r="C751" s="133"/>
      <c r="D751" s="133"/>
      <c r="E751" s="148" t="s">
        <v>1064</v>
      </c>
      <c r="F751" s="197">
        <v>2182.8000000000002</v>
      </c>
      <c r="G751" s="133" t="s">
        <v>1034</v>
      </c>
      <c r="H751" s="144" t="s">
        <v>1341</v>
      </c>
      <c r="I751" s="133" t="s">
        <v>1092</v>
      </c>
      <c r="J751" s="133" t="s">
        <v>2075</v>
      </c>
      <c r="K751" s="143">
        <v>45261</v>
      </c>
      <c r="L751" s="133" t="s">
        <v>1241</v>
      </c>
      <c r="M751" s="133">
        <v>305</v>
      </c>
      <c r="N751" s="142"/>
      <c r="O751" s="140"/>
      <c r="P751" s="140"/>
      <c r="Q751" s="140"/>
    </row>
    <row r="752" spans="1:17" hidden="1" x14ac:dyDescent="0.35">
      <c r="A752" s="146"/>
      <c r="B752" s="143"/>
      <c r="C752" s="133"/>
      <c r="D752" s="133"/>
      <c r="E752" s="145" t="s">
        <v>1067</v>
      </c>
      <c r="F752" s="197">
        <v>3369.3</v>
      </c>
      <c r="G752" s="133"/>
      <c r="H752" s="144"/>
      <c r="I752" s="133"/>
      <c r="J752" s="133"/>
      <c r="K752" s="133"/>
      <c r="L752" s="133"/>
      <c r="M752" s="133"/>
      <c r="N752" s="142"/>
      <c r="P752" s="140"/>
      <c r="Q752" s="140"/>
    </row>
    <row r="753" spans="1:17" hidden="1" x14ac:dyDescent="0.35">
      <c r="A753" s="146"/>
      <c r="B753" s="143"/>
      <c r="C753" s="133"/>
      <c r="D753" s="133"/>
      <c r="E753" s="145"/>
      <c r="F753" s="197"/>
      <c r="G753" s="133"/>
      <c r="H753" s="144"/>
      <c r="I753" s="133"/>
      <c r="J753" s="133"/>
      <c r="K753" s="133"/>
      <c r="L753" s="133"/>
      <c r="M753" s="133"/>
      <c r="N753" s="142"/>
      <c r="P753" s="140"/>
      <c r="Q753" s="140"/>
    </row>
    <row r="754" spans="1:17" hidden="1" x14ac:dyDescent="0.35">
      <c r="A754" s="146">
        <v>159</v>
      </c>
      <c r="B754" s="143">
        <v>45231</v>
      </c>
      <c r="C754" s="133" t="s">
        <v>1648</v>
      </c>
      <c r="D754" s="133" t="s">
        <v>2080</v>
      </c>
      <c r="E754" s="145" t="s">
        <v>1184</v>
      </c>
      <c r="F754" s="145">
        <v>7000</v>
      </c>
      <c r="G754" s="133" t="s">
        <v>1034</v>
      </c>
      <c r="H754" s="144" t="s">
        <v>1341</v>
      </c>
      <c r="I754" s="133" t="s">
        <v>1092</v>
      </c>
      <c r="J754" s="133" t="s">
        <v>2072</v>
      </c>
      <c r="K754" s="143">
        <v>45261</v>
      </c>
      <c r="L754" s="133" t="s">
        <v>1092</v>
      </c>
      <c r="M754" s="133">
        <v>3500</v>
      </c>
      <c r="N754" s="142">
        <f>+F754-M754-M755</f>
        <v>0</v>
      </c>
      <c r="P754" s="140"/>
      <c r="Q754" s="140"/>
    </row>
    <row r="755" spans="1:17" hidden="1" x14ac:dyDescent="0.35">
      <c r="A755" s="146"/>
      <c r="B755" s="143"/>
      <c r="C755" s="133"/>
      <c r="D755" s="133"/>
      <c r="E755" s="145"/>
      <c r="F755" s="145"/>
      <c r="G755" s="133" t="s">
        <v>1034</v>
      </c>
      <c r="H755" s="144" t="s">
        <v>1341</v>
      </c>
      <c r="I755" s="133" t="s">
        <v>1092</v>
      </c>
      <c r="J755" s="133" t="s">
        <v>2071</v>
      </c>
      <c r="K755" s="143">
        <v>45261</v>
      </c>
      <c r="L755" s="133" t="s">
        <v>1092</v>
      </c>
      <c r="M755" s="133">
        <v>3500</v>
      </c>
      <c r="N755" s="142"/>
      <c r="P755" s="140"/>
      <c r="Q755" s="140"/>
    </row>
    <row r="756" spans="1:17" hidden="1" x14ac:dyDescent="0.35">
      <c r="A756" s="146"/>
      <c r="B756" s="143"/>
      <c r="C756" s="133"/>
      <c r="D756" s="133"/>
      <c r="E756" s="145"/>
      <c r="F756" s="197"/>
      <c r="G756" s="133"/>
      <c r="H756" s="144"/>
      <c r="I756" s="133"/>
      <c r="J756" s="133"/>
      <c r="K756" s="133"/>
      <c r="L756" s="133"/>
      <c r="M756" s="133"/>
      <c r="N756" s="142"/>
      <c r="P756" s="140"/>
      <c r="Q756" s="140"/>
    </row>
    <row r="757" spans="1:17" hidden="1" x14ac:dyDescent="0.35">
      <c r="A757" s="146">
        <v>160</v>
      </c>
      <c r="B757" s="143">
        <v>45231</v>
      </c>
      <c r="C757" s="133" t="s">
        <v>1647</v>
      </c>
      <c r="D757" s="133" t="s">
        <v>2079</v>
      </c>
      <c r="E757" s="145" t="s">
        <v>1067</v>
      </c>
      <c r="F757" s="145">
        <v>419</v>
      </c>
      <c r="G757" s="133" t="s">
        <v>1034</v>
      </c>
      <c r="H757" s="144" t="s">
        <v>1341</v>
      </c>
      <c r="I757" s="133" t="s">
        <v>1092</v>
      </c>
      <c r="J757" s="133" t="s">
        <v>2072</v>
      </c>
      <c r="K757" s="143">
        <v>45261</v>
      </c>
      <c r="L757" s="133" t="s">
        <v>1092</v>
      </c>
      <c r="M757" s="133">
        <v>1672</v>
      </c>
      <c r="N757" s="142">
        <f>+F757+F758-M757-M758</f>
        <v>0</v>
      </c>
      <c r="P757" s="140"/>
      <c r="Q757" s="140"/>
    </row>
    <row r="758" spans="1:17" hidden="1" x14ac:dyDescent="0.35">
      <c r="A758" s="146"/>
      <c r="B758" s="143"/>
      <c r="C758" s="133"/>
      <c r="D758" s="133"/>
      <c r="E758" s="145" t="s">
        <v>1075</v>
      </c>
      <c r="F758" s="197">
        <v>1341</v>
      </c>
      <c r="G758" s="133" t="s">
        <v>1034</v>
      </c>
      <c r="H758" s="144" t="s">
        <v>1341</v>
      </c>
      <c r="I758" s="133" t="s">
        <v>1092</v>
      </c>
      <c r="J758" s="133" t="s">
        <v>2075</v>
      </c>
      <c r="K758" s="143">
        <v>45261</v>
      </c>
      <c r="L758" s="133" t="s">
        <v>1241</v>
      </c>
      <c r="M758" s="133">
        <v>88</v>
      </c>
      <c r="N758" s="142"/>
      <c r="P758" s="140"/>
      <c r="Q758" s="140"/>
    </row>
    <row r="759" spans="1:17" hidden="1" x14ac:dyDescent="0.35">
      <c r="A759" s="146"/>
      <c r="B759" s="143"/>
      <c r="C759" s="133"/>
      <c r="D759" s="133"/>
      <c r="E759" s="145"/>
      <c r="F759" s="197"/>
      <c r="G759" s="133"/>
      <c r="H759" s="144"/>
      <c r="I759" s="133"/>
      <c r="J759" s="133"/>
      <c r="K759" s="133"/>
      <c r="L759" s="133"/>
      <c r="M759" s="133"/>
      <c r="N759" s="142"/>
      <c r="P759" s="140"/>
      <c r="Q759" s="140"/>
    </row>
    <row r="760" spans="1:17" hidden="1" x14ac:dyDescent="0.35">
      <c r="A760" s="146">
        <v>161</v>
      </c>
      <c r="B760" s="143">
        <v>45231</v>
      </c>
      <c r="C760" s="133" t="s">
        <v>1646</v>
      </c>
      <c r="D760" s="133" t="s">
        <v>2078</v>
      </c>
      <c r="E760" s="145" t="s">
        <v>1067</v>
      </c>
      <c r="F760" s="145">
        <v>1563</v>
      </c>
      <c r="G760" s="133" t="s">
        <v>1034</v>
      </c>
      <c r="H760" s="144" t="s">
        <v>1341</v>
      </c>
      <c r="I760" s="133" t="s">
        <v>1092</v>
      </c>
      <c r="J760" s="133" t="s">
        <v>2071</v>
      </c>
      <c r="K760" s="143">
        <v>45261</v>
      </c>
      <c r="L760" s="133" t="s">
        <v>1092</v>
      </c>
      <c r="M760" s="133">
        <v>1684</v>
      </c>
      <c r="N760" s="142">
        <f>+F760+F761-M760-M761</f>
        <v>0</v>
      </c>
      <c r="P760" s="140"/>
      <c r="Q760" s="140"/>
    </row>
    <row r="761" spans="1:17" hidden="1" x14ac:dyDescent="0.35">
      <c r="A761" s="146"/>
      <c r="B761" s="143"/>
      <c r="C761" s="133"/>
      <c r="D761" s="133"/>
      <c r="E761" s="145" t="s">
        <v>1075</v>
      </c>
      <c r="F761" s="197">
        <v>213</v>
      </c>
      <c r="G761" s="133" t="s">
        <v>1034</v>
      </c>
      <c r="H761" s="144" t="s">
        <v>1341</v>
      </c>
      <c r="I761" s="133" t="s">
        <v>1092</v>
      </c>
      <c r="J761" s="133" t="s">
        <v>2075</v>
      </c>
      <c r="K761" s="143">
        <v>45261</v>
      </c>
      <c r="L761" s="133" t="s">
        <v>1241</v>
      </c>
      <c r="M761" s="133">
        <v>92</v>
      </c>
      <c r="N761" s="142"/>
      <c r="O761" s="140"/>
      <c r="P761" s="140"/>
      <c r="Q761" s="140"/>
    </row>
    <row r="762" spans="1:17" hidden="1" x14ac:dyDescent="0.35">
      <c r="A762" s="146"/>
      <c r="B762" s="143"/>
      <c r="C762" s="133"/>
      <c r="D762" s="133"/>
      <c r="E762" s="145"/>
      <c r="F762" s="197"/>
      <c r="G762" s="133"/>
      <c r="H762" s="144"/>
      <c r="I762" s="133"/>
      <c r="J762" s="133"/>
      <c r="K762" s="133"/>
      <c r="L762" s="133"/>
      <c r="M762" s="133"/>
      <c r="N762" s="142"/>
      <c r="P762" s="140"/>
      <c r="Q762" s="140"/>
    </row>
    <row r="763" spans="1:17" hidden="1" x14ac:dyDescent="0.35">
      <c r="A763" s="146">
        <v>162</v>
      </c>
      <c r="B763" s="143">
        <v>45231</v>
      </c>
      <c r="C763" s="133" t="s">
        <v>1645</v>
      </c>
      <c r="D763" s="133" t="s">
        <v>2077</v>
      </c>
      <c r="E763" s="145" t="s">
        <v>1118</v>
      </c>
      <c r="F763" s="145">
        <v>4212.3999999999996</v>
      </c>
      <c r="G763" s="133" t="s">
        <v>1034</v>
      </c>
      <c r="H763" s="144" t="s">
        <v>1341</v>
      </c>
      <c r="I763" s="133" t="s">
        <v>1092</v>
      </c>
      <c r="J763" s="133" t="s">
        <v>2073</v>
      </c>
      <c r="K763" s="143">
        <v>45261</v>
      </c>
      <c r="L763" s="133" t="s">
        <v>1092</v>
      </c>
      <c r="M763" s="133">
        <v>212.4</v>
      </c>
      <c r="N763" s="142">
        <f>+F763+F764+F765-M763-M764-M765-M766</f>
        <v>0</v>
      </c>
      <c r="P763" s="140"/>
      <c r="Q763" s="140"/>
    </row>
    <row r="764" spans="1:17" hidden="1" x14ac:dyDescent="0.35">
      <c r="A764" s="146"/>
      <c r="B764" s="143"/>
      <c r="C764" s="133"/>
      <c r="D764" s="133"/>
      <c r="E764" s="145" t="s">
        <v>1075</v>
      </c>
      <c r="F764" s="197">
        <v>1044</v>
      </c>
      <c r="G764" s="133" t="s">
        <v>1034</v>
      </c>
      <c r="H764" s="144" t="s">
        <v>1341</v>
      </c>
      <c r="I764" s="133" t="s">
        <v>1092</v>
      </c>
      <c r="J764" s="133" t="s">
        <v>2072</v>
      </c>
      <c r="K764" s="143">
        <v>45261</v>
      </c>
      <c r="L764" s="133" t="s">
        <v>1092</v>
      </c>
      <c r="M764" s="133">
        <v>1000</v>
      </c>
      <c r="N764" s="142"/>
      <c r="O764" s="140"/>
      <c r="P764" s="140"/>
      <c r="Q764" s="140"/>
    </row>
    <row r="765" spans="1:17" hidden="1" x14ac:dyDescent="0.35">
      <c r="A765" s="146"/>
      <c r="B765" s="143"/>
      <c r="C765" s="133"/>
      <c r="D765" s="133"/>
      <c r="E765" s="145" t="s">
        <v>1342</v>
      </c>
      <c r="F765" s="197">
        <v>2948</v>
      </c>
      <c r="G765" s="133" t="s">
        <v>1034</v>
      </c>
      <c r="H765" s="144" t="s">
        <v>1341</v>
      </c>
      <c r="I765" s="133" t="s">
        <v>1092</v>
      </c>
      <c r="J765" s="133" t="s">
        <v>2071</v>
      </c>
      <c r="K765" s="143">
        <v>45261</v>
      </c>
      <c r="L765" s="133" t="s">
        <v>1092</v>
      </c>
      <c r="M765" s="133">
        <v>6586</v>
      </c>
      <c r="N765" s="142"/>
      <c r="P765" s="140"/>
      <c r="Q765" s="140"/>
    </row>
    <row r="766" spans="1:17" hidden="1" x14ac:dyDescent="0.35">
      <c r="A766" s="146"/>
      <c r="B766" s="143"/>
      <c r="C766" s="133"/>
      <c r="D766" s="133"/>
      <c r="E766" s="145"/>
      <c r="F766" s="197"/>
      <c r="G766" s="133" t="s">
        <v>1034</v>
      </c>
      <c r="H766" s="144" t="s">
        <v>1341</v>
      </c>
      <c r="I766" s="133" t="s">
        <v>1092</v>
      </c>
      <c r="J766" s="133" t="s">
        <v>2075</v>
      </c>
      <c r="K766" s="143">
        <v>45261</v>
      </c>
      <c r="L766" s="133" t="s">
        <v>1241</v>
      </c>
      <c r="M766" s="133">
        <v>406</v>
      </c>
      <c r="N766" s="142"/>
      <c r="P766" s="140"/>
      <c r="Q766" s="140"/>
    </row>
    <row r="767" spans="1:17" hidden="1" x14ac:dyDescent="0.35">
      <c r="A767" s="146"/>
      <c r="B767" s="143"/>
      <c r="C767" s="133"/>
      <c r="D767" s="133"/>
      <c r="E767" s="145"/>
      <c r="F767" s="197"/>
      <c r="G767" s="133"/>
      <c r="H767" s="144"/>
      <c r="I767" s="133"/>
      <c r="J767" s="133"/>
      <c r="K767" s="143"/>
      <c r="L767" s="133"/>
      <c r="M767" s="133"/>
      <c r="N767" s="142"/>
      <c r="P767" s="140"/>
      <c r="Q767" s="140"/>
    </row>
    <row r="768" spans="1:17" hidden="1" x14ac:dyDescent="0.35">
      <c r="A768" s="146">
        <v>163</v>
      </c>
      <c r="B768" s="143">
        <v>45231</v>
      </c>
      <c r="C768" s="133" t="s">
        <v>1643</v>
      </c>
      <c r="D768" s="133" t="s">
        <v>2076</v>
      </c>
      <c r="E768" s="145" t="s">
        <v>1342</v>
      </c>
      <c r="F768" s="145">
        <v>2372</v>
      </c>
      <c r="G768" s="133" t="s">
        <v>1034</v>
      </c>
      <c r="H768" s="144" t="s">
        <v>1341</v>
      </c>
      <c r="I768" s="133" t="s">
        <v>1092</v>
      </c>
      <c r="J768" s="133" t="s">
        <v>2071</v>
      </c>
      <c r="K768" s="143">
        <v>45261</v>
      </c>
      <c r="L768" s="133" t="s">
        <v>1092</v>
      </c>
      <c r="M768" s="133">
        <v>3479</v>
      </c>
      <c r="N768" s="142">
        <f>+F768+F769+F770-M768-M769</f>
        <v>0</v>
      </c>
      <c r="P768" s="140"/>
      <c r="Q768" s="140"/>
    </row>
    <row r="769" spans="1:17" hidden="1" x14ac:dyDescent="0.35">
      <c r="A769" s="146"/>
      <c r="B769" s="143"/>
      <c r="C769" s="133"/>
      <c r="D769" s="133"/>
      <c r="E769" s="145" t="s">
        <v>1067</v>
      </c>
      <c r="F769" s="197">
        <v>1073</v>
      </c>
      <c r="G769" s="133" t="s">
        <v>1034</v>
      </c>
      <c r="H769" s="144" t="s">
        <v>1341</v>
      </c>
      <c r="I769" s="133" t="s">
        <v>1092</v>
      </c>
      <c r="J769" s="133" t="s">
        <v>2075</v>
      </c>
      <c r="K769" s="143">
        <v>45261</v>
      </c>
      <c r="L769" s="133" t="s">
        <v>1241</v>
      </c>
      <c r="M769" s="133">
        <v>184</v>
      </c>
      <c r="N769" s="142"/>
      <c r="O769" s="140"/>
      <c r="P769" s="140"/>
      <c r="Q769" s="140"/>
    </row>
    <row r="770" spans="1:17" hidden="1" x14ac:dyDescent="0.35">
      <c r="A770" s="146"/>
      <c r="B770" s="143"/>
      <c r="C770" s="133"/>
      <c r="D770" s="133"/>
      <c r="E770" s="145" t="s">
        <v>1075</v>
      </c>
      <c r="F770" s="197">
        <v>218</v>
      </c>
      <c r="G770" s="133"/>
      <c r="H770" s="144"/>
      <c r="I770" s="133"/>
      <c r="J770" s="133"/>
      <c r="K770" s="133"/>
      <c r="L770" s="133"/>
      <c r="M770" s="133"/>
      <c r="N770" s="142"/>
      <c r="P770" s="140"/>
      <c r="Q770" s="140"/>
    </row>
    <row r="771" spans="1:17" hidden="1" x14ac:dyDescent="0.35">
      <c r="A771" s="146"/>
      <c r="B771" s="143"/>
      <c r="C771" s="133"/>
      <c r="D771" s="133"/>
      <c r="E771" s="145"/>
      <c r="F771" s="197"/>
      <c r="G771" s="133"/>
      <c r="H771" s="144"/>
      <c r="I771" s="133"/>
      <c r="J771" s="133"/>
      <c r="K771" s="133"/>
      <c r="L771" s="133"/>
      <c r="M771" s="133"/>
      <c r="N771" s="142"/>
      <c r="P771" s="140"/>
      <c r="Q771" s="140"/>
    </row>
    <row r="772" spans="1:17" hidden="1" x14ac:dyDescent="0.35">
      <c r="A772" s="146">
        <v>164</v>
      </c>
      <c r="B772" s="143">
        <v>45231</v>
      </c>
      <c r="C772" s="133" t="s">
        <v>1642</v>
      </c>
      <c r="D772" s="133" t="s">
        <v>2074</v>
      </c>
      <c r="E772" s="145" t="s">
        <v>1342</v>
      </c>
      <c r="F772" s="145">
        <v>1042</v>
      </c>
      <c r="G772" s="133" t="s">
        <v>1034</v>
      </c>
      <c r="H772" s="144" t="s">
        <v>1341</v>
      </c>
      <c r="I772" s="133" t="s">
        <v>1092</v>
      </c>
      <c r="J772" s="133" t="s">
        <v>2069</v>
      </c>
      <c r="K772" s="143">
        <v>45261</v>
      </c>
      <c r="L772" s="133" t="s">
        <v>1092</v>
      </c>
      <c r="M772" s="133">
        <v>5342.2</v>
      </c>
      <c r="N772" s="147">
        <f>+F772+F773+F774+F775-M772-M773</f>
        <v>0</v>
      </c>
      <c r="P772" s="140"/>
      <c r="Q772" s="140"/>
    </row>
    <row r="773" spans="1:17" hidden="1" x14ac:dyDescent="0.35">
      <c r="A773" s="146"/>
      <c r="B773" s="143"/>
      <c r="C773" s="133"/>
      <c r="D773" s="133"/>
      <c r="E773" s="145" t="s">
        <v>1067</v>
      </c>
      <c r="F773" s="197">
        <v>1824</v>
      </c>
      <c r="G773" s="133" t="s">
        <v>1034</v>
      </c>
      <c r="H773" s="144" t="s">
        <v>1341</v>
      </c>
      <c r="I773" s="133" t="s">
        <v>1092</v>
      </c>
      <c r="J773" s="133" t="s">
        <v>2042</v>
      </c>
      <c r="K773" s="143">
        <v>45292</v>
      </c>
      <c r="L773" s="133" t="s">
        <v>1241</v>
      </c>
      <c r="M773" s="133">
        <v>285</v>
      </c>
      <c r="N773" s="147"/>
      <c r="O773" s="140"/>
      <c r="P773" s="140"/>
      <c r="Q773" s="140"/>
    </row>
    <row r="774" spans="1:17" hidden="1" x14ac:dyDescent="0.35">
      <c r="A774" s="146"/>
      <c r="B774" s="143"/>
      <c r="C774" s="133"/>
      <c r="D774" s="133"/>
      <c r="E774" s="145" t="s">
        <v>1075</v>
      </c>
      <c r="F774" s="197">
        <v>622</v>
      </c>
      <c r="G774" s="133"/>
      <c r="H774" s="144"/>
      <c r="I774" s="133"/>
      <c r="J774" s="133"/>
      <c r="K774" s="133"/>
      <c r="L774" s="133"/>
      <c r="M774" s="133"/>
      <c r="N774" s="147"/>
      <c r="P774" s="140"/>
      <c r="Q774" s="140"/>
    </row>
    <row r="775" spans="1:17" hidden="1" x14ac:dyDescent="0.35">
      <c r="A775" s="146"/>
      <c r="B775" s="143"/>
      <c r="C775" s="133"/>
      <c r="D775" s="133"/>
      <c r="E775" s="148" t="s">
        <v>1064</v>
      </c>
      <c r="F775" s="145">
        <v>2139.1999999999998</v>
      </c>
      <c r="G775" s="133"/>
      <c r="H775" s="144"/>
      <c r="I775" s="133"/>
      <c r="J775" s="133"/>
      <c r="K775" s="133"/>
      <c r="L775" s="133"/>
      <c r="M775" s="133"/>
      <c r="N775" s="147"/>
      <c r="P775" s="140"/>
      <c r="Q775" s="140"/>
    </row>
    <row r="776" spans="1:17" hidden="1" x14ac:dyDescent="0.35">
      <c r="A776" s="146"/>
      <c r="B776" s="143"/>
      <c r="C776" s="133"/>
      <c r="D776" s="133"/>
      <c r="E776" s="145"/>
      <c r="F776" s="197"/>
      <c r="G776" s="133"/>
      <c r="H776" s="144"/>
      <c r="I776" s="133"/>
      <c r="J776" s="133"/>
      <c r="K776" s="133"/>
      <c r="L776" s="133"/>
      <c r="M776" s="133"/>
      <c r="N776" s="147"/>
      <c r="P776" s="140"/>
      <c r="Q776" s="140"/>
    </row>
    <row r="777" spans="1:17" hidden="1" x14ac:dyDescent="0.35">
      <c r="A777" s="146">
        <v>165</v>
      </c>
      <c r="B777" s="143">
        <v>45231</v>
      </c>
      <c r="C777" s="133" t="s">
        <v>1641</v>
      </c>
      <c r="D777" s="133" t="s">
        <v>2074</v>
      </c>
      <c r="E777" s="148" t="s">
        <v>1059</v>
      </c>
      <c r="F777" s="145">
        <v>74250</v>
      </c>
      <c r="G777" s="133" t="s">
        <v>1034</v>
      </c>
      <c r="H777" s="144" t="s">
        <v>1341</v>
      </c>
      <c r="I777" s="133" t="s">
        <v>1092</v>
      </c>
      <c r="J777" s="133" t="s">
        <v>2073</v>
      </c>
      <c r="K777" s="143">
        <v>45261</v>
      </c>
      <c r="L777" s="133" t="s">
        <v>1092</v>
      </c>
      <c r="M777" s="133">
        <v>4840.87</v>
      </c>
      <c r="N777" s="147">
        <f>+F777-M777-M778-M779-M780-M781-M782-M783-M784-M785</f>
        <v>0</v>
      </c>
      <c r="P777" s="140"/>
      <c r="Q777" s="140"/>
    </row>
    <row r="778" spans="1:17" hidden="1" x14ac:dyDescent="0.35">
      <c r="A778" s="146"/>
      <c r="B778" s="143"/>
      <c r="C778" s="133"/>
      <c r="D778" s="133"/>
      <c r="E778" s="148"/>
      <c r="F778" s="145"/>
      <c r="G778" s="133" t="s">
        <v>1034</v>
      </c>
      <c r="H778" s="144" t="s">
        <v>1341</v>
      </c>
      <c r="I778" s="133" t="s">
        <v>1092</v>
      </c>
      <c r="J778" s="133" t="s">
        <v>2072</v>
      </c>
      <c r="K778" s="143">
        <v>45261</v>
      </c>
      <c r="L778" s="133" t="s">
        <v>1092</v>
      </c>
      <c r="M778" s="133">
        <v>3899.3</v>
      </c>
      <c r="N778" s="147"/>
      <c r="P778" s="140"/>
      <c r="Q778" s="140"/>
    </row>
    <row r="779" spans="1:17" hidden="1" x14ac:dyDescent="0.35">
      <c r="A779" s="146"/>
      <c r="B779" s="143"/>
      <c r="C779" s="133"/>
      <c r="D779" s="133"/>
      <c r="E779" s="148"/>
      <c r="F779" s="145"/>
      <c r="G779" s="133" t="s">
        <v>1034</v>
      </c>
      <c r="H779" s="144" t="s">
        <v>1341</v>
      </c>
      <c r="I779" s="133" t="s">
        <v>1092</v>
      </c>
      <c r="J779" s="133" t="s">
        <v>2071</v>
      </c>
      <c r="K779" s="143">
        <v>45261</v>
      </c>
      <c r="L779" s="133" t="s">
        <v>1092</v>
      </c>
      <c r="M779" s="133">
        <v>4325.8</v>
      </c>
      <c r="N779" s="147"/>
      <c r="P779" s="140"/>
      <c r="Q779" s="140"/>
    </row>
    <row r="780" spans="1:17" hidden="1" x14ac:dyDescent="0.35">
      <c r="A780" s="146"/>
      <c r="B780" s="143"/>
      <c r="C780" s="133"/>
      <c r="D780" s="133"/>
      <c r="E780" s="148"/>
      <c r="F780" s="145"/>
      <c r="G780" s="133" t="s">
        <v>1034</v>
      </c>
      <c r="H780" s="144" t="s">
        <v>1341</v>
      </c>
      <c r="I780" s="133" t="s">
        <v>1092</v>
      </c>
      <c r="J780" s="133" t="s">
        <v>2069</v>
      </c>
      <c r="K780" s="143">
        <v>45261</v>
      </c>
      <c r="L780" s="133" t="s">
        <v>1092</v>
      </c>
      <c r="M780" s="133">
        <v>9491.7000000000007</v>
      </c>
      <c r="N780" s="147"/>
      <c r="P780" s="140"/>
      <c r="Q780" s="140"/>
    </row>
    <row r="781" spans="1:17" hidden="1" x14ac:dyDescent="0.35">
      <c r="A781" s="146"/>
      <c r="B781" s="143"/>
      <c r="C781" s="133"/>
      <c r="D781" s="133"/>
      <c r="E781" s="148"/>
      <c r="F781" s="145"/>
      <c r="G781" s="133" t="s">
        <v>1034</v>
      </c>
      <c r="H781" s="144" t="s">
        <v>1341</v>
      </c>
      <c r="I781" s="133" t="s">
        <v>1092</v>
      </c>
      <c r="J781" s="133" t="s">
        <v>2057</v>
      </c>
      <c r="K781" s="143">
        <v>45261</v>
      </c>
      <c r="L781" s="133" t="s">
        <v>1092</v>
      </c>
      <c r="M781" s="133">
        <v>16528.599999999999</v>
      </c>
      <c r="N781" s="147"/>
      <c r="P781" s="140"/>
      <c r="Q781" s="140"/>
    </row>
    <row r="782" spans="1:17" hidden="1" x14ac:dyDescent="0.35">
      <c r="A782" s="146"/>
      <c r="B782" s="143"/>
      <c r="C782" s="133"/>
      <c r="D782" s="133"/>
      <c r="E782" s="148"/>
      <c r="F782" s="145"/>
      <c r="G782" s="133" t="s">
        <v>1034</v>
      </c>
      <c r="H782" s="144" t="s">
        <v>1341</v>
      </c>
      <c r="I782" s="133" t="s">
        <v>1092</v>
      </c>
      <c r="J782" s="133" t="s">
        <v>2064</v>
      </c>
      <c r="K782" s="143">
        <v>45261</v>
      </c>
      <c r="L782" s="133" t="s">
        <v>1092</v>
      </c>
      <c r="M782" s="133">
        <v>11452.4</v>
      </c>
      <c r="N782" s="147"/>
      <c r="P782" s="140"/>
      <c r="Q782" s="140"/>
    </row>
    <row r="783" spans="1:17" hidden="1" x14ac:dyDescent="0.35">
      <c r="A783" s="146"/>
      <c r="B783" s="143"/>
      <c r="C783" s="133"/>
      <c r="D783" s="133"/>
      <c r="E783" s="148"/>
      <c r="F783" s="145"/>
      <c r="G783" s="133" t="s">
        <v>1034</v>
      </c>
      <c r="H783" s="144" t="s">
        <v>1341</v>
      </c>
      <c r="I783" s="133" t="s">
        <v>1092</v>
      </c>
      <c r="J783" s="133" t="s">
        <v>2059</v>
      </c>
      <c r="K783" s="143">
        <v>45261</v>
      </c>
      <c r="L783" s="133" t="s">
        <v>1092</v>
      </c>
      <c r="M783" s="133">
        <v>2275.4</v>
      </c>
      <c r="N783" s="147"/>
      <c r="P783" s="140"/>
      <c r="Q783" s="140"/>
    </row>
    <row r="784" spans="1:17" hidden="1" x14ac:dyDescent="0.35">
      <c r="A784" s="146"/>
      <c r="B784" s="143"/>
      <c r="C784" s="133"/>
      <c r="D784" s="133"/>
      <c r="E784" s="148"/>
      <c r="F784" s="145"/>
      <c r="G784" s="133" t="s">
        <v>1034</v>
      </c>
      <c r="H784" s="144" t="s">
        <v>1341</v>
      </c>
      <c r="I784" s="133" t="s">
        <v>1092</v>
      </c>
      <c r="J784" s="133" t="s">
        <v>2066</v>
      </c>
      <c r="K784" s="143">
        <v>45261</v>
      </c>
      <c r="L784" s="133" t="s">
        <v>1092</v>
      </c>
      <c r="M784" s="133">
        <v>17720.93</v>
      </c>
      <c r="N784" s="147"/>
      <c r="P784" s="140"/>
      <c r="Q784" s="140"/>
    </row>
    <row r="785" spans="1:17" hidden="1" x14ac:dyDescent="0.35">
      <c r="A785" s="146"/>
      <c r="B785" s="143"/>
      <c r="C785" s="133"/>
      <c r="D785" s="133"/>
      <c r="E785" s="148"/>
      <c r="F785" s="145"/>
      <c r="G785" s="133" t="s">
        <v>1034</v>
      </c>
      <c r="H785" s="144" t="s">
        <v>1341</v>
      </c>
      <c r="I785" s="133" t="s">
        <v>1092</v>
      </c>
      <c r="J785" s="133" t="s">
        <v>2042</v>
      </c>
      <c r="K785" s="143">
        <v>45292</v>
      </c>
      <c r="L785" s="133" t="s">
        <v>1241</v>
      </c>
      <c r="M785" s="133">
        <v>3715</v>
      </c>
      <c r="N785" s="147"/>
      <c r="P785" s="140"/>
      <c r="Q785" s="140"/>
    </row>
    <row r="786" spans="1:17" hidden="1" x14ac:dyDescent="0.35">
      <c r="A786" s="146"/>
      <c r="B786" s="143"/>
      <c r="C786" s="133"/>
      <c r="D786" s="133"/>
      <c r="E786" s="145"/>
      <c r="F786" s="197"/>
      <c r="G786" s="133"/>
      <c r="H786" s="144"/>
      <c r="I786" s="133"/>
      <c r="J786" s="133"/>
      <c r="K786" s="133"/>
      <c r="L786" s="133"/>
      <c r="M786" s="133"/>
      <c r="N786" s="147"/>
      <c r="P786" s="140"/>
      <c r="Q786" s="140"/>
    </row>
    <row r="787" spans="1:17" hidden="1" x14ac:dyDescent="0.35">
      <c r="A787" s="146">
        <v>166</v>
      </c>
      <c r="B787" s="143">
        <v>45231</v>
      </c>
      <c r="C787" s="133" t="s">
        <v>1640</v>
      </c>
      <c r="D787" s="133" t="s">
        <v>2070</v>
      </c>
      <c r="E787" s="145" t="s">
        <v>1342</v>
      </c>
      <c r="F787" s="145">
        <v>1752</v>
      </c>
      <c r="G787" s="133" t="s">
        <v>1034</v>
      </c>
      <c r="H787" s="144" t="s">
        <v>1341</v>
      </c>
      <c r="I787" s="133" t="s">
        <v>1092</v>
      </c>
      <c r="J787" s="133" t="s">
        <v>2069</v>
      </c>
      <c r="K787" s="143">
        <v>45261</v>
      </c>
      <c r="L787" s="133" t="s">
        <v>1092</v>
      </c>
      <c r="M787" s="133">
        <v>1063.0999999999999</v>
      </c>
      <c r="N787" s="147">
        <f>+F787+F788+F789+F790-M787-M788-M789</f>
        <v>0</v>
      </c>
      <c r="P787" s="140"/>
      <c r="Q787" s="140"/>
    </row>
    <row r="788" spans="1:17" hidden="1" x14ac:dyDescent="0.35">
      <c r="A788" s="146"/>
      <c r="B788" s="143"/>
      <c r="C788" s="133"/>
      <c r="D788" s="133"/>
      <c r="E788" s="145" t="s">
        <v>1067</v>
      </c>
      <c r="F788" s="197">
        <v>1244.7</v>
      </c>
      <c r="G788" s="133" t="s">
        <v>1034</v>
      </c>
      <c r="H788" s="144" t="s">
        <v>1341</v>
      </c>
      <c r="I788" s="133" t="s">
        <v>1092</v>
      </c>
      <c r="J788" s="133" t="s">
        <v>2057</v>
      </c>
      <c r="K788" s="143">
        <v>45261</v>
      </c>
      <c r="L788" s="133" t="s">
        <v>1092</v>
      </c>
      <c r="M788" s="133">
        <f>1000+973.7+352+1244.7</f>
        <v>3570.3999999999996</v>
      </c>
      <c r="N788" s="147"/>
      <c r="O788" s="140"/>
      <c r="P788" s="140"/>
      <c r="Q788" s="140"/>
    </row>
    <row r="789" spans="1:17" hidden="1" x14ac:dyDescent="0.35">
      <c r="A789" s="146"/>
      <c r="B789" s="143"/>
      <c r="C789" s="133"/>
      <c r="D789" s="133"/>
      <c r="E789" s="145" t="s">
        <v>1075</v>
      </c>
      <c r="F789" s="197">
        <v>352</v>
      </c>
      <c r="G789" s="133" t="s">
        <v>1034</v>
      </c>
      <c r="H789" s="144" t="s">
        <v>1341</v>
      </c>
      <c r="I789" s="133" t="s">
        <v>1092</v>
      </c>
      <c r="J789" s="133" t="s">
        <v>2042</v>
      </c>
      <c r="K789" s="143">
        <v>45292</v>
      </c>
      <c r="L789" s="133" t="s">
        <v>1241</v>
      </c>
      <c r="M789" s="133">
        <v>778.3</v>
      </c>
      <c r="N789" s="147"/>
      <c r="P789" s="140"/>
      <c r="Q789" s="140"/>
    </row>
    <row r="790" spans="1:17" hidden="1" x14ac:dyDescent="0.35">
      <c r="A790" s="146"/>
      <c r="B790" s="143"/>
      <c r="C790" s="133"/>
      <c r="D790" s="133"/>
      <c r="E790" s="145" t="s">
        <v>1118</v>
      </c>
      <c r="F790" s="145">
        <v>2063.1</v>
      </c>
      <c r="G790" s="133"/>
      <c r="H790" s="144"/>
      <c r="I790" s="133"/>
      <c r="J790" s="133"/>
      <c r="K790" s="133"/>
      <c r="L790" s="133"/>
      <c r="M790" s="133"/>
      <c r="N790" s="147"/>
      <c r="P790" s="140"/>
      <c r="Q790" s="140"/>
    </row>
    <row r="791" spans="1:17" hidden="1" x14ac:dyDescent="0.35">
      <c r="A791" s="146"/>
      <c r="B791" s="143"/>
      <c r="C791" s="133"/>
      <c r="D791" s="133"/>
      <c r="E791" s="145"/>
      <c r="F791" s="197"/>
      <c r="G791" s="133"/>
      <c r="H791" s="144"/>
      <c r="I791" s="133"/>
      <c r="J791" s="133"/>
      <c r="K791" s="133"/>
      <c r="L791" s="133"/>
      <c r="M791" s="133"/>
      <c r="N791" s="147"/>
      <c r="P791" s="140"/>
      <c r="Q791" s="140"/>
    </row>
    <row r="792" spans="1:17" hidden="1" x14ac:dyDescent="0.35">
      <c r="A792" s="146">
        <v>167</v>
      </c>
      <c r="B792" s="143">
        <v>45231</v>
      </c>
      <c r="C792" s="133" t="s">
        <v>1638</v>
      </c>
      <c r="D792" s="133" t="s">
        <v>2068</v>
      </c>
      <c r="E792" s="145" t="s">
        <v>1342</v>
      </c>
      <c r="F792" s="145">
        <v>3813</v>
      </c>
      <c r="G792" s="133" t="s">
        <v>1034</v>
      </c>
      <c r="H792" s="144" t="s">
        <v>1341</v>
      </c>
      <c r="I792" s="133" t="s">
        <v>1092</v>
      </c>
      <c r="J792" s="133" t="s">
        <v>2057</v>
      </c>
      <c r="K792" s="143">
        <v>45261</v>
      </c>
      <c r="L792" s="133" t="s">
        <v>1092</v>
      </c>
      <c r="M792" s="133">
        <v>5175.8999999999996</v>
      </c>
      <c r="N792" s="147">
        <f>+F792+F793+F794-M792-M793</f>
        <v>0</v>
      </c>
      <c r="P792" s="140"/>
      <c r="Q792" s="140"/>
    </row>
    <row r="793" spans="1:17" hidden="1" x14ac:dyDescent="0.35">
      <c r="A793" s="146"/>
      <c r="B793" s="143"/>
      <c r="C793" s="133"/>
      <c r="D793" s="133"/>
      <c r="E793" s="145" t="s">
        <v>1067</v>
      </c>
      <c r="F793" s="197">
        <v>1184.9000000000001</v>
      </c>
      <c r="G793" s="133" t="s">
        <v>1034</v>
      </c>
      <c r="H793" s="144" t="s">
        <v>1341</v>
      </c>
      <c r="I793" s="133" t="s">
        <v>1092</v>
      </c>
      <c r="J793" s="133" t="s">
        <v>2042</v>
      </c>
      <c r="K793" s="143">
        <v>45292</v>
      </c>
      <c r="L793" s="133" t="s">
        <v>1241</v>
      </c>
      <c r="M793" s="133">
        <v>270</v>
      </c>
      <c r="N793" s="147"/>
      <c r="O793" s="140"/>
      <c r="P793" s="140"/>
      <c r="Q793" s="140"/>
    </row>
    <row r="794" spans="1:17" hidden="1" x14ac:dyDescent="0.35">
      <c r="A794" s="146"/>
      <c r="B794" s="143"/>
      <c r="C794" s="133"/>
      <c r="D794" s="133"/>
      <c r="E794" s="145" t="s">
        <v>1075</v>
      </c>
      <c r="F794" s="197">
        <v>448</v>
      </c>
      <c r="G794" s="133"/>
      <c r="H794" s="144"/>
      <c r="I794" s="133"/>
      <c r="J794" s="133"/>
      <c r="K794" s="133"/>
      <c r="L794" s="133"/>
      <c r="M794" s="133"/>
      <c r="N794" s="147"/>
      <c r="P794" s="140"/>
      <c r="Q794" s="140"/>
    </row>
    <row r="795" spans="1:17" hidden="1" x14ac:dyDescent="0.35">
      <c r="A795" s="146"/>
      <c r="B795" s="143"/>
      <c r="C795" s="133"/>
      <c r="D795" s="133"/>
      <c r="E795" s="145"/>
      <c r="F795" s="197"/>
      <c r="G795" s="133"/>
      <c r="H795" s="144"/>
      <c r="I795" s="133"/>
      <c r="J795" s="133"/>
      <c r="K795" s="133"/>
      <c r="L795" s="133"/>
      <c r="M795" s="133"/>
      <c r="N795" s="147"/>
      <c r="P795" s="140"/>
      <c r="Q795" s="140"/>
    </row>
    <row r="796" spans="1:17" hidden="1" x14ac:dyDescent="0.35">
      <c r="A796" s="146">
        <v>168</v>
      </c>
      <c r="B796" s="143">
        <v>45231</v>
      </c>
      <c r="C796" s="133" t="s">
        <v>1636</v>
      </c>
      <c r="D796" s="133" t="s">
        <v>2067</v>
      </c>
      <c r="E796" s="145" t="s">
        <v>678</v>
      </c>
      <c r="F796" s="145">
        <v>6945.54</v>
      </c>
      <c r="G796" s="133" t="s">
        <v>1034</v>
      </c>
      <c r="H796" s="144" t="s">
        <v>1341</v>
      </c>
      <c r="I796" s="133" t="s">
        <v>1092</v>
      </c>
      <c r="J796" s="133" t="s">
        <v>2066</v>
      </c>
      <c r="K796" s="143">
        <v>45261</v>
      </c>
      <c r="L796" s="133" t="s">
        <v>1092</v>
      </c>
      <c r="M796" s="133">
        <v>1340.57</v>
      </c>
      <c r="N796" s="147">
        <f>+F796-M796-M797</f>
        <v>0</v>
      </c>
      <c r="P796" s="140"/>
      <c r="Q796" s="140"/>
    </row>
    <row r="797" spans="1:17" hidden="1" x14ac:dyDescent="0.35">
      <c r="A797" s="146"/>
      <c r="B797" s="143"/>
      <c r="C797" s="133"/>
      <c r="D797" s="133"/>
      <c r="E797" s="145"/>
      <c r="F797" s="145"/>
      <c r="G797" s="133"/>
      <c r="H797" s="144" t="s">
        <v>1341</v>
      </c>
      <c r="I797" s="133" t="s">
        <v>1092</v>
      </c>
      <c r="J797" s="133" t="s">
        <v>2039</v>
      </c>
      <c r="K797" s="143">
        <v>45292</v>
      </c>
      <c r="L797" s="133" t="s">
        <v>1092</v>
      </c>
      <c r="M797" s="133">
        <v>5604.97</v>
      </c>
      <c r="N797" s="147"/>
      <c r="P797" s="140"/>
      <c r="Q797" s="140"/>
    </row>
    <row r="798" spans="1:17" hidden="1" x14ac:dyDescent="0.35">
      <c r="A798" s="146"/>
      <c r="B798" s="143"/>
      <c r="C798" s="133"/>
      <c r="D798" s="133"/>
      <c r="E798" s="145"/>
      <c r="F798" s="197"/>
      <c r="G798" s="133"/>
      <c r="H798" s="144"/>
      <c r="I798" s="133"/>
      <c r="J798" s="133"/>
      <c r="K798" s="143"/>
      <c r="L798" s="133"/>
      <c r="M798" s="133"/>
      <c r="N798" s="147"/>
      <c r="P798" s="140"/>
      <c r="Q798" s="140"/>
    </row>
    <row r="799" spans="1:17" hidden="1" x14ac:dyDescent="0.35">
      <c r="A799" s="146">
        <v>169</v>
      </c>
      <c r="B799" s="143">
        <v>45231</v>
      </c>
      <c r="C799" s="133" t="s">
        <v>1635</v>
      </c>
      <c r="D799" s="133" t="s">
        <v>2065</v>
      </c>
      <c r="E799" s="145" t="s">
        <v>1342</v>
      </c>
      <c r="F799" s="145">
        <v>2485</v>
      </c>
      <c r="G799" s="133" t="s">
        <v>1034</v>
      </c>
      <c r="H799" s="144" t="s">
        <v>1341</v>
      </c>
      <c r="I799" s="133" t="s">
        <v>1092</v>
      </c>
      <c r="J799" s="133" t="s">
        <v>2057</v>
      </c>
      <c r="K799" s="143">
        <v>45261</v>
      </c>
      <c r="L799" s="133" t="s">
        <v>1092</v>
      </c>
      <c r="M799" s="133">
        <v>909.1</v>
      </c>
      <c r="N799" s="147">
        <f>+F799+F800+F801+F802+F803-M799-M800-M801</f>
        <v>0</v>
      </c>
      <c r="P799" s="140"/>
      <c r="Q799" s="140"/>
    </row>
    <row r="800" spans="1:17" hidden="1" x14ac:dyDescent="0.35">
      <c r="A800" s="146"/>
      <c r="B800" s="143"/>
      <c r="C800" s="133"/>
      <c r="D800" s="133"/>
      <c r="E800" s="145" t="s">
        <v>1067</v>
      </c>
      <c r="F800" s="197">
        <v>2408.5</v>
      </c>
      <c r="G800" s="133" t="s">
        <v>1034</v>
      </c>
      <c r="H800" s="144" t="s">
        <v>1341</v>
      </c>
      <c r="I800" s="133" t="s">
        <v>1092</v>
      </c>
      <c r="J800" s="133" t="s">
        <v>2064</v>
      </c>
      <c r="K800" s="143">
        <v>45261</v>
      </c>
      <c r="L800" s="133" t="s">
        <v>1092</v>
      </c>
      <c r="M800" s="133">
        <v>6840</v>
      </c>
      <c r="N800" s="147"/>
      <c r="O800" s="140"/>
      <c r="P800" s="140"/>
      <c r="Q800" s="140"/>
    </row>
    <row r="801" spans="1:17" hidden="1" x14ac:dyDescent="0.35">
      <c r="A801" s="146"/>
      <c r="B801" s="143"/>
      <c r="C801" s="133"/>
      <c r="D801" s="133"/>
      <c r="E801" s="145" t="s">
        <v>1075</v>
      </c>
      <c r="F801" s="197">
        <v>909.1</v>
      </c>
      <c r="G801" s="133" t="s">
        <v>1034</v>
      </c>
      <c r="H801" s="144" t="s">
        <v>1341</v>
      </c>
      <c r="I801" s="133" t="s">
        <v>1092</v>
      </c>
      <c r="J801" s="133" t="s">
        <v>2042</v>
      </c>
      <c r="K801" s="143">
        <v>45292</v>
      </c>
      <c r="L801" s="133" t="s">
        <v>1241</v>
      </c>
      <c r="M801" s="133">
        <v>410</v>
      </c>
      <c r="N801" s="147"/>
      <c r="P801" s="140"/>
      <c r="Q801" s="140"/>
    </row>
    <row r="802" spans="1:17" hidden="1" x14ac:dyDescent="0.35">
      <c r="A802" s="146"/>
      <c r="B802" s="143"/>
      <c r="C802" s="133"/>
      <c r="D802" s="133"/>
      <c r="E802" s="145" t="s">
        <v>1064</v>
      </c>
      <c r="F802" s="145">
        <v>2112.9</v>
      </c>
      <c r="G802" s="133"/>
      <c r="H802" s="144"/>
      <c r="I802" s="133"/>
      <c r="J802" s="133"/>
      <c r="K802" s="133"/>
      <c r="L802" s="133"/>
      <c r="M802" s="133"/>
      <c r="N802" s="147"/>
      <c r="P802" s="140"/>
      <c r="Q802" s="140"/>
    </row>
    <row r="803" spans="1:17" hidden="1" x14ac:dyDescent="0.35">
      <c r="A803" s="146"/>
      <c r="B803" s="143"/>
      <c r="C803" s="133"/>
      <c r="D803" s="133"/>
      <c r="E803" s="145" t="s">
        <v>1071</v>
      </c>
      <c r="F803" s="145">
        <v>243.6</v>
      </c>
      <c r="G803" s="133"/>
      <c r="H803" s="144"/>
      <c r="I803" s="133"/>
      <c r="J803" s="133"/>
      <c r="K803" s="133"/>
      <c r="L803" s="133"/>
      <c r="M803" s="133"/>
      <c r="N803" s="147"/>
      <c r="P803" s="140"/>
      <c r="Q803" s="140"/>
    </row>
    <row r="804" spans="1:17" hidden="1" x14ac:dyDescent="0.35">
      <c r="A804" s="146"/>
      <c r="B804" s="143"/>
      <c r="C804" s="133"/>
      <c r="D804" s="133"/>
      <c r="E804" s="145"/>
      <c r="F804" s="145"/>
      <c r="G804" s="133"/>
      <c r="H804" s="144"/>
      <c r="I804" s="133"/>
      <c r="J804" s="133"/>
      <c r="K804" s="133"/>
      <c r="L804" s="133"/>
      <c r="M804" s="133"/>
      <c r="N804" s="147"/>
      <c r="P804" s="140"/>
      <c r="Q804" s="140"/>
    </row>
    <row r="805" spans="1:17" hidden="1" x14ac:dyDescent="0.35">
      <c r="A805" s="146">
        <v>170</v>
      </c>
      <c r="B805" s="143">
        <v>45231</v>
      </c>
      <c r="C805" s="133" t="s">
        <v>1634</v>
      </c>
      <c r="D805" s="133" t="s">
        <v>2063</v>
      </c>
      <c r="E805" s="145" t="s">
        <v>1342</v>
      </c>
      <c r="F805" s="145">
        <v>4654</v>
      </c>
      <c r="G805" s="133" t="s">
        <v>1034</v>
      </c>
      <c r="H805" s="144" t="s">
        <v>1341</v>
      </c>
      <c r="I805" s="133" t="s">
        <v>1092</v>
      </c>
      <c r="J805" s="133" t="s">
        <v>2057</v>
      </c>
      <c r="K805" s="143">
        <v>45261</v>
      </c>
      <c r="L805" s="133" t="s">
        <v>1092</v>
      </c>
      <c r="M805" s="133">
        <v>3260</v>
      </c>
      <c r="N805" s="147">
        <f>+F805+F806+F807-M805-M806-M807-M808</f>
        <v>0</v>
      </c>
      <c r="P805" s="140"/>
      <c r="Q805" s="140"/>
    </row>
    <row r="806" spans="1:17" hidden="1" x14ac:dyDescent="0.35">
      <c r="A806" s="146"/>
      <c r="B806" s="143"/>
      <c r="C806" s="133"/>
      <c r="D806" s="133"/>
      <c r="E806" s="145" t="s">
        <v>1067</v>
      </c>
      <c r="F806" s="197">
        <v>212.9</v>
      </c>
      <c r="G806" s="133" t="s">
        <v>1034</v>
      </c>
      <c r="H806" s="144" t="s">
        <v>1341</v>
      </c>
      <c r="I806" s="133" t="s">
        <v>1092</v>
      </c>
      <c r="J806" s="133" t="s">
        <v>2062</v>
      </c>
      <c r="K806" s="143">
        <v>45261</v>
      </c>
      <c r="L806" s="133" t="s">
        <v>1092</v>
      </c>
      <c r="M806" s="133">
        <v>413</v>
      </c>
      <c r="N806" s="147"/>
      <c r="P806" s="140"/>
      <c r="Q806" s="140"/>
    </row>
    <row r="807" spans="1:17" hidden="1" x14ac:dyDescent="0.35">
      <c r="A807" s="146"/>
      <c r="B807" s="143"/>
      <c r="C807" s="133"/>
      <c r="D807" s="133"/>
      <c r="E807" s="145" t="s">
        <v>1075</v>
      </c>
      <c r="F807" s="197">
        <v>3260</v>
      </c>
      <c r="G807" s="133" t="s">
        <v>1034</v>
      </c>
      <c r="H807" s="144" t="s">
        <v>1341</v>
      </c>
      <c r="I807" s="133" t="s">
        <v>1092</v>
      </c>
      <c r="J807" s="133" t="s">
        <v>2039</v>
      </c>
      <c r="K807" s="143">
        <v>45292</v>
      </c>
      <c r="L807" s="133" t="s">
        <v>1092</v>
      </c>
      <c r="M807" s="133">
        <v>4049.8999999999996</v>
      </c>
      <c r="N807" s="147"/>
      <c r="P807" s="140"/>
      <c r="Q807" s="140"/>
    </row>
    <row r="808" spans="1:17" hidden="1" x14ac:dyDescent="0.35">
      <c r="A808" s="146"/>
      <c r="B808" s="143"/>
      <c r="C808" s="133"/>
      <c r="D808" s="133"/>
      <c r="E808" s="145"/>
      <c r="F808" s="197"/>
      <c r="G808" s="133" t="s">
        <v>1034</v>
      </c>
      <c r="H808" s="144" t="s">
        <v>1341</v>
      </c>
      <c r="I808" s="133" t="s">
        <v>1092</v>
      </c>
      <c r="J808" s="133" t="s">
        <v>2042</v>
      </c>
      <c r="K808" s="143">
        <v>45292</v>
      </c>
      <c r="L808" s="133" t="s">
        <v>1241</v>
      </c>
      <c r="M808" s="133">
        <v>404</v>
      </c>
      <c r="N808" s="147"/>
      <c r="P808" s="140"/>
      <c r="Q808" s="140"/>
    </row>
    <row r="809" spans="1:17" hidden="1" x14ac:dyDescent="0.35">
      <c r="A809" s="146"/>
      <c r="B809" s="143"/>
      <c r="C809" s="133"/>
      <c r="D809" s="133"/>
      <c r="E809" s="145"/>
      <c r="F809" s="145"/>
      <c r="G809" s="133"/>
      <c r="H809" s="144"/>
      <c r="I809" s="133"/>
      <c r="J809" s="133"/>
      <c r="K809" s="133"/>
      <c r="L809" s="133"/>
      <c r="M809" s="133"/>
      <c r="N809" s="147"/>
      <c r="P809" s="140"/>
      <c r="Q809" s="140"/>
    </row>
    <row r="810" spans="1:17" hidden="1" x14ac:dyDescent="0.35">
      <c r="A810" s="146">
        <v>171</v>
      </c>
      <c r="B810" s="143">
        <v>45231</v>
      </c>
      <c r="C810" s="133" t="s">
        <v>1632</v>
      </c>
      <c r="D810" s="133" t="s">
        <v>2061</v>
      </c>
      <c r="E810" s="145" t="s">
        <v>1342</v>
      </c>
      <c r="F810" s="145">
        <v>706</v>
      </c>
      <c r="G810" s="133" t="s">
        <v>1034</v>
      </c>
      <c r="H810" s="144" t="s">
        <v>1341</v>
      </c>
      <c r="I810" s="133" t="s">
        <v>1092</v>
      </c>
      <c r="J810" s="133" t="s">
        <v>2057</v>
      </c>
      <c r="K810" s="143">
        <v>45261</v>
      </c>
      <c r="L810" s="133" t="s">
        <v>1092</v>
      </c>
      <c r="M810" s="133">
        <v>3126</v>
      </c>
      <c r="N810" s="147">
        <f>+F810+F811+F812+F813-M810-M811-M812-M813</f>
        <v>0</v>
      </c>
      <c r="P810" s="140"/>
      <c r="Q810" s="140"/>
    </row>
    <row r="811" spans="1:17" hidden="1" x14ac:dyDescent="0.35">
      <c r="A811" s="146"/>
      <c r="B811" s="143"/>
      <c r="C811" s="133"/>
      <c r="D811" s="133"/>
      <c r="E811" s="145" t="s">
        <v>1067</v>
      </c>
      <c r="F811" s="197">
        <v>1120.8</v>
      </c>
      <c r="G811" s="133" t="s">
        <v>1034</v>
      </c>
      <c r="H811" s="144" t="s">
        <v>1341</v>
      </c>
      <c r="I811" s="133" t="s">
        <v>1092</v>
      </c>
      <c r="J811" s="133" t="s">
        <v>2059</v>
      </c>
      <c r="K811" s="143">
        <v>45261</v>
      </c>
      <c r="L811" s="133" t="s">
        <v>1092</v>
      </c>
      <c r="M811" s="133">
        <f>706+713.8</f>
        <v>1419.8</v>
      </c>
      <c r="N811" s="147"/>
      <c r="O811" s="140"/>
      <c r="P811" s="140"/>
      <c r="Q811" s="140"/>
    </row>
    <row r="812" spans="1:17" hidden="1" x14ac:dyDescent="0.35">
      <c r="A812" s="146"/>
      <c r="B812" s="143"/>
      <c r="C812" s="133"/>
      <c r="D812" s="133"/>
      <c r="E812" s="145" t="s">
        <v>1075</v>
      </c>
      <c r="F812" s="197">
        <v>3126</v>
      </c>
      <c r="G812" s="133" t="s">
        <v>1034</v>
      </c>
      <c r="H812" s="144" t="s">
        <v>1341</v>
      </c>
      <c r="I812" s="133" t="s">
        <v>1092</v>
      </c>
      <c r="J812" s="133" t="s">
        <v>2039</v>
      </c>
      <c r="K812" s="143">
        <v>45292</v>
      </c>
      <c r="L812" s="133" t="s">
        <v>1092</v>
      </c>
      <c r="M812" s="133">
        <v>3154.3</v>
      </c>
      <c r="N812" s="147"/>
      <c r="P812" s="140"/>
      <c r="Q812" s="140"/>
    </row>
    <row r="813" spans="1:17" hidden="1" x14ac:dyDescent="0.35">
      <c r="A813" s="146"/>
      <c r="B813" s="143"/>
      <c r="C813" s="133"/>
      <c r="D813" s="133"/>
      <c r="E813" s="145" t="s">
        <v>1118</v>
      </c>
      <c r="F813" s="145">
        <v>3154.3</v>
      </c>
      <c r="G813" s="133" t="s">
        <v>1034</v>
      </c>
      <c r="H813" s="144" t="s">
        <v>1341</v>
      </c>
      <c r="I813" s="133" t="s">
        <v>1092</v>
      </c>
      <c r="J813" s="133" t="s">
        <v>2042</v>
      </c>
      <c r="K813" s="143">
        <v>45292</v>
      </c>
      <c r="L813" s="133" t="s">
        <v>1241</v>
      </c>
      <c r="M813" s="133">
        <v>407</v>
      </c>
      <c r="N813" s="147"/>
      <c r="P813" s="140"/>
      <c r="Q813" s="140"/>
    </row>
    <row r="814" spans="1:17" hidden="1" x14ac:dyDescent="0.35">
      <c r="A814" s="146"/>
      <c r="B814" s="143"/>
      <c r="C814" s="133"/>
      <c r="D814" s="133"/>
      <c r="E814" s="145"/>
      <c r="F814" s="145"/>
      <c r="G814" s="133"/>
      <c r="H814" s="144"/>
      <c r="I814" s="133"/>
      <c r="J814" s="133"/>
      <c r="K814" s="133"/>
      <c r="L814" s="133"/>
      <c r="M814" s="133"/>
      <c r="N814" s="147"/>
      <c r="P814" s="140"/>
      <c r="Q814" s="140"/>
    </row>
    <row r="815" spans="1:17" hidden="1" x14ac:dyDescent="0.35">
      <c r="A815" s="146">
        <v>172</v>
      </c>
      <c r="B815" s="143">
        <v>45231</v>
      </c>
      <c r="C815" s="133" t="s">
        <v>1630</v>
      </c>
      <c r="D815" s="133" t="s">
        <v>2060</v>
      </c>
      <c r="E815" s="145" t="s">
        <v>1342</v>
      </c>
      <c r="F815" s="145">
        <v>3774</v>
      </c>
      <c r="G815" s="133" t="s">
        <v>1034</v>
      </c>
      <c r="H815" s="144" t="s">
        <v>1341</v>
      </c>
      <c r="I815" s="133" t="s">
        <v>1092</v>
      </c>
      <c r="J815" s="133" t="s">
        <v>2057</v>
      </c>
      <c r="K815" s="143">
        <v>45261</v>
      </c>
      <c r="L815" s="133" t="s">
        <v>1092</v>
      </c>
      <c r="M815" s="133">
        <v>2946</v>
      </c>
      <c r="N815" s="147">
        <f>+F815+F816+F817+F818-M815-M816-M817-M818</f>
        <v>0</v>
      </c>
      <c r="P815" s="140"/>
      <c r="Q815" s="140"/>
    </row>
    <row r="816" spans="1:17" hidden="1" x14ac:dyDescent="0.35">
      <c r="A816" s="146"/>
      <c r="B816" s="143"/>
      <c r="C816" s="133"/>
      <c r="D816" s="133"/>
      <c r="E816" s="145" t="s">
        <v>1071</v>
      </c>
      <c r="F816" s="197">
        <v>1487.7</v>
      </c>
      <c r="G816" s="133" t="s">
        <v>1034</v>
      </c>
      <c r="H816" s="144" t="s">
        <v>1341</v>
      </c>
      <c r="I816" s="133" t="s">
        <v>1092</v>
      </c>
      <c r="J816" s="133" t="s">
        <v>2059</v>
      </c>
      <c r="K816" s="143">
        <v>45261</v>
      </c>
      <c r="L816" s="133" t="s">
        <v>1092</v>
      </c>
      <c r="M816" s="133">
        <v>3774</v>
      </c>
      <c r="N816" s="147"/>
      <c r="O816" s="140"/>
      <c r="P816" s="140"/>
      <c r="Q816" s="140"/>
    </row>
    <row r="817" spans="1:17" hidden="1" x14ac:dyDescent="0.35">
      <c r="A817" s="146"/>
      <c r="B817" s="143"/>
      <c r="C817" s="133"/>
      <c r="D817" s="133"/>
      <c r="E817" s="145" t="s">
        <v>1075</v>
      </c>
      <c r="F817" s="197">
        <v>2946</v>
      </c>
      <c r="G817" s="133" t="s">
        <v>1034</v>
      </c>
      <c r="H817" s="144" t="s">
        <v>1341</v>
      </c>
      <c r="I817" s="133" t="s">
        <v>1092</v>
      </c>
      <c r="J817" s="133" t="s">
        <v>2039</v>
      </c>
      <c r="K817" s="143">
        <v>45292</v>
      </c>
      <c r="L817" s="133" t="s">
        <v>1092</v>
      </c>
      <c r="M817" s="133">
        <v>1330.6000000000004</v>
      </c>
      <c r="N817" s="147"/>
      <c r="P817" s="140"/>
      <c r="Q817" s="140"/>
    </row>
    <row r="818" spans="1:17" hidden="1" x14ac:dyDescent="0.35">
      <c r="A818" s="146"/>
      <c r="B818" s="143"/>
      <c r="C818" s="133"/>
      <c r="D818" s="133"/>
      <c r="E818" s="145" t="s">
        <v>1064</v>
      </c>
      <c r="F818" s="145">
        <v>266.89999999999998</v>
      </c>
      <c r="G818" s="133" t="s">
        <v>1034</v>
      </c>
      <c r="H818" s="144" t="s">
        <v>1341</v>
      </c>
      <c r="I818" s="133" t="s">
        <v>1092</v>
      </c>
      <c r="J818" s="133" t="s">
        <v>2042</v>
      </c>
      <c r="K818" s="143">
        <v>45292</v>
      </c>
      <c r="L818" s="133" t="s">
        <v>1241</v>
      </c>
      <c r="M818" s="133">
        <v>424</v>
      </c>
      <c r="N818" s="147"/>
      <c r="P818" s="140"/>
      <c r="Q818" s="140"/>
    </row>
    <row r="819" spans="1:17" hidden="1" x14ac:dyDescent="0.35">
      <c r="A819" s="146"/>
      <c r="B819" s="143"/>
      <c r="C819" s="133"/>
      <c r="D819" s="133"/>
      <c r="E819" s="145"/>
      <c r="F819" s="145"/>
      <c r="G819" s="133"/>
      <c r="H819" s="144"/>
      <c r="I819" s="133"/>
      <c r="J819" s="133"/>
      <c r="K819" s="133"/>
      <c r="L819" s="133"/>
      <c r="M819" s="133"/>
      <c r="N819" s="147"/>
      <c r="P819" s="140"/>
      <c r="Q819" s="140"/>
    </row>
    <row r="820" spans="1:17" hidden="1" x14ac:dyDescent="0.35">
      <c r="A820" s="146">
        <v>173</v>
      </c>
      <c r="B820" s="143">
        <v>45231</v>
      </c>
      <c r="C820" s="133" t="s">
        <v>1628</v>
      </c>
      <c r="D820" s="133" t="s">
        <v>2058</v>
      </c>
      <c r="E820" s="145" t="s">
        <v>1342</v>
      </c>
      <c r="F820" s="145">
        <v>2812</v>
      </c>
      <c r="G820" s="133" t="s">
        <v>1034</v>
      </c>
      <c r="H820" s="144" t="s">
        <v>1341</v>
      </c>
      <c r="I820" s="133" t="s">
        <v>1092</v>
      </c>
      <c r="J820" s="133" t="s">
        <v>2057</v>
      </c>
      <c r="K820" s="143">
        <v>45261</v>
      </c>
      <c r="L820" s="133" t="s">
        <v>1092</v>
      </c>
      <c r="M820" s="133">
        <v>2058</v>
      </c>
      <c r="N820" s="147">
        <f>+F820+F821+F822+F823-M820-M821-M822</f>
        <v>0</v>
      </c>
      <c r="P820" s="140"/>
      <c r="Q820" s="140"/>
    </row>
    <row r="821" spans="1:17" hidden="1" x14ac:dyDescent="0.35">
      <c r="A821" s="146"/>
      <c r="B821" s="143"/>
      <c r="C821" s="133"/>
      <c r="D821" s="133"/>
      <c r="E821" s="145" t="s">
        <v>1067</v>
      </c>
      <c r="F821" s="197">
        <v>34.5</v>
      </c>
      <c r="G821" s="133" t="s">
        <v>1034</v>
      </c>
      <c r="H821" s="144" t="s">
        <v>1341</v>
      </c>
      <c r="I821" s="133" t="s">
        <v>1092</v>
      </c>
      <c r="J821" s="133" t="s">
        <v>2039</v>
      </c>
      <c r="K821" s="143">
        <v>45292</v>
      </c>
      <c r="L821" s="133" t="s">
        <v>1092</v>
      </c>
      <c r="M821" s="133">
        <v>4368.1000000000004</v>
      </c>
      <c r="N821" s="147"/>
      <c r="P821" s="140"/>
      <c r="Q821" s="140"/>
    </row>
    <row r="822" spans="1:17" hidden="1" x14ac:dyDescent="0.35">
      <c r="A822" s="146"/>
      <c r="B822" s="143"/>
      <c r="C822" s="133"/>
      <c r="D822" s="133"/>
      <c r="E822" s="145" t="s">
        <v>1075</v>
      </c>
      <c r="F822" s="197">
        <v>2058.5</v>
      </c>
      <c r="G822" s="133" t="s">
        <v>1034</v>
      </c>
      <c r="H822" s="144" t="s">
        <v>1341</v>
      </c>
      <c r="I822" s="133" t="s">
        <v>1092</v>
      </c>
      <c r="J822" s="133" t="s">
        <v>2042</v>
      </c>
      <c r="K822" s="143">
        <v>45292</v>
      </c>
      <c r="L822" s="133" t="s">
        <v>1241</v>
      </c>
      <c r="M822" s="133">
        <v>335</v>
      </c>
      <c r="N822" s="147"/>
      <c r="P822" s="140"/>
      <c r="Q822" s="140"/>
    </row>
    <row r="823" spans="1:17" hidden="1" x14ac:dyDescent="0.35">
      <c r="A823" s="146"/>
      <c r="B823" s="143"/>
      <c r="C823" s="133"/>
      <c r="D823" s="133"/>
      <c r="E823" s="145" t="s">
        <v>1064</v>
      </c>
      <c r="F823" s="145">
        <v>1856.1</v>
      </c>
      <c r="G823" s="133"/>
      <c r="H823" s="144"/>
      <c r="I823" s="133"/>
      <c r="J823" s="133"/>
      <c r="K823" s="133"/>
      <c r="L823" s="133"/>
      <c r="M823" s="133"/>
      <c r="N823" s="147"/>
      <c r="P823" s="140"/>
      <c r="Q823" s="140"/>
    </row>
    <row r="824" spans="1:17" hidden="1" x14ac:dyDescent="0.35">
      <c r="A824" s="146"/>
      <c r="B824" s="143"/>
      <c r="C824" s="133"/>
      <c r="D824" s="133"/>
      <c r="E824" s="145"/>
      <c r="F824" s="197"/>
      <c r="G824" s="133"/>
      <c r="H824" s="144"/>
      <c r="I824" s="133"/>
      <c r="J824" s="133"/>
      <c r="K824" s="133"/>
      <c r="L824" s="133"/>
      <c r="M824" s="133"/>
      <c r="N824" s="147"/>
      <c r="P824" s="140"/>
      <c r="Q824" s="140"/>
    </row>
    <row r="825" spans="1:17" hidden="1" x14ac:dyDescent="0.35">
      <c r="A825" s="156"/>
      <c r="B825" s="152"/>
      <c r="C825" s="151"/>
      <c r="D825" s="151"/>
      <c r="E825" s="154"/>
      <c r="F825" s="198"/>
      <c r="G825" s="151"/>
      <c r="H825" s="153"/>
      <c r="I825" s="151"/>
      <c r="J825" s="151"/>
      <c r="K825" s="151"/>
      <c r="L825" s="151"/>
      <c r="M825" s="151"/>
      <c r="N825" s="151"/>
      <c r="P825" s="140"/>
      <c r="Q825" s="140"/>
    </row>
    <row r="826" spans="1:17" hidden="1" x14ac:dyDescent="0.35">
      <c r="A826" s="146"/>
      <c r="B826" s="143"/>
      <c r="C826" s="133"/>
      <c r="D826" s="133"/>
      <c r="E826" s="145"/>
      <c r="F826" s="197"/>
      <c r="G826" s="133"/>
      <c r="H826" s="144"/>
      <c r="I826" s="133"/>
      <c r="J826" s="133"/>
      <c r="K826" s="133"/>
      <c r="L826" s="133"/>
      <c r="M826" s="133"/>
      <c r="N826" s="147"/>
      <c r="P826" s="140"/>
      <c r="Q826" s="140"/>
    </row>
    <row r="827" spans="1:17" hidden="1" x14ac:dyDescent="0.35">
      <c r="A827" s="146">
        <v>174</v>
      </c>
      <c r="B827" s="143">
        <v>45261</v>
      </c>
      <c r="C827" s="133" t="s">
        <v>1626</v>
      </c>
      <c r="D827" s="133" t="s">
        <v>2056</v>
      </c>
      <c r="E827" s="145" t="s">
        <v>1342</v>
      </c>
      <c r="F827" s="145">
        <v>2464</v>
      </c>
      <c r="G827" s="133" t="s">
        <v>1034</v>
      </c>
      <c r="H827" s="144" t="s">
        <v>1341</v>
      </c>
      <c r="I827" s="133" t="s">
        <v>1092</v>
      </c>
      <c r="J827" s="133" t="s">
        <v>2039</v>
      </c>
      <c r="K827" s="143">
        <v>45292</v>
      </c>
      <c r="L827" s="133" t="s">
        <v>1092</v>
      </c>
      <c r="M827" s="133">
        <v>4731.6000000000004</v>
      </c>
      <c r="N827" s="147">
        <f>+F827+F828+F829-M827-M828</f>
        <v>0</v>
      </c>
      <c r="P827" s="140"/>
      <c r="Q827" s="140"/>
    </row>
    <row r="828" spans="1:17" hidden="1" x14ac:dyDescent="0.35">
      <c r="A828" s="146"/>
      <c r="B828" s="143"/>
      <c r="C828" s="133"/>
      <c r="D828" s="133"/>
      <c r="E828" s="145" t="s">
        <v>1067</v>
      </c>
      <c r="F828" s="197">
        <v>1842.3</v>
      </c>
      <c r="G828" s="133" t="s">
        <v>1034</v>
      </c>
      <c r="H828" s="144" t="s">
        <v>1341</v>
      </c>
      <c r="I828" s="133" t="s">
        <v>1092</v>
      </c>
      <c r="J828" s="133" t="s">
        <v>2042</v>
      </c>
      <c r="K828" s="143">
        <v>45292</v>
      </c>
      <c r="L828" s="133" t="s">
        <v>1241</v>
      </c>
      <c r="M828" s="133">
        <v>251</v>
      </c>
      <c r="N828" s="147"/>
      <c r="P828" s="140"/>
      <c r="Q828" s="140"/>
    </row>
    <row r="829" spans="1:17" hidden="1" x14ac:dyDescent="0.35">
      <c r="A829" s="146"/>
      <c r="B829" s="143"/>
      <c r="C829" s="133"/>
      <c r="D829" s="133"/>
      <c r="E829" s="145" t="s">
        <v>1075</v>
      </c>
      <c r="F829" s="197">
        <v>676.3</v>
      </c>
      <c r="G829" s="133"/>
      <c r="H829" s="144"/>
      <c r="I829" s="133"/>
      <c r="J829" s="133"/>
      <c r="K829" s="133"/>
      <c r="L829" s="133"/>
      <c r="M829" s="133"/>
      <c r="N829" s="147"/>
      <c r="P829" s="140"/>
      <c r="Q829" s="140"/>
    </row>
    <row r="830" spans="1:17" hidden="1" x14ac:dyDescent="0.35">
      <c r="A830" s="146"/>
      <c r="B830" s="143"/>
      <c r="C830" s="133"/>
      <c r="D830" s="133"/>
      <c r="E830" s="145"/>
      <c r="F830" s="145"/>
      <c r="G830" s="133"/>
      <c r="H830" s="144"/>
      <c r="I830" s="133"/>
      <c r="J830" s="133"/>
      <c r="K830" s="133"/>
      <c r="L830" s="133"/>
      <c r="M830" s="133"/>
      <c r="N830" s="147"/>
      <c r="P830" s="140"/>
      <c r="Q830" s="140"/>
    </row>
    <row r="831" spans="1:17" hidden="1" x14ac:dyDescent="0.35">
      <c r="A831" s="146">
        <v>175</v>
      </c>
      <c r="B831" s="143">
        <v>45261</v>
      </c>
      <c r="C831" s="133" t="s">
        <v>1622</v>
      </c>
      <c r="D831" s="133" t="s">
        <v>2055</v>
      </c>
      <c r="E831" s="145" t="s">
        <v>1342</v>
      </c>
      <c r="F831" s="145">
        <v>2878</v>
      </c>
      <c r="G831" s="133" t="s">
        <v>1034</v>
      </c>
      <c r="H831" s="144" t="s">
        <v>1341</v>
      </c>
      <c r="I831" s="133" t="s">
        <v>1092</v>
      </c>
      <c r="J831" s="133" t="s">
        <v>2039</v>
      </c>
      <c r="K831" s="143">
        <v>45292</v>
      </c>
      <c r="L831" s="133" t="s">
        <v>1092</v>
      </c>
      <c r="M831" s="133">
        <v>3927</v>
      </c>
      <c r="N831" s="147">
        <f>+F831+F832+F833-M831-M832</f>
        <v>0</v>
      </c>
      <c r="P831" s="140"/>
      <c r="Q831" s="140"/>
    </row>
    <row r="832" spans="1:17" hidden="1" x14ac:dyDescent="0.35">
      <c r="A832" s="146"/>
      <c r="B832" s="143"/>
      <c r="C832" s="133"/>
      <c r="D832" s="133"/>
      <c r="E832" s="145" t="s">
        <v>1067</v>
      </c>
      <c r="F832" s="197">
        <v>428</v>
      </c>
      <c r="G832" s="133" t="s">
        <v>1034</v>
      </c>
      <c r="H832" s="144" t="s">
        <v>1341</v>
      </c>
      <c r="I832" s="133" t="s">
        <v>1092</v>
      </c>
      <c r="J832" s="133" t="s">
        <v>2042</v>
      </c>
      <c r="K832" s="143">
        <v>45292</v>
      </c>
      <c r="L832" s="133" t="s">
        <v>1241</v>
      </c>
      <c r="M832" s="133">
        <v>204</v>
      </c>
      <c r="N832" s="147"/>
      <c r="O832" s="140"/>
      <c r="P832" s="140"/>
      <c r="Q832" s="140"/>
    </row>
    <row r="833" spans="1:17" hidden="1" x14ac:dyDescent="0.35">
      <c r="A833" s="146"/>
      <c r="B833" s="143"/>
      <c r="C833" s="133"/>
      <c r="D833" s="133"/>
      <c r="E833" s="145" t="s">
        <v>1075</v>
      </c>
      <c r="F833" s="197">
        <v>825</v>
      </c>
      <c r="G833" s="133"/>
      <c r="H833" s="144"/>
      <c r="I833" s="133"/>
      <c r="J833" s="133"/>
      <c r="K833" s="133"/>
      <c r="L833" s="133"/>
      <c r="M833" s="133"/>
      <c r="N833" s="147"/>
      <c r="P833" s="140"/>
      <c r="Q833" s="140"/>
    </row>
    <row r="834" spans="1:17" hidden="1" x14ac:dyDescent="0.35">
      <c r="A834" s="146"/>
      <c r="B834" s="143"/>
      <c r="C834" s="133"/>
      <c r="D834" s="133"/>
      <c r="E834" s="145"/>
      <c r="F834" s="197"/>
      <c r="G834" s="133"/>
      <c r="H834" s="144"/>
      <c r="I834" s="133"/>
      <c r="J834" s="133"/>
      <c r="K834" s="133"/>
      <c r="L834" s="133"/>
      <c r="M834" s="133"/>
      <c r="N834" s="147"/>
      <c r="P834" s="140"/>
      <c r="Q834" s="140"/>
    </row>
    <row r="835" spans="1:17" hidden="1" x14ac:dyDescent="0.35">
      <c r="A835" s="146">
        <v>176</v>
      </c>
      <c r="B835" s="143">
        <v>45261</v>
      </c>
      <c r="C835" s="133" t="s">
        <v>1620</v>
      </c>
      <c r="D835" s="133" t="s">
        <v>2055</v>
      </c>
      <c r="E835" s="145" t="s">
        <v>1184</v>
      </c>
      <c r="F835" s="145">
        <v>5000</v>
      </c>
      <c r="G835" s="133" t="s">
        <v>1034</v>
      </c>
      <c r="H835" s="144" t="s">
        <v>1341</v>
      </c>
      <c r="I835" s="133" t="s">
        <v>1092</v>
      </c>
      <c r="J835" s="133" t="s">
        <v>2039</v>
      </c>
      <c r="K835" s="143">
        <v>45292</v>
      </c>
      <c r="L835" s="133" t="s">
        <v>1092</v>
      </c>
      <c r="M835" s="133">
        <v>5000</v>
      </c>
      <c r="N835" s="147">
        <f>+F835-M835</f>
        <v>0</v>
      </c>
      <c r="P835" s="140"/>
      <c r="Q835" s="140"/>
    </row>
    <row r="836" spans="1:17" hidden="1" x14ac:dyDescent="0.35">
      <c r="A836" s="146"/>
      <c r="B836" s="143"/>
      <c r="C836" s="133"/>
      <c r="D836" s="133"/>
      <c r="E836" s="145"/>
      <c r="F836" s="197"/>
      <c r="G836" s="133"/>
      <c r="H836" s="144"/>
      <c r="I836" s="133"/>
      <c r="J836" s="133"/>
      <c r="K836" s="133"/>
      <c r="L836" s="133"/>
      <c r="M836" s="133"/>
      <c r="N836" s="147"/>
      <c r="P836" s="140"/>
      <c r="Q836" s="140"/>
    </row>
    <row r="837" spans="1:17" hidden="1" x14ac:dyDescent="0.35">
      <c r="A837" s="146">
        <v>177</v>
      </c>
      <c r="B837" s="143">
        <v>45261</v>
      </c>
      <c r="C837" s="133" t="s">
        <v>1618</v>
      </c>
      <c r="D837" s="133" t="s">
        <v>2054</v>
      </c>
      <c r="E837" s="145" t="s">
        <v>1342</v>
      </c>
      <c r="F837" s="145">
        <v>2536</v>
      </c>
      <c r="G837" s="133" t="s">
        <v>1034</v>
      </c>
      <c r="H837" s="144" t="s">
        <v>1341</v>
      </c>
      <c r="I837" s="133" t="s">
        <v>1092</v>
      </c>
      <c r="J837" s="133" t="s">
        <v>2039</v>
      </c>
      <c r="K837" s="143">
        <v>45292</v>
      </c>
      <c r="L837" s="133" t="s">
        <v>1092</v>
      </c>
      <c r="M837" s="133">
        <v>9998</v>
      </c>
      <c r="N837" s="147">
        <f>+F837+F838-M837-M838</f>
        <v>0</v>
      </c>
      <c r="P837" s="140"/>
      <c r="Q837" s="140"/>
    </row>
    <row r="838" spans="1:17" hidden="1" x14ac:dyDescent="0.35">
      <c r="A838" s="146"/>
      <c r="B838" s="143"/>
      <c r="C838" s="133"/>
      <c r="D838" s="133"/>
      <c r="E838" s="145" t="s">
        <v>1075</v>
      </c>
      <c r="F838" s="197">
        <v>7990</v>
      </c>
      <c r="G838" s="133" t="s">
        <v>1034</v>
      </c>
      <c r="H838" s="144" t="s">
        <v>1341</v>
      </c>
      <c r="I838" s="133" t="s">
        <v>1092</v>
      </c>
      <c r="J838" s="133" t="s">
        <v>2042</v>
      </c>
      <c r="K838" s="143">
        <v>45292</v>
      </c>
      <c r="L838" s="133" t="s">
        <v>1241</v>
      </c>
      <c r="M838" s="133">
        <v>528</v>
      </c>
      <c r="N838" s="147"/>
      <c r="O838" s="140"/>
      <c r="P838" s="140"/>
      <c r="Q838" s="140"/>
    </row>
    <row r="839" spans="1:17" hidden="1" x14ac:dyDescent="0.35">
      <c r="A839" s="146"/>
      <c r="B839" s="143"/>
      <c r="C839" s="133"/>
      <c r="D839" s="133"/>
      <c r="E839" s="145"/>
      <c r="F839" s="197"/>
      <c r="G839" s="133"/>
      <c r="H839" s="144"/>
      <c r="I839" s="133"/>
      <c r="J839" s="133"/>
      <c r="K839" s="133"/>
      <c r="L839" s="133"/>
      <c r="M839" s="133"/>
      <c r="N839" s="147"/>
      <c r="P839" s="140"/>
      <c r="Q839" s="140"/>
    </row>
    <row r="840" spans="1:17" hidden="1" x14ac:dyDescent="0.35">
      <c r="A840" s="146">
        <v>178</v>
      </c>
      <c r="B840" s="143">
        <v>45261</v>
      </c>
      <c r="C840" s="133" t="s">
        <v>1616</v>
      </c>
      <c r="D840" s="133" t="s">
        <v>2053</v>
      </c>
      <c r="E840" s="145" t="s">
        <v>1342</v>
      </c>
      <c r="F840" s="145">
        <v>897</v>
      </c>
      <c r="G840" s="133" t="s">
        <v>1034</v>
      </c>
      <c r="H840" s="144" t="s">
        <v>1341</v>
      </c>
      <c r="I840" s="133" t="s">
        <v>1092</v>
      </c>
      <c r="J840" s="133" t="s">
        <v>2039</v>
      </c>
      <c r="K840" s="143">
        <v>45292</v>
      </c>
      <c r="L840" s="133" t="s">
        <v>1092</v>
      </c>
      <c r="M840" s="133">
        <v>3016</v>
      </c>
      <c r="N840" s="147">
        <f>+F840+F841-M840-M841</f>
        <v>0</v>
      </c>
      <c r="P840" s="140"/>
      <c r="Q840" s="140"/>
    </row>
    <row r="841" spans="1:17" hidden="1" x14ac:dyDescent="0.35">
      <c r="A841" s="146"/>
      <c r="B841" s="143"/>
      <c r="C841" s="133"/>
      <c r="D841" s="133"/>
      <c r="E841" s="145" t="s">
        <v>1075</v>
      </c>
      <c r="F841" s="197">
        <v>2275</v>
      </c>
      <c r="G841" s="133" t="s">
        <v>1034</v>
      </c>
      <c r="H841" s="144" t="s">
        <v>1341</v>
      </c>
      <c r="I841" s="133" t="s">
        <v>1092</v>
      </c>
      <c r="J841" s="133" t="s">
        <v>2042</v>
      </c>
      <c r="K841" s="143">
        <v>45292</v>
      </c>
      <c r="L841" s="133" t="s">
        <v>1241</v>
      </c>
      <c r="M841" s="133">
        <v>156</v>
      </c>
      <c r="N841" s="147"/>
      <c r="O841" s="140"/>
      <c r="P841" s="140"/>
      <c r="Q841" s="140"/>
    </row>
    <row r="842" spans="1:17" hidden="1" x14ac:dyDescent="0.35">
      <c r="A842" s="146"/>
      <c r="B842" s="143"/>
      <c r="C842" s="133"/>
      <c r="D842" s="133"/>
      <c r="E842" s="145"/>
      <c r="F842" s="197"/>
      <c r="G842" s="133"/>
      <c r="H842" s="144"/>
      <c r="I842" s="133"/>
      <c r="J842" s="133"/>
      <c r="K842" s="133"/>
      <c r="L842" s="133"/>
      <c r="M842" s="133"/>
      <c r="N842" s="147"/>
      <c r="P842" s="140"/>
      <c r="Q842" s="140"/>
    </row>
    <row r="843" spans="1:17" hidden="1" x14ac:dyDescent="0.35">
      <c r="A843" s="146">
        <v>179</v>
      </c>
      <c r="B843" s="143">
        <v>45261</v>
      </c>
      <c r="C843" s="133" t="s">
        <v>1613</v>
      </c>
      <c r="D843" s="133" t="s">
        <v>2052</v>
      </c>
      <c r="E843" s="145" t="s">
        <v>1342</v>
      </c>
      <c r="F843" s="145">
        <v>3247</v>
      </c>
      <c r="G843" s="133" t="s">
        <v>1034</v>
      </c>
      <c r="H843" s="144" t="s">
        <v>1341</v>
      </c>
      <c r="I843" s="133" t="s">
        <v>1092</v>
      </c>
      <c r="J843" s="133" t="s">
        <v>2039</v>
      </c>
      <c r="K843" s="143">
        <v>45292</v>
      </c>
      <c r="L843" s="133" t="s">
        <v>1092</v>
      </c>
      <c r="M843" s="133">
        <f>5481+921.93</f>
        <v>6402.93</v>
      </c>
      <c r="N843" s="147">
        <f>+F843+F844+F845-M843-M844-M845</f>
        <v>0</v>
      </c>
      <c r="P843" s="140"/>
      <c r="Q843" s="140"/>
    </row>
    <row r="844" spans="1:17" hidden="1" x14ac:dyDescent="0.35">
      <c r="A844" s="146"/>
      <c r="B844" s="143"/>
      <c r="C844" s="133"/>
      <c r="D844" s="133"/>
      <c r="E844" s="145" t="s">
        <v>1075</v>
      </c>
      <c r="F844" s="197">
        <v>1589</v>
      </c>
      <c r="G844" s="133" t="s">
        <v>1034</v>
      </c>
      <c r="H844" s="144" t="s">
        <v>1341</v>
      </c>
      <c r="I844" s="133" t="s">
        <v>1092</v>
      </c>
      <c r="J844" s="133" t="s">
        <v>2038</v>
      </c>
      <c r="K844" s="143">
        <v>45292</v>
      </c>
      <c r="L844" s="133" t="s">
        <v>1092</v>
      </c>
      <c r="M844" s="133">
        <v>3396.0699999999997</v>
      </c>
      <c r="N844" s="147"/>
      <c r="P844" s="140"/>
      <c r="Q844" s="140"/>
    </row>
    <row r="845" spans="1:17" hidden="1" x14ac:dyDescent="0.35">
      <c r="A845" s="146"/>
      <c r="B845" s="143"/>
      <c r="C845" s="133"/>
      <c r="D845" s="133"/>
      <c r="E845" s="145" t="s">
        <v>1067</v>
      </c>
      <c r="F845" s="197">
        <v>5481</v>
      </c>
      <c r="G845" s="133" t="s">
        <v>1034</v>
      </c>
      <c r="H845" s="144" t="s">
        <v>1341</v>
      </c>
      <c r="I845" s="133" t="s">
        <v>1092</v>
      </c>
      <c r="J845" s="133" t="s">
        <v>2042</v>
      </c>
      <c r="K845" s="143">
        <v>45292</v>
      </c>
      <c r="L845" s="133" t="s">
        <v>1241</v>
      </c>
      <c r="M845" s="133">
        <v>518</v>
      </c>
      <c r="N845" s="147"/>
      <c r="P845" s="140"/>
      <c r="Q845" s="140"/>
    </row>
    <row r="846" spans="1:17" hidden="1" x14ac:dyDescent="0.35">
      <c r="A846" s="146"/>
      <c r="B846" s="143"/>
      <c r="C846" s="133"/>
      <c r="D846" s="133"/>
      <c r="E846" s="145"/>
      <c r="F846" s="197"/>
      <c r="G846" s="133"/>
      <c r="H846" s="144"/>
      <c r="I846" s="133"/>
      <c r="J846" s="133"/>
      <c r="K846" s="133"/>
      <c r="L846" s="133"/>
      <c r="M846" s="133"/>
      <c r="N846" s="147"/>
      <c r="P846" s="140"/>
      <c r="Q846" s="140"/>
    </row>
    <row r="847" spans="1:17" hidden="1" x14ac:dyDescent="0.35">
      <c r="A847" s="146">
        <v>180</v>
      </c>
      <c r="B847" s="143">
        <v>45261</v>
      </c>
      <c r="C847" s="133" t="s">
        <v>1612</v>
      </c>
      <c r="D847" s="133" t="s">
        <v>2051</v>
      </c>
      <c r="E847" s="145" t="s">
        <v>1342</v>
      </c>
      <c r="F847" s="145">
        <v>4066</v>
      </c>
      <c r="G847" s="133" t="s">
        <v>1034</v>
      </c>
      <c r="H847" s="144" t="s">
        <v>1341</v>
      </c>
      <c r="I847" s="133" t="s">
        <v>1092</v>
      </c>
      <c r="J847" s="133" t="s">
        <v>2038</v>
      </c>
      <c r="K847" s="143">
        <v>45292</v>
      </c>
      <c r="L847" s="133" t="s">
        <v>1092</v>
      </c>
      <c r="M847" s="133">
        <v>9263.18</v>
      </c>
      <c r="N847" s="147">
        <f>+F847+F848+F849+F850+F851-M847-M848</f>
        <v>0</v>
      </c>
      <c r="P847" s="140"/>
      <c r="Q847" s="140"/>
    </row>
    <row r="848" spans="1:17" hidden="1" x14ac:dyDescent="0.35">
      <c r="A848" s="146"/>
      <c r="B848" s="143"/>
      <c r="C848" s="133"/>
      <c r="D848" s="133"/>
      <c r="E848" s="145" t="s">
        <v>1075</v>
      </c>
      <c r="F848" s="197">
        <v>1698</v>
      </c>
      <c r="G848" s="133" t="s">
        <v>1034</v>
      </c>
      <c r="H848" s="144" t="s">
        <v>1341</v>
      </c>
      <c r="I848" s="133" t="s">
        <v>1092</v>
      </c>
      <c r="J848" s="133" t="s">
        <v>2042</v>
      </c>
      <c r="K848" s="143">
        <v>45292</v>
      </c>
      <c r="L848" s="133" t="s">
        <v>1241</v>
      </c>
      <c r="M848" s="133">
        <v>485</v>
      </c>
      <c r="N848" s="147"/>
      <c r="P848" s="140"/>
      <c r="Q848" s="140"/>
    </row>
    <row r="849" spans="1:17" hidden="1" x14ac:dyDescent="0.35">
      <c r="A849" s="146"/>
      <c r="B849" s="143"/>
      <c r="C849" s="133"/>
      <c r="D849" s="133"/>
      <c r="E849" s="145" t="s">
        <v>1067</v>
      </c>
      <c r="F849" s="197">
        <v>97</v>
      </c>
      <c r="G849" s="133"/>
      <c r="H849" s="144"/>
      <c r="I849" s="133"/>
      <c r="J849" s="133"/>
      <c r="K849" s="133"/>
      <c r="L849" s="133"/>
      <c r="M849" s="133"/>
      <c r="N849" s="147"/>
      <c r="P849" s="140"/>
      <c r="Q849" s="140"/>
    </row>
    <row r="850" spans="1:17" hidden="1" x14ac:dyDescent="0.35">
      <c r="A850" s="146"/>
      <c r="B850" s="143"/>
      <c r="C850" s="133"/>
      <c r="D850" s="133"/>
      <c r="E850" s="145" t="s">
        <v>678</v>
      </c>
      <c r="F850" s="197">
        <v>3563.18</v>
      </c>
      <c r="G850" s="133"/>
      <c r="H850" s="144"/>
      <c r="I850" s="133"/>
      <c r="J850" s="133"/>
      <c r="K850" s="133"/>
      <c r="L850" s="133"/>
      <c r="M850" s="133"/>
      <c r="N850" s="147"/>
      <c r="P850" s="140"/>
      <c r="Q850" s="140"/>
    </row>
    <row r="851" spans="1:17" hidden="1" x14ac:dyDescent="0.35">
      <c r="A851" s="146"/>
      <c r="B851" s="143"/>
      <c r="C851" s="133"/>
      <c r="D851" s="133"/>
      <c r="E851" s="145" t="s">
        <v>1118</v>
      </c>
      <c r="F851" s="197">
        <v>324</v>
      </c>
      <c r="G851" s="133"/>
      <c r="H851" s="144"/>
      <c r="I851" s="133"/>
      <c r="J851" s="133"/>
      <c r="K851" s="133"/>
      <c r="L851" s="133"/>
      <c r="M851" s="133"/>
      <c r="N851" s="147"/>
      <c r="P851" s="140"/>
      <c r="Q851" s="140"/>
    </row>
    <row r="852" spans="1:17" hidden="1" x14ac:dyDescent="0.35">
      <c r="A852" s="146"/>
      <c r="B852" s="143"/>
      <c r="C852" s="133"/>
      <c r="D852" s="133"/>
      <c r="E852" s="145"/>
      <c r="F852" s="197"/>
      <c r="G852" s="133"/>
      <c r="H852" s="144"/>
      <c r="I852" s="133"/>
      <c r="J852" s="133"/>
      <c r="K852" s="133"/>
      <c r="L852" s="133"/>
      <c r="M852" s="133"/>
      <c r="N852" s="147"/>
      <c r="P852" s="140"/>
      <c r="Q852" s="140"/>
    </row>
    <row r="853" spans="1:17" hidden="1" x14ac:dyDescent="0.35">
      <c r="A853" s="146">
        <v>181</v>
      </c>
      <c r="B853" s="143">
        <v>45261</v>
      </c>
      <c r="C853" s="133" t="s">
        <v>1611</v>
      </c>
      <c r="D853" s="133" t="s">
        <v>2050</v>
      </c>
      <c r="E853" s="145" t="s">
        <v>1064</v>
      </c>
      <c r="F853" s="145">
        <v>1150.2</v>
      </c>
      <c r="G853" s="133" t="s">
        <v>1034</v>
      </c>
      <c r="H853" s="144" t="s">
        <v>1341</v>
      </c>
      <c r="I853" s="133" t="s">
        <v>1092</v>
      </c>
      <c r="J853" s="133" t="s">
        <v>2039</v>
      </c>
      <c r="K853" s="143">
        <v>45292</v>
      </c>
      <c r="L853" s="133" t="s">
        <v>1092</v>
      </c>
      <c r="M853" s="133">
        <v>1150.2</v>
      </c>
      <c r="N853" s="147">
        <f>+F853+F854+F855-M853-M854-M855</f>
        <v>0</v>
      </c>
      <c r="P853" s="140"/>
      <c r="Q853" s="140"/>
    </row>
    <row r="854" spans="1:17" hidden="1" x14ac:dyDescent="0.35">
      <c r="A854" s="146"/>
      <c r="B854" s="143"/>
      <c r="C854" s="133"/>
      <c r="D854" s="133"/>
      <c r="E854" s="145" t="s">
        <v>1075</v>
      </c>
      <c r="F854" s="197">
        <v>3165.6</v>
      </c>
      <c r="G854" s="133" t="s">
        <v>1034</v>
      </c>
      <c r="H854" s="144" t="s">
        <v>1341</v>
      </c>
      <c r="I854" s="133" t="s">
        <v>1092</v>
      </c>
      <c r="J854" s="133" t="s">
        <v>2038</v>
      </c>
      <c r="K854" s="143">
        <v>45292</v>
      </c>
      <c r="L854" s="133" t="s">
        <v>1092</v>
      </c>
      <c r="M854" s="133">
        <v>3320.8</v>
      </c>
      <c r="N854" s="147"/>
      <c r="O854" s="140"/>
      <c r="P854" s="140"/>
      <c r="Q854" s="140"/>
    </row>
    <row r="855" spans="1:17" hidden="1" x14ac:dyDescent="0.35">
      <c r="A855" s="146"/>
      <c r="B855" s="143"/>
      <c r="C855" s="133"/>
      <c r="D855" s="133"/>
      <c r="E855" s="145" t="s">
        <v>1067</v>
      </c>
      <c r="F855" s="197">
        <v>392.2</v>
      </c>
      <c r="G855" s="133" t="s">
        <v>1034</v>
      </c>
      <c r="H855" s="144" t="s">
        <v>1341</v>
      </c>
      <c r="I855" s="133" t="s">
        <v>1092</v>
      </c>
      <c r="J855" s="133" t="s">
        <v>2042</v>
      </c>
      <c r="K855" s="143">
        <v>45292</v>
      </c>
      <c r="L855" s="133" t="s">
        <v>1241</v>
      </c>
      <c r="M855" s="133">
        <v>237</v>
      </c>
      <c r="N855" s="147"/>
      <c r="P855" s="140"/>
      <c r="Q855" s="140"/>
    </row>
    <row r="856" spans="1:17" hidden="1" x14ac:dyDescent="0.35">
      <c r="A856" s="146"/>
      <c r="B856" s="143"/>
      <c r="C856" s="133"/>
      <c r="D856" s="133"/>
      <c r="E856" s="145"/>
      <c r="F856" s="197"/>
      <c r="G856" s="133"/>
      <c r="H856" s="144"/>
      <c r="I856" s="133"/>
      <c r="J856" s="133"/>
      <c r="K856" s="133"/>
      <c r="L856" s="133"/>
      <c r="M856" s="133"/>
      <c r="N856" s="147"/>
      <c r="P856" s="140"/>
      <c r="Q856" s="140"/>
    </row>
    <row r="857" spans="1:17" hidden="1" x14ac:dyDescent="0.35">
      <c r="A857" s="146">
        <v>182</v>
      </c>
      <c r="B857" s="143">
        <v>45261</v>
      </c>
      <c r="C857" s="133" t="s">
        <v>1610</v>
      </c>
      <c r="D857" s="133" t="s">
        <v>2049</v>
      </c>
      <c r="E857" s="145" t="s">
        <v>1118</v>
      </c>
      <c r="F857" s="145">
        <v>1024.8</v>
      </c>
      <c r="G857" s="133" t="s">
        <v>1034</v>
      </c>
      <c r="H857" s="144" t="s">
        <v>1341</v>
      </c>
      <c r="I857" s="133" t="s">
        <v>1092</v>
      </c>
      <c r="J857" s="133" t="s">
        <v>2038</v>
      </c>
      <c r="K857" s="143">
        <v>45292</v>
      </c>
      <c r="L857" s="133" t="s">
        <v>1092</v>
      </c>
      <c r="M857" s="133">
        <v>1293.8</v>
      </c>
      <c r="N857" s="147">
        <f>+F857+F858-M857-M858</f>
        <v>0</v>
      </c>
      <c r="P857" s="140"/>
      <c r="Q857" s="140"/>
    </row>
    <row r="858" spans="1:17" hidden="1" x14ac:dyDescent="0.35">
      <c r="A858" s="146"/>
      <c r="B858" s="143"/>
      <c r="C858" s="133"/>
      <c r="D858" s="133"/>
      <c r="E858" s="145" t="s">
        <v>1075</v>
      </c>
      <c r="F858" s="197">
        <v>338</v>
      </c>
      <c r="G858" s="133" t="s">
        <v>1034</v>
      </c>
      <c r="H858" s="144" t="s">
        <v>1341</v>
      </c>
      <c r="I858" s="133" t="s">
        <v>1092</v>
      </c>
      <c r="J858" s="133" t="s">
        <v>2042</v>
      </c>
      <c r="K858" s="143">
        <v>45292</v>
      </c>
      <c r="L858" s="133" t="s">
        <v>1241</v>
      </c>
      <c r="M858" s="133">
        <v>69</v>
      </c>
      <c r="N858" s="147"/>
      <c r="O858" s="140"/>
      <c r="P858" s="140"/>
      <c r="Q858" s="140"/>
    </row>
    <row r="859" spans="1:17" hidden="1" x14ac:dyDescent="0.35">
      <c r="A859" s="146"/>
      <c r="B859" s="143"/>
      <c r="C859" s="133"/>
      <c r="D859" s="133"/>
      <c r="E859" s="145"/>
      <c r="F859" s="197"/>
      <c r="G859" s="133"/>
      <c r="H859" s="144"/>
      <c r="I859" s="133"/>
      <c r="J859" s="133"/>
      <c r="K859" s="133"/>
      <c r="L859" s="133"/>
      <c r="M859" s="133"/>
      <c r="N859" s="147"/>
      <c r="P859" s="140"/>
      <c r="Q859" s="140"/>
    </row>
    <row r="860" spans="1:17" hidden="1" x14ac:dyDescent="0.35">
      <c r="A860" s="146">
        <v>183</v>
      </c>
      <c r="B860" s="143">
        <v>45261</v>
      </c>
      <c r="C860" s="133" t="s">
        <v>1607</v>
      </c>
      <c r="D860" s="133" t="s">
        <v>2048</v>
      </c>
      <c r="E860" s="145" t="s">
        <v>1342</v>
      </c>
      <c r="F860" s="145">
        <v>935</v>
      </c>
      <c r="G860" s="133" t="s">
        <v>1034</v>
      </c>
      <c r="H860" s="144" t="s">
        <v>1341</v>
      </c>
      <c r="I860" s="133" t="s">
        <v>1092</v>
      </c>
      <c r="J860" s="133" t="s">
        <v>2039</v>
      </c>
      <c r="K860" s="143">
        <v>45292</v>
      </c>
      <c r="L860" s="133" t="s">
        <v>1092</v>
      </c>
      <c r="M860" s="133">
        <v>1097.0999999999999</v>
      </c>
      <c r="N860" s="147">
        <f>+F860+F861+F862+F863-M860-M861-M862</f>
        <v>0</v>
      </c>
      <c r="P860" s="140"/>
      <c r="Q860" s="140"/>
    </row>
    <row r="861" spans="1:17" hidden="1" x14ac:dyDescent="0.35">
      <c r="A861" s="146"/>
      <c r="B861" s="143"/>
      <c r="C861" s="133"/>
      <c r="D861" s="133"/>
      <c r="E861" s="145" t="s">
        <v>1075</v>
      </c>
      <c r="F861" s="197">
        <v>8350.6</v>
      </c>
      <c r="G861" s="133" t="s">
        <v>1034</v>
      </c>
      <c r="H861" s="144" t="s">
        <v>1341</v>
      </c>
      <c r="I861" s="133" t="s">
        <v>1092</v>
      </c>
      <c r="J861" s="133" t="s">
        <v>2038</v>
      </c>
      <c r="K861" s="143">
        <v>45292</v>
      </c>
      <c r="L861" s="133" t="s">
        <v>1092</v>
      </c>
      <c r="M861" s="133">
        <v>8851.1</v>
      </c>
      <c r="N861" s="147"/>
      <c r="O861" s="140"/>
      <c r="P861" s="140"/>
      <c r="Q861" s="140"/>
    </row>
    <row r="862" spans="1:17" hidden="1" x14ac:dyDescent="0.35">
      <c r="A862" s="146"/>
      <c r="B862" s="143"/>
      <c r="C862" s="133"/>
      <c r="D862" s="133"/>
      <c r="E862" s="145" t="s">
        <v>1067</v>
      </c>
      <c r="F862" s="197">
        <v>90.5</v>
      </c>
      <c r="G862" s="133" t="s">
        <v>1034</v>
      </c>
      <c r="H862" s="144" t="s">
        <v>1341</v>
      </c>
      <c r="I862" s="133" t="s">
        <v>1092</v>
      </c>
      <c r="J862" s="133" t="s">
        <v>2042</v>
      </c>
      <c r="K862" s="143">
        <v>45292</v>
      </c>
      <c r="L862" s="133" t="s">
        <v>1241</v>
      </c>
      <c r="M862" s="133">
        <v>525</v>
      </c>
      <c r="N862" s="147"/>
      <c r="P862" s="140"/>
      <c r="Q862" s="140"/>
    </row>
    <row r="863" spans="1:17" hidden="1" x14ac:dyDescent="0.35">
      <c r="A863" s="146"/>
      <c r="B863" s="143"/>
      <c r="C863" s="133"/>
      <c r="D863" s="133"/>
      <c r="E863" s="145" t="s">
        <v>1064</v>
      </c>
      <c r="F863" s="197">
        <v>1097.0999999999999</v>
      </c>
      <c r="G863" s="133"/>
      <c r="H863" s="144"/>
      <c r="I863" s="133"/>
      <c r="J863" s="133"/>
      <c r="K863" s="133"/>
      <c r="L863" s="133"/>
      <c r="M863" s="133"/>
      <c r="N863" s="147"/>
      <c r="P863" s="140"/>
      <c r="Q863" s="140"/>
    </row>
    <row r="864" spans="1:17" hidden="1" x14ac:dyDescent="0.35">
      <c r="A864" s="146"/>
      <c r="B864" s="143"/>
      <c r="C864" s="133"/>
      <c r="D864" s="133"/>
      <c r="E864" s="145"/>
      <c r="F864" s="197"/>
      <c r="G864" s="133"/>
      <c r="H864" s="144"/>
      <c r="I864" s="133"/>
      <c r="J864" s="133"/>
      <c r="K864" s="133"/>
      <c r="L864" s="133"/>
      <c r="M864" s="133"/>
      <c r="N864" s="147"/>
      <c r="P864" s="140"/>
      <c r="Q864" s="140"/>
    </row>
    <row r="865" spans="1:17" hidden="1" x14ac:dyDescent="0.35">
      <c r="A865" s="146">
        <v>184</v>
      </c>
      <c r="B865" s="143">
        <v>45261</v>
      </c>
      <c r="C865" s="133" t="s">
        <v>1605</v>
      </c>
      <c r="D865" s="133" t="s">
        <v>2047</v>
      </c>
      <c r="E865" s="145" t="s">
        <v>1342</v>
      </c>
      <c r="F865" s="145">
        <v>769</v>
      </c>
      <c r="G865" s="133" t="s">
        <v>1034</v>
      </c>
      <c r="H865" s="144" t="s">
        <v>1341</v>
      </c>
      <c r="I865" s="133" t="s">
        <v>1092</v>
      </c>
      <c r="J865" s="133" t="s">
        <v>2037</v>
      </c>
      <c r="K865" s="143">
        <v>45292</v>
      </c>
      <c r="L865" s="133" t="s">
        <v>1092</v>
      </c>
      <c r="M865" s="133">
        <v>7473</v>
      </c>
      <c r="N865" s="147">
        <f>+F865+F866+F867-M865-M866</f>
        <v>0</v>
      </c>
      <c r="P865" s="140"/>
      <c r="Q865" s="140"/>
    </row>
    <row r="866" spans="1:17" hidden="1" x14ac:dyDescent="0.35">
      <c r="A866" s="146"/>
      <c r="B866" s="143"/>
      <c r="C866" s="133"/>
      <c r="D866" s="133"/>
      <c r="E866" s="145" t="s">
        <v>1075</v>
      </c>
      <c r="F866" s="197">
        <v>5453</v>
      </c>
      <c r="G866" s="133" t="s">
        <v>1034</v>
      </c>
      <c r="H866" s="144" t="s">
        <v>1341</v>
      </c>
      <c r="I866" s="133" t="s">
        <v>1092</v>
      </c>
      <c r="J866" s="133" t="s">
        <v>2042</v>
      </c>
      <c r="K866" s="143">
        <v>45292</v>
      </c>
      <c r="L866" s="133" t="s">
        <v>1241</v>
      </c>
      <c r="M866" s="133">
        <v>390</v>
      </c>
      <c r="N866" s="147"/>
      <c r="O866" s="140"/>
      <c r="P866" s="140"/>
      <c r="Q866" s="140"/>
    </row>
    <row r="867" spans="1:17" hidden="1" x14ac:dyDescent="0.35">
      <c r="A867" s="146"/>
      <c r="B867" s="143"/>
      <c r="C867" s="133"/>
      <c r="D867" s="133"/>
      <c r="E867" s="145" t="s">
        <v>1067</v>
      </c>
      <c r="F867" s="197">
        <v>1641</v>
      </c>
      <c r="G867" s="133"/>
      <c r="H867" s="144"/>
      <c r="I867" s="133"/>
      <c r="J867" s="133"/>
      <c r="K867" s="133"/>
      <c r="L867" s="133"/>
      <c r="M867" s="133"/>
      <c r="N867" s="147"/>
      <c r="P867" s="140"/>
      <c r="Q867" s="140"/>
    </row>
    <row r="868" spans="1:17" hidden="1" x14ac:dyDescent="0.35">
      <c r="A868" s="146"/>
      <c r="B868" s="143"/>
      <c r="C868" s="133"/>
      <c r="D868" s="133"/>
      <c r="E868" s="145"/>
      <c r="F868" s="197"/>
      <c r="G868" s="133"/>
      <c r="H868" s="144"/>
      <c r="I868" s="133"/>
      <c r="J868" s="133"/>
      <c r="K868" s="133"/>
      <c r="L868" s="133"/>
      <c r="M868" s="133"/>
      <c r="N868" s="147"/>
      <c r="P868" s="140"/>
      <c r="Q868" s="140"/>
    </row>
    <row r="869" spans="1:17" hidden="1" x14ac:dyDescent="0.35">
      <c r="A869" s="146">
        <v>185</v>
      </c>
      <c r="B869" s="143">
        <v>45261</v>
      </c>
      <c r="C869" s="133" t="s">
        <v>1603</v>
      </c>
      <c r="D869" s="133" t="s">
        <v>2046</v>
      </c>
      <c r="E869" s="145" t="s">
        <v>1342</v>
      </c>
      <c r="F869" s="145">
        <v>47</v>
      </c>
      <c r="G869" s="133" t="s">
        <v>1034</v>
      </c>
      <c r="H869" s="144" t="s">
        <v>1341</v>
      </c>
      <c r="I869" s="133" t="s">
        <v>1092</v>
      </c>
      <c r="J869" s="133" t="s">
        <v>2039</v>
      </c>
      <c r="K869" s="143">
        <v>45292</v>
      </c>
      <c r="L869" s="133" t="s">
        <v>1092</v>
      </c>
      <c r="M869" s="133">
        <v>260.3</v>
      </c>
      <c r="N869" s="147">
        <f>+F869+F870+F871+F872-M869-M870-M871</f>
        <v>0</v>
      </c>
      <c r="P869" s="140"/>
      <c r="Q869" s="140"/>
    </row>
    <row r="870" spans="1:17" hidden="1" x14ac:dyDescent="0.35">
      <c r="A870" s="146"/>
      <c r="B870" s="143"/>
      <c r="C870" s="133"/>
      <c r="D870" s="133"/>
      <c r="E870" s="145" t="s">
        <v>1075</v>
      </c>
      <c r="F870" s="197">
        <v>7313.1</v>
      </c>
      <c r="G870" s="133" t="s">
        <v>1034</v>
      </c>
      <c r="H870" s="144" t="s">
        <v>1341</v>
      </c>
      <c r="I870" s="133" t="s">
        <v>1092</v>
      </c>
      <c r="J870" s="133" t="s">
        <v>2036</v>
      </c>
      <c r="K870" s="143">
        <v>45292</v>
      </c>
      <c r="L870" s="133" t="s">
        <v>1092</v>
      </c>
      <c r="M870" s="133">
        <v>10039.700000000001</v>
      </c>
      <c r="N870" s="147"/>
      <c r="O870" s="140"/>
      <c r="P870" s="140"/>
      <c r="Q870" s="140"/>
    </row>
    <row r="871" spans="1:17" hidden="1" x14ac:dyDescent="0.35">
      <c r="A871" s="146"/>
      <c r="B871" s="143"/>
      <c r="C871" s="133"/>
      <c r="D871" s="133"/>
      <c r="E871" s="145" t="s">
        <v>1067</v>
      </c>
      <c r="F871" s="197">
        <v>1091</v>
      </c>
      <c r="G871" s="133" t="s">
        <v>1034</v>
      </c>
      <c r="H871" s="144" t="s">
        <v>1341</v>
      </c>
      <c r="I871" s="133" t="s">
        <v>1092</v>
      </c>
      <c r="J871" s="133" t="s">
        <v>2042</v>
      </c>
      <c r="K871" s="143">
        <v>45292</v>
      </c>
      <c r="L871" s="133" t="s">
        <v>1241</v>
      </c>
      <c r="M871" s="133">
        <v>546</v>
      </c>
      <c r="N871" s="147"/>
      <c r="P871" s="140"/>
      <c r="Q871" s="140"/>
    </row>
    <row r="872" spans="1:17" hidden="1" x14ac:dyDescent="0.35">
      <c r="A872" s="146"/>
      <c r="B872" s="143"/>
      <c r="C872" s="133"/>
      <c r="D872" s="133"/>
      <c r="E872" s="145" t="s">
        <v>1064</v>
      </c>
      <c r="F872" s="197">
        <v>2394.9</v>
      </c>
      <c r="G872" s="133"/>
      <c r="H872" s="144"/>
      <c r="I872" s="133"/>
      <c r="J872" s="133"/>
      <c r="K872" s="133"/>
      <c r="L872" s="133"/>
      <c r="M872" s="133"/>
      <c r="N872" s="147"/>
      <c r="P872" s="140"/>
      <c r="Q872" s="140"/>
    </row>
    <row r="873" spans="1:17" hidden="1" x14ac:dyDescent="0.35">
      <c r="A873" s="146"/>
      <c r="B873" s="143"/>
      <c r="C873" s="133"/>
      <c r="D873" s="133"/>
      <c r="E873" s="145"/>
      <c r="F873" s="197"/>
      <c r="G873" s="133"/>
      <c r="H873" s="144"/>
      <c r="I873" s="133"/>
      <c r="J873" s="133"/>
      <c r="K873" s="133"/>
      <c r="L873" s="133"/>
      <c r="M873" s="133"/>
      <c r="N873" s="147"/>
      <c r="P873" s="140"/>
      <c r="Q873" s="140"/>
    </row>
    <row r="874" spans="1:17" hidden="1" x14ac:dyDescent="0.35">
      <c r="A874" s="146">
        <v>186</v>
      </c>
      <c r="B874" s="143">
        <v>45261</v>
      </c>
      <c r="C874" s="133" t="s">
        <v>1600</v>
      </c>
      <c r="D874" s="133" t="s">
        <v>2045</v>
      </c>
      <c r="E874" s="145" t="s">
        <v>1342</v>
      </c>
      <c r="F874" s="145">
        <v>451</v>
      </c>
      <c r="G874" s="133" t="s">
        <v>1034</v>
      </c>
      <c r="H874" s="144" t="s">
        <v>1341</v>
      </c>
      <c r="I874" s="133" t="s">
        <v>1092</v>
      </c>
      <c r="J874" s="133" t="s">
        <v>2037</v>
      </c>
      <c r="K874" s="143">
        <v>45292</v>
      </c>
      <c r="L874" s="133" t="s">
        <v>1092</v>
      </c>
      <c r="M874" s="133">
        <v>5109.2</v>
      </c>
      <c r="N874" s="147">
        <f>+F874+F875+F876+F877+F878-M874-M875</f>
        <v>0</v>
      </c>
      <c r="P874" s="140"/>
      <c r="Q874" s="140"/>
    </row>
    <row r="875" spans="1:17" hidden="1" x14ac:dyDescent="0.35">
      <c r="A875" s="146"/>
      <c r="B875" s="143"/>
      <c r="C875" s="133"/>
      <c r="D875" s="133"/>
      <c r="E875" s="145" t="s">
        <v>1075</v>
      </c>
      <c r="F875" s="197">
        <v>1218</v>
      </c>
      <c r="G875" s="133" t="s">
        <v>1034</v>
      </c>
      <c r="H875" s="144" t="s">
        <v>1341</v>
      </c>
      <c r="I875" s="133" t="s">
        <v>1092</v>
      </c>
      <c r="J875" s="133" t="s">
        <v>2042</v>
      </c>
      <c r="K875" s="143">
        <v>45292</v>
      </c>
      <c r="L875" s="133" t="s">
        <v>1241</v>
      </c>
      <c r="M875" s="133">
        <v>271</v>
      </c>
      <c r="N875" s="147"/>
      <c r="O875" s="140"/>
      <c r="P875" s="140"/>
      <c r="Q875" s="140"/>
    </row>
    <row r="876" spans="1:17" hidden="1" x14ac:dyDescent="0.35">
      <c r="A876" s="146"/>
      <c r="B876" s="143"/>
      <c r="C876" s="133"/>
      <c r="D876" s="133"/>
      <c r="E876" s="145" t="s">
        <v>1067</v>
      </c>
      <c r="F876" s="197">
        <v>2634.2</v>
      </c>
      <c r="G876" s="133"/>
      <c r="H876" s="144"/>
      <c r="I876" s="133"/>
      <c r="J876" s="133"/>
      <c r="K876" s="133"/>
      <c r="L876" s="133"/>
      <c r="M876" s="133"/>
      <c r="N876" s="147"/>
      <c r="P876" s="140"/>
      <c r="Q876" s="140"/>
    </row>
    <row r="877" spans="1:17" hidden="1" x14ac:dyDescent="0.35">
      <c r="A877" s="146"/>
      <c r="B877" s="143"/>
      <c r="C877" s="133"/>
      <c r="D877" s="133"/>
      <c r="E877" s="145" t="s">
        <v>1064</v>
      </c>
      <c r="F877" s="197">
        <v>884</v>
      </c>
      <c r="G877" s="133"/>
      <c r="H877" s="144"/>
      <c r="I877" s="133"/>
      <c r="J877" s="133"/>
      <c r="K877" s="133"/>
      <c r="L877" s="133"/>
      <c r="M877" s="133"/>
      <c r="N877" s="147"/>
      <c r="P877" s="140"/>
      <c r="Q877" s="140"/>
    </row>
    <row r="878" spans="1:17" hidden="1" x14ac:dyDescent="0.35">
      <c r="A878" s="146"/>
      <c r="B878" s="143"/>
      <c r="C878" s="133"/>
      <c r="D878" s="133"/>
      <c r="E878" s="145" t="s">
        <v>1071</v>
      </c>
      <c r="F878" s="197">
        <v>193</v>
      </c>
      <c r="G878" s="133"/>
      <c r="H878" s="144"/>
      <c r="I878" s="133"/>
      <c r="J878" s="133"/>
      <c r="K878" s="133"/>
      <c r="L878" s="133"/>
      <c r="M878" s="133"/>
      <c r="N878" s="147"/>
      <c r="P878" s="140"/>
      <c r="Q878" s="140"/>
    </row>
    <row r="879" spans="1:17" hidden="1" x14ac:dyDescent="0.35">
      <c r="A879" s="146"/>
      <c r="B879" s="143"/>
      <c r="C879" s="133"/>
      <c r="D879" s="133"/>
      <c r="E879" s="145"/>
      <c r="F879" s="197"/>
      <c r="G879" s="133"/>
      <c r="H879" s="144"/>
      <c r="I879" s="133"/>
      <c r="J879" s="133"/>
      <c r="K879" s="133"/>
      <c r="L879" s="133"/>
      <c r="M879" s="133"/>
      <c r="N879" s="147"/>
      <c r="P879" s="140"/>
      <c r="Q879" s="140"/>
    </row>
    <row r="880" spans="1:17" hidden="1" x14ac:dyDescent="0.35">
      <c r="A880" s="146">
        <v>187</v>
      </c>
      <c r="B880" s="143">
        <v>45261</v>
      </c>
      <c r="C880" s="133" t="s">
        <v>1597</v>
      </c>
      <c r="D880" s="133" t="s">
        <v>2044</v>
      </c>
      <c r="E880" s="145" t="s">
        <v>1342</v>
      </c>
      <c r="F880" s="145">
        <v>8986</v>
      </c>
      <c r="G880" s="133" t="s">
        <v>1034</v>
      </c>
      <c r="H880" s="144" t="s">
        <v>1341</v>
      </c>
      <c r="I880" s="133" t="s">
        <v>1092</v>
      </c>
      <c r="J880" s="133" t="s">
        <v>2037</v>
      </c>
      <c r="K880" s="143">
        <v>45292</v>
      </c>
      <c r="L880" s="133" t="s">
        <v>1092</v>
      </c>
      <c r="M880" s="133">
        <v>1177.7</v>
      </c>
      <c r="N880" s="147">
        <f>+F880+F881+F882+F883-M880-M881-M882</f>
        <v>0</v>
      </c>
      <c r="P880" s="140"/>
      <c r="Q880" s="140"/>
    </row>
    <row r="881" spans="1:17" hidden="1" x14ac:dyDescent="0.35">
      <c r="A881" s="146"/>
      <c r="B881" s="143"/>
      <c r="C881" s="133"/>
      <c r="D881" s="133"/>
      <c r="E881" s="145" t="s">
        <v>1075</v>
      </c>
      <c r="F881" s="197">
        <v>1081</v>
      </c>
      <c r="G881" s="133" t="s">
        <v>1034</v>
      </c>
      <c r="H881" s="144" t="s">
        <v>1341</v>
      </c>
      <c r="I881" s="133" t="s">
        <v>1092</v>
      </c>
      <c r="J881" s="133" t="s">
        <v>2036</v>
      </c>
      <c r="K881" s="143">
        <v>45292</v>
      </c>
      <c r="L881" s="133" t="s">
        <v>1092</v>
      </c>
      <c r="M881" s="133">
        <v>15527.8</v>
      </c>
      <c r="N881" s="147"/>
      <c r="P881" s="140"/>
      <c r="Q881" s="140"/>
    </row>
    <row r="882" spans="1:17" hidden="1" x14ac:dyDescent="0.35">
      <c r="A882" s="146"/>
      <c r="B882" s="143"/>
      <c r="C882" s="133"/>
      <c r="D882" s="133"/>
      <c r="E882" s="145" t="s">
        <v>1067</v>
      </c>
      <c r="F882" s="197">
        <v>1341.8</v>
      </c>
      <c r="G882" s="133" t="s">
        <v>1034</v>
      </c>
      <c r="H882" s="144" t="s">
        <v>1341</v>
      </c>
      <c r="I882" s="133" t="s">
        <v>1092</v>
      </c>
      <c r="J882" s="133" t="s">
        <v>2042</v>
      </c>
      <c r="K882" s="143">
        <v>45292</v>
      </c>
      <c r="L882" s="133" t="s">
        <v>1241</v>
      </c>
      <c r="M882" s="133">
        <v>881</v>
      </c>
      <c r="N882" s="147"/>
      <c r="P882" s="140"/>
      <c r="Q882" s="140"/>
    </row>
    <row r="883" spans="1:17" hidden="1" x14ac:dyDescent="0.35">
      <c r="A883" s="146"/>
      <c r="B883" s="143"/>
      <c r="C883" s="133"/>
      <c r="D883" s="133"/>
      <c r="E883" s="145" t="s">
        <v>1118</v>
      </c>
      <c r="F883" s="197">
        <v>6177.7</v>
      </c>
      <c r="G883" s="133"/>
      <c r="H883" s="144"/>
      <c r="I883" s="133"/>
      <c r="J883" s="133"/>
      <c r="K883" s="133"/>
      <c r="L883" s="133"/>
      <c r="M883" s="133"/>
      <c r="N883" s="147"/>
      <c r="P883" s="140"/>
      <c r="Q883" s="140"/>
    </row>
    <row r="884" spans="1:17" hidden="1" x14ac:dyDescent="0.35">
      <c r="A884" s="146"/>
      <c r="B884" s="143"/>
      <c r="C884" s="133"/>
      <c r="D884" s="133"/>
      <c r="E884" s="145"/>
      <c r="F884" s="197"/>
      <c r="G884" s="133"/>
      <c r="H884" s="144"/>
      <c r="I884" s="133"/>
      <c r="J884" s="133"/>
      <c r="K884" s="133"/>
      <c r="L884" s="133"/>
      <c r="M884" s="133"/>
      <c r="N884" s="147"/>
      <c r="P884" s="140"/>
      <c r="Q884" s="140"/>
    </row>
    <row r="885" spans="1:17" hidden="1" x14ac:dyDescent="0.35">
      <c r="A885" s="146">
        <v>188</v>
      </c>
      <c r="B885" s="143">
        <v>45261</v>
      </c>
      <c r="C885" s="133" t="s">
        <v>1595</v>
      </c>
      <c r="D885" s="133" t="s">
        <v>2043</v>
      </c>
      <c r="E885" s="145" t="s">
        <v>1075</v>
      </c>
      <c r="F885" s="197">
        <v>1216.9000000000001</v>
      </c>
      <c r="G885" s="133" t="s">
        <v>1034</v>
      </c>
      <c r="H885" s="144" t="s">
        <v>1341</v>
      </c>
      <c r="I885" s="133" t="s">
        <v>1092</v>
      </c>
      <c r="J885" s="133" t="s">
        <v>2032</v>
      </c>
      <c r="K885" s="143">
        <v>45292</v>
      </c>
      <c r="L885" s="133" t="s">
        <v>1092</v>
      </c>
      <c r="M885" s="133">
        <v>8446.6999999999989</v>
      </c>
      <c r="N885" s="147">
        <f>+F885+F886+F887+F888-M885-M886</f>
        <v>0</v>
      </c>
      <c r="P885" s="140"/>
      <c r="Q885" s="140"/>
    </row>
    <row r="886" spans="1:17" hidden="1" x14ac:dyDescent="0.35">
      <c r="A886" s="146"/>
      <c r="B886" s="143"/>
      <c r="C886" s="133"/>
      <c r="D886" s="133"/>
      <c r="E886" s="145" t="s">
        <v>1342</v>
      </c>
      <c r="F886" s="197">
        <v>1506</v>
      </c>
      <c r="G886" s="133" t="s">
        <v>1034</v>
      </c>
      <c r="H886" s="144" t="s">
        <v>1341</v>
      </c>
      <c r="I886" s="133" t="s">
        <v>1092</v>
      </c>
      <c r="J886" s="133" t="s">
        <v>2042</v>
      </c>
      <c r="K886" s="143">
        <v>45292</v>
      </c>
      <c r="L886" s="133" t="s">
        <v>1241</v>
      </c>
      <c r="M886" s="133">
        <v>445</v>
      </c>
      <c r="N886" s="147"/>
      <c r="O886" s="140"/>
      <c r="P886" s="140"/>
      <c r="Q886" s="140"/>
    </row>
    <row r="887" spans="1:17" hidden="1" x14ac:dyDescent="0.35">
      <c r="A887" s="146"/>
      <c r="B887" s="143"/>
      <c r="C887" s="133"/>
      <c r="D887" s="133"/>
      <c r="E887" s="145" t="s">
        <v>1067</v>
      </c>
      <c r="F887" s="197">
        <v>5019</v>
      </c>
      <c r="G887" s="133"/>
      <c r="H887" s="144"/>
      <c r="I887" s="133"/>
      <c r="J887" s="133"/>
      <c r="K887" s="133"/>
      <c r="L887" s="133"/>
      <c r="M887" s="133"/>
      <c r="N887" s="147"/>
      <c r="P887" s="140"/>
      <c r="Q887" s="140"/>
    </row>
    <row r="888" spans="1:17" hidden="1" x14ac:dyDescent="0.35">
      <c r="A888" s="146"/>
      <c r="B888" s="143"/>
      <c r="C888" s="133"/>
      <c r="D888" s="133"/>
      <c r="E888" s="145" t="s">
        <v>1064</v>
      </c>
      <c r="F888" s="197">
        <v>1149.8</v>
      </c>
      <c r="G888" s="133"/>
      <c r="H888" s="144"/>
      <c r="I888" s="133"/>
      <c r="J888" s="133"/>
      <c r="K888" s="133"/>
      <c r="L888" s="133"/>
      <c r="M888" s="133"/>
      <c r="N888" s="147"/>
      <c r="P888" s="140"/>
      <c r="Q888" s="140"/>
    </row>
    <row r="889" spans="1:17" hidden="1" x14ac:dyDescent="0.35">
      <c r="A889" s="146"/>
      <c r="B889" s="143"/>
      <c r="C889" s="133"/>
      <c r="D889" s="133"/>
      <c r="E889" s="145"/>
      <c r="F889" s="197"/>
      <c r="G889" s="133"/>
      <c r="H889" s="144"/>
      <c r="I889" s="133"/>
      <c r="J889" s="133"/>
      <c r="K889" s="133"/>
      <c r="L889" s="133"/>
      <c r="M889" s="133"/>
      <c r="N889" s="147"/>
      <c r="P889" s="140"/>
      <c r="Q889" s="140"/>
    </row>
    <row r="890" spans="1:17" hidden="1" x14ac:dyDescent="0.35">
      <c r="A890" s="146">
        <v>189</v>
      </c>
      <c r="B890" s="143">
        <v>45261</v>
      </c>
      <c r="C890" s="133" t="s">
        <v>1593</v>
      </c>
      <c r="D890" s="133" t="s">
        <v>2041</v>
      </c>
      <c r="E890" s="145" t="s">
        <v>1184</v>
      </c>
      <c r="F890" s="145">
        <v>5000</v>
      </c>
      <c r="G890" s="133" t="s">
        <v>1034</v>
      </c>
      <c r="H890" s="144" t="s">
        <v>1341</v>
      </c>
      <c r="I890" s="133" t="s">
        <v>1092</v>
      </c>
      <c r="J890" s="133" t="s">
        <v>2032</v>
      </c>
      <c r="K890" s="143">
        <v>45292</v>
      </c>
      <c r="L890" s="133" t="s">
        <v>1092</v>
      </c>
      <c r="M890" s="133">
        <v>5000</v>
      </c>
      <c r="N890" s="147">
        <f>+F890-M890</f>
        <v>0</v>
      </c>
      <c r="P890" s="140"/>
      <c r="Q890" s="140"/>
    </row>
    <row r="891" spans="1:17" hidden="1" x14ac:dyDescent="0.35">
      <c r="A891" s="146"/>
      <c r="B891" s="143"/>
      <c r="C891" s="133"/>
      <c r="D891" s="133"/>
      <c r="E891" s="145"/>
      <c r="F891" s="145"/>
      <c r="G891" s="133"/>
      <c r="H891" s="144"/>
      <c r="I891" s="133"/>
      <c r="J891" s="133"/>
      <c r="K891" s="133"/>
      <c r="L891" s="133"/>
      <c r="M891" s="133"/>
      <c r="N891" s="142"/>
      <c r="P891" s="140"/>
      <c r="Q891" s="140"/>
    </row>
    <row r="892" spans="1:17" hidden="1" x14ac:dyDescent="0.35">
      <c r="A892" s="146">
        <v>190</v>
      </c>
      <c r="B892" s="143">
        <v>45261</v>
      </c>
      <c r="C892" s="133" t="s">
        <v>1592</v>
      </c>
      <c r="D892" s="133" t="s">
        <v>2040</v>
      </c>
      <c r="E892" s="148" t="s">
        <v>1059</v>
      </c>
      <c r="F892" s="145">
        <v>49500</v>
      </c>
      <c r="G892" s="133" t="s">
        <v>1034</v>
      </c>
      <c r="H892" s="144" t="s">
        <v>1341</v>
      </c>
      <c r="I892" s="133" t="s">
        <v>1092</v>
      </c>
      <c r="J892" s="133" t="s">
        <v>2039</v>
      </c>
      <c r="K892" s="143">
        <v>45292</v>
      </c>
      <c r="L892" s="133" t="s">
        <v>1092</v>
      </c>
      <c r="M892" s="133">
        <v>965</v>
      </c>
      <c r="N892" s="147">
        <f>+F892-M892-M893-M894-M895-M896-M897-M898</f>
        <v>0</v>
      </c>
      <c r="P892" s="140"/>
      <c r="Q892" s="140"/>
    </row>
    <row r="893" spans="1:17" hidden="1" x14ac:dyDescent="0.35">
      <c r="A893" s="146"/>
      <c r="B893" s="143"/>
      <c r="C893" s="133"/>
      <c r="D893" s="133"/>
      <c r="E893" s="145"/>
      <c r="F893" s="145"/>
      <c r="G893" s="133" t="s">
        <v>1034</v>
      </c>
      <c r="H893" s="144" t="s">
        <v>1341</v>
      </c>
      <c r="I893" s="133" t="s">
        <v>1092</v>
      </c>
      <c r="J893" s="133" t="s">
        <v>2038</v>
      </c>
      <c r="K893" s="143">
        <v>45292</v>
      </c>
      <c r="L893" s="133" t="s">
        <v>1092</v>
      </c>
      <c r="M893" s="133">
        <v>11973.05</v>
      </c>
      <c r="N893" s="142"/>
      <c r="P893" s="140"/>
      <c r="Q893" s="140"/>
    </row>
    <row r="894" spans="1:17" hidden="1" x14ac:dyDescent="0.35">
      <c r="A894" s="146"/>
      <c r="B894" s="143"/>
      <c r="C894" s="133"/>
      <c r="D894" s="133"/>
      <c r="E894" s="145"/>
      <c r="F894" s="145"/>
      <c r="G894" s="133" t="s">
        <v>1034</v>
      </c>
      <c r="H894" s="144" t="s">
        <v>1341</v>
      </c>
      <c r="I894" s="133" t="s">
        <v>1092</v>
      </c>
      <c r="J894" s="133" t="s">
        <v>2037</v>
      </c>
      <c r="K894" s="143">
        <v>45292</v>
      </c>
      <c r="L894" s="133" t="s">
        <v>1092</v>
      </c>
      <c r="M894" s="133">
        <v>5405.1</v>
      </c>
      <c r="N894" s="142"/>
      <c r="P894" s="140"/>
      <c r="Q894" s="140"/>
    </row>
    <row r="895" spans="1:17" hidden="1" x14ac:dyDescent="0.35">
      <c r="A895" s="146"/>
      <c r="B895" s="143"/>
      <c r="C895" s="133"/>
      <c r="D895" s="133"/>
      <c r="E895" s="145"/>
      <c r="F895" s="145"/>
      <c r="G895" s="133" t="s">
        <v>1034</v>
      </c>
      <c r="H895" s="144" t="s">
        <v>1341</v>
      </c>
      <c r="I895" s="133" t="s">
        <v>1092</v>
      </c>
      <c r="J895" s="133" t="s">
        <v>2036</v>
      </c>
      <c r="K895" s="143">
        <v>45292</v>
      </c>
      <c r="L895" s="133" t="s">
        <v>1092</v>
      </c>
      <c r="M895" s="133">
        <v>15312.5</v>
      </c>
      <c r="N895" s="142"/>
      <c r="P895" s="140"/>
      <c r="Q895" s="140"/>
    </row>
    <row r="896" spans="1:17" hidden="1" x14ac:dyDescent="0.35">
      <c r="A896" s="146"/>
      <c r="B896" s="143"/>
      <c r="C896" s="133"/>
      <c r="D896" s="133"/>
      <c r="E896" s="145"/>
      <c r="F896" s="145"/>
      <c r="G896" s="133" t="s">
        <v>1034</v>
      </c>
      <c r="H896" s="144" t="s">
        <v>1341</v>
      </c>
      <c r="I896" s="133" t="s">
        <v>1092</v>
      </c>
      <c r="J896" s="133" t="s">
        <v>2032</v>
      </c>
      <c r="K896" s="143">
        <v>45292</v>
      </c>
      <c r="L896" s="133" t="s">
        <v>1092</v>
      </c>
      <c r="M896" s="133">
        <v>3613.8</v>
      </c>
      <c r="N896" s="142"/>
      <c r="P896" s="140"/>
      <c r="Q896" s="140"/>
    </row>
    <row r="897" spans="1:17" hidden="1" x14ac:dyDescent="0.35">
      <c r="A897" s="146"/>
      <c r="B897" s="143"/>
      <c r="C897" s="133"/>
      <c r="D897" s="133"/>
      <c r="E897" s="145"/>
      <c r="F897" s="145"/>
      <c r="G897" s="133" t="s">
        <v>1034</v>
      </c>
      <c r="H897" s="144" t="s">
        <v>1341</v>
      </c>
      <c r="I897" s="133" t="s">
        <v>1092</v>
      </c>
      <c r="J897" s="133" t="s">
        <v>2024</v>
      </c>
      <c r="K897" s="143">
        <v>45292</v>
      </c>
      <c r="L897" s="133" t="s">
        <v>1092</v>
      </c>
      <c r="M897" s="133">
        <v>9770.5499999999993</v>
      </c>
      <c r="N897" s="142"/>
      <c r="P897" s="140"/>
      <c r="Q897" s="140"/>
    </row>
    <row r="898" spans="1:17" hidden="1" x14ac:dyDescent="0.35">
      <c r="A898" s="146"/>
      <c r="B898" s="143"/>
      <c r="C898" s="133"/>
      <c r="D898" s="133"/>
      <c r="E898" s="145"/>
      <c r="F898" s="145"/>
      <c r="G898" s="133" t="s">
        <v>1034</v>
      </c>
      <c r="H898" s="144" t="s">
        <v>1341</v>
      </c>
      <c r="I898" s="133" t="s">
        <v>1092</v>
      </c>
      <c r="J898" s="133" t="s">
        <v>2000</v>
      </c>
      <c r="K898" s="143">
        <v>45323</v>
      </c>
      <c r="L898" s="133" t="s">
        <v>1241</v>
      </c>
      <c r="M898" s="133">
        <v>2460</v>
      </c>
      <c r="N898" s="142"/>
      <c r="P898" s="140"/>
      <c r="Q898" s="140"/>
    </row>
    <row r="899" spans="1:17" hidden="1" x14ac:dyDescent="0.35">
      <c r="A899" s="146"/>
      <c r="B899" s="143"/>
      <c r="C899" s="133"/>
      <c r="D899" s="133"/>
      <c r="E899" s="145"/>
      <c r="F899" s="145"/>
      <c r="G899" s="133"/>
      <c r="H899" s="144"/>
      <c r="I899" s="133"/>
      <c r="J899" s="133"/>
      <c r="K899" s="143"/>
      <c r="L899" s="133"/>
      <c r="M899" s="133"/>
      <c r="N899" s="142"/>
      <c r="P899" s="140"/>
      <c r="Q899" s="140"/>
    </row>
    <row r="900" spans="1:17" hidden="1" x14ac:dyDescent="0.35">
      <c r="A900" s="146">
        <v>191</v>
      </c>
      <c r="B900" s="143">
        <v>45261</v>
      </c>
      <c r="C900" s="133" t="s">
        <v>1590</v>
      </c>
      <c r="D900" s="133" t="s">
        <v>2035</v>
      </c>
      <c r="E900" s="145" t="s">
        <v>1342</v>
      </c>
      <c r="F900" s="145">
        <v>212</v>
      </c>
      <c r="G900" s="133" t="s">
        <v>1034</v>
      </c>
      <c r="H900" s="144" t="s">
        <v>1341</v>
      </c>
      <c r="I900" s="133" t="s">
        <v>1092</v>
      </c>
      <c r="J900" s="133" t="s">
        <v>2032</v>
      </c>
      <c r="K900" s="143">
        <v>45292</v>
      </c>
      <c r="L900" s="133" t="s">
        <v>1092</v>
      </c>
      <c r="M900" s="133">
        <v>212</v>
      </c>
      <c r="N900" s="147">
        <f>+F900-M900</f>
        <v>0</v>
      </c>
      <c r="P900" s="140"/>
      <c r="Q900" s="140"/>
    </row>
    <row r="901" spans="1:17" hidden="1" x14ac:dyDescent="0.35">
      <c r="A901" s="146"/>
      <c r="B901" s="143"/>
      <c r="C901" s="133"/>
      <c r="D901" s="133"/>
      <c r="E901" s="145"/>
      <c r="F901" s="145"/>
      <c r="G901" s="133"/>
      <c r="H901" s="144"/>
      <c r="I901" s="133"/>
      <c r="J901" s="133"/>
      <c r="K901" s="133"/>
      <c r="L901" s="133"/>
      <c r="M901" s="133"/>
      <c r="N901" s="147"/>
      <c r="P901" s="140"/>
      <c r="Q901" s="140"/>
    </row>
    <row r="902" spans="1:17" hidden="1" x14ac:dyDescent="0.35">
      <c r="A902" s="146">
        <v>192</v>
      </c>
      <c r="B902" s="143">
        <v>45261</v>
      </c>
      <c r="C902" s="133" t="s">
        <v>1588</v>
      </c>
      <c r="D902" s="133" t="s">
        <v>2035</v>
      </c>
      <c r="E902" s="145" t="s">
        <v>1075</v>
      </c>
      <c r="F902" s="145">
        <v>744</v>
      </c>
      <c r="G902" s="133" t="s">
        <v>1034</v>
      </c>
      <c r="H902" s="144" t="s">
        <v>1341</v>
      </c>
      <c r="I902" s="133" t="s">
        <v>1092</v>
      </c>
      <c r="J902" s="133" t="s">
        <v>2024</v>
      </c>
      <c r="K902" s="143">
        <v>45292</v>
      </c>
      <c r="L902" s="133" t="s">
        <v>1092</v>
      </c>
      <c r="M902" s="133">
        <v>5002.3</v>
      </c>
      <c r="N902" s="147">
        <f>+F902+F903+F904-M902-M903</f>
        <v>0</v>
      </c>
      <c r="P902" s="140"/>
      <c r="Q902" s="140"/>
    </row>
    <row r="903" spans="1:17" hidden="1" x14ac:dyDescent="0.35">
      <c r="A903" s="146"/>
      <c r="B903" s="143"/>
      <c r="C903" s="133"/>
      <c r="D903" s="133"/>
      <c r="E903" s="145" t="s">
        <v>1342</v>
      </c>
      <c r="F903" s="145">
        <v>4197</v>
      </c>
      <c r="G903" s="133" t="s">
        <v>1034</v>
      </c>
      <c r="H903" s="144" t="s">
        <v>1341</v>
      </c>
      <c r="I903" s="133" t="s">
        <v>1092</v>
      </c>
      <c r="J903" s="133" t="s">
        <v>2000</v>
      </c>
      <c r="K903" s="143">
        <v>45323</v>
      </c>
      <c r="L903" s="133" t="s">
        <v>1241</v>
      </c>
      <c r="M903" s="133">
        <v>265</v>
      </c>
      <c r="N903" s="147"/>
      <c r="P903" s="140"/>
      <c r="Q903" s="140"/>
    </row>
    <row r="904" spans="1:17" hidden="1" x14ac:dyDescent="0.35">
      <c r="A904" s="146"/>
      <c r="B904" s="143"/>
      <c r="C904" s="133"/>
      <c r="D904" s="133"/>
      <c r="E904" s="145" t="s">
        <v>1067</v>
      </c>
      <c r="F904" s="145">
        <v>326.3</v>
      </c>
      <c r="G904" s="133"/>
      <c r="H904" s="144"/>
      <c r="I904" s="133"/>
      <c r="J904" s="133"/>
      <c r="K904" s="133"/>
      <c r="L904" s="133"/>
      <c r="M904" s="133"/>
      <c r="N904" s="147"/>
      <c r="P904" s="140"/>
      <c r="Q904" s="140"/>
    </row>
    <row r="905" spans="1:17" hidden="1" x14ac:dyDescent="0.35">
      <c r="A905" s="146"/>
      <c r="B905" s="143"/>
      <c r="C905" s="133"/>
      <c r="D905" s="133"/>
      <c r="E905" s="145"/>
      <c r="F905" s="145"/>
      <c r="G905" s="133"/>
      <c r="H905" s="144"/>
      <c r="I905" s="133"/>
      <c r="J905" s="133"/>
      <c r="K905" s="133"/>
      <c r="L905" s="133"/>
      <c r="M905" s="133"/>
      <c r="N905" s="147"/>
      <c r="P905" s="140"/>
      <c r="Q905" s="140"/>
    </row>
    <row r="906" spans="1:17" hidden="1" x14ac:dyDescent="0.35">
      <c r="A906" s="146">
        <v>193</v>
      </c>
      <c r="B906" s="143">
        <v>45261</v>
      </c>
      <c r="C906" s="133" t="s">
        <v>1586</v>
      </c>
      <c r="D906" s="133" t="s">
        <v>2034</v>
      </c>
      <c r="E906" s="145" t="s">
        <v>1064</v>
      </c>
      <c r="F906" s="145">
        <v>1387.9</v>
      </c>
      <c r="G906" s="133" t="s">
        <v>1034</v>
      </c>
      <c r="H906" s="144" t="s">
        <v>1341</v>
      </c>
      <c r="I906" s="133" t="s">
        <v>1092</v>
      </c>
      <c r="J906" s="133" t="s">
        <v>2024</v>
      </c>
      <c r="K906" s="143">
        <v>45292</v>
      </c>
      <c r="L906" s="133" t="s">
        <v>1092</v>
      </c>
      <c r="M906" s="133">
        <v>5013.8999999999996</v>
      </c>
      <c r="N906" s="147">
        <f>+F906+F907+F908-M906-M907</f>
        <v>0</v>
      </c>
      <c r="P906" s="140"/>
      <c r="Q906" s="140"/>
    </row>
    <row r="907" spans="1:17" hidden="1" x14ac:dyDescent="0.35">
      <c r="A907" s="146"/>
      <c r="B907" s="143"/>
      <c r="C907" s="133"/>
      <c r="D907" s="133"/>
      <c r="E907" s="145" t="s">
        <v>1342</v>
      </c>
      <c r="F907" s="145">
        <v>276</v>
      </c>
      <c r="G907" s="133" t="s">
        <v>1034</v>
      </c>
      <c r="H907" s="144" t="s">
        <v>1341</v>
      </c>
      <c r="I907" s="133" t="s">
        <v>1092</v>
      </c>
      <c r="J907" s="133" t="s">
        <v>2000</v>
      </c>
      <c r="K907" s="143">
        <v>45323</v>
      </c>
      <c r="L907" s="133" t="s">
        <v>1241</v>
      </c>
      <c r="M907" s="133">
        <v>265</v>
      </c>
      <c r="N907" s="147"/>
      <c r="P907" s="140"/>
      <c r="Q907" s="140"/>
    </row>
    <row r="908" spans="1:17" hidden="1" x14ac:dyDescent="0.35">
      <c r="A908" s="146"/>
      <c r="B908" s="143"/>
      <c r="C908" s="133"/>
      <c r="D908" s="133"/>
      <c r="E908" s="145" t="s">
        <v>1075</v>
      </c>
      <c r="F908" s="145">
        <v>3615</v>
      </c>
      <c r="G908" s="133"/>
      <c r="H908" s="144"/>
      <c r="I908" s="133"/>
      <c r="J908" s="133"/>
      <c r="K908" s="133"/>
      <c r="L908" s="133"/>
      <c r="M908" s="133"/>
      <c r="N908" s="147"/>
      <c r="P908" s="140"/>
      <c r="Q908" s="140"/>
    </row>
    <row r="909" spans="1:17" hidden="1" x14ac:dyDescent="0.35">
      <c r="A909" s="146"/>
      <c r="B909" s="143"/>
      <c r="C909" s="133"/>
      <c r="D909" s="133"/>
      <c r="E909" s="145"/>
      <c r="F909" s="145"/>
      <c r="G909" s="133"/>
      <c r="H909" s="144"/>
      <c r="I909" s="133"/>
      <c r="J909" s="133"/>
      <c r="K909" s="133"/>
      <c r="L909" s="133"/>
      <c r="M909" s="133"/>
      <c r="N909" s="147"/>
      <c r="P909" s="140"/>
      <c r="Q909" s="140"/>
    </row>
    <row r="910" spans="1:17" hidden="1" x14ac:dyDescent="0.35">
      <c r="A910" s="146">
        <v>194</v>
      </c>
      <c r="B910" s="143">
        <v>45261</v>
      </c>
      <c r="C910" s="133" t="s">
        <v>1584</v>
      </c>
      <c r="D910" s="133" t="s">
        <v>2033</v>
      </c>
      <c r="E910" s="145" t="s">
        <v>1118</v>
      </c>
      <c r="F910" s="145">
        <v>6093.5</v>
      </c>
      <c r="G910" s="133" t="s">
        <v>1034</v>
      </c>
      <c r="H910" s="144" t="s">
        <v>1341</v>
      </c>
      <c r="I910" s="133" t="s">
        <v>1092</v>
      </c>
      <c r="J910" s="133" t="s">
        <v>2032</v>
      </c>
      <c r="K910" s="143">
        <v>45292</v>
      </c>
      <c r="L910" s="133" t="s">
        <v>1092</v>
      </c>
      <c r="M910" s="133">
        <v>1093.5</v>
      </c>
      <c r="N910" s="147">
        <f>+F910+F911+F912-M910-M911-M912</f>
        <v>0</v>
      </c>
      <c r="P910" s="140"/>
      <c r="Q910" s="140"/>
    </row>
    <row r="911" spans="1:17" hidden="1" x14ac:dyDescent="0.35">
      <c r="A911" s="146"/>
      <c r="B911" s="143"/>
      <c r="C911" s="133"/>
      <c r="D911" s="133"/>
      <c r="E911" s="145" t="s">
        <v>1342</v>
      </c>
      <c r="F911" s="145">
        <v>1426</v>
      </c>
      <c r="G911" s="133" t="s">
        <v>1034</v>
      </c>
      <c r="H911" s="144" t="s">
        <v>1341</v>
      </c>
      <c r="I911" s="133" t="s">
        <v>1092</v>
      </c>
      <c r="J911" s="133" t="s">
        <v>2024</v>
      </c>
      <c r="K911" s="143">
        <v>45292</v>
      </c>
      <c r="L911" s="133" t="s">
        <v>1092</v>
      </c>
      <c r="M911" s="133">
        <v>6152.7</v>
      </c>
      <c r="N911" s="147"/>
      <c r="P911" s="140"/>
      <c r="Q911" s="140"/>
    </row>
    <row r="912" spans="1:17" hidden="1" x14ac:dyDescent="0.35">
      <c r="A912" s="146"/>
      <c r="B912" s="143"/>
      <c r="C912" s="133"/>
      <c r="D912" s="133"/>
      <c r="E912" s="145" t="s">
        <v>1067</v>
      </c>
      <c r="F912" s="145">
        <v>108.7</v>
      </c>
      <c r="G912" s="133" t="s">
        <v>1034</v>
      </c>
      <c r="H912" s="144" t="s">
        <v>1341</v>
      </c>
      <c r="I912" s="133" t="s">
        <v>1092</v>
      </c>
      <c r="J912" s="133" t="s">
        <v>2000</v>
      </c>
      <c r="K912" s="143">
        <v>45323</v>
      </c>
      <c r="L912" s="133" t="s">
        <v>1241</v>
      </c>
      <c r="M912" s="133">
        <v>382</v>
      </c>
      <c r="N912" s="147"/>
      <c r="P912" s="140"/>
      <c r="Q912" s="140"/>
    </row>
    <row r="913" spans="1:17" hidden="1" x14ac:dyDescent="0.35">
      <c r="A913" s="146"/>
      <c r="B913" s="143"/>
      <c r="C913" s="133"/>
      <c r="D913" s="133"/>
      <c r="E913" s="145"/>
      <c r="F913" s="145"/>
      <c r="G913" s="133"/>
      <c r="H913" s="144"/>
      <c r="I913" s="133"/>
      <c r="J913" s="133"/>
      <c r="K913" s="133"/>
      <c r="L913" s="133"/>
      <c r="M913" s="133"/>
      <c r="N913" s="147"/>
      <c r="P913" s="140"/>
      <c r="Q913" s="140"/>
    </row>
    <row r="914" spans="1:17" hidden="1" x14ac:dyDescent="0.35">
      <c r="A914" s="146">
        <v>195</v>
      </c>
      <c r="B914" s="143">
        <v>45261</v>
      </c>
      <c r="C914" s="133" t="s">
        <v>1583</v>
      </c>
      <c r="D914" s="133" t="s">
        <v>2031</v>
      </c>
      <c r="E914" s="145" t="s">
        <v>1118</v>
      </c>
      <c r="F914" s="145">
        <v>1498.5</v>
      </c>
      <c r="G914" s="133" t="s">
        <v>1034</v>
      </c>
      <c r="H914" s="144" t="s">
        <v>1341</v>
      </c>
      <c r="I914" s="133" t="s">
        <v>1092</v>
      </c>
      <c r="J914" s="133" t="s">
        <v>2024</v>
      </c>
      <c r="K914" s="143">
        <v>45292</v>
      </c>
      <c r="L914" s="133" t="s">
        <v>1092</v>
      </c>
      <c r="M914" s="133">
        <v>1553.1</v>
      </c>
      <c r="N914" s="147">
        <f>+F914+F915-M914-M915</f>
        <v>0</v>
      </c>
      <c r="P914" s="140"/>
      <c r="Q914" s="140"/>
    </row>
    <row r="915" spans="1:17" hidden="1" x14ac:dyDescent="0.35">
      <c r="A915" s="146"/>
      <c r="B915" s="143"/>
      <c r="C915" s="133"/>
      <c r="D915" s="133"/>
      <c r="E915" s="145" t="s">
        <v>1067</v>
      </c>
      <c r="F915" s="145">
        <v>133.6</v>
      </c>
      <c r="G915" s="133" t="s">
        <v>1034</v>
      </c>
      <c r="H915" s="144" t="s">
        <v>1341</v>
      </c>
      <c r="I915" s="133" t="s">
        <v>1092</v>
      </c>
      <c r="J915" s="133" t="s">
        <v>2000</v>
      </c>
      <c r="K915" s="143">
        <v>45323</v>
      </c>
      <c r="L915" s="133" t="s">
        <v>1241</v>
      </c>
      <c r="M915" s="133">
        <v>79</v>
      </c>
      <c r="N915" s="147"/>
      <c r="P915" s="140"/>
      <c r="Q915" s="140"/>
    </row>
    <row r="916" spans="1:17" hidden="1" x14ac:dyDescent="0.35">
      <c r="A916" s="146"/>
      <c r="B916" s="143"/>
      <c r="C916" s="133"/>
      <c r="D916" s="133"/>
      <c r="E916" s="145"/>
      <c r="F916" s="145"/>
      <c r="G916" s="133"/>
      <c r="H916" s="144"/>
      <c r="I916" s="133"/>
      <c r="J916" s="133"/>
      <c r="K916" s="133"/>
      <c r="L916" s="133"/>
      <c r="M916" s="133"/>
      <c r="N916" s="147"/>
      <c r="P916" s="140"/>
      <c r="Q916" s="140"/>
    </row>
    <row r="917" spans="1:17" hidden="1" x14ac:dyDescent="0.35">
      <c r="A917" s="146">
        <v>196</v>
      </c>
      <c r="B917" s="143">
        <v>45261</v>
      </c>
      <c r="C917" s="133" t="s">
        <v>1582</v>
      </c>
      <c r="D917" s="133" t="s">
        <v>2030</v>
      </c>
      <c r="E917" s="145" t="s">
        <v>1075</v>
      </c>
      <c r="F917" s="145">
        <v>5095</v>
      </c>
      <c r="G917" s="133" t="s">
        <v>1034</v>
      </c>
      <c r="H917" s="144" t="s">
        <v>1341</v>
      </c>
      <c r="I917" s="133" t="s">
        <v>1092</v>
      </c>
      <c r="J917" s="133" t="s">
        <v>2024</v>
      </c>
      <c r="K917" s="143">
        <v>45292</v>
      </c>
      <c r="L917" s="133" t="s">
        <v>1092</v>
      </c>
      <c r="M917" s="133">
        <v>12166.919999999998</v>
      </c>
      <c r="N917" s="147">
        <f>+F917+F918+F919+F920-M917-M918</f>
        <v>0</v>
      </c>
      <c r="P917" s="140"/>
      <c r="Q917" s="140"/>
    </row>
    <row r="918" spans="1:17" hidden="1" x14ac:dyDescent="0.35">
      <c r="A918" s="146"/>
      <c r="B918" s="143"/>
      <c r="C918" s="133"/>
      <c r="D918" s="133"/>
      <c r="E918" s="145" t="s">
        <v>1342</v>
      </c>
      <c r="F918" s="145">
        <v>2402</v>
      </c>
      <c r="G918" s="133" t="s">
        <v>1034</v>
      </c>
      <c r="H918" s="144" t="s">
        <v>1341</v>
      </c>
      <c r="I918" s="133" t="s">
        <v>1092</v>
      </c>
      <c r="J918" s="133" t="s">
        <v>2000</v>
      </c>
      <c r="K918" s="143">
        <v>45323</v>
      </c>
      <c r="L918" s="133" t="s">
        <v>1241</v>
      </c>
      <c r="M918" s="133">
        <v>642</v>
      </c>
      <c r="N918" s="147"/>
      <c r="P918" s="140"/>
      <c r="Q918" s="140"/>
    </row>
    <row r="919" spans="1:17" hidden="1" x14ac:dyDescent="0.35">
      <c r="A919" s="146"/>
      <c r="B919" s="143"/>
      <c r="C919" s="133"/>
      <c r="D919" s="133"/>
      <c r="E919" s="145" t="s">
        <v>1067</v>
      </c>
      <c r="F919" s="145">
        <v>1522.8</v>
      </c>
      <c r="G919" s="133"/>
      <c r="H919" s="144"/>
      <c r="I919" s="133"/>
      <c r="J919" s="133"/>
      <c r="K919" s="133"/>
      <c r="L919" s="133"/>
      <c r="M919" s="133"/>
      <c r="N919" s="147"/>
      <c r="P919" s="140"/>
      <c r="Q919" s="140"/>
    </row>
    <row r="920" spans="1:17" hidden="1" x14ac:dyDescent="0.35">
      <c r="A920" s="146"/>
      <c r="B920" s="143"/>
      <c r="C920" s="133"/>
      <c r="D920" s="133"/>
      <c r="E920" s="145" t="s">
        <v>678</v>
      </c>
      <c r="F920" s="145">
        <v>3789.12</v>
      </c>
      <c r="G920" s="133"/>
      <c r="H920" s="144"/>
      <c r="I920" s="133"/>
      <c r="J920" s="133"/>
      <c r="K920" s="133"/>
      <c r="L920" s="133"/>
      <c r="M920" s="133"/>
      <c r="N920" s="147"/>
      <c r="P920" s="140"/>
      <c r="Q920" s="140"/>
    </row>
    <row r="921" spans="1:17" hidden="1" x14ac:dyDescent="0.35">
      <c r="A921" s="146"/>
      <c r="B921" s="143"/>
      <c r="C921" s="133"/>
      <c r="D921" s="133"/>
      <c r="E921" s="145"/>
      <c r="F921" s="145"/>
      <c r="G921" s="133"/>
      <c r="H921" s="144"/>
      <c r="I921" s="133"/>
      <c r="J921" s="133"/>
      <c r="K921" s="133"/>
      <c r="L921" s="133"/>
      <c r="M921" s="133"/>
      <c r="N921" s="147"/>
      <c r="P921" s="140"/>
      <c r="Q921" s="140"/>
    </row>
    <row r="922" spans="1:17" hidden="1" x14ac:dyDescent="0.35">
      <c r="A922" s="146">
        <v>197</v>
      </c>
      <c r="B922" s="143">
        <v>45261</v>
      </c>
      <c r="C922" s="133" t="s">
        <v>1581</v>
      </c>
      <c r="D922" s="133" t="s">
        <v>2029</v>
      </c>
      <c r="E922" s="145" t="s">
        <v>1075</v>
      </c>
      <c r="F922" s="145">
        <v>3421.6</v>
      </c>
      <c r="G922" s="133" t="s">
        <v>1034</v>
      </c>
      <c r="H922" s="144" t="s">
        <v>1341</v>
      </c>
      <c r="I922" s="133" t="s">
        <v>1092</v>
      </c>
      <c r="J922" s="133" t="s">
        <v>2021</v>
      </c>
      <c r="K922" s="143">
        <v>45292</v>
      </c>
      <c r="L922" s="133" t="s">
        <v>1092</v>
      </c>
      <c r="M922" s="133">
        <v>4396.3</v>
      </c>
      <c r="N922" s="147">
        <f>+F922+F923-M922-M923</f>
        <v>0</v>
      </c>
      <c r="P922" s="140"/>
      <c r="Q922" s="140"/>
    </row>
    <row r="923" spans="1:17" hidden="1" x14ac:dyDescent="0.35">
      <c r="A923" s="146"/>
      <c r="B923" s="143"/>
      <c r="C923" s="133"/>
      <c r="D923" s="133"/>
      <c r="E923" s="145" t="s">
        <v>1064</v>
      </c>
      <c r="F923" s="145">
        <v>1203.7</v>
      </c>
      <c r="G923" s="133" t="s">
        <v>1034</v>
      </c>
      <c r="H923" s="144" t="s">
        <v>1341</v>
      </c>
      <c r="I923" s="133" t="s">
        <v>1092</v>
      </c>
      <c r="J923" s="133" t="s">
        <v>2000</v>
      </c>
      <c r="K923" s="143">
        <v>45323</v>
      </c>
      <c r="L923" s="133" t="s">
        <v>1241</v>
      </c>
      <c r="M923" s="133">
        <v>229</v>
      </c>
      <c r="N923" s="147"/>
      <c r="P923" s="140"/>
      <c r="Q923" s="140"/>
    </row>
    <row r="924" spans="1:17" hidden="1" x14ac:dyDescent="0.35">
      <c r="A924" s="146"/>
      <c r="B924" s="143"/>
      <c r="C924" s="133"/>
      <c r="D924" s="133"/>
      <c r="E924" s="145"/>
      <c r="F924" s="145"/>
      <c r="G924" s="133"/>
      <c r="H924" s="144"/>
      <c r="I924" s="133"/>
      <c r="J924" s="133"/>
      <c r="K924" s="133"/>
      <c r="L924" s="133"/>
      <c r="M924" s="133"/>
      <c r="N924" s="147"/>
      <c r="P924" s="140"/>
      <c r="Q924" s="140"/>
    </row>
    <row r="925" spans="1:17" hidden="1" x14ac:dyDescent="0.35">
      <c r="A925" s="146">
        <v>198</v>
      </c>
      <c r="B925" s="143">
        <v>45261</v>
      </c>
      <c r="C925" s="133" t="s">
        <v>1579</v>
      </c>
      <c r="D925" s="133" t="s">
        <v>2028</v>
      </c>
      <c r="E925" s="145" t="s">
        <v>1067</v>
      </c>
      <c r="F925" s="145">
        <v>5730.7</v>
      </c>
      <c r="G925" s="133" t="s">
        <v>1034</v>
      </c>
      <c r="H925" s="144" t="s">
        <v>1341</v>
      </c>
      <c r="I925" s="133" t="s">
        <v>1092</v>
      </c>
      <c r="J925" s="133" t="s">
        <v>2020</v>
      </c>
      <c r="K925" s="143">
        <v>45292</v>
      </c>
      <c r="L925" s="133" t="s">
        <v>1092</v>
      </c>
      <c r="M925" s="133">
        <v>8571.7000000000007</v>
      </c>
      <c r="N925" s="147">
        <f>+F925+F926-M925-M926</f>
        <v>0</v>
      </c>
      <c r="P925" s="140"/>
      <c r="Q925" s="140"/>
    </row>
    <row r="926" spans="1:17" hidden="1" x14ac:dyDescent="0.35">
      <c r="A926" s="146"/>
      <c r="B926" s="143"/>
      <c r="C926" s="133"/>
      <c r="D926" s="133"/>
      <c r="E926" s="145" t="s">
        <v>1342</v>
      </c>
      <c r="F926" s="145">
        <v>3289</v>
      </c>
      <c r="G926" s="133" t="s">
        <v>1034</v>
      </c>
      <c r="H926" s="144" t="s">
        <v>1341</v>
      </c>
      <c r="I926" s="133" t="s">
        <v>1092</v>
      </c>
      <c r="J926" s="133" t="s">
        <v>2000</v>
      </c>
      <c r="K926" s="143">
        <v>45323</v>
      </c>
      <c r="L926" s="133" t="s">
        <v>1241</v>
      </c>
      <c r="M926" s="133">
        <v>448</v>
      </c>
      <c r="N926" s="147"/>
      <c r="P926" s="140"/>
      <c r="Q926" s="140"/>
    </row>
    <row r="927" spans="1:17" hidden="1" x14ac:dyDescent="0.35">
      <c r="A927" s="146"/>
      <c r="B927" s="143"/>
      <c r="C927" s="133"/>
      <c r="D927" s="133"/>
      <c r="E927" s="145"/>
      <c r="F927" s="145"/>
      <c r="G927" s="133"/>
      <c r="H927" s="144"/>
      <c r="I927" s="133"/>
      <c r="J927" s="133"/>
      <c r="K927" s="133"/>
      <c r="L927" s="133"/>
      <c r="M927" s="133"/>
      <c r="N927" s="147"/>
      <c r="P927" s="140"/>
      <c r="Q927" s="140"/>
    </row>
    <row r="928" spans="1:17" hidden="1" x14ac:dyDescent="0.35">
      <c r="A928" s="146">
        <v>199</v>
      </c>
      <c r="B928" s="143">
        <v>45261</v>
      </c>
      <c r="C928" s="133" t="s">
        <v>1577</v>
      </c>
      <c r="D928" s="133" t="s">
        <v>2027</v>
      </c>
      <c r="E928" s="145" t="s">
        <v>1067</v>
      </c>
      <c r="F928" s="145">
        <v>4840.8</v>
      </c>
      <c r="G928" s="133" t="s">
        <v>1034</v>
      </c>
      <c r="H928" s="144" t="s">
        <v>1341</v>
      </c>
      <c r="I928" s="133" t="s">
        <v>1092</v>
      </c>
      <c r="J928" s="133" t="s">
        <v>2016</v>
      </c>
      <c r="K928" s="143">
        <v>45292</v>
      </c>
      <c r="L928" s="133" t="s">
        <v>1092</v>
      </c>
      <c r="M928" s="133">
        <v>8156.7999999999993</v>
      </c>
      <c r="N928" s="147">
        <f>+F928+F929-M928-M929</f>
        <v>0</v>
      </c>
      <c r="P928" s="140"/>
      <c r="Q928" s="140"/>
    </row>
    <row r="929" spans="1:17" hidden="1" x14ac:dyDescent="0.35">
      <c r="A929" s="146"/>
      <c r="B929" s="143"/>
      <c r="C929" s="133"/>
      <c r="D929" s="133"/>
      <c r="E929" s="145" t="s">
        <v>1342</v>
      </c>
      <c r="F929" s="145">
        <v>3747</v>
      </c>
      <c r="G929" s="133" t="s">
        <v>1034</v>
      </c>
      <c r="H929" s="144" t="s">
        <v>1341</v>
      </c>
      <c r="I929" s="133" t="s">
        <v>1092</v>
      </c>
      <c r="J929" s="133" t="s">
        <v>2000</v>
      </c>
      <c r="K929" s="143">
        <v>45323</v>
      </c>
      <c r="L929" s="133" t="s">
        <v>1241</v>
      </c>
      <c r="M929" s="133">
        <v>431</v>
      </c>
      <c r="N929" s="147"/>
      <c r="P929" s="140"/>
      <c r="Q929" s="140"/>
    </row>
    <row r="930" spans="1:17" hidden="1" x14ac:dyDescent="0.35">
      <c r="A930" s="146"/>
      <c r="B930" s="143"/>
      <c r="C930" s="133"/>
      <c r="D930" s="133"/>
      <c r="E930" s="145"/>
      <c r="F930" s="145"/>
      <c r="G930" s="133"/>
      <c r="H930" s="144"/>
      <c r="I930" s="133"/>
      <c r="J930" s="133"/>
      <c r="K930" s="133"/>
      <c r="L930" s="133"/>
      <c r="M930" s="133"/>
      <c r="N930" s="147"/>
      <c r="P930" s="140"/>
      <c r="Q930" s="140"/>
    </row>
    <row r="931" spans="1:17" hidden="1" x14ac:dyDescent="0.35">
      <c r="A931" s="156"/>
      <c r="B931" s="152"/>
      <c r="C931" s="151"/>
      <c r="D931" s="151"/>
      <c r="E931" s="154"/>
      <c r="F931" s="154"/>
      <c r="G931" s="151"/>
      <c r="H931" s="153"/>
      <c r="I931" s="151"/>
      <c r="J931" s="151"/>
      <c r="K931" s="151"/>
      <c r="L931" s="151"/>
      <c r="M931" s="151"/>
      <c r="N931" s="150"/>
      <c r="P931" s="140"/>
      <c r="Q931" s="140"/>
    </row>
    <row r="932" spans="1:17" hidden="1" x14ac:dyDescent="0.35">
      <c r="A932" s="146"/>
      <c r="B932" s="143"/>
      <c r="C932" s="133"/>
      <c r="D932" s="133"/>
      <c r="E932" s="145"/>
      <c r="F932" s="145"/>
      <c r="G932" s="133"/>
      <c r="H932" s="144"/>
      <c r="I932" s="133"/>
      <c r="J932" s="133"/>
      <c r="K932" s="133"/>
      <c r="L932" s="133"/>
      <c r="M932" s="133"/>
      <c r="N932" s="147"/>
      <c r="P932" s="140"/>
      <c r="Q932" s="140"/>
    </row>
    <row r="933" spans="1:17" hidden="1" x14ac:dyDescent="0.35">
      <c r="A933" s="146">
        <v>200</v>
      </c>
      <c r="B933" s="143">
        <v>45292</v>
      </c>
      <c r="C933" s="133" t="s">
        <v>1574</v>
      </c>
      <c r="D933" s="133" t="s">
        <v>2026</v>
      </c>
      <c r="E933" s="145" t="s">
        <v>1075</v>
      </c>
      <c r="F933" s="145">
        <v>5732</v>
      </c>
      <c r="G933" s="133" t="s">
        <v>1034</v>
      </c>
      <c r="H933" s="144" t="s">
        <v>1341</v>
      </c>
      <c r="I933" s="133" t="s">
        <v>1092</v>
      </c>
      <c r="J933" s="133" t="s">
        <v>2020</v>
      </c>
      <c r="K933" s="143">
        <v>45292</v>
      </c>
      <c r="L933" s="133" t="s">
        <v>1092</v>
      </c>
      <c r="M933" s="133">
        <v>2000</v>
      </c>
      <c r="N933" s="147">
        <f>+F933+F934+F935-M933-M934-M935-M936-M937</f>
        <v>0</v>
      </c>
      <c r="P933" s="140"/>
      <c r="Q933" s="140"/>
    </row>
    <row r="934" spans="1:17" hidden="1" x14ac:dyDescent="0.35">
      <c r="A934" s="146"/>
      <c r="B934" s="143"/>
      <c r="C934" s="133"/>
      <c r="D934" s="133"/>
      <c r="E934" s="145" t="s">
        <v>1342</v>
      </c>
      <c r="F934" s="145">
        <v>2503</v>
      </c>
      <c r="G934" s="133" t="s">
        <v>1034</v>
      </c>
      <c r="H934" s="144" t="s">
        <v>1341</v>
      </c>
      <c r="I934" s="133" t="s">
        <v>1092</v>
      </c>
      <c r="J934" s="133" t="s">
        <v>2016</v>
      </c>
      <c r="K934" s="143">
        <v>45292</v>
      </c>
      <c r="L934" s="133" t="s">
        <v>1092</v>
      </c>
      <c r="M934" s="133">
        <f>4817+2503+3000</f>
        <v>10320</v>
      </c>
      <c r="N934" s="147"/>
      <c r="P934" s="140"/>
      <c r="Q934" s="140"/>
    </row>
    <row r="935" spans="1:17" hidden="1" x14ac:dyDescent="0.35">
      <c r="A935" s="146"/>
      <c r="B935" s="143"/>
      <c r="C935" s="133"/>
      <c r="D935" s="133"/>
      <c r="E935" s="145" t="s">
        <v>1184</v>
      </c>
      <c r="F935" s="145">
        <v>10000</v>
      </c>
      <c r="G935" s="133" t="s">
        <v>1034</v>
      </c>
      <c r="H935" s="144" t="s">
        <v>1341</v>
      </c>
      <c r="I935" s="133" t="s">
        <v>1092</v>
      </c>
      <c r="J935" s="133" t="s">
        <v>2015</v>
      </c>
      <c r="K935" s="143">
        <v>45323</v>
      </c>
      <c r="L935" s="133" t="s">
        <v>1092</v>
      </c>
      <c r="M935" s="133">
        <v>2000</v>
      </c>
      <c r="N935" s="147"/>
      <c r="P935" s="140"/>
      <c r="Q935" s="140"/>
    </row>
    <row r="936" spans="1:17" hidden="1" x14ac:dyDescent="0.35">
      <c r="A936" s="146"/>
      <c r="B936" s="143"/>
      <c r="C936" s="133"/>
      <c r="D936" s="133"/>
      <c r="E936" s="145"/>
      <c r="F936" s="145"/>
      <c r="G936" s="133" t="s">
        <v>1034</v>
      </c>
      <c r="H936" s="144" t="s">
        <v>1341</v>
      </c>
      <c r="I936" s="133" t="s">
        <v>1092</v>
      </c>
      <c r="J936" s="133" t="s">
        <v>2018</v>
      </c>
      <c r="K936" s="143">
        <v>45323</v>
      </c>
      <c r="L936" s="133" t="s">
        <v>1092</v>
      </c>
      <c r="M936" s="133">
        <v>3000</v>
      </c>
      <c r="N936" s="147"/>
      <c r="P936" s="140"/>
      <c r="Q936" s="140"/>
    </row>
    <row r="937" spans="1:17" hidden="1" x14ac:dyDescent="0.35">
      <c r="A937" s="146"/>
      <c r="B937" s="143"/>
      <c r="C937" s="133"/>
      <c r="D937" s="133"/>
      <c r="E937" s="145"/>
      <c r="F937" s="145"/>
      <c r="G937" s="133" t="s">
        <v>1034</v>
      </c>
      <c r="H937" s="144" t="s">
        <v>1341</v>
      </c>
      <c r="I937" s="133" t="s">
        <v>1092</v>
      </c>
      <c r="J937" s="133" t="s">
        <v>2000</v>
      </c>
      <c r="K937" s="143">
        <v>45323</v>
      </c>
      <c r="L937" s="133" t="s">
        <v>1241</v>
      </c>
      <c r="M937" s="133">
        <v>915</v>
      </c>
      <c r="N937" s="147"/>
      <c r="P937" s="140"/>
      <c r="Q937" s="140"/>
    </row>
    <row r="938" spans="1:17" hidden="1" x14ac:dyDescent="0.35">
      <c r="A938" s="146"/>
      <c r="B938" s="143"/>
      <c r="C938" s="133"/>
      <c r="D938" s="133"/>
      <c r="E938" s="145"/>
      <c r="F938" s="145"/>
      <c r="G938" s="133"/>
      <c r="H938" s="144"/>
      <c r="I938" s="133"/>
      <c r="J938" s="133"/>
      <c r="K938" s="133"/>
      <c r="L938" s="133"/>
      <c r="M938" s="133"/>
      <c r="N938" s="147"/>
      <c r="P938" s="140"/>
      <c r="Q938" s="140"/>
    </row>
    <row r="939" spans="1:17" hidden="1" x14ac:dyDescent="0.35">
      <c r="A939" s="146">
        <v>201</v>
      </c>
      <c r="B939" s="143">
        <v>45292</v>
      </c>
      <c r="C939" s="133" t="s">
        <v>1572</v>
      </c>
      <c r="D939" s="133" t="s">
        <v>2025</v>
      </c>
      <c r="E939" s="145" t="s">
        <v>1067</v>
      </c>
      <c r="F939" s="145">
        <v>557.20000000000005</v>
      </c>
      <c r="G939" s="133" t="s">
        <v>1034</v>
      </c>
      <c r="H939" s="144" t="s">
        <v>1341</v>
      </c>
      <c r="I939" s="133" t="s">
        <v>1092</v>
      </c>
      <c r="J939" s="133" t="s">
        <v>2015</v>
      </c>
      <c r="K939" s="143">
        <v>45323</v>
      </c>
      <c r="L939" s="133" t="s">
        <v>1092</v>
      </c>
      <c r="M939" s="133">
        <v>1932.2</v>
      </c>
      <c r="N939" s="147">
        <f>+F939+F940-M939-M940</f>
        <v>0</v>
      </c>
      <c r="P939" s="140"/>
      <c r="Q939" s="140"/>
    </row>
    <row r="940" spans="1:17" hidden="1" x14ac:dyDescent="0.35">
      <c r="A940" s="146"/>
      <c r="B940" s="143"/>
      <c r="C940" s="133"/>
      <c r="D940" s="133"/>
      <c r="E940" s="145" t="s">
        <v>1342</v>
      </c>
      <c r="F940" s="145">
        <v>1474</v>
      </c>
      <c r="G940" s="133" t="s">
        <v>1034</v>
      </c>
      <c r="H940" s="144" t="s">
        <v>1341</v>
      </c>
      <c r="I940" s="133" t="s">
        <v>1092</v>
      </c>
      <c r="J940" s="133" t="s">
        <v>2000</v>
      </c>
      <c r="K940" s="143">
        <v>45323</v>
      </c>
      <c r="L940" s="133" t="s">
        <v>1241</v>
      </c>
      <c r="M940" s="133">
        <v>99</v>
      </c>
      <c r="N940" s="147"/>
      <c r="P940" s="140"/>
      <c r="Q940" s="140"/>
    </row>
    <row r="941" spans="1:17" hidden="1" x14ac:dyDescent="0.35">
      <c r="A941" s="146"/>
      <c r="B941" s="143"/>
      <c r="C941" s="133"/>
      <c r="D941" s="133"/>
      <c r="E941" s="145"/>
      <c r="F941" s="145"/>
      <c r="G941" s="133"/>
      <c r="H941" s="144"/>
      <c r="I941" s="133"/>
      <c r="J941" s="133"/>
      <c r="K941" s="133"/>
      <c r="L941" s="133"/>
      <c r="M941" s="133"/>
      <c r="N941" s="147"/>
      <c r="P941" s="140"/>
      <c r="Q941" s="140"/>
    </row>
    <row r="942" spans="1:17" hidden="1" x14ac:dyDescent="0.35">
      <c r="A942" s="146">
        <v>202</v>
      </c>
      <c r="B942" s="143">
        <v>45292</v>
      </c>
      <c r="C942" s="133" t="s">
        <v>1571</v>
      </c>
      <c r="D942" s="133" t="s">
        <v>2025</v>
      </c>
      <c r="E942" s="148" t="s">
        <v>1059</v>
      </c>
      <c r="F942" s="145">
        <v>24750</v>
      </c>
      <c r="G942" s="133" t="s">
        <v>1034</v>
      </c>
      <c r="H942" s="144" t="s">
        <v>1341</v>
      </c>
      <c r="I942" s="133" t="s">
        <v>1092</v>
      </c>
      <c r="J942" s="133" t="s">
        <v>2015</v>
      </c>
      <c r="K942" s="143">
        <v>45323</v>
      </c>
      <c r="L942" s="133" t="s">
        <v>1092</v>
      </c>
      <c r="M942" s="133">
        <v>23511</v>
      </c>
      <c r="N942" s="147">
        <f>+F942-M942-M943</f>
        <v>0</v>
      </c>
      <c r="P942" s="140"/>
      <c r="Q942" s="140"/>
    </row>
    <row r="943" spans="1:17" hidden="1" x14ac:dyDescent="0.35">
      <c r="A943" s="146"/>
      <c r="B943" s="143"/>
      <c r="C943" s="133"/>
      <c r="D943" s="133"/>
      <c r="E943" s="145"/>
      <c r="F943" s="145"/>
      <c r="G943" s="133" t="s">
        <v>1034</v>
      </c>
      <c r="H943" s="144" t="s">
        <v>1341</v>
      </c>
      <c r="I943" s="133" t="s">
        <v>1092</v>
      </c>
      <c r="J943" s="133" t="s">
        <v>2000</v>
      </c>
      <c r="K943" s="143">
        <v>45323</v>
      </c>
      <c r="L943" s="133" t="s">
        <v>1241</v>
      </c>
      <c r="M943" s="133">
        <v>1239</v>
      </c>
      <c r="N943" s="147"/>
      <c r="P943" s="140"/>
      <c r="Q943" s="140"/>
    </row>
    <row r="944" spans="1:17" hidden="1" x14ac:dyDescent="0.35">
      <c r="A944" s="146"/>
      <c r="B944" s="143"/>
      <c r="C944" s="133"/>
      <c r="D944" s="133"/>
      <c r="E944" s="145"/>
      <c r="F944" s="145"/>
      <c r="G944" s="133"/>
      <c r="H944" s="144"/>
      <c r="I944" s="133"/>
      <c r="J944" s="133"/>
      <c r="K944" s="143"/>
      <c r="L944" s="133"/>
      <c r="M944" s="133"/>
      <c r="N944" s="147"/>
      <c r="P944" s="140"/>
      <c r="Q944" s="140"/>
    </row>
    <row r="945" spans="1:17" hidden="1" x14ac:dyDescent="0.35">
      <c r="A945" s="146">
        <v>203</v>
      </c>
      <c r="B945" s="143">
        <v>45292</v>
      </c>
      <c r="C945" s="133" t="s">
        <v>1570</v>
      </c>
      <c r="D945" s="133" t="s">
        <v>2023</v>
      </c>
      <c r="E945" s="148" t="s">
        <v>1059</v>
      </c>
      <c r="F945" s="145">
        <v>123750</v>
      </c>
      <c r="G945" s="133" t="s">
        <v>1034</v>
      </c>
      <c r="H945" s="144" t="s">
        <v>1341</v>
      </c>
      <c r="I945" s="133" t="s">
        <v>1092</v>
      </c>
      <c r="J945" s="133" t="s">
        <v>2024</v>
      </c>
      <c r="K945" s="143">
        <v>45292</v>
      </c>
      <c r="L945" s="133" t="s">
        <v>1092</v>
      </c>
      <c r="M945" s="133">
        <v>16589.53</v>
      </c>
      <c r="N945" s="147">
        <f>+F945-M945-M946-M947-M948-M949-M950-M951-M952-M953-M954</f>
        <v>0</v>
      </c>
      <c r="P945" s="140"/>
      <c r="Q945" s="140"/>
    </row>
    <row r="946" spans="1:17" hidden="1" x14ac:dyDescent="0.35">
      <c r="A946" s="146"/>
      <c r="B946" s="143"/>
      <c r="C946" s="133"/>
      <c r="D946" s="133"/>
      <c r="E946" s="148"/>
      <c r="F946" s="145"/>
      <c r="G946" s="133" t="s">
        <v>1034</v>
      </c>
      <c r="H946" s="144" t="s">
        <v>1341</v>
      </c>
      <c r="I946" s="133" t="s">
        <v>1092</v>
      </c>
      <c r="J946" s="133" t="s">
        <v>2021</v>
      </c>
      <c r="K946" s="143">
        <v>45292</v>
      </c>
      <c r="L946" s="133" t="s">
        <v>1092</v>
      </c>
      <c r="M946" s="133">
        <v>13070.9</v>
      </c>
      <c r="N946" s="147"/>
      <c r="P946" s="140"/>
      <c r="Q946" s="140"/>
    </row>
    <row r="947" spans="1:17" hidden="1" x14ac:dyDescent="0.35">
      <c r="A947" s="146"/>
      <c r="B947" s="143"/>
      <c r="C947" s="133"/>
      <c r="D947" s="133"/>
      <c r="E947" s="145"/>
      <c r="F947" s="145"/>
      <c r="G947" s="133" t="s">
        <v>1034</v>
      </c>
      <c r="H947" s="144" t="s">
        <v>1341</v>
      </c>
      <c r="I947" s="133" t="s">
        <v>1092</v>
      </c>
      <c r="J947" s="133" t="s">
        <v>2020</v>
      </c>
      <c r="K947" s="143">
        <v>45292</v>
      </c>
      <c r="L947" s="133" t="s">
        <v>1092</v>
      </c>
      <c r="M947" s="133">
        <v>7374.7</v>
      </c>
      <c r="N947" s="147"/>
      <c r="P947" s="140"/>
      <c r="Q947" s="140"/>
    </row>
    <row r="948" spans="1:17" hidden="1" x14ac:dyDescent="0.35">
      <c r="A948" s="146"/>
      <c r="B948" s="143"/>
      <c r="C948" s="133"/>
      <c r="D948" s="133"/>
      <c r="E948" s="145"/>
      <c r="F948" s="145"/>
      <c r="G948" s="133" t="s">
        <v>1034</v>
      </c>
      <c r="H948" s="144" t="s">
        <v>1341</v>
      </c>
      <c r="I948" s="133" t="s">
        <v>1092</v>
      </c>
      <c r="J948" s="133" t="s">
        <v>2016</v>
      </c>
      <c r="K948" s="143">
        <v>45292</v>
      </c>
      <c r="L948" s="133" t="s">
        <v>1092</v>
      </c>
      <c r="M948" s="133">
        <v>15827.32</v>
      </c>
      <c r="N948" s="147"/>
      <c r="P948" s="140"/>
      <c r="Q948" s="140"/>
    </row>
    <row r="949" spans="1:17" hidden="1" x14ac:dyDescent="0.35">
      <c r="A949" s="146"/>
      <c r="B949" s="143"/>
      <c r="C949" s="133"/>
      <c r="D949" s="133"/>
      <c r="E949" s="145"/>
      <c r="F949" s="145"/>
      <c r="G949" s="133" t="s">
        <v>1034</v>
      </c>
      <c r="H949" s="144" t="s">
        <v>1341</v>
      </c>
      <c r="I949" s="133" t="s">
        <v>1092</v>
      </c>
      <c r="J949" s="133" t="s">
        <v>2018</v>
      </c>
      <c r="K949" s="143">
        <v>45323</v>
      </c>
      <c r="L949" s="133" t="s">
        <v>1092</v>
      </c>
      <c r="M949" s="133">
        <v>11901</v>
      </c>
      <c r="N949" s="147"/>
      <c r="P949" s="140"/>
      <c r="Q949" s="140"/>
    </row>
    <row r="950" spans="1:17" hidden="1" x14ac:dyDescent="0.35">
      <c r="A950" s="146"/>
      <c r="B950" s="143"/>
      <c r="C950" s="133"/>
      <c r="D950" s="133"/>
      <c r="E950" s="145"/>
      <c r="F950" s="145"/>
      <c r="G950" s="133" t="s">
        <v>1034</v>
      </c>
      <c r="H950" s="144" t="s">
        <v>1341</v>
      </c>
      <c r="I950" s="133" t="s">
        <v>1092</v>
      </c>
      <c r="J950" s="133" t="s">
        <v>2014</v>
      </c>
      <c r="K950" s="143">
        <v>45323</v>
      </c>
      <c r="L950" s="133" t="s">
        <v>1092</v>
      </c>
      <c r="M950" s="133">
        <v>12034.2</v>
      </c>
      <c r="N950" s="147"/>
      <c r="P950" s="140"/>
      <c r="Q950" s="140"/>
    </row>
    <row r="951" spans="1:17" hidden="1" x14ac:dyDescent="0.35">
      <c r="A951" s="146"/>
      <c r="B951" s="143"/>
      <c r="C951" s="133"/>
      <c r="D951" s="133"/>
      <c r="E951" s="145"/>
      <c r="F951" s="145"/>
      <c r="G951" s="133" t="s">
        <v>1034</v>
      </c>
      <c r="H951" s="144" t="s">
        <v>1341</v>
      </c>
      <c r="I951" s="133" t="s">
        <v>1092</v>
      </c>
      <c r="J951" s="133" t="s">
        <v>2013</v>
      </c>
      <c r="K951" s="143">
        <v>45323</v>
      </c>
      <c r="L951" s="133" t="s">
        <v>1092</v>
      </c>
      <c r="M951" s="133">
        <v>16202.7</v>
      </c>
      <c r="N951" s="147"/>
      <c r="P951" s="140"/>
      <c r="Q951" s="140"/>
    </row>
    <row r="952" spans="1:17" hidden="1" x14ac:dyDescent="0.35">
      <c r="A952" s="146"/>
      <c r="B952" s="143"/>
      <c r="C952" s="133"/>
      <c r="D952" s="133"/>
      <c r="E952" s="145"/>
      <c r="F952" s="145"/>
      <c r="G952" s="133" t="s">
        <v>1034</v>
      </c>
      <c r="H952" s="144" t="s">
        <v>1341</v>
      </c>
      <c r="I952" s="133" t="s">
        <v>1092</v>
      </c>
      <c r="J952" s="133" t="s">
        <v>2009</v>
      </c>
      <c r="K952" s="143">
        <v>45323</v>
      </c>
      <c r="L952" s="133" t="s">
        <v>1092</v>
      </c>
      <c r="M952" s="133">
        <v>10083.799999999999</v>
      </c>
      <c r="N952" s="147"/>
      <c r="P952" s="140"/>
      <c r="Q952" s="140"/>
    </row>
    <row r="953" spans="1:17" hidden="1" x14ac:dyDescent="0.35">
      <c r="A953" s="146"/>
      <c r="B953" s="143"/>
      <c r="C953" s="133"/>
      <c r="D953" s="133"/>
      <c r="E953" s="145"/>
      <c r="F953" s="145"/>
      <c r="G953" s="133" t="s">
        <v>1034</v>
      </c>
      <c r="H953" s="144" t="s">
        <v>1341</v>
      </c>
      <c r="I953" s="133" t="s">
        <v>1092</v>
      </c>
      <c r="J953" s="133" t="s">
        <v>1986</v>
      </c>
      <c r="K953" s="143">
        <v>45323</v>
      </c>
      <c r="L953" s="133" t="s">
        <v>1092</v>
      </c>
      <c r="M953" s="133">
        <v>14476.85000000002</v>
      </c>
      <c r="N953" s="147"/>
      <c r="P953" s="140"/>
      <c r="Q953" s="140"/>
    </row>
    <row r="954" spans="1:17" hidden="1" x14ac:dyDescent="0.35">
      <c r="A954" s="146"/>
      <c r="B954" s="143"/>
      <c r="C954" s="133"/>
      <c r="D954" s="133"/>
      <c r="E954" s="145"/>
      <c r="F954" s="145"/>
      <c r="G954" s="133" t="s">
        <v>1034</v>
      </c>
      <c r="H954" s="144" t="s">
        <v>1341</v>
      </c>
      <c r="I954" s="133" t="s">
        <v>1092</v>
      </c>
      <c r="J954" s="133" t="s">
        <v>2000</v>
      </c>
      <c r="K954" s="143">
        <v>45323</v>
      </c>
      <c r="L954" s="133" t="s">
        <v>1241</v>
      </c>
      <c r="M954" s="133">
        <v>6189</v>
      </c>
      <c r="N954" s="147"/>
      <c r="P954" s="140"/>
      <c r="Q954" s="140"/>
    </row>
    <row r="955" spans="1:17" hidden="1" x14ac:dyDescent="0.35">
      <c r="A955" s="146"/>
      <c r="B955" s="143"/>
      <c r="C955" s="133"/>
      <c r="D955" s="133"/>
      <c r="E955" s="145"/>
      <c r="F955" s="145"/>
      <c r="G955" s="133"/>
      <c r="H955" s="144"/>
      <c r="I955" s="133"/>
      <c r="J955" s="133"/>
      <c r="K955" s="143"/>
      <c r="L955" s="133"/>
      <c r="M955" s="133"/>
      <c r="N955" s="147"/>
      <c r="P955" s="140"/>
      <c r="Q955" s="140"/>
    </row>
    <row r="956" spans="1:17" hidden="1" x14ac:dyDescent="0.35">
      <c r="A956" s="146">
        <v>204</v>
      </c>
      <c r="B956" s="143">
        <v>45292</v>
      </c>
      <c r="C956" s="133" t="s">
        <v>1568</v>
      </c>
      <c r="D956" s="133" t="s">
        <v>2023</v>
      </c>
      <c r="E956" s="145" t="s">
        <v>1075</v>
      </c>
      <c r="F956" s="145">
        <v>3133.2</v>
      </c>
      <c r="G956" s="133" t="s">
        <v>1034</v>
      </c>
      <c r="H956" s="144" t="s">
        <v>1341</v>
      </c>
      <c r="I956" s="133" t="s">
        <v>1092</v>
      </c>
      <c r="J956" s="133" t="s">
        <v>2015</v>
      </c>
      <c r="K956" s="143">
        <v>45323</v>
      </c>
      <c r="L956" s="133" t="s">
        <v>1092</v>
      </c>
      <c r="M956" s="133">
        <v>4161.2</v>
      </c>
      <c r="N956" s="147">
        <f>+F956+F957-M956-M957</f>
        <v>0</v>
      </c>
      <c r="P956" s="140"/>
      <c r="Q956" s="140"/>
    </row>
    <row r="957" spans="1:17" hidden="1" x14ac:dyDescent="0.35">
      <c r="A957" s="146"/>
      <c r="B957" s="143"/>
      <c r="C957" s="133"/>
      <c r="D957" s="133"/>
      <c r="E957" s="145" t="s">
        <v>1064</v>
      </c>
      <c r="F957" s="145">
        <v>1244</v>
      </c>
      <c r="G957" s="133" t="s">
        <v>1034</v>
      </c>
      <c r="H957" s="144" t="s">
        <v>1341</v>
      </c>
      <c r="I957" s="133" t="s">
        <v>1092</v>
      </c>
      <c r="J957" s="133" t="s">
        <v>2000</v>
      </c>
      <c r="K957" s="143">
        <v>45323</v>
      </c>
      <c r="L957" s="133" t="s">
        <v>1241</v>
      </c>
      <c r="M957" s="133">
        <v>216</v>
      </c>
      <c r="N957" s="147"/>
      <c r="P957" s="140"/>
      <c r="Q957" s="140"/>
    </row>
    <row r="958" spans="1:17" hidden="1" x14ac:dyDescent="0.35">
      <c r="A958" s="146"/>
      <c r="B958" s="143"/>
      <c r="C958" s="133"/>
      <c r="D958" s="133"/>
      <c r="E958" s="145"/>
      <c r="F958" s="145"/>
      <c r="G958" s="133"/>
      <c r="H958" s="144"/>
      <c r="I958" s="133"/>
      <c r="J958" s="133"/>
      <c r="K958" s="133"/>
      <c r="L958" s="133"/>
      <c r="M958" s="133"/>
      <c r="N958" s="147"/>
      <c r="P958" s="140"/>
      <c r="Q958" s="140"/>
    </row>
    <row r="959" spans="1:17" hidden="1" x14ac:dyDescent="0.35">
      <c r="A959" s="146">
        <v>205</v>
      </c>
      <c r="B959" s="143">
        <v>45292</v>
      </c>
      <c r="C959" s="133" t="s">
        <v>1564</v>
      </c>
      <c r="D959" s="133" t="s">
        <v>2022</v>
      </c>
      <c r="E959" s="145" t="s">
        <v>1118</v>
      </c>
      <c r="F959" s="145">
        <v>1637.8</v>
      </c>
      <c r="G959" s="133" t="s">
        <v>1034</v>
      </c>
      <c r="H959" s="144" t="s">
        <v>1341</v>
      </c>
      <c r="I959" s="133" t="s">
        <v>1092</v>
      </c>
      <c r="J959" s="133" t="s">
        <v>2021</v>
      </c>
      <c r="K959" s="143">
        <v>45292</v>
      </c>
      <c r="L959" s="133" t="s">
        <v>1092</v>
      </c>
      <c r="M959" s="133">
        <v>937.8</v>
      </c>
      <c r="N959" s="147">
        <f>+F959+F960-M959-M960-M961-M962</f>
        <v>0</v>
      </c>
      <c r="P959" s="140"/>
      <c r="Q959" s="140"/>
    </row>
    <row r="960" spans="1:17" hidden="1" x14ac:dyDescent="0.35">
      <c r="A960" s="146"/>
      <c r="B960" s="143"/>
      <c r="C960" s="133"/>
      <c r="D960" s="133"/>
      <c r="E960" s="145" t="s">
        <v>1342</v>
      </c>
      <c r="F960" s="145">
        <v>5550</v>
      </c>
      <c r="G960" s="133" t="s">
        <v>1034</v>
      </c>
      <c r="H960" s="144" t="s">
        <v>1341</v>
      </c>
      <c r="I960" s="133" t="s">
        <v>1092</v>
      </c>
      <c r="J960" s="133" t="s">
        <v>2020</v>
      </c>
      <c r="K960" s="143">
        <v>45292</v>
      </c>
      <c r="L960" s="133" t="s">
        <v>1092</v>
      </c>
      <c r="M960" s="133">
        <v>700</v>
      </c>
      <c r="N960" s="147"/>
      <c r="P960" s="140"/>
      <c r="Q960" s="140"/>
    </row>
    <row r="961" spans="1:17" hidden="1" x14ac:dyDescent="0.35">
      <c r="A961" s="146"/>
      <c r="B961" s="143"/>
      <c r="C961" s="133"/>
      <c r="D961" s="133"/>
      <c r="E961" s="145"/>
      <c r="F961" s="145"/>
      <c r="G961" s="133" t="s">
        <v>1034</v>
      </c>
      <c r="H961" s="144" t="s">
        <v>1341</v>
      </c>
      <c r="I961" s="133" t="s">
        <v>1092</v>
      </c>
      <c r="J961" s="133" t="s">
        <v>2015</v>
      </c>
      <c r="K961" s="143">
        <v>45323</v>
      </c>
      <c r="L961" s="133" t="s">
        <v>1092</v>
      </c>
      <c r="M961" s="133">
        <v>5189</v>
      </c>
      <c r="N961" s="147"/>
      <c r="P961" s="140"/>
      <c r="Q961" s="140"/>
    </row>
    <row r="962" spans="1:17" hidden="1" x14ac:dyDescent="0.35">
      <c r="A962" s="146"/>
      <c r="B962" s="143"/>
      <c r="C962" s="133"/>
      <c r="D962" s="133"/>
      <c r="E962" s="145"/>
      <c r="F962" s="145"/>
      <c r="G962" s="133" t="s">
        <v>1034</v>
      </c>
      <c r="H962" s="144" t="s">
        <v>1341</v>
      </c>
      <c r="I962" s="133" t="s">
        <v>1092</v>
      </c>
      <c r="J962" s="133" t="s">
        <v>2000</v>
      </c>
      <c r="K962" s="143">
        <v>45323</v>
      </c>
      <c r="L962" s="133" t="s">
        <v>1241</v>
      </c>
      <c r="M962" s="133">
        <v>361</v>
      </c>
      <c r="N962" s="147"/>
      <c r="P962" s="140"/>
      <c r="Q962" s="140"/>
    </row>
    <row r="963" spans="1:17" hidden="1" x14ac:dyDescent="0.35">
      <c r="A963" s="146"/>
      <c r="B963" s="143"/>
      <c r="C963" s="133"/>
      <c r="D963" s="133"/>
      <c r="E963" s="145"/>
      <c r="F963" s="145"/>
      <c r="G963" s="133"/>
      <c r="H963" s="144"/>
      <c r="I963" s="133"/>
      <c r="J963" s="133"/>
      <c r="K963" s="143"/>
      <c r="L963" s="133"/>
      <c r="M963" s="133"/>
      <c r="N963" s="147"/>
      <c r="P963" s="140"/>
      <c r="Q963" s="140"/>
    </row>
    <row r="964" spans="1:17" hidden="1" x14ac:dyDescent="0.35">
      <c r="A964" s="146">
        <v>206</v>
      </c>
      <c r="B964" s="143">
        <v>45292</v>
      </c>
      <c r="C964" s="133" t="s">
        <v>1562</v>
      </c>
      <c r="D964" s="133" t="s">
        <v>2019</v>
      </c>
      <c r="E964" s="145" t="s">
        <v>1075</v>
      </c>
      <c r="F964" s="145">
        <v>1454</v>
      </c>
      <c r="G964" s="133" t="s">
        <v>1034</v>
      </c>
      <c r="H964" s="144" t="s">
        <v>1341</v>
      </c>
      <c r="I964" s="133" t="s">
        <v>1092</v>
      </c>
      <c r="J964" s="133" t="s">
        <v>2018</v>
      </c>
      <c r="K964" s="143">
        <v>45323</v>
      </c>
      <c r="L964" s="133" t="s">
        <v>1092</v>
      </c>
      <c r="M964" s="133">
        <v>6449</v>
      </c>
      <c r="N964" s="147">
        <f>+F964+F965-M964-M965</f>
        <v>0</v>
      </c>
      <c r="P964" s="140"/>
      <c r="Q964" s="140"/>
    </row>
    <row r="965" spans="1:17" hidden="1" x14ac:dyDescent="0.35">
      <c r="A965" s="146"/>
      <c r="B965" s="143"/>
      <c r="C965" s="133"/>
      <c r="D965" s="133"/>
      <c r="E965" s="145" t="s">
        <v>1342</v>
      </c>
      <c r="F965" s="145">
        <v>5331</v>
      </c>
      <c r="G965" s="133" t="s">
        <v>1034</v>
      </c>
      <c r="H965" s="144" t="s">
        <v>1341</v>
      </c>
      <c r="I965" s="133" t="s">
        <v>1092</v>
      </c>
      <c r="J965" s="133" t="s">
        <v>2000</v>
      </c>
      <c r="K965" s="143">
        <v>45323</v>
      </c>
      <c r="L965" s="133" t="s">
        <v>1241</v>
      </c>
      <c r="M965" s="133">
        <v>336</v>
      </c>
      <c r="N965" s="147"/>
      <c r="P965" s="140"/>
      <c r="Q965" s="140"/>
    </row>
    <row r="966" spans="1:17" hidden="1" x14ac:dyDescent="0.35">
      <c r="A966" s="146"/>
      <c r="B966" s="143"/>
      <c r="C966" s="133"/>
      <c r="D966" s="133"/>
      <c r="E966" s="145"/>
      <c r="F966" s="145"/>
      <c r="G966" s="133"/>
      <c r="H966" s="144"/>
      <c r="I966" s="133"/>
      <c r="J966" s="133"/>
      <c r="K966" s="133"/>
      <c r="L966" s="133"/>
      <c r="M966" s="133"/>
      <c r="N966" s="147"/>
      <c r="P966" s="140"/>
      <c r="Q966" s="140"/>
    </row>
    <row r="967" spans="1:17" hidden="1" x14ac:dyDescent="0.35">
      <c r="A967" s="146">
        <v>207</v>
      </c>
      <c r="B967" s="143">
        <v>45292</v>
      </c>
      <c r="C967" s="133" t="s">
        <v>1560</v>
      </c>
      <c r="D967" s="133" t="s">
        <v>2017</v>
      </c>
      <c r="E967" s="148" t="s">
        <v>1074</v>
      </c>
      <c r="F967" s="145">
        <v>1000</v>
      </c>
      <c r="G967" s="133" t="s">
        <v>1034</v>
      </c>
      <c r="H967" s="144" t="s">
        <v>1341</v>
      </c>
      <c r="I967" s="133" t="s">
        <v>1092</v>
      </c>
      <c r="J967" s="133" t="s">
        <v>2016</v>
      </c>
      <c r="K967" s="143">
        <v>45292</v>
      </c>
      <c r="L967" s="133" t="s">
        <v>1092</v>
      </c>
      <c r="M967" s="133">
        <v>2668.18</v>
      </c>
      <c r="N967" s="147">
        <f>+F967+F968+F969+F970-M967-M968-M969-M970-M971-M972</f>
        <v>-1.8189894035458565E-12</v>
      </c>
      <c r="P967" s="140"/>
      <c r="Q967" s="140"/>
    </row>
    <row r="968" spans="1:17" hidden="1" x14ac:dyDescent="0.35">
      <c r="A968" s="146"/>
      <c r="B968" s="143"/>
      <c r="C968" s="133"/>
      <c r="D968" s="133"/>
      <c r="E968" s="145" t="s">
        <v>1067</v>
      </c>
      <c r="F968" s="145">
        <v>1571.3</v>
      </c>
      <c r="G968" s="133" t="s">
        <v>1034</v>
      </c>
      <c r="H968" s="144" t="s">
        <v>1341</v>
      </c>
      <c r="I968" s="133" t="s">
        <v>1092</v>
      </c>
      <c r="J968" s="133" t="s">
        <v>2015</v>
      </c>
      <c r="K968" s="143">
        <v>45323</v>
      </c>
      <c r="L968" s="133" t="s">
        <v>1092</v>
      </c>
      <c r="M968" s="133">
        <v>563.20000000000005</v>
      </c>
      <c r="N968" s="147"/>
      <c r="P968" s="140"/>
      <c r="Q968" s="140"/>
    </row>
    <row r="969" spans="1:17" hidden="1" x14ac:dyDescent="0.35">
      <c r="A969" s="146"/>
      <c r="B969" s="143"/>
      <c r="C969" s="133"/>
      <c r="D969" s="133"/>
      <c r="E969" s="145" t="s">
        <v>678</v>
      </c>
      <c r="F969" s="145">
        <v>5668.18</v>
      </c>
      <c r="G969" s="133" t="s">
        <v>1034</v>
      </c>
      <c r="H969" s="144" t="s">
        <v>1341</v>
      </c>
      <c r="I969" s="133" t="s">
        <v>1092</v>
      </c>
      <c r="J969" s="133" t="s">
        <v>2014</v>
      </c>
      <c r="K969" s="143">
        <v>45323</v>
      </c>
      <c r="L969" s="133" t="s">
        <v>1092</v>
      </c>
      <c r="M969" s="133">
        <f>1000+1436.8+3000</f>
        <v>5436.8</v>
      </c>
      <c r="N969" s="147"/>
      <c r="P969" s="140"/>
      <c r="Q969" s="140"/>
    </row>
    <row r="970" spans="1:17" hidden="1" x14ac:dyDescent="0.35">
      <c r="A970" s="146"/>
      <c r="B970" s="143"/>
      <c r="C970" s="133"/>
      <c r="D970" s="133"/>
      <c r="E970" s="145" t="s">
        <v>1184</v>
      </c>
      <c r="F970" s="145">
        <v>7000</v>
      </c>
      <c r="G970" s="133" t="s">
        <v>1034</v>
      </c>
      <c r="H970" s="144" t="s">
        <v>1341</v>
      </c>
      <c r="I970" s="133" t="s">
        <v>1092</v>
      </c>
      <c r="J970" s="133" t="s">
        <v>2013</v>
      </c>
      <c r="K970" s="143">
        <v>45323</v>
      </c>
      <c r="L970" s="133" t="s">
        <v>1092</v>
      </c>
      <c r="M970" s="133">
        <f>786.3+1000+2000</f>
        <v>3786.3</v>
      </c>
      <c r="N970" s="147"/>
      <c r="P970" s="140"/>
      <c r="Q970" s="140"/>
    </row>
    <row r="971" spans="1:17" hidden="1" x14ac:dyDescent="0.35">
      <c r="A971" s="146"/>
      <c r="B971" s="143"/>
      <c r="C971" s="133"/>
      <c r="D971" s="133"/>
      <c r="E971" s="145"/>
      <c r="F971" s="145"/>
      <c r="G971" s="133" t="s">
        <v>1034</v>
      </c>
      <c r="H971" s="144" t="s">
        <v>1341</v>
      </c>
      <c r="I971" s="133" t="s">
        <v>1092</v>
      </c>
      <c r="J971" s="133" t="s">
        <v>2009</v>
      </c>
      <c r="K971" s="143">
        <v>45323</v>
      </c>
      <c r="L971" s="133" t="s">
        <v>1092</v>
      </c>
      <c r="M971" s="133">
        <v>2000</v>
      </c>
      <c r="N971" s="147"/>
      <c r="P971" s="140"/>
      <c r="Q971" s="140"/>
    </row>
    <row r="972" spans="1:17" hidden="1" x14ac:dyDescent="0.35">
      <c r="A972" s="146"/>
      <c r="B972" s="143"/>
      <c r="C972" s="133"/>
      <c r="D972" s="133"/>
      <c r="E972" s="145"/>
      <c r="F972" s="145"/>
      <c r="G972" s="133" t="s">
        <v>1034</v>
      </c>
      <c r="H972" s="144" t="s">
        <v>1341</v>
      </c>
      <c r="I972" s="133" t="s">
        <v>1092</v>
      </c>
      <c r="J972" s="133" t="s">
        <v>2000</v>
      </c>
      <c r="K972" s="143">
        <v>45323</v>
      </c>
      <c r="L972" s="133" t="s">
        <v>1241</v>
      </c>
      <c r="M972" s="133">
        <v>785</v>
      </c>
      <c r="N972" s="147"/>
      <c r="P972" s="140"/>
      <c r="Q972" s="140"/>
    </row>
    <row r="973" spans="1:17" hidden="1" x14ac:dyDescent="0.35">
      <c r="A973" s="146"/>
      <c r="B973" s="143"/>
      <c r="C973" s="133"/>
      <c r="D973" s="133"/>
      <c r="E973" s="145"/>
      <c r="F973" s="145"/>
      <c r="G973" s="133"/>
      <c r="H973" s="144"/>
      <c r="I973" s="133"/>
      <c r="J973" s="133"/>
      <c r="K973" s="143"/>
      <c r="L973" s="133"/>
      <c r="M973" s="133"/>
      <c r="N973" s="147"/>
      <c r="P973" s="140"/>
      <c r="Q973" s="140"/>
    </row>
    <row r="974" spans="1:17" hidden="1" x14ac:dyDescent="0.35">
      <c r="A974" s="146">
        <v>208</v>
      </c>
      <c r="B974" s="143">
        <v>45292</v>
      </c>
      <c r="C974" s="133" t="s">
        <v>1558</v>
      </c>
      <c r="D974" s="133" t="s">
        <v>2012</v>
      </c>
      <c r="E974" s="145" t="s">
        <v>2011</v>
      </c>
      <c r="F974" s="145">
        <v>811.5</v>
      </c>
      <c r="G974" s="133" t="s">
        <v>1034</v>
      </c>
      <c r="H974" s="144" t="s">
        <v>1341</v>
      </c>
      <c r="I974" s="133" t="s">
        <v>1092</v>
      </c>
      <c r="J974" s="133" t="s">
        <v>2009</v>
      </c>
      <c r="K974" s="143">
        <v>45323</v>
      </c>
      <c r="L974" s="133" t="s">
        <v>1092</v>
      </c>
      <c r="M974" s="133">
        <f>811.5+79.4+1709+2396</f>
        <v>4995.8999999999996</v>
      </c>
      <c r="N974" s="147">
        <f>+F974+F975+F976+F977+F978-M974-M975-M976</f>
        <v>0</v>
      </c>
      <c r="P974" s="140"/>
      <c r="Q974" s="140"/>
    </row>
    <row r="975" spans="1:17" hidden="1" x14ac:dyDescent="0.35">
      <c r="A975" s="146"/>
      <c r="B975" s="143"/>
      <c r="C975" s="133"/>
      <c r="D975" s="133"/>
      <c r="E975" s="145" t="s">
        <v>1067</v>
      </c>
      <c r="F975" s="145">
        <v>79.400000000000006</v>
      </c>
      <c r="G975" s="133" t="s">
        <v>1034</v>
      </c>
      <c r="H975" s="144" t="s">
        <v>1341</v>
      </c>
      <c r="I975" s="133" t="s">
        <v>1092</v>
      </c>
      <c r="J975" s="133" t="s">
        <v>1986</v>
      </c>
      <c r="K975" s="143">
        <v>45323</v>
      </c>
      <c r="L975" s="133" t="s">
        <v>1092</v>
      </c>
      <c r="M975" s="133">
        <v>7420.6999999999989</v>
      </c>
      <c r="N975" s="147"/>
      <c r="P975" s="140"/>
      <c r="Q975" s="140"/>
    </row>
    <row r="976" spans="1:17" hidden="1" x14ac:dyDescent="0.35">
      <c r="A976" s="146"/>
      <c r="B976" s="143"/>
      <c r="C976" s="133"/>
      <c r="D976" s="133"/>
      <c r="E976" s="145" t="s">
        <v>1075</v>
      </c>
      <c r="F976" s="145">
        <v>5075.7</v>
      </c>
      <c r="G976" s="133" t="s">
        <v>1034</v>
      </c>
      <c r="H976" s="144" t="s">
        <v>1341</v>
      </c>
      <c r="I976" s="133" t="s">
        <v>1092</v>
      </c>
      <c r="J976" s="133" t="s">
        <v>2000</v>
      </c>
      <c r="K976" s="143">
        <v>45323</v>
      </c>
      <c r="L976" s="133" t="s">
        <v>1241</v>
      </c>
      <c r="M976" s="133">
        <v>655</v>
      </c>
      <c r="N976" s="147"/>
      <c r="P976" s="140"/>
      <c r="Q976" s="140"/>
    </row>
    <row r="977" spans="1:17" hidden="1" x14ac:dyDescent="0.35">
      <c r="A977" s="146"/>
      <c r="B977" s="143"/>
      <c r="C977" s="133"/>
      <c r="D977" s="133"/>
      <c r="E977" s="145" t="s">
        <v>1342</v>
      </c>
      <c r="F977" s="145">
        <v>1709</v>
      </c>
      <c r="G977" s="133"/>
      <c r="H977" s="144"/>
      <c r="I977" s="133"/>
      <c r="J977" s="133"/>
      <c r="K977" s="133"/>
      <c r="L977" s="133"/>
      <c r="M977" s="133"/>
      <c r="N977" s="147"/>
      <c r="P977" s="140"/>
      <c r="Q977" s="140"/>
    </row>
    <row r="978" spans="1:17" hidden="1" x14ac:dyDescent="0.35">
      <c r="A978" s="146"/>
      <c r="B978" s="143"/>
      <c r="C978" s="133"/>
      <c r="D978" s="133"/>
      <c r="E978" s="145" t="s">
        <v>1064</v>
      </c>
      <c r="F978" s="145">
        <v>5396</v>
      </c>
      <c r="G978" s="133"/>
      <c r="H978" s="144"/>
      <c r="I978" s="133"/>
      <c r="J978" s="133"/>
      <c r="K978" s="133"/>
      <c r="L978" s="133"/>
      <c r="M978" s="133"/>
      <c r="N978" s="147"/>
      <c r="P978" s="140"/>
      <c r="Q978" s="140"/>
    </row>
    <row r="979" spans="1:17" hidden="1" x14ac:dyDescent="0.35">
      <c r="A979" s="146"/>
      <c r="B979" s="143"/>
      <c r="C979" s="133"/>
      <c r="D979" s="133"/>
      <c r="E979" s="145"/>
      <c r="F979" s="145"/>
      <c r="G979" s="133"/>
      <c r="H979" s="144"/>
      <c r="I979" s="133"/>
      <c r="J979" s="133"/>
      <c r="K979" s="133"/>
      <c r="L979" s="133"/>
      <c r="M979" s="133"/>
      <c r="N979" s="147"/>
      <c r="P979" s="140"/>
      <c r="Q979" s="140"/>
    </row>
    <row r="980" spans="1:17" hidden="1" x14ac:dyDescent="0.35">
      <c r="A980" s="146">
        <v>209</v>
      </c>
      <c r="B980" s="143">
        <v>45292</v>
      </c>
      <c r="C980" s="133" t="s">
        <v>1556</v>
      </c>
      <c r="D980" s="133" t="s">
        <v>2010</v>
      </c>
      <c r="E980" s="145" t="s">
        <v>1118</v>
      </c>
      <c r="F980" s="145">
        <v>3160.3</v>
      </c>
      <c r="G980" s="133" t="s">
        <v>1034</v>
      </c>
      <c r="H980" s="144" t="s">
        <v>1341</v>
      </c>
      <c r="I980" s="133" t="s">
        <v>1092</v>
      </c>
      <c r="J980" s="133" t="s">
        <v>2009</v>
      </c>
      <c r="K980" s="143">
        <v>45323</v>
      </c>
      <c r="L980" s="133" t="s">
        <v>1092</v>
      </c>
      <c r="M980" s="133">
        <v>1160.3</v>
      </c>
      <c r="N980" s="147">
        <f>+F980+F981+F982-M980-M981-M982</f>
        <v>4.5474735088646412E-13</v>
      </c>
      <c r="P980" s="140"/>
      <c r="Q980" s="140"/>
    </row>
    <row r="981" spans="1:17" hidden="1" x14ac:dyDescent="0.35">
      <c r="A981" s="146"/>
      <c r="B981" s="143"/>
      <c r="C981" s="133"/>
      <c r="D981" s="133"/>
      <c r="E981" s="145" t="s">
        <v>1067</v>
      </c>
      <c r="F981" s="145">
        <v>585.47</v>
      </c>
      <c r="G981" s="133" t="s">
        <v>1034</v>
      </c>
      <c r="H981" s="144" t="s">
        <v>1341</v>
      </c>
      <c r="I981" s="133" t="s">
        <v>1092</v>
      </c>
      <c r="J981" s="133" t="s">
        <v>1986</v>
      </c>
      <c r="K981" s="143">
        <v>45323</v>
      </c>
      <c r="L981" s="133" t="s">
        <v>1092</v>
      </c>
      <c r="M981" s="133">
        <v>3796.47</v>
      </c>
      <c r="N981" s="147"/>
      <c r="P981" s="140"/>
      <c r="Q981" s="140"/>
    </row>
    <row r="982" spans="1:17" hidden="1" x14ac:dyDescent="0.35">
      <c r="A982" s="146"/>
      <c r="B982" s="143"/>
      <c r="C982" s="133"/>
      <c r="D982" s="133"/>
      <c r="E982" s="145" t="s">
        <v>1342</v>
      </c>
      <c r="F982" s="145">
        <v>1474</v>
      </c>
      <c r="G982" s="133" t="s">
        <v>1034</v>
      </c>
      <c r="H982" s="144" t="s">
        <v>1341</v>
      </c>
      <c r="I982" s="133" t="s">
        <v>1092</v>
      </c>
      <c r="J982" s="133" t="s">
        <v>2000</v>
      </c>
      <c r="K982" s="143">
        <v>45323</v>
      </c>
      <c r="L982" s="133" t="s">
        <v>1241</v>
      </c>
      <c r="M982" s="133">
        <v>263</v>
      </c>
      <c r="N982" s="147"/>
      <c r="P982" s="140"/>
      <c r="Q982" s="140"/>
    </row>
    <row r="983" spans="1:17" hidden="1" x14ac:dyDescent="0.35">
      <c r="A983" s="146"/>
      <c r="B983" s="143"/>
      <c r="C983" s="133"/>
      <c r="D983" s="133"/>
      <c r="E983" s="145"/>
      <c r="F983" s="145"/>
      <c r="G983" s="133"/>
      <c r="H983" s="144"/>
      <c r="I983" s="133"/>
      <c r="J983" s="133"/>
      <c r="K983" s="133"/>
      <c r="L983" s="133"/>
      <c r="M983" s="133"/>
      <c r="N983" s="147"/>
      <c r="P983" s="140"/>
      <c r="Q983" s="140"/>
    </row>
    <row r="984" spans="1:17" hidden="1" x14ac:dyDescent="0.35">
      <c r="A984" s="146">
        <v>210</v>
      </c>
      <c r="B984" s="143">
        <v>45292</v>
      </c>
      <c r="C984" s="133" t="s">
        <v>1551</v>
      </c>
      <c r="D984" s="133" t="s">
        <v>2008</v>
      </c>
      <c r="E984" s="145" t="s">
        <v>1075</v>
      </c>
      <c r="F984" s="145">
        <v>6740.6</v>
      </c>
      <c r="G984" s="133" t="s">
        <v>1034</v>
      </c>
      <c r="H984" s="144" t="s">
        <v>1341</v>
      </c>
      <c r="I984" s="133" t="s">
        <v>1092</v>
      </c>
      <c r="J984" s="133" t="s">
        <v>1986</v>
      </c>
      <c r="K984" s="143">
        <v>45323</v>
      </c>
      <c r="L984" s="133" t="s">
        <v>1092</v>
      </c>
      <c r="M984" s="133">
        <v>11252.9</v>
      </c>
      <c r="N984" s="147">
        <f>+F984+F985+F986-M984-M985</f>
        <v>0</v>
      </c>
      <c r="P984" s="140"/>
      <c r="Q984" s="140"/>
    </row>
    <row r="985" spans="1:17" hidden="1" x14ac:dyDescent="0.35">
      <c r="A985" s="146"/>
      <c r="B985" s="143"/>
      <c r="C985" s="133"/>
      <c r="D985" s="133"/>
      <c r="E985" s="145" t="s">
        <v>1342</v>
      </c>
      <c r="F985" s="145">
        <v>4437</v>
      </c>
      <c r="G985" s="133" t="s">
        <v>1034</v>
      </c>
      <c r="H985" s="144" t="s">
        <v>1341</v>
      </c>
      <c r="I985" s="133" t="s">
        <v>1092</v>
      </c>
      <c r="J985" s="133" t="s">
        <v>2000</v>
      </c>
      <c r="K985" s="143">
        <v>45323</v>
      </c>
      <c r="L985" s="133" t="s">
        <v>1241</v>
      </c>
      <c r="M985" s="133">
        <v>587</v>
      </c>
      <c r="N985" s="147"/>
      <c r="P985" s="140"/>
      <c r="Q985" s="140"/>
    </row>
    <row r="986" spans="1:17" hidden="1" x14ac:dyDescent="0.35">
      <c r="A986" s="146"/>
      <c r="B986" s="143"/>
      <c r="C986" s="133"/>
      <c r="D986" s="133"/>
      <c r="E986" s="145" t="s">
        <v>1064</v>
      </c>
      <c r="F986" s="145">
        <v>662.3</v>
      </c>
      <c r="G986" s="133"/>
      <c r="H986" s="144"/>
      <c r="I986" s="133"/>
      <c r="J986" s="133"/>
      <c r="K986" s="133"/>
      <c r="L986" s="133"/>
      <c r="M986" s="133"/>
      <c r="N986" s="147"/>
      <c r="P986" s="140"/>
      <c r="Q986" s="140"/>
    </row>
    <row r="987" spans="1:17" hidden="1" x14ac:dyDescent="0.35">
      <c r="A987" s="146"/>
      <c r="B987" s="143"/>
      <c r="C987" s="133"/>
      <c r="D987" s="133"/>
      <c r="E987" s="145"/>
      <c r="F987" s="145"/>
      <c r="G987" s="133"/>
      <c r="H987" s="144"/>
      <c r="I987" s="133"/>
      <c r="J987" s="133"/>
      <c r="K987" s="133"/>
      <c r="L987" s="133"/>
      <c r="M987" s="133"/>
      <c r="N987" s="147"/>
      <c r="P987" s="140"/>
      <c r="Q987" s="140"/>
    </row>
    <row r="988" spans="1:17" hidden="1" x14ac:dyDescent="0.35">
      <c r="A988" s="146">
        <v>211</v>
      </c>
      <c r="B988" s="143">
        <v>45292</v>
      </c>
      <c r="C988" s="133" t="s">
        <v>1549</v>
      </c>
      <c r="D988" s="133" t="s">
        <v>2007</v>
      </c>
      <c r="E988" s="145" t="s">
        <v>1342</v>
      </c>
      <c r="F988" s="145">
        <v>419</v>
      </c>
      <c r="G988" s="133" t="s">
        <v>1034</v>
      </c>
      <c r="H988" s="144" t="s">
        <v>1341</v>
      </c>
      <c r="I988" s="133" t="s">
        <v>1092</v>
      </c>
      <c r="J988" s="133" t="s">
        <v>1986</v>
      </c>
      <c r="K988" s="143">
        <v>45323</v>
      </c>
      <c r="L988" s="133" t="s">
        <v>1092</v>
      </c>
      <c r="M988" s="133">
        <v>4028</v>
      </c>
      <c r="N988" s="147">
        <f>+F988+F989-M988-M989</f>
        <v>0</v>
      </c>
      <c r="P988" s="140"/>
      <c r="Q988" s="140"/>
    </row>
    <row r="989" spans="1:17" hidden="1" x14ac:dyDescent="0.35">
      <c r="A989" s="146"/>
      <c r="B989" s="143"/>
      <c r="C989" s="133"/>
      <c r="D989" s="133"/>
      <c r="E989" s="145" t="s">
        <v>1067</v>
      </c>
      <c r="F989" s="145">
        <v>3824</v>
      </c>
      <c r="G989" s="133" t="s">
        <v>1034</v>
      </c>
      <c r="H989" s="144" t="s">
        <v>1341</v>
      </c>
      <c r="I989" s="133" t="s">
        <v>1092</v>
      </c>
      <c r="J989" s="133" t="s">
        <v>2000</v>
      </c>
      <c r="K989" s="143">
        <v>45323</v>
      </c>
      <c r="L989" s="133" t="s">
        <v>1241</v>
      </c>
      <c r="M989" s="133">
        <v>215</v>
      </c>
      <c r="N989" s="147"/>
      <c r="P989" s="140"/>
      <c r="Q989" s="140"/>
    </row>
    <row r="990" spans="1:17" hidden="1" x14ac:dyDescent="0.35">
      <c r="A990" s="146"/>
      <c r="B990" s="143"/>
      <c r="C990" s="133"/>
      <c r="D990" s="133"/>
      <c r="E990" s="145"/>
      <c r="F990" s="145"/>
      <c r="G990" s="133"/>
      <c r="H990" s="144"/>
      <c r="I990" s="133"/>
      <c r="J990" s="133"/>
      <c r="K990" s="133"/>
      <c r="L990" s="133"/>
      <c r="M990" s="133"/>
      <c r="N990" s="147"/>
      <c r="P990" s="140"/>
      <c r="Q990" s="140"/>
    </row>
    <row r="991" spans="1:17" hidden="1" x14ac:dyDescent="0.35">
      <c r="A991" s="146">
        <v>212</v>
      </c>
      <c r="B991" s="143">
        <v>45292</v>
      </c>
      <c r="C991" s="133" t="s">
        <v>1547</v>
      </c>
      <c r="D991" s="133" t="s">
        <v>2006</v>
      </c>
      <c r="E991" s="145" t="s">
        <v>1064</v>
      </c>
      <c r="F991" s="145">
        <v>781</v>
      </c>
      <c r="G991" s="133" t="s">
        <v>1034</v>
      </c>
      <c r="H991" s="144" t="s">
        <v>1341</v>
      </c>
      <c r="I991" s="133" t="s">
        <v>1092</v>
      </c>
      <c r="J991" s="133" t="s">
        <v>1986</v>
      </c>
      <c r="K991" s="143">
        <v>45323</v>
      </c>
      <c r="L991" s="133" t="s">
        <v>1092</v>
      </c>
      <c r="M991" s="133">
        <v>5200.2</v>
      </c>
      <c r="N991" s="147">
        <f>+F991+F992-M991-M992</f>
        <v>0</v>
      </c>
      <c r="P991" s="140"/>
      <c r="Q991" s="140"/>
    </row>
    <row r="992" spans="1:17" hidden="1" x14ac:dyDescent="0.35">
      <c r="A992" s="146"/>
      <c r="B992" s="143"/>
      <c r="C992" s="133"/>
      <c r="D992" s="133"/>
      <c r="E992" s="145" t="s">
        <v>1075</v>
      </c>
      <c r="F992" s="145">
        <v>4689.2</v>
      </c>
      <c r="G992" s="133" t="s">
        <v>1034</v>
      </c>
      <c r="H992" s="144" t="s">
        <v>1341</v>
      </c>
      <c r="I992" s="133" t="s">
        <v>1092</v>
      </c>
      <c r="J992" s="133" t="s">
        <v>2000</v>
      </c>
      <c r="K992" s="143">
        <v>45323</v>
      </c>
      <c r="L992" s="133" t="s">
        <v>1241</v>
      </c>
      <c r="M992" s="133">
        <v>270</v>
      </c>
      <c r="N992" s="147"/>
      <c r="P992" s="140"/>
      <c r="Q992" s="140"/>
    </row>
    <row r="993" spans="1:17" hidden="1" x14ac:dyDescent="0.35">
      <c r="A993" s="146"/>
      <c r="B993" s="143"/>
      <c r="C993" s="133"/>
      <c r="D993" s="133"/>
      <c r="E993" s="145"/>
      <c r="F993" s="145"/>
      <c r="G993" s="133"/>
      <c r="H993" s="144"/>
      <c r="I993" s="133"/>
      <c r="J993" s="133"/>
      <c r="K993" s="133"/>
      <c r="L993" s="133"/>
      <c r="M993" s="133"/>
      <c r="N993" s="147"/>
      <c r="P993" s="140"/>
      <c r="Q993" s="140"/>
    </row>
    <row r="994" spans="1:17" hidden="1" x14ac:dyDescent="0.35">
      <c r="A994" s="146">
        <v>213</v>
      </c>
      <c r="B994" s="143">
        <v>45292</v>
      </c>
      <c r="C994" s="133" t="s">
        <v>1546</v>
      </c>
      <c r="D994" s="133" t="s">
        <v>2005</v>
      </c>
      <c r="E994" s="145" t="s">
        <v>1075</v>
      </c>
      <c r="F994" s="145">
        <v>7481</v>
      </c>
      <c r="G994" s="133" t="s">
        <v>1034</v>
      </c>
      <c r="H994" s="144" t="s">
        <v>1341</v>
      </c>
      <c r="I994" s="133" t="s">
        <v>1092</v>
      </c>
      <c r="J994" s="133" t="s">
        <v>1985</v>
      </c>
      <c r="K994" s="143">
        <v>45323</v>
      </c>
      <c r="L994" s="133" t="s">
        <v>1092</v>
      </c>
      <c r="M994" s="133">
        <f>3774+745.13</f>
        <v>4519.13</v>
      </c>
      <c r="N994" s="147">
        <f>+F994+F995+F996-M994-M995-M996</f>
        <v>0</v>
      </c>
      <c r="P994" s="140"/>
      <c r="Q994" s="140"/>
    </row>
    <row r="995" spans="1:17" hidden="1" x14ac:dyDescent="0.35">
      <c r="A995" s="146"/>
      <c r="B995" s="143"/>
      <c r="C995" s="133"/>
      <c r="D995" s="133"/>
      <c r="E995" s="145" t="s">
        <v>1342</v>
      </c>
      <c r="F995" s="145">
        <v>3774</v>
      </c>
      <c r="G995" s="133" t="s">
        <v>1034</v>
      </c>
      <c r="H995" s="144" t="s">
        <v>1341</v>
      </c>
      <c r="I995" s="133" t="s">
        <v>1092</v>
      </c>
      <c r="J995" s="133" t="s">
        <v>1984</v>
      </c>
      <c r="K995" s="143">
        <v>45323</v>
      </c>
      <c r="L995" s="133" t="s">
        <v>1092</v>
      </c>
      <c r="M995" s="133">
        <v>7863.0000000000009</v>
      </c>
      <c r="N995" s="147"/>
      <c r="P995" s="140"/>
      <c r="Q995" s="140"/>
    </row>
    <row r="996" spans="1:17" hidden="1" x14ac:dyDescent="0.35">
      <c r="A996" s="146"/>
      <c r="B996" s="143"/>
      <c r="C996" s="133"/>
      <c r="D996" s="133"/>
      <c r="E996" s="145" t="s">
        <v>1067</v>
      </c>
      <c r="F996" s="145">
        <v>1380.13</v>
      </c>
      <c r="G996" s="133" t="s">
        <v>1034</v>
      </c>
      <c r="H996" s="144" t="s">
        <v>1341</v>
      </c>
      <c r="I996" s="133" t="s">
        <v>1092</v>
      </c>
      <c r="J996" s="133" t="s">
        <v>2000</v>
      </c>
      <c r="K996" s="143">
        <v>45323</v>
      </c>
      <c r="L996" s="133" t="s">
        <v>1241</v>
      </c>
      <c r="M996" s="133">
        <v>253</v>
      </c>
      <c r="N996" s="147"/>
      <c r="P996" s="140"/>
      <c r="Q996" s="140"/>
    </row>
    <row r="997" spans="1:17" hidden="1" x14ac:dyDescent="0.35">
      <c r="A997" s="146"/>
      <c r="B997" s="143"/>
      <c r="C997" s="133"/>
      <c r="D997" s="133"/>
      <c r="E997" s="145"/>
      <c r="F997" s="145"/>
      <c r="G997" s="133"/>
      <c r="H997" s="144"/>
      <c r="I997" s="133"/>
      <c r="J997" s="133"/>
      <c r="K997" s="133"/>
      <c r="L997" s="133"/>
      <c r="M997" s="133"/>
      <c r="N997" s="147"/>
      <c r="P997" s="140"/>
      <c r="Q997" s="140"/>
    </row>
    <row r="998" spans="1:17" hidden="1" x14ac:dyDescent="0.35">
      <c r="A998" s="146">
        <v>214</v>
      </c>
      <c r="B998" s="143">
        <v>45292</v>
      </c>
      <c r="C998" s="133" t="s">
        <v>1544</v>
      </c>
      <c r="D998" s="133" t="s">
        <v>2004</v>
      </c>
      <c r="E998" s="145" t="s">
        <v>1064</v>
      </c>
      <c r="F998" s="145">
        <v>805</v>
      </c>
      <c r="G998" s="133" t="s">
        <v>1034</v>
      </c>
      <c r="H998" s="144" t="s">
        <v>1341</v>
      </c>
      <c r="I998" s="133" t="s">
        <v>1092</v>
      </c>
      <c r="J998" s="133" t="s">
        <v>1984</v>
      </c>
      <c r="K998" s="143">
        <v>45323</v>
      </c>
      <c r="L998" s="133" t="s">
        <v>1092</v>
      </c>
      <c r="M998" s="133">
        <v>3247.6</v>
      </c>
      <c r="N998" s="147">
        <f>+F998+F999-M998-M999</f>
        <v>0</v>
      </c>
      <c r="P998" s="140"/>
      <c r="Q998" s="140"/>
    </row>
    <row r="999" spans="1:17" hidden="1" x14ac:dyDescent="0.35">
      <c r="A999" s="146"/>
      <c r="B999" s="143"/>
      <c r="C999" s="133"/>
      <c r="D999" s="133"/>
      <c r="E999" s="145" t="s">
        <v>1075</v>
      </c>
      <c r="F999" s="145">
        <v>2506.6</v>
      </c>
      <c r="G999" s="133" t="s">
        <v>1034</v>
      </c>
      <c r="H999" s="144" t="s">
        <v>1341</v>
      </c>
      <c r="I999" s="133" t="s">
        <v>1092</v>
      </c>
      <c r="J999" s="133" t="s">
        <v>2000</v>
      </c>
      <c r="K999" s="143">
        <v>45323</v>
      </c>
      <c r="L999" s="133" t="s">
        <v>1241</v>
      </c>
      <c r="M999" s="133">
        <v>64</v>
      </c>
      <c r="N999" s="147"/>
      <c r="P999" s="140"/>
      <c r="Q999" s="140"/>
    </row>
    <row r="1000" spans="1:17" hidden="1" x14ac:dyDescent="0.35">
      <c r="A1000" s="146"/>
      <c r="B1000" s="143"/>
      <c r="C1000" s="133"/>
      <c r="D1000" s="133"/>
      <c r="E1000" s="145"/>
      <c r="F1000" s="145"/>
      <c r="G1000" s="133"/>
      <c r="H1000" s="144"/>
      <c r="I1000" s="133"/>
      <c r="J1000" s="133"/>
      <c r="K1000" s="133"/>
      <c r="L1000" s="133"/>
      <c r="M1000" s="133"/>
      <c r="N1000" s="147"/>
      <c r="P1000" s="140"/>
      <c r="Q1000" s="140"/>
    </row>
    <row r="1001" spans="1:17" hidden="1" x14ac:dyDescent="0.35">
      <c r="A1001" s="146">
        <v>215</v>
      </c>
      <c r="B1001" s="143">
        <v>45292</v>
      </c>
      <c r="C1001" s="133" t="s">
        <v>1543</v>
      </c>
      <c r="D1001" s="133" t="s">
        <v>2003</v>
      </c>
      <c r="E1001" s="145" t="s">
        <v>1342</v>
      </c>
      <c r="F1001" s="145">
        <v>2947</v>
      </c>
      <c r="G1001" s="133" t="s">
        <v>1034</v>
      </c>
      <c r="H1001" s="144" t="s">
        <v>1341</v>
      </c>
      <c r="I1001" s="133" t="s">
        <v>1092</v>
      </c>
      <c r="J1001" s="133" t="s">
        <v>1985</v>
      </c>
      <c r="K1001" s="143">
        <v>45323</v>
      </c>
      <c r="L1001" s="133" t="s">
        <v>1092</v>
      </c>
      <c r="M1001" s="133">
        <v>1845.58</v>
      </c>
      <c r="N1001" s="147">
        <f>+F1001+F1002+F1003+F1004-M1001-M1002-M1003-M1004</f>
        <v>0</v>
      </c>
      <c r="P1001" s="140"/>
      <c r="Q1001" s="140"/>
    </row>
    <row r="1002" spans="1:17" hidden="1" x14ac:dyDescent="0.35">
      <c r="A1002" s="146"/>
      <c r="B1002" s="143"/>
      <c r="C1002" s="133"/>
      <c r="D1002" s="133"/>
      <c r="E1002" s="145" t="s">
        <v>1067</v>
      </c>
      <c r="F1002" s="145">
        <v>65</v>
      </c>
      <c r="G1002" s="133" t="s">
        <v>1034</v>
      </c>
      <c r="H1002" s="144" t="s">
        <v>1341</v>
      </c>
      <c r="I1002" s="133" t="s">
        <v>1092</v>
      </c>
      <c r="J1002" s="133" t="s">
        <v>1984</v>
      </c>
      <c r="K1002" s="143">
        <v>45323</v>
      </c>
      <c r="L1002" s="133" t="s">
        <v>1092</v>
      </c>
      <c r="M1002" s="133">
        <v>6895.2000000000007</v>
      </c>
      <c r="N1002" s="142"/>
      <c r="P1002" s="140"/>
      <c r="Q1002" s="140"/>
    </row>
    <row r="1003" spans="1:17" hidden="1" x14ac:dyDescent="0.35">
      <c r="A1003" s="146"/>
      <c r="B1003" s="143"/>
      <c r="C1003" s="133"/>
      <c r="D1003" s="133"/>
      <c r="E1003" s="145" t="s">
        <v>1118</v>
      </c>
      <c r="F1003" s="145">
        <v>4168.2</v>
      </c>
      <c r="G1003" s="133" t="s">
        <v>1034</v>
      </c>
      <c r="H1003" s="144" t="s">
        <v>1341</v>
      </c>
      <c r="I1003" s="133" t="s">
        <v>1092</v>
      </c>
      <c r="J1003" s="133" t="s">
        <v>2000</v>
      </c>
      <c r="K1003" s="143">
        <v>45323</v>
      </c>
      <c r="L1003" s="133" t="s">
        <v>1241</v>
      </c>
      <c r="M1003" s="133">
        <v>285</v>
      </c>
      <c r="N1003" s="142"/>
      <c r="P1003" s="140"/>
      <c r="Q1003" s="140"/>
    </row>
    <row r="1004" spans="1:17" hidden="1" x14ac:dyDescent="0.35">
      <c r="A1004" s="146"/>
      <c r="B1004" s="143"/>
      <c r="C1004" s="133"/>
      <c r="D1004" s="133"/>
      <c r="E1004" s="145" t="s">
        <v>678</v>
      </c>
      <c r="F1004" s="145">
        <v>6845.58</v>
      </c>
      <c r="G1004" s="133" t="s">
        <v>1034</v>
      </c>
      <c r="H1004" s="144" t="s">
        <v>1341</v>
      </c>
      <c r="I1004" s="133" t="s">
        <v>1092</v>
      </c>
      <c r="J1004" s="133" t="s">
        <v>1981</v>
      </c>
      <c r="K1004" s="143">
        <v>45323</v>
      </c>
      <c r="L1004" s="133" t="s">
        <v>1092</v>
      </c>
      <c r="M1004" s="133">
        <v>4999.9999999999982</v>
      </c>
      <c r="N1004" s="142"/>
      <c r="P1004" s="140"/>
      <c r="Q1004" s="140"/>
    </row>
    <row r="1005" spans="1:17" hidden="1" x14ac:dyDescent="0.35">
      <c r="A1005" s="146"/>
      <c r="B1005" s="143"/>
      <c r="C1005" s="133"/>
      <c r="D1005" s="133"/>
      <c r="E1005" s="145"/>
      <c r="F1005" s="145"/>
      <c r="G1005" s="133"/>
      <c r="H1005" s="144"/>
      <c r="I1005" s="133"/>
      <c r="J1005" s="133"/>
      <c r="K1005" s="133"/>
      <c r="L1005" s="133"/>
      <c r="M1005" s="133"/>
      <c r="N1005" s="142"/>
      <c r="P1005" s="140"/>
      <c r="Q1005" s="140"/>
    </row>
    <row r="1006" spans="1:17" hidden="1" x14ac:dyDescent="0.35">
      <c r="A1006" s="146">
        <v>216</v>
      </c>
      <c r="B1006" s="143">
        <v>45292</v>
      </c>
      <c r="C1006" s="133" t="s">
        <v>1541</v>
      </c>
      <c r="D1006" s="133" t="s">
        <v>2002</v>
      </c>
      <c r="E1006" s="145" t="s">
        <v>1342</v>
      </c>
      <c r="F1006" s="145">
        <v>6257</v>
      </c>
      <c r="G1006" s="133" t="s">
        <v>1034</v>
      </c>
      <c r="H1006" s="144" t="s">
        <v>1341</v>
      </c>
      <c r="I1006" s="133" t="s">
        <v>1092</v>
      </c>
      <c r="J1006" s="133" t="s">
        <v>1984</v>
      </c>
      <c r="K1006" s="143">
        <v>45323</v>
      </c>
      <c r="L1006" s="133" t="s">
        <v>1092</v>
      </c>
      <c r="M1006" s="133">
        <v>6132</v>
      </c>
      <c r="N1006" s="147">
        <f>+F1006-M1006-M1007</f>
        <v>0</v>
      </c>
      <c r="P1006" s="140"/>
      <c r="Q1006" s="140"/>
    </row>
    <row r="1007" spans="1:17" hidden="1" x14ac:dyDescent="0.35">
      <c r="A1007" s="146"/>
      <c r="B1007" s="143"/>
      <c r="C1007" s="133"/>
      <c r="D1007" s="133"/>
      <c r="E1007" s="145"/>
      <c r="F1007" s="145"/>
      <c r="G1007" s="133" t="s">
        <v>1034</v>
      </c>
      <c r="H1007" s="144" t="s">
        <v>1341</v>
      </c>
      <c r="I1007" s="133" t="s">
        <v>1092</v>
      </c>
      <c r="J1007" s="133" t="s">
        <v>2000</v>
      </c>
      <c r="K1007" s="143">
        <v>45323</v>
      </c>
      <c r="L1007" s="133" t="s">
        <v>1241</v>
      </c>
      <c r="M1007" s="133">
        <v>125</v>
      </c>
      <c r="N1007" s="142"/>
      <c r="P1007" s="140"/>
      <c r="Q1007" s="140"/>
    </row>
    <row r="1008" spans="1:17" hidden="1" x14ac:dyDescent="0.35">
      <c r="A1008" s="146"/>
      <c r="B1008" s="143"/>
      <c r="C1008" s="133"/>
      <c r="D1008" s="133"/>
      <c r="E1008" s="145"/>
      <c r="F1008" s="145"/>
      <c r="G1008" s="133"/>
      <c r="H1008" s="144"/>
      <c r="I1008" s="133"/>
      <c r="J1008" s="133"/>
      <c r="K1008" s="143"/>
      <c r="L1008" s="133"/>
      <c r="M1008" s="133"/>
      <c r="N1008" s="142"/>
      <c r="P1008" s="140"/>
      <c r="Q1008" s="140"/>
    </row>
    <row r="1009" spans="1:17" hidden="1" x14ac:dyDescent="0.35">
      <c r="A1009" s="146">
        <v>217</v>
      </c>
      <c r="B1009" s="143">
        <v>45292</v>
      </c>
      <c r="C1009" s="133" t="s">
        <v>1540</v>
      </c>
      <c r="D1009" s="133" t="s">
        <v>2001</v>
      </c>
      <c r="E1009" s="145" t="s">
        <v>1342</v>
      </c>
      <c r="F1009" s="145">
        <v>1648</v>
      </c>
      <c r="G1009" s="133" t="s">
        <v>1034</v>
      </c>
      <c r="H1009" s="144" t="s">
        <v>1341</v>
      </c>
      <c r="I1009" s="133" t="s">
        <v>1092</v>
      </c>
      <c r="J1009" s="133" t="s">
        <v>1984</v>
      </c>
      <c r="K1009" s="143">
        <v>45323</v>
      </c>
      <c r="L1009" s="133" t="s">
        <v>1092</v>
      </c>
      <c r="M1009" s="133">
        <f>1648+5002.07</f>
        <v>6650.07</v>
      </c>
      <c r="N1009" s="147">
        <f>+F1009+F1010-M1009-M1010-M1011</f>
        <v>0</v>
      </c>
      <c r="P1009" s="140"/>
      <c r="Q1009" s="140"/>
    </row>
    <row r="1010" spans="1:17" hidden="1" x14ac:dyDescent="0.35">
      <c r="A1010" s="146"/>
      <c r="B1010" s="143"/>
      <c r="C1010" s="133"/>
      <c r="D1010" s="133"/>
      <c r="E1010" s="145" t="s">
        <v>1067</v>
      </c>
      <c r="F1010" s="145">
        <v>7610.7</v>
      </c>
      <c r="G1010" s="133" t="s">
        <v>1034</v>
      </c>
      <c r="H1010" s="144" t="s">
        <v>1341</v>
      </c>
      <c r="I1010" s="133" t="s">
        <v>1092</v>
      </c>
      <c r="J1010" s="133" t="s">
        <v>2000</v>
      </c>
      <c r="K1010" s="143">
        <v>45323</v>
      </c>
      <c r="L1010" s="133" t="s">
        <v>1241</v>
      </c>
      <c r="M1010" s="133">
        <v>185</v>
      </c>
      <c r="N1010" s="142"/>
      <c r="P1010" s="140"/>
      <c r="Q1010" s="140"/>
    </row>
    <row r="1011" spans="1:17" hidden="1" x14ac:dyDescent="0.35">
      <c r="A1011" s="146"/>
      <c r="B1011" s="143"/>
      <c r="C1011" s="133"/>
      <c r="D1011" s="133"/>
      <c r="E1011" s="145"/>
      <c r="F1011" s="145"/>
      <c r="G1011" s="133" t="s">
        <v>1034</v>
      </c>
      <c r="H1011" s="144" t="s">
        <v>1341</v>
      </c>
      <c r="I1011" s="133" t="s">
        <v>1092</v>
      </c>
      <c r="J1011" s="133" t="s">
        <v>1981</v>
      </c>
      <c r="K1011" s="143">
        <v>45323</v>
      </c>
      <c r="L1011" s="133" t="s">
        <v>1092</v>
      </c>
      <c r="M1011" s="133">
        <v>2423.630000000001</v>
      </c>
      <c r="N1011" s="142"/>
      <c r="P1011" s="140"/>
      <c r="Q1011" s="140"/>
    </row>
    <row r="1012" spans="1:17" hidden="1" x14ac:dyDescent="0.35">
      <c r="A1012" s="146"/>
      <c r="B1012" s="143"/>
      <c r="C1012" s="133"/>
      <c r="D1012" s="133"/>
      <c r="E1012" s="145"/>
      <c r="F1012" s="145"/>
      <c r="G1012" s="133"/>
      <c r="H1012" s="144"/>
      <c r="I1012" s="133"/>
      <c r="J1012" s="133"/>
      <c r="K1012" s="143"/>
      <c r="L1012" s="133"/>
      <c r="M1012" s="133"/>
      <c r="N1012" s="142"/>
      <c r="P1012" s="140"/>
      <c r="Q1012" s="140"/>
    </row>
    <row r="1013" spans="1:17" hidden="1" x14ac:dyDescent="0.35">
      <c r="A1013" s="146">
        <v>218</v>
      </c>
      <c r="B1013" s="143">
        <v>45292</v>
      </c>
      <c r="C1013" s="133" t="s">
        <v>1538</v>
      </c>
      <c r="D1013" s="133" t="s">
        <v>1999</v>
      </c>
      <c r="E1013" s="145" t="s">
        <v>1064</v>
      </c>
      <c r="F1013" s="145">
        <v>1227.5999999999999</v>
      </c>
      <c r="G1013" s="133" t="s">
        <v>1034</v>
      </c>
      <c r="H1013" s="144" t="s">
        <v>1341</v>
      </c>
      <c r="I1013" s="133" t="s">
        <v>1092</v>
      </c>
      <c r="J1013" s="133" t="s">
        <v>1981</v>
      </c>
      <c r="K1013" s="143">
        <v>45323</v>
      </c>
      <c r="L1013" s="133" t="s">
        <v>1092</v>
      </c>
      <c r="M1013" s="133">
        <v>3712.2999999999997</v>
      </c>
      <c r="N1013" s="147">
        <f>+F1013+F1014-M1013-M1014</f>
        <v>0</v>
      </c>
      <c r="P1013" s="140"/>
      <c r="Q1013" s="140"/>
    </row>
    <row r="1014" spans="1:17" hidden="1" x14ac:dyDescent="0.35">
      <c r="A1014" s="146"/>
      <c r="B1014" s="143"/>
      <c r="C1014" s="133"/>
      <c r="D1014" s="133"/>
      <c r="E1014" s="145" t="s">
        <v>1075</v>
      </c>
      <c r="F1014" s="145">
        <v>2558.6999999999998</v>
      </c>
      <c r="G1014" s="133" t="s">
        <v>1034</v>
      </c>
      <c r="H1014" s="144" t="s">
        <v>1341</v>
      </c>
      <c r="I1014" s="133" t="s">
        <v>1092</v>
      </c>
      <c r="J1014" s="133" t="s">
        <v>1960</v>
      </c>
      <c r="K1014" s="143">
        <v>45352</v>
      </c>
      <c r="L1014" s="133" t="s">
        <v>1241</v>
      </c>
      <c r="M1014" s="133">
        <v>74</v>
      </c>
      <c r="N1014" s="147"/>
      <c r="P1014" s="140"/>
      <c r="Q1014" s="140"/>
    </row>
    <row r="1015" spans="1:17" hidden="1" x14ac:dyDescent="0.35">
      <c r="A1015" s="146"/>
      <c r="B1015" s="143"/>
      <c r="C1015" s="133"/>
      <c r="D1015" s="133"/>
      <c r="E1015" s="145"/>
      <c r="F1015" s="145"/>
      <c r="G1015" s="133"/>
      <c r="H1015" s="144"/>
      <c r="I1015" s="133"/>
      <c r="J1015" s="133"/>
      <c r="K1015" s="133"/>
      <c r="L1015" s="133"/>
      <c r="M1015" s="133"/>
      <c r="N1015" s="147"/>
      <c r="P1015" s="140"/>
      <c r="Q1015" s="140"/>
    </row>
    <row r="1016" spans="1:17" hidden="1" x14ac:dyDescent="0.35">
      <c r="A1016" s="146">
        <v>219</v>
      </c>
      <c r="B1016" s="143">
        <v>45292</v>
      </c>
      <c r="C1016" s="133" t="s">
        <v>1537</v>
      </c>
      <c r="D1016" s="133" t="s">
        <v>1998</v>
      </c>
      <c r="E1016" s="145" t="s">
        <v>1075</v>
      </c>
      <c r="F1016" s="145">
        <v>6378</v>
      </c>
      <c r="G1016" s="133" t="s">
        <v>1034</v>
      </c>
      <c r="H1016" s="144" t="s">
        <v>1341</v>
      </c>
      <c r="I1016" s="133" t="s">
        <v>1092</v>
      </c>
      <c r="J1016" s="133" t="s">
        <v>1981</v>
      </c>
      <c r="K1016" s="143">
        <v>45323</v>
      </c>
      <c r="L1016" s="133" t="s">
        <v>1092</v>
      </c>
      <c r="M1016" s="133">
        <v>13477.5</v>
      </c>
      <c r="N1016" s="147">
        <f>+F1016+F1017+F1018-M1016-M1017</f>
        <v>0</v>
      </c>
      <c r="P1016" s="140"/>
      <c r="Q1016" s="140"/>
    </row>
    <row r="1017" spans="1:17" hidden="1" x14ac:dyDescent="0.35">
      <c r="A1017" s="146"/>
      <c r="B1017" s="143"/>
      <c r="C1017" s="133"/>
      <c r="D1017" s="133"/>
      <c r="E1017" s="145" t="s">
        <v>1342</v>
      </c>
      <c r="F1017" s="145">
        <v>4959</v>
      </c>
      <c r="G1017" s="133" t="s">
        <v>1034</v>
      </c>
      <c r="H1017" s="144" t="s">
        <v>1341</v>
      </c>
      <c r="I1017" s="133" t="s">
        <v>1092</v>
      </c>
      <c r="J1017" s="133" t="s">
        <v>1960</v>
      </c>
      <c r="K1017" s="143">
        <v>45352</v>
      </c>
      <c r="L1017" s="133" t="s">
        <v>1241</v>
      </c>
      <c r="M1017" s="133">
        <v>276</v>
      </c>
      <c r="N1017" s="147"/>
      <c r="P1017" s="140"/>
      <c r="Q1017" s="140"/>
    </row>
    <row r="1018" spans="1:17" hidden="1" x14ac:dyDescent="0.35">
      <c r="A1018" s="146"/>
      <c r="B1018" s="143"/>
      <c r="C1018" s="133"/>
      <c r="D1018" s="133"/>
      <c r="E1018" s="145" t="s">
        <v>1067</v>
      </c>
      <c r="F1018" s="145">
        <v>2416.5</v>
      </c>
      <c r="G1018" s="133"/>
      <c r="H1018" s="144"/>
      <c r="I1018" s="133"/>
      <c r="J1018" s="133"/>
      <c r="K1018" s="133"/>
      <c r="L1018" s="133"/>
      <c r="M1018" s="133"/>
      <c r="N1018" s="147"/>
      <c r="P1018" s="140"/>
      <c r="Q1018" s="140"/>
    </row>
    <row r="1019" spans="1:17" hidden="1" x14ac:dyDescent="0.35">
      <c r="A1019" s="146"/>
      <c r="B1019" s="143"/>
      <c r="C1019" s="133"/>
      <c r="D1019" s="133"/>
      <c r="E1019" s="145"/>
      <c r="F1019" s="145"/>
      <c r="G1019" s="133"/>
      <c r="H1019" s="144"/>
      <c r="I1019" s="133"/>
      <c r="J1019" s="133"/>
      <c r="K1019" s="133"/>
      <c r="L1019" s="133"/>
      <c r="M1019" s="133"/>
      <c r="N1019" s="147"/>
      <c r="P1019" s="140"/>
      <c r="Q1019" s="140"/>
    </row>
    <row r="1020" spans="1:17" hidden="1" x14ac:dyDescent="0.35">
      <c r="A1020" s="146">
        <v>220</v>
      </c>
      <c r="B1020" s="143">
        <v>45292</v>
      </c>
      <c r="C1020" s="133" t="s">
        <v>1536</v>
      </c>
      <c r="D1020" s="133" t="s">
        <v>1997</v>
      </c>
      <c r="E1020" s="145" t="s">
        <v>1075</v>
      </c>
      <c r="F1020" s="145">
        <v>3416.7</v>
      </c>
      <c r="G1020" s="133" t="s">
        <v>1034</v>
      </c>
      <c r="H1020" s="144" t="s">
        <v>1341</v>
      </c>
      <c r="I1020" s="133" t="s">
        <v>1092</v>
      </c>
      <c r="J1020" s="133" t="s">
        <v>1980</v>
      </c>
      <c r="K1020" s="143">
        <v>45323</v>
      </c>
      <c r="L1020" s="133" t="s">
        <v>1092</v>
      </c>
      <c r="M1020" s="133">
        <v>12659.400000000001</v>
      </c>
      <c r="N1020" s="147">
        <f>+F1020+F1021+F1022+F1023+F1024-M1020-M1021</f>
        <v>0</v>
      </c>
      <c r="P1020" s="140"/>
      <c r="Q1020" s="140"/>
    </row>
    <row r="1021" spans="1:17" hidden="1" x14ac:dyDescent="0.35">
      <c r="A1021" s="146"/>
      <c r="B1021" s="143"/>
      <c r="C1021" s="133"/>
      <c r="D1021" s="133"/>
      <c r="E1021" s="145" t="s">
        <v>1342</v>
      </c>
      <c r="F1021" s="145">
        <v>7837</v>
      </c>
      <c r="G1021" s="133" t="s">
        <v>1034</v>
      </c>
      <c r="H1021" s="144" t="s">
        <v>1341</v>
      </c>
      <c r="I1021" s="133" t="s">
        <v>1092</v>
      </c>
      <c r="J1021" s="133" t="s">
        <v>1960</v>
      </c>
      <c r="K1021" s="143">
        <v>45352</v>
      </c>
      <c r="L1021" s="133" t="s">
        <v>1241</v>
      </c>
      <c r="M1021" s="133">
        <v>259</v>
      </c>
      <c r="N1021" s="147"/>
      <c r="P1021" s="140"/>
      <c r="Q1021" s="140"/>
    </row>
    <row r="1022" spans="1:17" hidden="1" x14ac:dyDescent="0.35">
      <c r="A1022" s="146"/>
      <c r="B1022" s="143"/>
      <c r="C1022" s="133"/>
      <c r="D1022" s="133"/>
      <c r="E1022" s="145" t="s">
        <v>1064</v>
      </c>
      <c r="F1022" s="145">
        <v>1206.7</v>
      </c>
      <c r="G1022" s="133"/>
      <c r="H1022" s="144"/>
      <c r="I1022" s="133"/>
      <c r="J1022" s="133"/>
      <c r="K1022" s="133"/>
      <c r="L1022" s="133"/>
      <c r="M1022" s="133"/>
      <c r="N1022" s="147"/>
      <c r="P1022" s="140"/>
      <c r="Q1022" s="140"/>
    </row>
    <row r="1023" spans="1:17" hidden="1" x14ac:dyDescent="0.35">
      <c r="A1023" s="146"/>
      <c r="B1023" s="143"/>
      <c r="C1023" s="133"/>
      <c r="D1023" s="133"/>
      <c r="E1023" s="148" t="s">
        <v>1074</v>
      </c>
      <c r="F1023" s="145">
        <v>100</v>
      </c>
      <c r="G1023" s="133"/>
      <c r="H1023" s="144"/>
      <c r="I1023" s="133"/>
      <c r="J1023" s="133"/>
      <c r="K1023" s="133"/>
      <c r="L1023" s="133"/>
      <c r="M1023" s="133"/>
      <c r="N1023" s="147"/>
      <c r="P1023" s="140"/>
      <c r="Q1023" s="140"/>
    </row>
    <row r="1024" spans="1:17" hidden="1" x14ac:dyDescent="0.35">
      <c r="A1024" s="146"/>
      <c r="B1024" s="143"/>
      <c r="C1024" s="133"/>
      <c r="D1024" s="133"/>
      <c r="E1024" s="145" t="s">
        <v>1067</v>
      </c>
      <c r="F1024" s="145">
        <v>358</v>
      </c>
      <c r="G1024" s="133"/>
      <c r="H1024" s="144"/>
      <c r="I1024" s="133"/>
      <c r="J1024" s="133"/>
      <c r="K1024" s="133"/>
      <c r="L1024" s="133"/>
      <c r="M1024" s="133"/>
      <c r="N1024" s="147"/>
      <c r="P1024" s="140"/>
      <c r="Q1024" s="140"/>
    </row>
    <row r="1025" spans="1:17" hidden="1" x14ac:dyDescent="0.35">
      <c r="A1025" s="146"/>
      <c r="B1025" s="143"/>
      <c r="C1025" s="133"/>
      <c r="D1025" s="133"/>
      <c r="E1025" s="145"/>
      <c r="F1025" s="145"/>
      <c r="G1025" s="133"/>
      <c r="H1025" s="144"/>
      <c r="I1025" s="133"/>
      <c r="J1025" s="133"/>
      <c r="K1025" s="133"/>
      <c r="L1025" s="133"/>
      <c r="M1025" s="133"/>
      <c r="N1025" s="147"/>
      <c r="P1025" s="140"/>
      <c r="Q1025" s="140"/>
    </row>
    <row r="1026" spans="1:17" hidden="1" x14ac:dyDescent="0.35">
      <c r="A1026" s="146">
        <v>221</v>
      </c>
      <c r="B1026" s="143">
        <v>45292</v>
      </c>
      <c r="C1026" s="133" t="s">
        <v>1535</v>
      </c>
      <c r="D1026" s="133" t="s">
        <v>1996</v>
      </c>
      <c r="E1026" s="145" t="s">
        <v>1171</v>
      </c>
      <c r="F1026" s="145">
        <v>50</v>
      </c>
      <c r="G1026" s="133" t="s">
        <v>1034</v>
      </c>
      <c r="H1026" s="144" t="s">
        <v>1341</v>
      </c>
      <c r="I1026" s="133" t="s">
        <v>1092</v>
      </c>
      <c r="J1026" s="133" t="s">
        <v>1980</v>
      </c>
      <c r="K1026" s="143">
        <v>45323</v>
      </c>
      <c r="L1026" s="133" t="s">
        <v>1092</v>
      </c>
      <c r="M1026" s="133">
        <v>2964.5</v>
      </c>
      <c r="N1026" s="147">
        <f>+F1026+F1027+F1028-M1026-M1027</f>
        <v>0</v>
      </c>
      <c r="P1026" s="140"/>
      <c r="Q1026" s="140"/>
    </row>
    <row r="1027" spans="1:17" hidden="1" x14ac:dyDescent="0.35">
      <c r="A1027" s="146"/>
      <c r="B1027" s="143"/>
      <c r="C1027" s="133"/>
      <c r="D1027" s="133"/>
      <c r="E1027" s="145" t="s">
        <v>1067</v>
      </c>
      <c r="F1027" s="145">
        <v>2385</v>
      </c>
      <c r="G1027" s="133" t="s">
        <v>1034</v>
      </c>
      <c r="H1027" s="144" t="s">
        <v>1341</v>
      </c>
      <c r="I1027" s="133" t="s">
        <v>1092</v>
      </c>
      <c r="J1027" s="133" t="s">
        <v>1960</v>
      </c>
      <c r="K1027" s="143">
        <v>45352</v>
      </c>
      <c r="L1027" s="133" t="s">
        <v>1241</v>
      </c>
      <c r="M1027" s="133">
        <v>61</v>
      </c>
      <c r="N1027" s="147"/>
      <c r="P1027" s="140"/>
      <c r="Q1027" s="140"/>
    </row>
    <row r="1028" spans="1:17" hidden="1" x14ac:dyDescent="0.35">
      <c r="A1028" s="146"/>
      <c r="B1028" s="143"/>
      <c r="C1028" s="133"/>
      <c r="D1028" s="133"/>
      <c r="E1028" s="145" t="s">
        <v>1075</v>
      </c>
      <c r="F1028" s="145">
        <v>590.5</v>
      </c>
      <c r="G1028" s="133"/>
      <c r="H1028" s="144"/>
      <c r="I1028" s="133"/>
      <c r="J1028" s="133"/>
      <c r="K1028" s="133"/>
      <c r="L1028" s="133"/>
      <c r="M1028" s="133"/>
      <c r="N1028" s="147"/>
      <c r="P1028" s="140"/>
      <c r="Q1028" s="140"/>
    </row>
    <row r="1029" spans="1:17" hidden="1" x14ac:dyDescent="0.35">
      <c r="A1029" s="146"/>
      <c r="B1029" s="143"/>
      <c r="C1029" s="133"/>
      <c r="D1029" s="133"/>
      <c r="E1029" s="145"/>
      <c r="F1029" s="145"/>
      <c r="G1029" s="133"/>
      <c r="H1029" s="144"/>
      <c r="I1029" s="133"/>
      <c r="J1029" s="133"/>
      <c r="K1029" s="133"/>
      <c r="L1029" s="133"/>
      <c r="M1029" s="133"/>
      <c r="N1029" s="147"/>
      <c r="P1029" s="140"/>
      <c r="Q1029" s="140"/>
    </row>
    <row r="1030" spans="1:17" hidden="1" x14ac:dyDescent="0.35">
      <c r="A1030" s="146">
        <v>222</v>
      </c>
      <c r="B1030" s="143">
        <v>45292</v>
      </c>
      <c r="C1030" s="133" t="s">
        <v>1534</v>
      </c>
      <c r="D1030" s="133" t="s">
        <v>1995</v>
      </c>
      <c r="E1030" s="145" t="s">
        <v>1064</v>
      </c>
      <c r="F1030" s="145">
        <v>809</v>
      </c>
      <c r="G1030" s="133" t="s">
        <v>1034</v>
      </c>
      <c r="H1030" s="144" t="s">
        <v>1341</v>
      </c>
      <c r="I1030" s="133" t="s">
        <v>1092</v>
      </c>
      <c r="J1030" s="133" t="s">
        <v>1980</v>
      </c>
      <c r="K1030" s="143">
        <v>45323</v>
      </c>
      <c r="L1030" s="133" t="s">
        <v>1092</v>
      </c>
      <c r="M1030" s="133">
        <v>9734.6999999999989</v>
      </c>
      <c r="N1030" s="147">
        <f>+F1030+F1031+F1032+F1033+F1034+F1035-M1030-M1031</f>
        <v>0</v>
      </c>
      <c r="P1030" s="140"/>
      <c r="Q1030" s="140"/>
    </row>
    <row r="1031" spans="1:17" hidden="1" x14ac:dyDescent="0.35">
      <c r="A1031" s="146"/>
      <c r="B1031" s="143"/>
      <c r="C1031" s="133"/>
      <c r="D1031" s="133"/>
      <c r="E1031" s="145" t="s">
        <v>1067</v>
      </c>
      <c r="F1031" s="145">
        <v>2410</v>
      </c>
      <c r="G1031" s="133" t="s">
        <v>1034</v>
      </c>
      <c r="H1031" s="144" t="s">
        <v>1341</v>
      </c>
      <c r="I1031" s="133" t="s">
        <v>1092</v>
      </c>
      <c r="J1031" s="133" t="s">
        <v>1960</v>
      </c>
      <c r="K1031" s="143">
        <v>45352</v>
      </c>
      <c r="L1031" s="133" t="s">
        <v>1241</v>
      </c>
      <c r="M1031" s="133">
        <v>197</v>
      </c>
      <c r="N1031" s="147"/>
      <c r="P1031" s="140"/>
      <c r="Q1031" s="140"/>
    </row>
    <row r="1032" spans="1:17" hidden="1" x14ac:dyDescent="0.35">
      <c r="A1032" s="146"/>
      <c r="B1032" s="143"/>
      <c r="C1032" s="133"/>
      <c r="D1032" s="133"/>
      <c r="E1032" s="145" t="s">
        <v>1075</v>
      </c>
      <c r="F1032" s="145">
        <v>311</v>
      </c>
      <c r="G1032" s="133"/>
      <c r="H1032" s="144"/>
      <c r="I1032" s="133"/>
      <c r="J1032" s="133"/>
      <c r="K1032" s="133"/>
      <c r="L1032" s="133"/>
      <c r="M1032" s="133"/>
      <c r="N1032" s="147"/>
      <c r="P1032" s="140"/>
      <c r="Q1032" s="140"/>
    </row>
    <row r="1033" spans="1:17" hidden="1" x14ac:dyDescent="0.35">
      <c r="A1033" s="146"/>
      <c r="B1033" s="143"/>
      <c r="C1033" s="133"/>
      <c r="D1033" s="133"/>
      <c r="E1033" s="145" t="s">
        <v>1075</v>
      </c>
      <c r="F1033" s="145">
        <v>3290.9</v>
      </c>
      <c r="G1033" s="133"/>
      <c r="H1033" s="144"/>
      <c r="I1033" s="133"/>
      <c r="J1033" s="133"/>
      <c r="K1033" s="133"/>
      <c r="L1033" s="133"/>
      <c r="M1033" s="133"/>
      <c r="N1033" s="147"/>
      <c r="P1033" s="140"/>
      <c r="Q1033" s="140"/>
    </row>
    <row r="1034" spans="1:17" hidden="1" x14ac:dyDescent="0.35">
      <c r="A1034" s="146"/>
      <c r="B1034" s="143"/>
      <c r="C1034" s="133"/>
      <c r="D1034" s="133"/>
      <c r="E1034" s="145" t="s">
        <v>1342</v>
      </c>
      <c r="F1034" s="145">
        <v>1983</v>
      </c>
      <c r="G1034" s="133"/>
      <c r="H1034" s="144"/>
      <c r="I1034" s="133"/>
      <c r="J1034" s="133"/>
      <c r="K1034" s="133"/>
      <c r="L1034" s="133"/>
      <c r="M1034" s="133"/>
      <c r="N1034" s="147"/>
      <c r="P1034" s="140"/>
      <c r="Q1034" s="140"/>
    </row>
    <row r="1035" spans="1:17" hidden="1" x14ac:dyDescent="0.35">
      <c r="A1035" s="146"/>
      <c r="B1035" s="143"/>
      <c r="C1035" s="133"/>
      <c r="D1035" s="133"/>
      <c r="E1035" s="145" t="s">
        <v>1118</v>
      </c>
      <c r="F1035" s="145">
        <v>1127.8</v>
      </c>
      <c r="G1035" s="133"/>
      <c r="H1035" s="144"/>
      <c r="I1035" s="133"/>
      <c r="J1035" s="133"/>
      <c r="K1035" s="133"/>
      <c r="L1035" s="133"/>
      <c r="M1035" s="133"/>
      <c r="N1035" s="147"/>
      <c r="P1035" s="140"/>
      <c r="Q1035" s="140"/>
    </row>
    <row r="1036" spans="1:17" hidden="1" x14ac:dyDescent="0.35">
      <c r="A1036" s="146"/>
      <c r="B1036" s="143"/>
      <c r="C1036" s="133"/>
      <c r="D1036" s="133"/>
      <c r="E1036" s="145"/>
      <c r="F1036" s="145"/>
      <c r="G1036" s="133"/>
      <c r="H1036" s="144"/>
      <c r="I1036" s="133"/>
      <c r="J1036" s="133"/>
      <c r="K1036" s="133"/>
      <c r="L1036" s="133"/>
      <c r="M1036" s="133"/>
      <c r="N1036" s="147"/>
      <c r="P1036" s="140"/>
      <c r="Q1036" s="140"/>
    </row>
    <row r="1037" spans="1:17" hidden="1" x14ac:dyDescent="0.35">
      <c r="A1037" s="146">
        <v>223</v>
      </c>
      <c r="B1037" s="143">
        <v>45292</v>
      </c>
      <c r="C1037" s="133" t="s">
        <v>1532</v>
      </c>
      <c r="D1037" s="133" t="s">
        <v>1994</v>
      </c>
      <c r="E1037" s="145" t="s">
        <v>1075</v>
      </c>
      <c r="F1037" s="145">
        <v>1734</v>
      </c>
      <c r="G1037" s="133" t="s">
        <v>1034</v>
      </c>
      <c r="H1037" s="144" t="s">
        <v>1341</v>
      </c>
      <c r="I1037" s="133" t="s">
        <v>1092</v>
      </c>
      <c r="J1037" s="133" t="s">
        <v>1980</v>
      </c>
      <c r="K1037" s="143">
        <v>45323</v>
      </c>
      <c r="L1037" s="133" t="s">
        <v>1092</v>
      </c>
      <c r="M1037" s="133">
        <v>7518.8</v>
      </c>
      <c r="N1037" s="147">
        <f>+F1037+F1038-M1037-M1038</f>
        <v>0</v>
      </c>
      <c r="P1037" s="140"/>
      <c r="Q1037" s="140"/>
    </row>
    <row r="1038" spans="1:17" hidden="1" x14ac:dyDescent="0.35">
      <c r="A1038" s="146"/>
      <c r="B1038" s="143"/>
      <c r="C1038" s="133"/>
      <c r="D1038" s="133"/>
      <c r="E1038" s="145" t="s">
        <v>1067</v>
      </c>
      <c r="F1038" s="145">
        <v>5936.8</v>
      </c>
      <c r="G1038" s="133" t="s">
        <v>1034</v>
      </c>
      <c r="H1038" s="144" t="s">
        <v>1341</v>
      </c>
      <c r="I1038" s="133" t="s">
        <v>1092</v>
      </c>
      <c r="J1038" s="133" t="s">
        <v>1960</v>
      </c>
      <c r="K1038" s="143">
        <v>45352</v>
      </c>
      <c r="L1038" s="133" t="s">
        <v>1241</v>
      </c>
      <c r="M1038" s="133">
        <v>152</v>
      </c>
      <c r="N1038" s="147"/>
      <c r="P1038" s="140"/>
      <c r="Q1038" s="140"/>
    </row>
    <row r="1039" spans="1:17" hidden="1" x14ac:dyDescent="0.35">
      <c r="A1039" s="146"/>
      <c r="B1039" s="143"/>
      <c r="C1039" s="133"/>
      <c r="D1039" s="133"/>
      <c r="E1039" s="145"/>
      <c r="F1039" s="145"/>
      <c r="G1039" s="133"/>
      <c r="H1039" s="144"/>
      <c r="I1039" s="133"/>
      <c r="J1039" s="133"/>
      <c r="K1039" s="133"/>
      <c r="L1039" s="133"/>
      <c r="M1039" s="133"/>
      <c r="N1039" s="147"/>
      <c r="P1039" s="140"/>
      <c r="Q1039" s="140"/>
    </row>
    <row r="1040" spans="1:17" hidden="1" x14ac:dyDescent="0.35">
      <c r="A1040" s="146">
        <v>224</v>
      </c>
      <c r="B1040" s="143">
        <v>45292</v>
      </c>
      <c r="C1040" s="133" t="s">
        <v>1531</v>
      </c>
      <c r="D1040" s="133" t="s">
        <v>1993</v>
      </c>
      <c r="E1040" s="145" t="s">
        <v>1118</v>
      </c>
      <c r="F1040" s="145">
        <v>2152.61</v>
      </c>
      <c r="G1040" s="133" t="s">
        <v>1034</v>
      </c>
      <c r="H1040" s="144" t="s">
        <v>1341</v>
      </c>
      <c r="I1040" s="133" t="s">
        <v>1092</v>
      </c>
      <c r="J1040" s="133" t="s">
        <v>1980</v>
      </c>
      <c r="K1040" s="143">
        <v>45323</v>
      </c>
      <c r="L1040" s="133" t="s">
        <v>1092</v>
      </c>
      <c r="M1040" s="133">
        <v>2329.4100000000003</v>
      </c>
      <c r="N1040" s="147">
        <f>+F1040+F1041+F1042-M1040-M1041</f>
        <v>0</v>
      </c>
      <c r="P1040" s="140"/>
      <c r="Q1040" s="140"/>
    </row>
    <row r="1041" spans="1:17" hidden="1" x14ac:dyDescent="0.35">
      <c r="A1041" s="146"/>
      <c r="B1041" s="143"/>
      <c r="C1041" s="133"/>
      <c r="D1041" s="133"/>
      <c r="E1041" s="145" t="s">
        <v>1067</v>
      </c>
      <c r="F1041" s="145">
        <v>97.8</v>
      </c>
      <c r="G1041" s="133" t="s">
        <v>1034</v>
      </c>
      <c r="H1041" s="144" t="s">
        <v>1341</v>
      </c>
      <c r="I1041" s="133" t="s">
        <v>1092</v>
      </c>
      <c r="J1041" s="133" t="s">
        <v>1960</v>
      </c>
      <c r="K1041" s="143">
        <v>45352</v>
      </c>
      <c r="L1041" s="133" t="s">
        <v>1241</v>
      </c>
      <c r="M1041" s="133">
        <v>46</v>
      </c>
      <c r="N1041" s="147"/>
      <c r="P1041" s="140"/>
      <c r="Q1041" s="140"/>
    </row>
    <row r="1042" spans="1:17" hidden="1" x14ac:dyDescent="0.35">
      <c r="A1042" s="146"/>
      <c r="B1042" s="143"/>
      <c r="C1042" s="133"/>
      <c r="D1042" s="133"/>
      <c r="E1042" s="145" t="s">
        <v>1171</v>
      </c>
      <c r="F1042" s="145">
        <v>125</v>
      </c>
      <c r="G1042" s="133"/>
      <c r="H1042" s="144"/>
      <c r="I1042" s="133"/>
      <c r="J1042" s="133"/>
      <c r="K1042" s="133"/>
      <c r="L1042" s="133"/>
      <c r="M1042" s="133"/>
      <c r="N1042" s="147"/>
      <c r="P1042" s="140"/>
      <c r="Q1042" s="140"/>
    </row>
    <row r="1043" spans="1:17" hidden="1" x14ac:dyDescent="0.35">
      <c r="A1043" s="146"/>
      <c r="B1043" s="143"/>
      <c r="C1043" s="133"/>
      <c r="D1043" s="133"/>
      <c r="E1043" s="145"/>
      <c r="F1043" s="145"/>
      <c r="G1043" s="133"/>
      <c r="H1043" s="144"/>
      <c r="I1043" s="133"/>
      <c r="J1043" s="133"/>
      <c r="K1043" s="133"/>
      <c r="L1043" s="133"/>
      <c r="M1043" s="133"/>
      <c r="N1043" s="147"/>
      <c r="P1043" s="140"/>
      <c r="Q1043" s="140"/>
    </row>
    <row r="1044" spans="1:17" hidden="1" x14ac:dyDescent="0.35">
      <c r="A1044" s="146">
        <v>225</v>
      </c>
      <c r="B1044" s="143">
        <v>45292</v>
      </c>
      <c r="C1044" s="133" t="s">
        <v>1530</v>
      </c>
      <c r="D1044" s="133" t="s">
        <v>1992</v>
      </c>
      <c r="E1044" s="145" t="s">
        <v>1075</v>
      </c>
      <c r="F1044" s="194">
        <v>2086</v>
      </c>
      <c r="G1044" s="133" t="s">
        <v>1034</v>
      </c>
      <c r="H1044" s="144" t="s">
        <v>1341</v>
      </c>
      <c r="I1044" s="133" t="s">
        <v>1092</v>
      </c>
      <c r="J1044" s="133" t="s">
        <v>1980</v>
      </c>
      <c r="K1044" s="143">
        <v>45323</v>
      </c>
      <c r="L1044" s="133" t="s">
        <v>1092</v>
      </c>
      <c r="M1044" s="133">
        <v>9137</v>
      </c>
      <c r="N1044" s="147">
        <f>+F1044+F1045+F1046-M1044-M1045</f>
        <v>0</v>
      </c>
      <c r="P1044" s="140"/>
      <c r="Q1044" s="140"/>
    </row>
    <row r="1045" spans="1:17" hidden="1" x14ac:dyDescent="0.35">
      <c r="A1045" s="146"/>
      <c r="B1045" s="143"/>
      <c r="C1045" s="133"/>
      <c r="D1045" s="133"/>
      <c r="E1045" s="145" t="s">
        <v>1067</v>
      </c>
      <c r="F1045" s="194">
        <v>249</v>
      </c>
      <c r="G1045" s="133" t="s">
        <v>1034</v>
      </c>
      <c r="H1045" s="144" t="s">
        <v>1341</v>
      </c>
      <c r="I1045" s="133" t="s">
        <v>1092</v>
      </c>
      <c r="J1045" s="133" t="s">
        <v>1960</v>
      </c>
      <c r="K1045" s="143">
        <v>45352</v>
      </c>
      <c r="L1045" s="133" t="s">
        <v>1241</v>
      </c>
      <c r="M1045" s="133">
        <v>189</v>
      </c>
      <c r="N1045" s="147"/>
      <c r="O1045" s="140"/>
      <c r="P1045" s="140"/>
      <c r="Q1045" s="140"/>
    </row>
    <row r="1046" spans="1:17" hidden="1" x14ac:dyDescent="0.35">
      <c r="A1046" s="146"/>
      <c r="B1046" s="143"/>
      <c r="C1046" s="133"/>
      <c r="D1046" s="133"/>
      <c r="E1046" s="145" t="s">
        <v>1342</v>
      </c>
      <c r="F1046" s="194">
        <v>6991</v>
      </c>
      <c r="G1046" s="133"/>
      <c r="H1046" s="144"/>
      <c r="I1046" s="133"/>
      <c r="J1046" s="133"/>
      <c r="K1046" s="133"/>
      <c r="L1046" s="133"/>
      <c r="M1046" s="133"/>
      <c r="N1046" s="147"/>
      <c r="P1046" s="140"/>
      <c r="Q1046" s="140"/>
    </row>
    <row r="1047" spans="1:17" hidden="1" x14ac:dyDescent="0.35">
      <c r="A1047" s="146"/>
      <c r="B1047" s="143"/>
      <c r="C1047" s="133"/>
      <c r="D1047" s="133"/>
      <c r="E1047" s="145"/>
      <c r="F1047" s="145"/>
      <c r="G1047" s="133"/>
      <c r="H1047" s="144"/>
      <c r="I1047" s="133"/>
      <c r="J1047" s="133"/>
      <c r="K1047" s="133"/>
      <c r="L1047" s="133"/>
      <c r="M1047" s="133"/>
      <c r="N1047" s="147"/>
      <c r="P1047" s="140"/>
      <c r="Q1047" s="140"/>
    </row>
    <row r="1048" spans="1:17" hidden="1" x14ac:dyDescent="0.35">
      <c r="A1048" s="156"/>
      <c r="B1048" s="152"/>
      <c r="C1048" s="151"/>
      <c r="D1048" s="151"/>
      <c r="E1048" s="154"/>
      <c r="F1048" s="154"/>
      <c r="G1048" s="151"/>
      <c r="H1048" s="153"/>
      <c r="I1048" s="151"/>
      <c r="J1048" s="151"/>
      <c r="K1048" s="151"/>
      <c r="L1048" s="151"/>
      <c r="M1048" s="151"/>
      <c r="N1048" s="151"/>
      <c r="P1048" s="140"/>
      <c r="Q1048" s="140"/>
    </row>
    <row r="1049" spans="1:17" hidden="1" x14ac:dyDescent="0.35">
      <c r="A1049" s="146"/>
      <c r="B1049" s="143"/>
      <c r="C1049" s="133"/>
      <c r="D1049" s="133"/>
      <c r="E1049" s="145"/>
      <c r="F1049" s="145"/>
      <c r="G1049" s="133"/>
      <c r="H1049" s="144"/>
      <c r="I1049" s="133"/>
      <c r="J1049" s="133"/>
      <c r="K1049" s="133"/>
      <c r="L1049" s="133"/>
      <c r="M1049" s="133"/>
      <c r="N1049" s="147"/>
      <c r="P1049" s="140"/>
      <c r="Q1049" s="140"/>
    </row>
    <row r="1050" spans="1:17" hidden="1" x14ac:dyDescent="0.35">
      <c r="A1050" s="146">
        <v>226</v>
      </c>
      <c r="B1050" s="143">
        <v>45323</v>
      </c>
      <c r="C1050" s="133" t="s">
        <v>1528</v>
      </c>
      <c r="D1050" s="133" t="s">
        <v>1991</v>
      </c>
      <c r="E1050" s="145" t="s">
        <v>1075</v>
      </c>
      <c r="F1050" s="194">
        <v>2061.6999999999998</v>
      </c>
      <c r="G1050" s="133" t="s">
        <v>1034</v>
      </c>
      <c r="H1050" s="144" t="s">
        <v>1341</v>
      </c>
      <c r="I1050" s="133" t="s">
        <v>1092</v>
      </c>
      <c r="J1050" s="133" t="s">
        <v>1983</v>
      </c>
      <c r="K1050" s="143">
        <v>45352</v>
      </c>
      <c r="L1050" s="133" t="s">
        <v>1092</v>
      </c>
      <c r="M1050" s="133">
        <v>9767.7999999999993</v>
      </c>
      <c r="N1050" s="147">
        <f>+F1050+F1051+F1052+F1053-M1050-M1051</f>
        <v>0</v>
      </c>
      <c r="P1050" s="140"/>
      <c r="Q1050" s="140"/>
    </row>
    <row r="1051" spans="1:17" hidden="1" x14ac:dyDescent="0.35">
      <c r="A1051" s="146"/>
      <c r="B1051" s="143"/>
      <c r="C1051" s="133"/>
      <c r="D1051" s="133"/>
      <c r="E1051" s="145" t="s">
        <v>1067</v>
      </c>
      <c r="F1051" s="194">
        <v>1984.1</v>
      </c>
      <c r="G1051" s="133" t="s">
        <v>1034</v>
      </c>
      <c r="H1051" s="144" t="s">
        <v>1341</v>
      </c>
      <c r="I1051" s="133" t="s">
        <v>1092</v>
      </c>
      <c r="J1051" s="133" t="s">
        <v>1960</v>
      </c>
      <c r="K1051" s="143">
        <v>45352</v>
      </c>
      <c r="L1051" s="133" t="s">
        <v>1241</v>
      </c>
      <c r="M1051" s="133">
        <v>201</v>
      </c>
      <c r="N1051" s="147"/>
      <c r="O1051" s="140"/>
      <c r="P1051" s="140"/>
      <c r="Q1051" s="140"/>
    </row>
    <row r="1052" spans="1:17" hidden="1" x14ac:dyDescent="0.35">
      <c r="A1052" s="146"/>
      <c r="B1052" s="143"/>
      <c r="C1052" s="133"/>
      <c r="D1052" s="133"/>
      <c r="E1052" s="145" t="s">
        <v>1118</v>
      </c>
      <c r="F1052" s="194">
        <v>4135.7</v>
      </c>
      <c r="G1052" s="133"/>
      <c r="H1052" s="144"/>
      <c r="I1052" s="133"/>
      <c r="J1052" s="133"/>
      <c r="K1052" s="133"/>
      <c r="L1052" s="133"/>
      <c r="M1052" s="133"/>
      <c r="N1052" s="147"/>
      <c r="P1052" s="140"/>
      <c r="Q1052" s="140"/>
    </row>
    <row r="1053" spans="1:17" hidden="1" x14ac:dyDescent="0.35">
      <c r="A1053" s="146"/>
      <c r="B1053" s="143"/>
      <c r="C1053" s="133"/>
      <c r="D1053" s="133"/>
      <c r="E1053" s="145" t="s">
        <v>1064</v>
      </c>
      <c r="F1053" s="194">
        <v>1787.3</v>
      </c>
      <c r="G1053" s="133"/>
      <c r="H1053" s="144"/>
      <c r="I1053" s="133"/>
      <c r="J1053" s="133"/>
      <c r="K1053" s="133"/>
      <c r="L1053" s="133"/>
      <c r="M1053" s="133"/>
      <c r="N1053" s="147"/>
      <c r="P1053" s="140"/>
      <c r="Q1053" s="140"/>
    </row>
    <row r="1054" spans="1:17" hidden="1" x14ac:dyDescent="0.35">
      <c r="A1054" s="146"/>
      <c r="B1054" s="143"/>
      <c r="C1054" s="133"/>
      <c r="D1054" s="133"/>
      <c r="E1054" s="145"/>
      <c r="F1054" s="194"/>
      <c r="G1054" s="133"/>
      <c r="H1054" s="144"/>
      <c r="I1054" s="133"/>
      <c r="J1054" s="133"/>
      <c r="K1054" s="133"/>
      <c r="L1054" s="133"/>
      <c r="M1054" s="133"/>
      <c r="N1054" s="147"/>
      <c r="P1054" s="140"/>
      <c r="Q1054" s="140"/>
    </row>
    <row r="1055" spans="1:17" hidden="1" x14ac:dyDescent="0.35">
      <c r="A1055" s="146">
        <v>227</v>
      </c>
      <c r="B1055" s="143">
        <v>45323</v>
      </c>
      <c r="C1055" s="133" t="s">
        <v>1526</v>
      </c>
      <c r="D1055" s="133" t="s">
        <v>1990</v>
      </c>
      <c r="E1055" s="145" t="s">
        <v>1075</v>
      </c>
      <c r="F1055" s="194">
        <v>1910</v>
      </c>
      <c r="G1055" s="133" t="s">
        <v>1034</v>
      </c>
      <c r="H1055" s="144" t="s">
        <v>1341</v>
      </c>
      <c r="I1055" s="133" t="s">
        <v>1092</v>
      </c>
      <c r="J1055" s="133" t="s">
        <v>1983</v>
      </c>
      <c r="K1055" s="143">
        <v>45352</v>
      </c>
      <c r="L1055" s="133" t="s">
        <v>1092</v>
      </c>
      <c r="M1055" s="133">
        <v>3314.6</v>
      </c>
      <c r="N1055" s="147">
        <f>+F1055+F1056+F1057-M1055-M1056</f>
        <v>0</v>
      </c>
      <c r="P1055" s="140"/>
      <c r="Q1055" s="140"/>
    </row>
    <row r="1056" spans="1:17" hidden="1" x14ac:dyDescent="0.35">
      <c r="A1056" s="146"/>
      <c r="B1056" s="143"/>
      <c r="C1056" s="133"/>
      <c r="D1056" s="133"/>
      <c r="E1056" s="145" t="s">
        <v>1067</v>
      </c>
      <c r="F1056" s="194">
        <v>1053.5999999999999</v>
      </c>
      <c r="G1056" s="133" t="s">
        <v>1034</v>
      </c>
      <c r="H1056" s="144" t="s">
        <v>1341</v>
      </c>
      <c r="I1056" s="133" t="s">
        <v>1092</v>
      </c>
      <c r="J1056" s="133" t="s">
        <v>1960</v>
      </c>
      <c r="K1056" s="143">
        <v>45352</v>
      </c>
      <c r="L1056" s="133" t="s">
        <v>1241</v>
      </c>
      <c r="M1056" s="133">
        <v>64</v>
      </c>
      <c r="N1056" s="147"/>
      <c r="O1056" s="140"/>
      <c r="P1056" s="140"/>
      <c r="Q1056" s="140"/>
    </row>
    <row r="1057" spans="1:17" hidden="1" x14ac:dyDescent="0.35">
      <c r="A1057" s="146"/>
      <c r="B1057" s="143"/>
      <c r="C1057" s="133"/>
      <c r="D1057" s="133"/>
      <c r="E1057" s="145" t="s">
        <v>1342</v>
      </c>
      <c r="F1057" s="194">
        <v>415</v>
      </c>
      <c r="G1057" s="133"/>
      <c r="H1057" s="144"/>
      <c r="I1057" s="133"/>
      <c r="J1057" s="133"/>
      <c r="K1057" s="133"/>
      <c r="L1057" s="133"/>
      <c r="M1057" s="133"/>
      <c r="N1057" s="147"/>
      <c r="P1057" s="140"/>
      <c r="Q1057" s="140"/>
    </row>
    <row r="1058" spans="1:17" hidden="1" x14ac:dyDescent="0.35">
      <c r="A1058" s="146"/>
      <c r="B1058" s="143"/>
      <c r="C1058" s="133"/>
      <c r="D1058" s="133"/>
      <c r="E1058" s="145"/>
      <c r="F1058" s="194"/>
      <c r="G1058" s="133"/>
      <c r="H1058" s="144"/>
      <c r="I1058" s="133"/>
      <c r="J1058" s="133"/>
      <c r="K1058" s="133"/>
      <c r="L1058" s="133"/>
      <c r="M1058" s="133"/>
      <c r="N1058" s="147"/>
      <c r="P1058" s="140"/>
      <c r="Q1058" s="140"/>
    </row>
    <row r="1059" spans="1:17" hidden="1" x14ac:dyDescent="0.35">
      <c r="A1059" s="146">
        <v>228</v>
      </c>
      <c r="B1059" s="143">
        <v>45323</v>
      </c>
      <c r="C1059" s="133" t="s">
        <v>1525</v>
      </c>
      <c r="D1059" s="133" t="s">
        <v>1989</v>
      </c>
      <c r="E1059" s="145" t="s">
        <v>1075</v>
      </c>
      <c r="F1059" s="194">
        <v>4388.5</v>
      </c>
      <c r="G1059" s="133" t="s">
        <v>1034</v>
      </c>
      <c r="H1059" s="144" t="s">
        <v>1341</v>
      </c>
      <c r="I1059" s="133" t="s">
        <v>1092</v>
      </c>
      <c r="J1059" s="133" t="s">
        <v>1983</v>
      </c>
      <c r="K1059" s="143">
        <v>45352</v>
      </c>
      <c r="L1059" s="133" t="s">
        <v>1092</v>
      </c>
      <c r="M1059" s="133">
        <v>13841.5</v>
      </c>
      <c r="N1059" s="147">
        <f>+F1059+F1060+F1061+F1062-M1059-M1060</f>
        <v>0</v>
      </c>
      <c r="P1059" s="140"/>
      <c r="Q1059" s="140"/>
    </row>
    <row r="1060" spans="1:17" hidden="1" x14ac:dyDescent="0.35">
      <c r="A1060" s="146"/>
      <c r="B1060" s="143"/>
      <c r="C1060" s="133"/>
      <c r="D1060" s="133"/>
      <c r="E1060" s="145" t="s">
        <v>1067</v>
      </c>
      <c r="F1060" s="194">
        <v>3115.1</v>
      </c>
      <c r="G1060" s="133" t="s">
        <v>1034</v>
      </c>
      <c r="H1060" s="144" t="s">
        <v>1341</v>
      </c>
      <c r="I1060" s="133" t="s">
        <v>1092</v>
      </c>
      <c r="J1060" s="133" t="s">
        <v>1960</v>
      </c>
      <c r="K1060" s="143">
        <v>45352</v>
      </c>
      <c r="L1060" s="133" t="s">
        <v>1241</v>
      </c>
      <c r="M1060" s="133">
        <v>280</v>
      </c>
      <c r="N1060" s="147"/>
      <c r="O1060" s="140"/>
      <c r="P1060" s="140"/>
      <c r="Q1060" s="140"/>
    </row>
    <row r="1061" spans="1:17" hidden="1" x14ac:dyDescent="0.35">
      <c r="A1061" s="146"/>
      <c r="B1061" s="143"/>
      <c r="C1061" s="133"/>
      <c r="D1061" s="133"/>
      <c r="E1061" s="145" t="s">
        <v>1342</v>
      </c>
      <c r="F1061" s="194">
        <v>5720</v>
      </c>
      <c r="G1061" s="133"/>
      <c r="H1061" s="144"/>
      <c r="I1061" s="133"/>
      <c r="J1061" s="133"/>
      <c r="K1061" s="133"/>
      <c r="L1061" s="133"/>
      <c r="M1061" s="133"/>
      <c r="N1061" s="147"/>
      <c r="P1061" s="140"/>
      <c r="Q1061" s="140"/>
    </row>
    <row r="1062" spans="1:17" hidden="1" x14ac:dyDescent="0.35">
      <c r="A1062" s="146"/>
      <c r="B1062" s="143"/>
      <c r="C1062" s="133"/>
      <c r="D1062" s="133"/>
      <c r="E1062" s="145" t="s">
        <v>1064</v>
      </c>
      <c r="F1062" s="194">
        <v>897.9</v>
      </c>
      <c r="G1062" s="133"/>
      <c r="H1062" s="144"/>
      <c r="I1062" s="133"/>
      <c r="J1062" s="133"/>
      <c r="K1062" s="133"/>
      <c r="L1062" s="133"/>
      <c r="M1062" s="133"/>
      <c r="N1062" s="147"/>
      <c r="P1062" s="140"/>
      <c r="Q1062" s="140"/>
    </row>
    <row r="1063" spans="1:17" hidden="1" x14ac:dyDescent="0.35">
      <c r="A1063" s="146"/>
      <c r="B1063" s="143"/>
      <c r="C1063" s="133"/>
      <c r="D1063" s="133"/>
      <c r="E1063" s="145"/>
      <c r="F1063" s="194"/>
      <c r="G1063" s="133"/>
      <c r="H1063" s="144"/>
      <c r="I1063" s="133"/>
      <c r="J1063" s="133"/>
      <c r="K1063" s="133"/>
      <c r="L1063" s="133"/>
      <c r="M1063" s="133"/>
      <c r="N1063" s="147"/>
      <c r="P1063" s="140"/>
      <c r="Q1063" s="140"/>
    </row>
    <row r="1064" spans="1:17" hidden="1" x14ac:dyDescent="0.35">
      <c r="A1064" s="146">
        <v>229</v>
      </c>
      <c r="B1064" s="143">
        <v>45323</v>
      </c>
      <c r="C1064" s="133" t="s">
        <v>1524</v>
      </c>
      <c r="D1064" s="133" t="s">
        <v>1988</v>
      </c>
      <c r="E1064" s="145" t="s">
        <v>1067</v>
      </c>
      <c r="F1064" s="194">
        <v>800.4</v>
      </c>
      <c r="G1064" s="133" t="s">
        <v>1034</v>
      </c>
      <c r="H1064" s="144" t="s">
        <v>1341</v>
      </c>
      <c r="I1064" s="133" t="s">
        <v>1092</v>
      </c>
      <c r="J1064" s="133" t="s">
        <v>1983</v>
      </c>
      <c r="K1064" s="143">
        <v>45352</v>
      </c>
      <c r="L1064" s="133" t="s">
        <v>1092</v>
      </c>
      <c r="M1064" s="133">
        <v>785.4</v>
      </c>
      <c r="N1064" s="147">
        <f>+F1064-M1064-M1065</f>
        <v>0</v>
      </c>
      <c r="P1064" s="140"/>
      <c r="Q1064" s="140"/>
    </row>
    <row r="1065" spans="1:17" hidden="1" x14ac:dyDescent="0.35">
      <c r="A1065" s="146"/>
      <c r="B1065" s="143"/>
      <c r="C1065" s="133"/>
      <c r="D1065" s="133"/>
      <c r="E1065" s="145"/>
      <c r="F1065" s="194"/>
      <c r="G1065" s="133" t="s">
        <v>1034</v>
      </c>
      <c r="H1065" s="144" t="s">
        <v>1341</v>
      </c>
      <c r="I1065" s="133" t="s">
        <v>1092</v>
      </c>
      <c r="J1065" s="133" t="s">
        <v>1960</v>
      </c>
      <c r="K1065" s="143">
        <v>45352</v>
      </c>
      <c r="L1065" s="133" t="s">
        <v>1241</v>
      </c>
      <c r="M1065" s="133">
        <v>15</v>
      </c>
      <c r="N1065" s="147"/>
      <c r="P1065" s="140"/>
      <c r="Q1065" s="140"/>
    </row>
    <row r="1066" spans="1:17" hidden="1" x14ac:dyDescent="0.35">
      <c r="A1066" s="146"/>
      <c r="B1066" s="143"/>
      <c r="C1066" s="133"/>
      <c r="D1066" s="133"/>
      <c r="E1066" s="145"/>
      <c r="F1066" s="194"/>
      <c r="G1066" s="133"/>
      <c r="H1066" s="144"/>
      <c r="I1066" s="133"/>
      <c r="J1066" s="133"/>
      <c r="K1066" s="143"/>
      <c r="L1066" s="133"/>
      <c r="M1066" s="133"/>
      <c r="N1066" s="147"/>
      <c r="P1066" s="140"/>
      <c r="Q1066" s="140"/>
    </row>
    <row r="1067" spans="1:17" hidden="1" x14ac:dyDescent="0.35">
      <c r="A1067" s="146">
        <v>230</v>
      </c>
      <c r="B1067" s="143">
        <v>45323</v>
      </c>
      <c r="C1067" s="133" t="s">
        <v>1522</v>
      </c>
      <c r="D1067" s="133" t="s">
        <v>1987</v>
      </c>
      <c r="E1067" s="148" t="s">
        <v>1059</v>
      </c>
      <c r="F1067" s="194">
        <v>24750</v>
      </c>
      <c r="G1067" s="133" t="s">
        <v>1034</v>
      </c>
      <c r="H1067" s="144" t="s">
        <v>1341</v>
      </c>
      <c r="I1067" s="133" t="s">
        <v>1092</v>
      </c>
      <c r="J1067" s="133" t="s">
        <v>1986</v>
      </c>
      <c r="K1067" s="143">
        <v>45323</v>
      </c>
      <c r="L1067" s="133" t="s">
        <v>1092</v>
      </c>
      <c r="M1067" s="133">
        <v>5965.88</v>
      </c>
      <c r="N1067" s="147">
        <f>+F1067-M1067-M1068-M1069-M1070</f>
        <v>-1.8189894035458565E-12</v>
      </c>
      <c r="P1067" s="140"/>
      <c r="Q1067" s="140"/>
    </row>
    <row r="1068" spans="1:17" hidden="1" x14ac:dyDescent="0.35">
      <c r="A1068" s="146"/>
      <c r="B1068" s="143"/>
      <c r="C1068" s="133"/>
      <c r="D1068" s="133"/>
      <c r="E1068" s="145"/>
      <c r="F1068" s="194"/>
      <c r="G1068" s="133" t="s">
        <v>1034</v>
      </c>
      <c r="H1068" s="144" t="s">
        <v>1341</v>
      </c>
      <c r="I1068" s="133" t="s">
        <v>1092</v>
      </c>
      <c r="J1068" s="133" t="s">
        <v>1985</v>
      </c>
      <c r="K1068" s="143">
        <v>45323</v>
      </c>
      <c r="L1068" s="133" t="s">
        <v>1092</v>
      </c>
      <c r="M1068" s="133">
        <v>12010.29</v>
      </c>
      <c r="N1068" s="147"/>
      <c r="P1068" s="140"/>
      <c r="Q1068" s="140"/>
    </row>
    <row r="1069" spans="1:17" hidden="1" x14ac:dyDescent="0.35">
      <c r="A1069" s="146"/>
      <c r="B1069" s="143"/>
      <c r="C1069" s="133"/>
      <c r="D1069" s="133"/>
      <c r="E1069" s="145"/>
      <c r="F1069" s="194"/>
      <c r="G1069" s="133" t="s">
        <v>1034</v>
      </c>
      <c r="H1069" s="144" t="s">
        <v>1341</v>
      </c>
      <c r="I1069" s="133" t="s">
        <v>1092</v>
      </c>
      <c r="J1069" s="133" t="s">
        <v>1984</v>
      </c>
      <c r="K1069" s="143">
        <v>45323</v>
      </c>
      <c r="L1069" s="133" t="s">
        <v>1092</v>
      </c>
      <c r="M1069" s="133">
        <v>6637.83</v>
      </c>
      <c r="N1069" s="147"/>
      <c r="P1069" s="140"/>
      <c r="Q1069" s="140"/>
    </row>
    <row r="1070" spans="1:17" hidden="1" x14ac:dyDescent="0.35">
      <c r="A1070" s="146"/>
      <c r="B1070" s="143"/>
      <c r="C1070" s="133"/>
      <c r="D1070" s="133"/>
      <c r="E1070" s="145"/>
      <c r="F1070" s="194"/>
      <c r="G1070" s="133" t="s">
        <v>1034</v>
      </c>
      <c r="H1070" s="144" t="s">
        <v>1341</v>
      </c>
      <c r="I1070" s="133" t="s">
        <v>1092</v>
      </c>
      <c r="J1070" s="133" t="s">
        <v>1960</v>
      </c>
      <c r="K1070" s="143">
        <v>45352</v>
      </c>
      <c r="L1070" s="133" t="s">
        <v>1241</v>
      </c>
      <c r="M1070" s="133">
        <v>136</v>
      </c>
      <c r="N1070" s="147"/>
      <c r="P1070" s="140"/>
      <c r="Q1070" s="140"/>
    </row>
    <row r="1071" spans="1:17" hidden="1" x14ac:dyDescent="0.35">
      <c r="A1071" s="146"/>
      <c r="B1071" s="143"/>
      <c r="C1071" s="133"/>
      <c r="D1071" s="133"/>
      <c r="E1071" s="145"/>
      <c r="F1071" s="194"/>
      <c r="G1071" s="133"/>
      <c r="H1071" s="144"/>
      <c r="I1071" s="133"/>
      <c r="J1071" s="133"/>
      <c r="K1071" s="143"/>
      <c r="L1071" s="133"/>
      <c r="M1071" s="133"/>
      <c r="N1071" s="147"/>
      <c r="P1071" s="140"/>
      <c r="Q1071" s="140"/>
    </row>
    <row r="1072" spans="1:17" hidden="1" x14ac:dyDescent="0.35">
      <c r="A1072" s="146">
        <v>231</v>
      </c>
      <c r="B1072" s="143">
        <v>45323</v>
      </c>
      <c r="C1072" s="133" t="s">
        <v>1520</v>
      </c>
      <c r="D1072" s="133" t="s">
        <v>1982</v>
      </c>
      <c r="E1072" s="145" t="s">
        <v>1118</v>
      </c>
      <c r="F1072" s="194">
        <v>5417.8</v>
      </c>
      <c r="G1072" s="133" t="s">
        <v>1034</v>
      </c>
      <c r="H1072" s="144" t="s">
        <v>1341</v>
      </c>
      <c r="I1072" s="133" t="s">
        <v>1092</v>
      </c>
      <c r="J1072" s="133" t="s">
        <v>1983</v>
      </c>
      <c r="K1072" s="143">
        <v>45352</v>
      </c>
      <c r="L1072" s="133" t="s">
        <v>1092</v>
      </c>
      <c r="M1072" s="133">
        <f>1000+873+8006.3</f>
        <v>9879.2999999999993</v>
      </c>
      <c r="N1072" s="147">
        <f>+F1072+F1073+F1074+F1075+F1076-M1072-M1073-M1074</f>
        <v>0</v>
      </c>
      <c r="P1072" s="140"/>
      <c r="Q1072" s="140"/>
    </row>
    <row r="1073" spans="1:17" hidden="1" x14ac:dyDescent="0.35">
      <c r="A1073" s="146"/>
      <c r="B1073" s="143"/>
      <c r="C1073" s="133"/>
      <c r="D1073" s="133"/>
      <c r="E1073" s="145" t="s">
        <v>1067</v>
      </c>
      <c r="F1073" s="194">
        <v>2549</v>
      </c>
      <c r="G1073" s="133" t="s">
        <v>1034</v>
      </c>
      <c r="H1073" s="144" t="s">
        <v>1341</v>
      </c>
      <c r="I1073" s="133" t="s">
        <v>1092</v>
      </c>
      <c r="J1073" s="133" t="s">
        <v>1978</v>
      </c>
      <c r="K1073" s="143">
        <v>45352</v>
      </c>
      <c r="L1073" s="133" t="s">
        <v>1092</v>
      </c>
      <c r="M1073" s="133">
        <v>9074.5</v>
      </c>
      <c r="N1073" s="147"/>
      <c r="O1073" s="140"/>
      <c r="P1073" s="140"/>
      <c r="Q1073" s="140"/>
    </row>
    <row r="1074" spans="1:17" hidden="1" x14ac:dyDescent="0.35">
      <c r="A1074" s="146"/>
      <c r="B1074" s="143"/>
      <c r="C1074" s="133"/>
      <c r="D1074" s="133"/>
      <c r="E1074" s="145" t="s">
        <v>1342</v>
      </c>
      <c r="F1074" s="194">
        <v>873</v>
      </c>
      <c r="G1074" s="133" t="s">
        <v>1034</v>
      </c>
      <c r="H1074" s="144" t="s">
        <v>1341</v>
      </c>
      <c r="I1074" s="133" t="s">
        <v>1092</v>
      </c>
      <c r="J1074" s="133" t="s">
        <v>1960</v>
      </c>
      <c r="K1074" s="143">
        <v>45352</v>
      </c>
      <c r="L1074" s="133" t="s">
        <v>1241</v>
      </c>
      <c r="M1074" s="133">
        <v>381</v>
      </c>
      <c r="N1074" s="147"/>
      <c r="P1074" s="140"/>
      <c r="Q1074" s="140"/>
    </row>
    <row r="1075" spans="1:17" hidden="1" x14ac:dyDescent="0.35">
      <c r="A1075" s="146"/>
      <c r="B1075" s="143"/>
      <c r="C1075" s="133"/>
      <c r="D1075" s="133"/>
      <c r="E1075" s="148" t="s">
        <v>1074</v>
      </c>
      <c r="F1075" s="194">
        <v>1000</v>
      </c>
      <c r="G1075" s="133"/>
      <c r="H1075" s="144"/>
      <c r="I1075" s="133"/>
      <c r="J1075" s="133"/>
      <c r="K1075" s="133"/>
      <c r="L1075" s="133"/>
      <c r="M1075" s="133"/>
      <c r="N1075" s="147"/>
      <c r="P1075" s="140"/>
      <c r="Q1075" s="140"/>
    </row>
    <row r="1076" spans="1:17" hidden="1" x14ac:dyDescent="0.35">
      <c r="A1076" s="146"/>
      <c r="B1076" s="143"/>
      <c r="C1076" s="133"/>
      <c r="D1076" s="133"/>
      <c r="E1076" s="145" t="s">
        <v>1064</v>
      </c>
      <c r="F1076" s="194">
        <v>9495</v>
      </c>
      <c r="G1076" s="133"/>
      <c r="H1076" s="144"/>
      <c r="I1076" s="133"/>
      <c r="J1076" s="133"/>
      <c r="K1076" s="133"/>
      <c r="L1076" s="133"/>
      <c r="M1076" s="133"/>
      <c r="N1076" s="147"/>
      <c r="P1076" s="140"/>
      <c r="Q1076" s="140"/>
    </row>
    <row r="1077" spans="1:17" hidden="1" x14ac:dyDescent="0.35">
      <c r="A1077" s="146"/>
      <c r="B1077" s="143"/>
      <c r="C1077" s="133"/>
      <c r="D1077" s="133"/>
      <c r="E1077" s="145"/>
      <c r="F1077" s="194"/>
      <c r="G1077" s="133"/>
      <c r="H1077" s="144"/>
      <c r="I1077" s="133"/>
      <c r="J1077" s="133"/>
      <c r="K1077" s="133"/>
      <c r="L1077" s="133"/>
      <c r="M1077" s="133"/>
      <c r="N1077" s="147"/>
      <c r="P1077" s="140"/>
      <c r="Q1077" s="140"/>
    </row>
    <row r="1078" spans="1:17" hidden="1" x14ac:dyDescent="0.35">
      <c r="A1078" s="146">
        <v>232</v>
      </c>
      <c r="B1078" s="143">
        <v>45323</v>
      </c>
      <c r="C1078" s="133" t="s">
        <v>1518</v>
      </c>
      <c r="D1078" s="133" t="s">
        <v>1982</v>
      </c>
      <c r="E1078" s="145" t="s">
        <v>1067</v>
      </c>
      <c r="F1078" s="194">
        <v>74250</v>
      </c>
      <c r="G1078" s="133" t="s">
        <v>1034</v>
      </c>
      <c r="H1078" s="144" t="s">
        <v>1341</v>
      </c>
      <c r="I1078" s="133" t="s">
        <v>1092</v>
      </c>
      <c r="J1078" s="133" t="s">
        <v>1981</v>
      </c>
      <c r="K1078" s="143">
        <v>45323</v>
      </c>
      <c r="L1078" s="133" t="s">
        <v>1092</v>
      </c>
      <c r="M1078" s="133">
        <v>13498.57</v>
      </c>
      <c r="N1078" s="147">
        <f>+F1078-M1078-M1079-M1080-M1081-M1082-M1083</f>
        <v>0</v>
      </c>
      <c r="P1078" s="140"/>
      <c r="Q1078" s="140"/>
    </row>
    <row r="1079" spans="1:17" hidden="1" x14ac:dyDescent="0.35">
      <c r="A1079" s="146"/>
      <c r="B1079" s="143"/>
      <c r="C1079" s="133"/>
      <c r="D1079" s="133"/>
      <c r="E1079" s="145"/>
      <c r="F1079" s="194"/>
      <c r="G1079" s="133" t="s">
        <v>1034</v>
      </c>
      <c r="H1079" s="144" t="s">
        <v>1341</v>
      </c>
      <c r="I1079" s="133" t="s">
        <v>1092</v>
      </c>
      <c r="J1079" s="133" t="s">
        <v>1980</v>
      </c>
      <c r="K1079" s="143">
        <v>45323</v>
      </c>
      <c r="L1079" s="133" t="s">
        <v>1092</v>
      </c>
      <c r="M1079" s="133">
        <v>22401.99</v>
      </c>
      <c r="N1079" s="147"/>
      <c r="P1079" s="140"/>
      <c r="Q1079" s="140"/>
    </row>
    <row r="1080" spans="1:17" hidden="1" x14ac:dyDescent="0.35">
      <c r="A1080" s="146"/>
      <c r="B1080" s="143"/>
      <c r="C1080" s="133"/>
      <c r="D1080" s="133"/>
      <c r="E1080" s="145"/>
      <c r="F1080" s="194"/>
      <c r="G1080" s="133" t="s">
        <v>1034</v>
      </c>
      <c r="H1080" s="144" t="s">
        <v>1341</v>
      </c>
      <c r="I1080" s="133" t="s">
        <v>1092</v>
      </c>
      <c r="J1080" s="133" t="s">
        <v>1978</v>
      </c>
      <c r="K1080" s="143">
        <v>45352</v>
      </c>
      <c r="L1080" s="133" t="s">
        <v>1092</v>
      </c>
      <c r="M1080" s="133">
        <v>20447.400000000001</v>
      </c>
      <c r="N1080" s="147"/>
      <c r="P1080" s="140"/>
      <c r="Q1080" s="140"/>
    </row>
    <row r="1081" spans="1:17" hidden="1" x14ac:dyDescent="0.35">
      <c r="A1081" s="146"/>
      <c r="B1081" s="143"/>
      <c r="C1081" s="133"/>
      <c r="D1081" s="133"/>
      <c r="E1081" s="145"/>
      <c r="F1081" s="194"/>
      <c r="G1081" s="133" t="s">
        <v>1034</v>
      </c>
      <c r="H1081" s="144" t="s">
        <v>1341</v>
      </c>
      <c r="I1081" s="133" t="s">
        <v>1092</v>
      </c>
      <c r="J1081" s="133" t="s">
        <v>1976</v>
      </c>
      <c r="K1081" s="143">
        <v>45352</v>
      </c>
      <c r="L1081" s="133" t="s">
        <v>1092</v>
      </c>
      <c r="M1081" s="133">
        <v>12314.1</v>
      </c>
      <c r="N1081" s="147"/>
      <c r="P1081" s="140"/>
      <c r="Q1081" s="140"/>
    </row>
    <row r="1082" spans="1:17" hidden="1" x14ac:dyDescent="0.35">
      <c r="A1082" s="146"/>
      <c r="B1082" s="143"/>
      <c r="C1082" s="133"/>
      <c r="D1082" s="133"/>
      <c r="E1082" s="145"/>
      <c r="F1082" s="194"/>
      <c r="G1082" s="133" t="s">
        <v>1034</v>
      </c>
      <c r="H1082" s="144" t="s">
        <v>1341</v>
      </c>
      <c r="I1082" s="133" t="s">
        <v>1092</v>
      </c>
      <c r="J1082" s="133" t="s">
        <v>1961</v>
      </c>
      <c r="K1082" s="143">
        <v>45352</v>
      </c>
      <c r="L1082" s="133" t="s">
        <v>1092</v>
      </c>
      <c r="M1082" s="133">
        <v>4098.9400000000005</v>
      </c>
      <c r="N1082" s="147"/>
      <c r="P1082" s="140"/>
      <c r="Q1082" s="140"/>
    </row>
    <row r="1083" spans="1:17" hidden="1" x14ac:dyDescent="0.35">
      <c r="A1083" s="146"/>
      <c r="B1083" s="143"/>
      <c r="C1083" s="133"/>
      <c r="D1083" s="133"/>
      <c r="E1083" s="145"/>
      <c r="F1083" s="194"/>
      <c r="G1083" s="133" t="s">
        <v>1034</v>
      </c>
      <c r="H1083" s="144" t="s">
        <v>1341</v>
      </c>
      <c r="I1083" s="133" t="s">
        <v>1092</v>
      </c>
      <c r="J1083" s="133" t="s">
        <v>1960</v>
      </c>
      <c r="K1083" s="143">
        <v>45352</v>
      </c>
      <c r="L1083" s="133" t="s">
        <v>1241</v>
      </c>
      <c r="M1083" s="133">
        <v>1489</v>
      </c>
      <c r="N1083" s="147"/>
      <c r="P1083" s="140"/>
      <c r="Q1083" s="140"/>
    </row>
    <row r="1084" spans="1:17" hidden="1" x14ac:dyDescent="0.35">
      <c r="A1084" s="146"/>
      <c r="B1084" s="143"/>
      <c r="C1084" s="133"/>
      <c r="D1084" s="133"/>
      <c r="E1084" s="145"/>
      <c r="F1084" s="194"/>
      <c r="G1084" s="133"/>
      <c r="H1084" s="144"/>
      <c r="I1084" s="133"/>
      <c r="J1084" s="133"/>
      <c r="K1084" s="133"/>
      <c r="L1084" s="133"/>
      <c r="M1084" s="133"/>
      <c r="N1084" s="147"/>
      <c r="P1084" s="140"/>
      <c r="Q1084" s="140"/>
    </row>
    <row r="1085" spans="1:17" hidden="1" x14ac:dyDescent="0.35">
      <c r="A1085" s="146">
        <v>233</v>
      </c>
      <c r="B1085" s="143">
        <v>45323</v>
      </c>
      <c r="C1085" s="133" t="s">
        <v>1514</v>
      </c>
      <c r="D1085" s="133" t="s">
        <v>1979</v>
      </c>
      <c r="E1085" s="145" t="s">
        <v>1067</v>
      </c>
      <c r="F1085" s="194">
        <v>4579.1000000000004</v>
      </c>
      <c r="G1085" s="133" t="s">
        <v>1034</v>
      </c>
      <c r="H1085" s="144" t="s">
        <v>1341</v>
      </c>
      <c r="I1085" s="133" t="s">
        <v>1092</v>
      </c>
      <c r="J1085" s="133" t="s">
        <v>1978</v>
      </c>
      <c r="K1085" s="143">
        <v>45352</v>
      </c>
      <c r="L1085" s="133" t="s">
        <v>1092</v>
      </c>
      <c r="M1085" s="133">
        <v>17855.300000000003</v>
      </c>
      <c r="N1085" s="147">
        <f>+F1085+F1086+F1087+F1088-M1085-M1086</f>
        <v>0</v>
      </c>
      <c r="P1085" s="140"/>
      <c r="Q1085" s="140"/>
    </row>
    <row r="1086" spans="1:17" hidden="1" x14ac:dyDescent="0.35">
      <c r="A1086" s="146"/>
      <c r="B1086" s="143"/>
      <c r="C1086" s="133"/>
      <c r="D1086" s="133"/>
      <c r="E1086" s="145" t="s">
        <v>1342</v>
      </c>
      <c r="F1086" s="194">
        <v>2754</v>
      </c>
      <c r="G1086" s="133" t="s">
        <v>1034</v>
      </c>
      <c r="H1086" s="144" t="s">
        <v>1341</v>
      </c>
      <c r="I1086" s="133" t="s">
        <v>1092</v>
      </c>
      <c r="J1086" s="133" t="s">
        <v>1960</v>
      </c>
      <c r="K1086" s="143">
        <v>45352</v>
      </c>
      <c r="L1086" s="133" t="s">
        <v>1241</v>
      </c>
      <c r="M1086" s="133">
        <v>369</v>
      </c>
      <c r="N1086" s="147"/>
      <c r="O1086" s="140"/>
      <c r="P1086" s="140"/>
      <c r="Q1086" s="140"/>
    </row>
    <row r="1087" spans="1:17" hidden="1" x14ac:dyDescent="0.35">
      <c r="A1087" s="146"/>
      <c r="B1087" s="143"/>
      <c r="C1087" s="133"/>
      <c r="D1087" s="133"/>
      <c r="E1087" s="145" t="s">
        <v>1075</v>
      </c>
      <c r="F1087" s="194">
        <v>6653.1</v>
      </c>
      <c r="G1087" s="133"/>
      <c r="H1087" s="144"/>
      <c r="I1087" s="133"/>
      <c r="J1087" s="133"/>
      <c r="K1087" s="133"/>
      <c r="L1087" s="133"/>
      <c r="M1087" s="133"/>
      <c r="N1087" s="147"/>
      <c r="P1087" s="140"/>
      <c r="Q1087" s="140"/>
    </row>
    <row r="1088" spans="1:17" hidden="1" x14ac:dyDescent="0.35">
      <c r="A1088" s="146"/>
      <c r="B1088" s="143"/>
      <c r="C1088" s="133"/>
      <c r="D1088" s="133"/>
      <c r="E1088" s="145" t="s">
        <v>1064</v>
      </c>
      <c r="F1088" s="194">
        <v>4238.1000000000004</v>
      </c>
      <c r="G1088" s="133"/>
      <c r="H1088" s="144"/>
      <c r="I1088" s="133"/>
      <c r="J1088" s="133"/>
      <c r="K1088" s="133"/>
      <c r="L1088" s="133"/>
      <c r="M1088" s="133"/>
      <c r="N1088" s="147"/>
      <c r="P1088" s="140"/>
      <c r="Q1088" s="140"/>
    </row>
    <row r="1089" spans="1:17" hidden="1" x14ac:dyDescent="0.35">
      <c r="A1089" s="146"/>
      <c r="B1089" s="143"/>
      <c r="C1089" s="133"/>
      <c r="D1089" s="133"/>
      <c r="E1089" s="145"/>
      <c r="F1089" s="194"/>
      <c r="G1089" s="133"/>
      <c r="H1089" s="144"/>
      <c r="I1089" s="133"/>
      <c r="J1089" s="133"/>
      <c r="K1089" s="133"/>
      <c r="L1089" s="133"/>
      <c r="M1089" s="133"/>
      <c r="N1089" s="147"/>
      <c r="P1089" s="140"/>
      <c r="Q1089" s="140"/>
    </row>
    <row r="1090" spans="1:17" hidden="1" x14ac:dyDescent="0.35">
      <c r="A1090" s="146">
        <v>234</v>
      </c>
      <c r="B1090" s="143">
        <v>45323</v>
      </c>
      <c r="C1090" s="133" t="s">
        <v>1512</v>
      </c>
      <c r="D1090" s="133" t="s">
        <v>1977</v>
      </c>
      <c r="E1090" s="145" t="s">
        <v>1067</v>
      </c>
      <c r="F1090" s="194">
        <v>8614.2999999999993</v>
      </c>
      <c r="G1090" s="133" t="s">
        <v>1034</v>
      </c>
      <c r="H1090" s="144" t="s">
        <v>1341</v>
      </c>
      <c r="I1090" s="133" t="s">
        <v>1092</v>
      </c>
      <c r="J1090" s="133" t="s">
        <v>1976</v>
      </c>
      <c r="K1090" s="143">
        <v>45352</v>
      </c>
      <c r="L1090" s="133" t="s">
        <v>1092</v>
      </c>
      <c r="M1090" s="133">
        <v>13528.9</v>
      </c>
      <c r="N1090" s="147">
        <f>+F1090+F1091+F1092+F1093-M1090-M1091</f>
        <v>0</v>
      </c>
      <c r="P1090" s="140"/>
      <c r="Q1090" s="140"/>
    </row>
    <row r="1091" spans="1:17" hidden="1" x14ac:dyDescent="0.35">
      <c r="A1091" s="146"/>
      <c r="B1091" s="143"/>
      <c r="C1091" s="133"/>
      <c r="D1091" s="133"/>
      <c r="E1091" s="145" t="s">
        <v>1342</v>
      </c>
      <c r="F1091" s="194">
        <v>493</v>
      </c>
      <c r="G1091" s="133" t="s">
        <v>1034</v>
      </c>
      <c r="H1091" s="144" t="s">
        <v>1341</v>
      </c>
      <c r="I1091" s="133" t="s">
        <v>1092</v>
      </c>
      <c r="J1091" s="133" t="s">
        <v>1960</v>
      </c>
      <c r="K1091" s="143">
        <v>45352</v>
      </c>
      <c r="L1091" s="133" t="s">
        <v>1241</v>
      </c>
      <c r="M1091" s="133">
        <v>277</v>
      </c>
      <c r="N1091" s="147"/>
      <c r="O1091" s="140"/>
      <c r="P1091" s="140"/>
      <c r="Q1091" s="140"/>
    </row>
    <row r="1092" spans="1:17" hidden="1" x14ac:dyDescent="0.35">
      <c r="A1092" s="146"/>
      <c r="B1092" s="143"/>
      <c r="C1092" s="133"/>
      <c r="D1092" s="133"/>
      <c r="E1092" s="145" t="s">
        <v>1075</v>
      </c>
      <c r="F1092" s="194">
        <v>2389.1</v>
      </c>
      <c r="G1092" s="133"/>
      <c r="H1092" s="144"/>
      <c r="I1092" s="133"/>
      <c r="J1092" s="133"/>
      <c r="K1092" s="133"/>
      <c r="L1092" s="133"/>
      <c r="M1092" s="133"/>
      <c r="N1092" s="147"/>
      <c r="P1092" s="140"/>
      <c r="Q1092" s="140"/>
    </row>
    <row r="1093" spans="1:17" hidden="1" x14ac:dyDescent="0.35">
      <c r="A1093" s="146"/>
      <c r="B1093" s="143"/>
      <c r="C1093" s="133"/>
      <c r="D1093" s="133"/>
      <c r="E1093" s="145" t="s">
        <v>1064</v>
      </c>
      <c r="F1093" s="194">
        <v>2309.5</v>
      </c>
      <c r="G1093" s="133"/>
      <c r="H1093" s="144"/>
      <c r="I1093" s="133"/>
      <c r="J1093" s="133"/>
      <c r="K1093" s="133"/>
      <c r="L1093" s="133"/>
      <c r="M1093" s="133"/>
      <c r="N1093" s="147"/>
      <c r="P1093" s="140"/>
      <c r="Q1093" s="140"/>
    </row>
    <row r="1094" spans="1:17" hidden="1" x14ac:dyDescent="0.35">
      <c r="A1094" s="146"/>
      <c r="B1094" s="143"/>
      <c r="C1094" s="133"/>
      <c r="D1094" s="133"/>
      <c r="E1094" s="145"/>
      <c r="F1094" s="194"/>
      <c r="G1094" s="133"/>
      <c r="H1094" s="144"/>
      <c r="I1094" s="133"/>
      <c r="J1094" s="133"/>
      <c r="K1094" s="133"/>
      <c r="L1094" s="133"/>
      <c r="M1094" s="133"/>
      <c r="N1094" s="147"/>
      <c r="P1094" s="140"/>
      <c r="Q1094" s="140"/>
    </row>
    <row r="1095" spans="1:17" hidden="1" x14ac:dyDescent="0.35">
      <c r="A1095" s="146">
        <v>235</v>
      </c>
      <c r="B1095" s="143">
        <v>45323</v>
      </c>
      <c r="C1095" s="133" t="s">
        <v>1510</v>
      </c>
      <c r="D1095" s="133" t="s">
        <v>1975</v>
      </c>
      <c r="E1095" s="145" t="s">
        <v>1067</v>
      </c>
      <c r="F1095" s="194">
        <v>3663.6</v>
      </c>
      <c r="G1095" s="133" t="s">
        <v>1034</v>
      </c>
      <c r="H1095" s="144" t="s">
        <v>1341</v>
      </c>
      <c r="I1095" s="133" t="s">
        <v>1092</v>
      </c>
      <c r="J1095" s="133" t="s">
        <v>1961</v>
      </c>
      <c r="K1095" s="143">
        <v>45352</v>
      </c>
      <c r="L1095" s="133" t="s">
        <v>1092</v>
      </c>
      <c r="M1095" s="133">
        <v>3588.6</v>
      </c>
      <c r="N1095" s="147">
        <f>+F1095-M1095-M1096</f>
        <v>0</v>
      </c>
      <c r="P1095" s="140"/>
      <c r="Q1095" s="140"/>
    </row>
    <row r="1096" spans="1:17" hidden="1" x14ac:dyDescent="0.35">
      <c r="A1096" s="146"/>
      <c r="B1096" s="143"/>
      <c r="C1096" s="133"/>
      <c r="D1096" s="133"/>
      <c r="E1096" s="145"/>
      <c r="F1096" s="194"/>
      <c r="G1096" s="133" t="s">
        <v>1034</v>
      </c>
      <c r="H1096" s="144" t="s">
        <v>1341</v>
      </c>
      <c r="I1096" s="133" t="s">
        <v>1092</v>
      </c>
      <c r="J1096" s="133" t="s">
        <v>1960</v>
      </c>
      <c r="K1096" s="143">
        <v>45352</v>
      </c>
      <c r="L1096" s="133" t="s">
        <v>1241</v>
      </c>
      <c r="M1096" s="133">
        <v>75</v>
      </c>
      <c r="N1096" s="147"/>
      <c r="P1096" s="140"/>
      <c r="Q1096" s="140"/>
    </row>
    <row r="1097" spans="1:17" hidden="1" x14ac:dyDescent="0.35">
      <c r="A1097" s="146"/>
      <c r="B1097" s="143"/>
      <c r="C1097" s="133"/>
      <c r="D1097" s="133"/>
      <c r="E1097" s="145"/>
      <c r="F1097" s="194"/>
      <c r="G1097" s="133"/>
      <c r="H1097" s="144"/>
      <c r="I1097" s="133"/>
      <c r="J1097" s="133"/>
      <c r="K1097" s="143"/>
      <c r="L1097" s="133"/>
      <c r="M1097" s="133"/>
      <c r="N1097" s="147"/>
      <c r="P1097" s="140"/>
      <c r="Q1097" s="140"/>
    </row>
    <row r="1098" spans="1:17" hidden="1" x14ac:dyDescent="0.35">
      <c r="A1098" s="146">
        <v>236</v>
      </c>
      <c r="B1098" s="143">
        <v>45323</v>
      </c>
      <c r="C1098" s="133" t="s">
        <v>1508</v>
      </c>
      <c r="D1098" s="133" t="s">
        <v>1974</v>
      </c>
      <c r="E1098" s="145" t="s">
        <v>1067</v>
      </c>
      <c r="F1098" s="194">
        <v>825.4</v>
      </c>
      <c r="G1098" s="133" t="s">
        <v>1034</v>
      </c>
      <c r="H1098" s="144" t="s">
        <v>1341</v>
      </c>
      <c r="I1098" s="133" t="s">
        <v>1092</v>
      </c>
      <c r="J1098" s="133" t="s">
        <v>1961</v>
      </c>
      <c r="K1098" s="143">
        <v>45352</v>
      </c>
      <c r="L1098" s="133" t="s">
        <v>1092</v>
      </c>
      <c r="M1098" s="133">
        <v>14427.39</v>
      </c>
      <c r="N1098" s="147">
        <f>+F1098+F1099+F1100+F1101+F1102-M1098-M1099</f>
        <v>0</v>
      </c>
      <c r="P1098" s="140"/>
      <c r="Q1098" s="140"/>
    </row>
    <row r="1099" spans="1:17" hidden="1" x14ac:dyDescent="0.35">
      <c r="A1099" s="146"/>
      <c r="B1099" s="143"/>
      <c r="C1099" s="133"/>
      <c r="D1099" s="133"/>
      <c r="E1099" s="145" t="s">
        <v>678</v>
      </c>
      <c r="F1099" s="194">
        <v>3965.59</v>
      </c>
      <c r="G1099" s="133" t="s">
        <v>1034</v>
      </c>
      <c r="H1099" s="144" t="s">
        <v>1341</v>
      </c>
      <c r="I1099" s="133" t="s">
        <v>1092</v>
      </c>
      <c r="J1099" s="133" t="s">
        <v>1960</v>
      </c>
      <c r="K1099" s="143">
        <v>45352</v>
      </c>
      <c r="L1099" s="133" t="s">
        <v>1241</v>
      </c>
      <c r="M1099" s="133">
        <v>296</v>
      </c>
      <c r="N1099" s="147"/>
      <c r="O1099" s="140"/>
      <c r="P1099" s="140"/>
      <c r="Q1099" s="140"/>
    </row>
    <row r="1100" spans="1:17" hidden="1" x14ac:dyDescent="0.35">
      <c r="A1100" s="146"/>
      <c r="B1100" s="143"/>
      <c r="C1100" s="133"/>
      <c r="D1100" s="133"/>
      <c r="E1100" s="145" t="s">
        <v>1075</v>
      </c>
      <c r="F1100" s="194">
        <v>4451</v>
      </c>
      <c r="G1100" s="133"/>
      <c r="H1100" s="144"/>
      <c r="I1100" s="133"/>
      <c r="J1100" s="133"/>
      <c r="K1100" s="133"/>
      <c r="L1100" s="133"/>
      <c r="M1100" s="133"/>
      <c r="N1100" s="147"/>
      <c r="P1100" s="140"/>
      <c r="Q1100" s="140"/>
    </row>
    <row r="1101" spans="1:17" hidden="1" x14ac:dyDescent="0.35">
      <c r="A1101" s="146"/>
      <c r="B1101" s="143"/>
      <c r="C1101" s="133"/>
      <c r="D1101" s="133"/>
      <c r="E1101" s="145" t="s">
        <v>1118</v>
      </c>
      <c r="F1101" s="194">
        <v>2943.4</v>
      </c>
      <c r="G1101" s="133"/>
      <c r="H1101" s="144"/>
      <c r="I1101" s="133"/>
      <c r="J1101" s="133"/>
      <c r="K1101" s="133"/>
      <c r="L1101" s="133"/>
      <c r="M1101" s="133"/>
      <c r="N1101" s="147"/>
      <c r="P1101" s="140"/>
      <c r="Q1101" s="140"/>
    </row>
    <row r="1102" spans="1:17" hidden="1" x14ac:dyDescent="0.35">
      <c r="A1102" s="146"/>
      <c r="B1102" s="143"/>
      <c r="C1102" s="133"/>
      <c r="D1102" s="133"/>
      <c r="E1102" s="145" t="s">
        <v>1064</v>
      </c>
      <c r="F1102" s="194">
        <v>2538</v>
      </c>
      <c r="G1102" s="133"/>
      <c r="H1102" s="144"/>
      <c r="I1102" s="133"/>
      <c r="J1102" s="133"/>
      <c r="K1102" s="133"/>
      <c r="L1102" s="133"/>
      <c r="M1102" s="133"/>
      <c r="N1102" s="147"/>
      <c r="P1102" s="140"/>
      <c r="Q1102" s="140"/>
    </row>
    <row r="1103" spans="1:17" hidden="1" x14ac:dyDescent="0.35">
      <c r="A1103" s="146"/>
      <c r="B1103" s="143"/>
      <c r="C1103" s="133"/>
      <c r="D1103" s="133"/>
      <c r="E1103" s="145"/>
      <c r="F1103" s="194"/>
      <c r="G1103" s="133"/>
      <c r="H1103" s="144"/>
      <c r="I1103" s="133"/>
      <c r="J1103" s="133"/>
      <c r="K1103" s="133"/>
      <c r="L1103" s="133"/>
      <c r="M1103" s="133"/>
      <c r="N1103" s="147"/>
      <c r="P1103" s="140"/>
      <c r="Q1103" s="140"/>
    </row>
    <row r="1104" spans="1:17" hidden="1" x14ac:dyDescent="0.35">
      <c r="A1104" s="146">
        <v>237</v>
      </c>
      <c r="B1104" s="143">
        <v>45323</v>
      </c>
      <c r="C1104" s="133" t="s">
        <v>1507</v>
      </c>
      <c r="D1104" s="133" t="s">
        <v>1973</v>
      </c>
      <c r="E1104" s="145" t="s">
        <v>1067</v>
      </c>
      <c r="F1104" s="194">
        <v>312.5</v>
      </c>
      <c r="G1104" s="133" t="s">
        <v>1034</v>
      </c>
      <c r="H1104" s="144" t="s">
        <v>1341</v>
      </c>
      <c r="I1104" s="133" t="s">
        <v>1092</v>
      </c>
      <c r="J1104" s="133" t="s">
        <v>1961</v>
      </c>
      <c r="K1104" s="143">
        <v>45352</v>
      </c>
      <c r="L1104" s="133" t="s">
        <v>1092</v>
      </c>
      <c r="M1104" s="133">
        <v>6687.4</v>
      </c>
      <c r="N1104" s="147">
        <f>+F1104+F1105+F1106-M1104-M1105</f>
        <v>0</v>
      </c>
      <c r="P1104" s="140"/>
      <c r="Q1104" s="140"/>
    </row>
    <row r="1105" spans="1:17" hidden="1" x14ac:dyDescent="0.35">
      <c r="A1105" s="146"/>
      <c r="B1105" s="143"/>
      <c r="C1105" s="133"/>
      <c r="D1105" s="133"/>
      <c r="E1105" s="145" t="s">
        <v>1064</v>
      </c>
      <c r="F1105" s="194">
        <v>4455.3999999999996</v>
      </c>
      <c r="G1105" s="133" t="s">
        <v>1034</v>
      </c>
      <c r="H1105" s="144" t="s">
        <v>1341</v>
      </c>
      <c r="I1105" s="133" t="s">
        <v>1092</v>
      </c>
      <c r="J1105" s="133" t="s">
        <v>1960</v>
      </c>
      <c r="K1105" s="143">
        <v>45352</v>
      </c>
      <c r="L1105" s="133" t="s">
        <v>1241</v>
      </c>
      <c r="M1105" s="133">
        <v>137</v>
      </c>
      <c r="N1105" s="147"/>
      <c r="O1105" s="140"/>
      <c r="P1105" s="140"/>
      <c r="Q1105" s="140"/>
    </row>
    <row r="1106" spans="1:17" hidden="1" x14ac:dyDescent="0.35">
      <c r="A1106" s="146"/>
      <c r="B1106" s="143"/>
      <c r="C1106" s="133"/>
      <c r="D1106" s="133"/>
      <c r="E1106" s="145" t="s">
        <v>1075</v>
      </c>
      <c r="F1106" s="194">
        <v>2056.5</v>
      </c>
      <c r="G1106" s="133"/>
      <c r="H1106" s="144"/>
      <c r="I1106" s="133"/>
      <c r="J1106" s="133"/>
      <c r="K1106" s="133"/>
      <c r="L1106" s="133"/>
      <c r="M1106" s="133"/>
      <c r="N1106" s="147"/>
      <c r="P1106" s="140"/>
      <c r="Q1106" s="140"/>
    </row>
    <row r="1107" spans="1:17" hidden="1" x14ac:dyDescent="0.35">
      <c r="A1107" s="146"/>
      <c r="B1107" s="143"/>
      <c r="C1107" s="133"/>
      <c r="D1107" s="133"/>
      <c r="E1107" s="145"/>
      <c r="F1107" s="194"/>
      <c r="G1107" s="133"/>
      <c r="H1107" s="144"/>
      <c r="I1107" s="133"/>
      <c r="J1107" s="133"/>
      <c r="K1107" s="133"/>
      <c r="L1107" s="133"/>
      <c r="M1107" s="133"/>
      <c r="N1107" s="147"/>
      <c r="P1107" s="140"/>
      <c r="Q1107" s="140"/>
    </row>
    <row r="1108" spans="1:17" hidden="1" x14ac:dyDescent="0.35">
      <c r="A1108" s="146">
        <v>238</v>
      </c>
      <c r="B1108" s="143">
        <v>45323</v>
      </c>
      <c r="C1108" s="133" t="s">
        <v>1505</v>
      </c>
      <c r="D1108" s="133" t="s">
        <v>1972</v>
      </c>
      <c r="E1108" s="145" t="s">
        <v>1067</v>
      </c>
      <c r="F1108" s="194">
        <v>400.1</v>
      </c>
      <c r="G1108" s="133" t="s">
        <v>1034</v>
      </c>
      <c r="H1108" s="144" t="s">
        <v>1341</v>
      </c>
      <c r="I1108" s="133" t="s">
        <v>1092</v>
      </c>
      <c r="J1108" s="133" t="s">
        <v>1961</v>
      </c>
      <c r="K1108" s="143">
        <v>45352</v>
      </c>
      <c r="L1108" s="133" t="s">
        <v>1092</v>
      </c>
      <c r="M1108" s="133">
        <v>1248.0999999999999</v>
      </c>
      <c r="N1108" s="147">
        <f>+F1108+F1109+F1110-M1108-M1109</f>
        <v>0</v>
      </c>
      <c r="P1108" s="140"/>
      <c r="Q1108" s="140"/>
    </row>
    <row r="1109" spans="1:17" hidden="1" x14ac:dyDescent="0.35">
      <c r="A1109" s="146"/>
      <c r="B1109" s="143"/>
      <c r="C1109" s="133"/>
      <c r="D1109" s="133"/>
      <c r="E1109" s="145" t="s">
        <v>1064</v>
      </c>
      <c r="F1109" s="194">
        <v>204</v>
      </c>
      <c r="G1109" s="133" t="s">
        <v>1034</v>
      </c>
      <c r="H1109" s="144" t="s">
        <v>1341</v>
      </c>
      <c r="I1109" s="133" t="s">
        <v>1092</v>
      </c>
      <c r="J1109" s="133" t="s">
        <v>1960</v>
      </c>
      <c r="K1109" s="143">
        <v>45352</v>
      </c>
      <c r="L1109" s="133" t="s">
        <v>1241</v>
      </c>
      <c r="M1109" s="133">
        <v>26</v>
      </c>
      <c r="N1109" s="147"/>
      <c r="O1109" s="140"/>
      <c r="P1109" s="140"/>
      <c r="Q1109" s="140"/>
    </row>
    <row r="1110" spans="1:17" hidden="1" x14ac:dyDescent="0.35">
      <c r="A1110" s="146"/>
      <c r="B1110" s="143"/>
      <c r="C1110" s="133"/>
      <c r="D1110" s="133"/>
      <c r="E1110" s="145" t="s">
        <v>1342</v>
      </c>
      <c r="F1110" s="194">
        <v>670</v>
      </c>
      <c r="G1110" s="133"/>
      <c r="H1110" s="144"/>
      <c r="I1110" s="133"/>
      <c r="J1110" s="133"/>
      <c r="K1110" s="133"/>
      <c r="L1110" s="133"/>
      <c r="M1110" s="133"/>
      <c r="N1110" s="147"/>
      <c r="P1110" s="140"/>
      <c r="Q1110" s="140"/>
    </row>
    <row r="1111" spans="1:17" hidden="1" x14ac:dyDescent="0.35">
      <c r="A1111" s="146"/>
      <c r="B1111" s="143"/>
      <c r="C1111" s="133"/>
      <c r="D1111" s="133"/>
      <c r="E1111" s="145"/>
      <c r="F1111" s="194"/>
      <c r="G1111" s="133"/>
      <c r="H1111" s="144"/>
      <c r="I1111" s="133"/>
      <c r="J1111" s="133"/>
      <c r="K1111" s="133"/>
      <c r="L1111" s="133"/>
      <c r="M1111" s="133"/>
      <c r="N1111" s="147"/>
      <c r="P1111" s="140"/>
      <c r="Q1111" s="140"/>
    </row>
    <row r="1112" spans="1:17" hidden="1" x14ac:dyDescent="0.35">
      <c r="A1112" s="146">
        <v>239</v>
      </c>
      <c r="B1112" s="143">
        <v>45323</v>
      </c>
      <c r="C1112" s="133" t="s">
        <v>1502</v>
      </c>
      <c r="D1112" s="133" t="s">
        <v>1971</v>
      </c>
      <c r="E1112" s="145" t="s">
        <v>1067</v>
      </c>
      <c r="F1112" s="194">
        <v>1758.7</v>
      </c>
      <c r="G1112" s="133" t="s">
        <v>1034</v>
      </c>
      <c r="H1112" s="144" t="s">
        <v>1341</v>
      </c>
      <c r="I1112" s="133" t="s">
        <v>1092</v>
      </c>
      <c r="J1112" s="133" t="s">
        <v>1961</v>
      </c>
      <c r="K1112" s="143">
        <v>45352</v>
      </c>
      <c r="L1112" s="133" t="s">
        <v>1092</v>
      </c>
      <c r="M1112" s="133">
        <v>1722.7</v>
      </c>
      <c r="N1112" s="147">
        <f>+F1112-M1112-M1113</f>
        <v>0</v>
      </c>
      <c r="P1112" s="140"/>
      <c r="Q1112" s="140"/>
    </row>
    <row r="1113" spans="1:17" hidden="1" x14ac:dyDescent="0.35">
      <c r="A1113" s="146"/>
      <c r="B1113" s="143"/>
      <c r="C1113" s="133"/>
      <c r="D1113" s="133"/>
      <c r="E1113" s="145"/>
      <c r="F1113" s="194"/>
      <c r="G1113" s="133" t="s">
        <v>1034</v>
      </c>
      <c r="H1113" s="144" t="s">
        <v>1341</v>
      </c>
      <c r="I1113" s="133" t="s">
        <v>1092</v>
      </c>
      <c r="J1113" s="133" t="s">
        <v>1960</v>
      </c>
      <c r="K1113" s="143">
        <v>45352</v>
      </c>
      <c r="L1113" s="133" t="s">
        <v>1241</v>
      </c>
      <c r="M1113" s="133">
        <v>36</v>
      </c>
      <c r="N1113" s="147"/>
      <c r="P1113" s="140"/>
      <c r="Q1113" s="140"/>
    </row>
    <row r="1114" spans="1:17" hidden="1" x14ac:dyDescent="0.35">
      <c r="A1114" s="146"/>
      <c r="B1114" s="143"/>
      <c r="C1114" s="133"/>
      <c r="D1114" s="133"/>
      <c r="E1114" s="145"/>
      <c r="F1114" s="194"/>
      <c r="G1114" s="133"/>
      <c r="H1114" s="144"/>
      <c r="I1114" s="133"/>
      <c r="J1114" s="133"/>
      <c r="K1114" s="143"/>
      <c r="L1114" s="133"/>
      <c r="M1114" s="133"/>
      <c r="N1114" s="147"/>
      <c r="P1114" s="140"/>
      <c r="Q1114" s="140"/>
    </row>
    <row r="1115" spans="1:17" hidden="1" x14ac:dyDescent="0.35">
      <c r="A1115" s="146">
        <v>240</v>
      </c>
      <c r="B1115" s="143">
        <v>45323</v>
      </c>
      <c r="C1115" s="133" t="s">
        <v>1498</v>
      </c>
      <c r="D1115" s="133" t="s">
        <v>1970</v>
      </c>
      <c r="E1115" s="145" t="s">
        <v>1075</v>
      </c>
      <c r="F1115" s="194">
        <v>11721</v>
      </c>
      <c r="G1115" s="133" t="s">
        <v>1034</v>
      </c>
      <c r="H1115" s="144" t="s">
        <v>1341</v>
      </c>
      <c r="I1115" s="133" t="s">
        <v>1092</v>
      </c>
      <c r="J1115" s="133" t="s">
        <v>1961</v>
      </c>
      <c r="K1115" s="143">
        <v>45352</v>
      </c>
      <c r="L1115" s="133" t="s">
        <v>1092</v>
      </c>
      <c r="M1115" s="133">
        <v>18155.900000000001</v>
      </c>
      <c r="N1115" s="147">
        <f>+F1115+F1116+F1117+F1118-M1115-M1116</f>
        <v>0</v>
      </c>
      <c r="P1115" s="140"/>
      <c r="Q1115" s="140"/>
    </row>
    <row r="1116" spans="1:17" hidden="1" x14ac:dyDescent="0.35">
      <c r="A1116" s="146"/>
      <c r="B1116" s="143"/>
      <c r="C1116" s="133"/>
      <c r="D1116" s="133"/>
      <c r="E1116" s="145" t="s">
        <v>1064</v>
      </c>
      <c r="F1116" s="194">
        <v>5662</v>
      </c>
      <c r="G1116" s="133" t="s">
        <v>1034</v>
      </c>
      <c r="H1116" s="144" t="s">
        <v>1341</v>
      </c>
      <c r="I1116" s="133" t="s">
        <v>1092</v>
      </c>
      <c r="J1116" s="133" t="s">
        <v>1960</v>
      </c>
      <c r="K1116" s="143">
        <v>45352</v>
      </c>
      <c r="L1116" s="133" t="s">
        <v>1241</v>
      </c>
      <c r="M1116" s="133">
        <v>372</v>
      </c>
      <c r="N1116" s="147"/>
      <c r="O1116" s="140"/>
      <c r="P1116" s="140"/>
      <c r="Q1116" s="140"/>
    </row>
    <row r="1117" spans="1:17" hidden="1" x14ac:dyDescent="0.35">
      <c r="A1117" s="146"/>
      <c r="B1117" s="143"/>
      <c r="C1117" s="133"/>
      <c r="D1117" s="133"/>
      <c r="E1117" s="145" t="s">
        <v>1342</v>
      </c>
      <c r="F1117" s="194">
        <v>1134</v>
      </c>
      <c r="G1117" s="133"/>
      <c r="H1117" s="144"/>
      <c r="I1117" s="133"/>
      <c r="J1117" s="133"/>
      <c r="K1117" s="133"/>
      <c r="L1117" s="133"/>
      <c r="M1117" s="133"/>
      <c r="N1117" s="147"/>
      <c r="P1117" s="140"/>
      <c r="Q1117" s="140"/>
    </row>
    <row r="1118" spans="1:17" hidden="1" x14ac:dyDescent="0.35">
      <c r="A1118" s="146"/>
      <c r="B1118" s="143"/>
      <c r="C1118" s="133"/>
      <c r="D1118" s="133"/>
      <c r="E1118" s="145" t="s">
        <v>1067</v>
      </c>
      <c r="F1118" s="194">
        <v>10.9</v>
      </c>
      <c r="G1118" s="133"/>
      <c r="H1118" s="144"/>
      <c r="I1118" s="133"/>
      <c r="J1118" s="133"/>
      <c r="K1118" s="133"/>
      <c r="L1118" s="133"/>
      <c r="M1118" s="133"/>
      <c r="N1118" s="147"/>
      <c r="P1118" s="140"/>
      <c r="Q1118" s="140"/>
    </row>
    <row r="1119" spans="1:17" hidden="1" x14ac:dyDescent="0.35">
      <c r="A1119" s="146"/>
      <c r="B1119" s="143"/>
      <c r="C1119" s="133"/>
      <c r="D1119" s="133"/>
      <c r="E1119" s="145"/>
      <c r="F1119" s="194"/>
      <c r="G1119" s="133"/>
      <c r="H1119" s="144"/>
      <c r="I1119" s="133"/>
      <c r="J1119" s="133"/>
      <c r="K1119" s="133"/>
      <c r="L1119" s="133"/>
      <c r="M1119" s="133"/>
      <c r="N1119" s="147"/>
      <c r="P1119" s="140"/>
      <c r="Q1119" s="140"/>
    </row>
    <row r="1120" spans="1:17" hidden="1" x14ac:dyDescent="0.35">
      <c r="A1120" s="146">
        <v>241</v>
      </c>
      <c r="B1120" s="143">
        <v>45323</v>
      </c>
      <c r="C1120" s="133" t="s">
        <v>1496</v>
      </c>
      <c r="D1120" s="133" t="s">
        <v>1969</v>
      </c>
      <c r="E1120" s="145" t="s">
        <v>1075</v>
      </c>
      <c r="F1120" s="194">
        <v>54.5</v>
      </c>
      <c r="G1120" s="133" t="s">
        <v>1034</v>
      </c>
      <c r="H1120" s="144" t="s">
        <v>1341</v>
      </c>
      <c r="I1120" s="133" t="s">
        <v>1092</v>
      </c>
      <c r="J1120" s="133" t="s">
        <v>1961</v>
      </c>
      <c r="K1120" s="143">
        <v>45352</v>
      </c>
      <c r="L1120" s="133" t="s">
        <v>1092</v>
      </c>
      <c r="M1120" s="133">
        <v>2118.1999999999998</v>
      </c>
      <c r="N1120" s="147">
        <f>+F1120+F1121-M1120-M1121</f>
        <v>0</v>
      </c>
      <c r="P1120" s="140"/>
      <c r="Q1120" s="140"/>
    </row>
    <row r="1121" spans="1:17" hidden="1" x14ac:dyDescent="0.35">
      <c r="A1121" s="146"/>
      <c r="B1121" s="143"/>
      <c r="C1121" s="133"/>
      <c r="D1121" s="133"/>
      <c r="E1121" s="145" t="s">
        <v>1118</v>
      </c>
      <c r="F1121" s="194">
        <v>2112.6999999999998</v>
      </c>
      <c r="G1121" s="133" t="s">
        <v>1034</v>
      </c>
      <c r="H1121" s="144" t="s">
        <v>1341</v>
      </c>
      <c r="I1121" s="133" t="s">
        <v>1092</v>
      </c>
      <c r="J1121" s="133" t="s">
        <v>1960</v>
      </c>
      <c r="K1121" s="143">
        <v>45352</v>
      </c>
      <c r="L1121" s="133" t="s">
        <v>1241</v>
      </c>
      <c r="M1121" s="133">
        <v>49</v>
      </c>
      <c r="N1121" s="147"/>
      <c r="O1121" s="140"/>
      <c r="P1121" s="140"/>
      <c r="Q1121" s="140"/>
    </row>
    <row r="1122" spans="1:17" hidden="1" x14ac:dyDescent="0.35">
      <c r="A1122" s="146"/>
      <c r="B1122" s="143"/>
      <c r="C1122" s="133"/>
      <c r="D1122" s="133"/>
      <c r="E1122" s="145"/>
      <c r="F1122" s="194"/>
      <c r="G1122" s="133"/>
      <c r="H1122" s="144"/>
      <c r="I1122" s="133"/>
      <c r="J1122" s="133"/>
      <c r="K1122" s="133"/>
      <c r="L1122" s="133"/>
      <c r="M1122" s="133"/>
      <c r="N1122" s="147"/>
      <c r="P1122" s="140"/>
      <c r="Q1122" s="140"/>
    </row>
    <row r="1123" spans="1:17" hidden="1" x14ac:dyDescent="0.35">
      <c r="A1123" s="146">
        <v>242</v>
      </c>
      <c r="B1123" s="143">
        <v>45323</v>
      </c>
      <c r="C1123" s="133" t="s">
        <v>1494</v>
      </c>
      <c r="D1123" s="133" t="s">
        <v>1968</v>
      </c>
      <c r="E1123" s="145" t="s">
        <v>1075</v>
      </c>
      <c r="F1123" s="194">
        <v>126</v>
      </c>
      <c r="G1123" s="133" t="s">
        <v>1034</v>
      </c>
      <c r="H1123" s="144" t="s">
        <v>1341</v>
      </c>
      <c r="I1123" s="133" t="s">
        <v>1092</v>
      </c>
      <c r="J1123" s="133" t="s">
        <v>1961</v>
      </c>
      <c r="K1123" s="143">
        <v>45352</v>
      </c>
      <c r="L1123" s="133" t="s">
        <v>1092</v>
      </c>
      <c r="M1123" s="133">
        <v>6627.4</v>
      </c>
      <c r="N1123" s="147">
        <f>+F1123+F1124-M1123-M1124</f>
        <v>0</v>
      </c>
      <c r="P1123" s="140"/>
      <c r="Q1123" s="140"/>
    </row>
    <row r="1124" spans="1:17" hidden="1" x14ac:dyDescent="0.35">
      <c r="A1124" s="146"/>
      <c r="B1124" s="143"/>
      <c r="C1124" s="133"/>
      <c r="D1124" s="133"/>
      <c r="E1124" s="145" t="s">
        <v>1067</v>
      </c>
      <c r="F1124" s="194">
        <v>6633.4</v>
      </c>
      <c r="G1124" s="133" t="s">
        <v>1034</v>
      </c>
      <c r="H1124" s="144" t="s">
        <v>1341</v>
      </c>
      <c r="I1124" s="133" t="s">
        <v>1092</v>
      </c>
      <c r="J1124" s="133" t="s">
        <v>1960</v>
      </c>
      <c r="K1124" s="143">
        <v>45352</v>
      </c>
      <c r="L1124" s="133" t="s">
        <v>1241</v>
      </c>
      <c r="M1124" s="133">
        <v>132</v>
      </c>
      <c r="N1124" s="147"/>
      <c r="O1124" s="140"/>
      <c r="P1124" s="140"/>
      <c r="Q1124" s="140"/>
    </row>
    <row r="1125" spans="1:17" hidden="1" x14ac:dyDescent="0.35">
      <c r="A1125" s="146"/>
      <c r="B1125" s="143"/>
      <c r="C1125" s="133"/>
      <c r="D1125" s="133"/>
      <c r="E1125" s="145"/>
      <c r="F1125" s="194"/>
      <c r="G1125" s="133"/>
      <c r="H1125" s="144"/>
      <c r="I1125" s="133"/>
      <c r="J1125" s="133"/>
      <c r="K1125" s="133"/>
      <c r="L1125" s="133"/>
      <c r="M1125" s="133"/>
      <c r="N1125" s="147"/>
      <c r="P1125" s="140"/>
      <c r="Q1125" s="140"/>
    </row>
    <row r="1126" spans="1:17" hidden="1" x14ac:dyDescent="0.35">
      <c r="A1126" s="146">
        <v>243</v>
      </c>
      <c r="B1126" s="143">
        <v>45323</v>
      </c>
      <c r="C1126" s="133" t="s">
        <v>1491</v>
      </c>
      <c r="D1126" s="133" t="s">
        <v>1967</v>
      </c>
      <c r="E1126" s="145" t="s">
        <v>1075</v>
      </c>
      <c r="F1126" s="194">
        <v>2953.9</v>
      </c>
      <c r="G1126" s="133" t="s">
        <v>1034</v>
      </c>
      <c r="H1126" s="144" t="s">
        <v>1341</v>
      </c>
      <c r="I1126" s="133" t="s">
        <v>1092</v>
      </c>
      <c r="J1126" s="133" t="s">
        <v>1961</v>
      </c>
      <c r="K1126" s="143">
        <v>45352</v>
      </c>
      <c r="L1126" s="133" t="s">
        <v>1092</v>
      </c>
      <c r="M1126" s="133">
        <v>11253.9</v>
      </c>
      <c r="N1126" s="147">
        <f>+F1126+F1127+F1128+F1129-M1126-M1127</f>
        <v>0</v>
      </c>
      <c r="P1126" s="140"/>
      <c r="Q1126" s="140"/>
    </row>
    <row r="1127" spans="1:17" hidden="1" x14ac:dyDescent="0.35">
      <c r="A1127" s="146"/>
      <c r="B1127" s="143"/>
      <c r="C1127" s="133"/>
      <c r="D1127" s="133"/>
      <c r="E1127" s="145" t="s">
        <v>1064</v>
      </c>
      <c r="F1127" s="194">
        <v>1722</v>
      </c>
      <c r="G1127" s="133" t="s">
        <v>1034</v>
      </c>
      <c r="H1127" s="144" t="s">
        <v>1341</v>
      </c>
      <c r="I1127" s="133" t="s">
        <v>1092</v>
      </c>
      <c r="J1127" s="133" t="s">
        <v>1960</v>
      </c>
      <c r="K1127" s="143">
        <v>45352</v>
      </c>
      <c r="L1127" s="133" t="s">
        <v>1241</v>
      </c>
      <c r="M1127" s="133">
        <v>228</v>
      </c>
      <c r="N1127" s="147"/>
      <c r="O1127" s="140"/>
      <c r="P1127" s="140"/>
      <c r="Q1127" s="140"/>
    </row>
    <row r="1128" spans="1:17" hidden="1" x14ac:dyDescent="0.35">
      <c r="A1128" s="146"/>
      <c r="B1128" s="143"/>
      <c r="C1128" s="133"/>
      <c r="D1128" s="133"/>
      <c r="E1128" s="145" t="s">
        <v>1342</v>
      </c>
      <c r="F1128" s="194">
        <v>3759</v>
      </c>
      <c r="G1128" s="133"/>
      <c r="H1128" s="144"/>
      <c r="I1128" s="133"/>
      <c r="J1128" s="133"/>
      <c r="K1128" s="133"/>
      <c r="L1128" s="133"/>
      <c r="M1128" s="133"/>
      <c r="N1128" s="147"/>
      <c r="P1128" s="140"/>
      <c r="Q1128" s="140"/>
    </row>
    <row r="1129" spans="1:17" hidden="1" x14ac:dyDescent="0.35">
      <c r="A1129" s="146"/>
      <c r="B1129" s="143"/>
      <c r="C1129" s="133"/>
      <c r="D1129" s="133"/>
      <c r="E1129" s="145" t="s">
        <v>1067</v>
      </c>
      <c r="F1129" s="194">
        <v>3047</v>
      </c>
      <c r="G1129" s="133"/>
      <c r="H1129" s="144"/>
      <c r="I1129" s="133"/>
      <c r="J1129" s="133"/>
      <c r="K1129" s="133"/>
      <c r="L1129" s="133"/>
      <c r="M1129" s="133"/>
      <c r="N1129" s="147"/>
      <c r="P1129" s="140"/>
      <c r="Q1129" s="140"/>
    </row>
    <row r="1130" spans="1:17" hidden="1" x14ac:dyDescent="0.35">
      <c r="A1130" s="146"/>
      <c r="B1130" s="143"/>
      <c r="C1130" s="133"/>
      <c r="D1130" s="133"/>
      <c r="E1130" s="145"/>
      <c r="F1130" s="194"/>
      <c r="G1130" s="133"/>
      <c r="H1130" s="144"/>
      <c r="I1130" s="133"/>
      <c r="J1130" s="133"/>
      <c r="K1130" s="133"/>
      <c r="L1130" s="133"/>
      <c r="M1130" s="133"/>
      <c r="N1130" s="147"/>
      <c r="P1130" s="140"/>
      <c r="Q1130" s="140"/>
    </row>
    <row r="1131" spans="1:17" hidden="1" x14ac:dyDescent="0.35">
      <c r="A1131" s="146">
        <v>244</v>
      </c>
      <c r="B1131" s="143">
        <v>45323</v>
      </c>
      <c r="C1131" s="133" t="s">
        <v>1490</v>
      </c>
      <c r="D1131" s="133" t="s">
        <v>1966</v>
      </c>
      <c r="E1131" s="145" t="s">
        <v>1965</v>
      </c>
      <c r="F1131" s="194">
        <v>109.9</v>
      </c>
      <c r="G1131" s="133" t="s">
        <v>1034</v>
      </c>
      <c r="H1131" s="144" t="s">
        <v>1341</v>
      </c>
      <c r="I1131" s="133" t="s">
        <v>1092</v>
      </c>
      <c r="J1131" s="133" t="s">
        <v>1961</v>
      </c>
      <c r="K1131" s="143">
        <v>45352</v>
      </c>
      <c r="L1131" s="133" t="s">
        <v>1092</v>
      </c>
      <c r="M1131" s="133">
        <v>3795.9</v>
      </c>
      <c r="N1131" s="147">
        <f>+F1131+F1132+F1133-M1131-M1132</f>
        <v>0</v>
      </c>
      <c r="P1131" s="140"/>
      <c r="Q1131" s="140"/>
    </row>
    <row r="1132" spans="1:17" hidden="1" x14ac:dyDescent="0.35">
      <c r="A1132" s="146"/>
      <c r="B1132" s="143"/>
      <c r="C1132" s="133"/>
      <c r="D1132" s="133"/>
      <c r="E1132" s="145" t="s">
        <v>1075</v>
      </c>
      <c r="F1132" s="194">
        <v>1372</v>
      </c>
      <c r="G1132" s="133" t="s">
        <v>1034</v>
      </c>
      <c r="H1132" s="144" t="s">
        <v>1341</v>
      </c>
      <c r="I1132" s="133" t="s">
        <v>1092</v>
      </c>
      <c r="J1132" s="133" t="s">
        <v>1960</v>
      </c>
      <c r="K1132" s="143">
        <v>45352</v>
      </c>
      <c r="L1132" s="133" t="s">
        <v>1241</v>
      </c>
      <c r="M1132" s="133">
        <v>79</v>
      </c>
      <c r="N1132" s="147"/>
      <c r="O1132" s="140"/>
      <c r="P1132" s="140"/>
      <c r="Q1132" s="140"/>
    </row>
    <row r="1133" spans="1:17" hidden="1" x14ac:dyDescent="0.35">
      <c r="A1133" s="146"/>
      <c r="B1133" s="143"/>
      <c r="C1133" s="133"/>
      <c r="D1133" s="133"/>
      <c r="E1133" s="145" t="s">
        <v>1342</v>
      </c>
      <c r="F1133" s="194">
        <v>2393</v>
      </c>
      <c r="G1133" s="133"/>
      <c r="H1133" s="144"/>
      <c r="I1133" s="133"/>
      <c r="J1133" s="133"/>
      <c r="K1133" s="133"/>
      <c r="L1133" s="133"/>
      <c r="M1133" s="133"/>
      <c r="N1133" s="147"/>
      <c r="P1133" s="140"/>
      <c r="Q1133" s="140"/>
    </row>
    <row r="1134" spans="1:17" hidden="1" x14ac:dyDescent="0.35">
      <c r="A1134" s="146"/>
      <c r="B1134" s="143"/>
      <c r="C1134" s="133"/>
      <c r="D1134" s="133"/>
      <c r="E1134" s="145"/>
      <c r="F1134" s="194"/>
      <c r="G1134" s="133"/>
      <c r="H1134" s="144"/>
      <c r="I1134" s="133"/>
      <c r="J1134" s="133"/>
      <c r="K1134" s="133"/>
      <c r="L1134" s="133"/>
      <c r="M1134" s="133"/>
      <c r="N1134" s="147"/>
      <c r="P1134" s="140"/>
      <c r="Q1134" s="140"/>
    </row>
    <row r="1135" spans="1:17" hidden="1" x14ac:dyDescent="0.35">
      <c r="A1135" s="146">
        <v>245</v>
      </c>
      <c r="B1135" s="143">
        <v>45323</v>
      </c>
      <c r="C1135" s="133" t="s">
        <v>1489</v>
      </c>
      <c r="D1135" s="133" t="s">
        <v>1964</v>
      </c>
      <c r="E1135" s="145" t="s">
        <v>1067</v>
      </c>
      <c r="F1135" s="194">
        <v>991.6</v>
      </c>
      <c r="G1135" s="133" t="s">
        <v>1034</v>
      </c>
      <c r="H1135" s="144" t="s">
        <v>1341</v>
      </c>
      <c r="I1135" s="133" t="s">
        <v>1092</v>
      </c>
      <c r="J1135" s="133" t="s">
        <v>1961</v>
      </c>
      <c r="K1135" s="143">
        <v>45352</v>
      </c>
      <c r="L1135" s="133" t="s">
        <v>1092</v>
      </c>
      <c r="M1135" s="133">
        <v>19633.099999999999</v>
      </c>
      <c r="N1135" s="147">
        <f>+F1135+F1136+F1137+F1138+F1139+F1140+F1141-M1135-M1136</f>
        <v>0</v>
      </c>
      <c r="P1135" s="140"/>
      <c r="Q1135" s="140"/>
    </row>
    <row r="1136" spans="1:17" hidden="1" x14ac:dyDescent="0.35">
      <c r="A1136" s="146"/>
      <c r="B1136" s="143"/>
      <c r="C1136" s="133"/>
      <c r="D1136" s="133"/>
      <c r="E1136" s="145" t="s">
        <v>1075</v>
      </c>
      <c r="F1136" s="194">
        <v>3150.7</v>
      </c>
      <c r="G1136" s="133" t="s">
        <v>1034</v>
      </c>
      <c r="H1136" s="144" t="s">
        <v>1341</v>
      </c>
      <c r="I1136" s="133" t="s">
        <v>1092</v>
      </c>
      <c r="J1136" s="133" t="s">
        <v>1960</v>
      </c>
      <c r="K1136" s="143">
        <v>45352</v>
      </c>
      <c r="L1136" s="133" t="s">
        <v>1241</v>
      </c>
      <c r="M1136" s="133">
        <v>398</v>
      </c>
      <c r="N1136" s="147"/>
      <c r="O1136" s="140"/>
      <c r="P1136" s="140"/>
      <c r="Q1136" s="140"/>
    </row>
    <row r="1137" spans="1:17" hidden="1" x14ac:dyDescent="0.35">
      <c r="A1137" s="146"/>
      <c r="B1137" s="143"/>
      <c r="C1137" s="133"/>
      <c r="D1137" s="133"/>
      <c r="E1137" s="145" t="s">
        <v>1342</v>
      </c>
      <c r="F1137" s="194">
        <v>7526</v>
      </c>
      <c r="G1137" s="133"/>
      <c r="H1137" s="144"/>
      <c r="I1137" s="133"/>
      <c r="J1137" s="133"/>
      <c r="K1137" s="133"/>
      <c r="L1137" s="133"/>
      <c r="M1137" s="133"/>
      <c r="N1137" s="147"/>
      <c r="P1137" s="140"/>
      <c r="Q1137" s="140"/>
    </row>
    <row r="1138" spans="1:17" hidden="1" x14ac:dyDescent="0.35">
      <c r="A1138" s="146"/>
      <c r="B1138" s="143"/>
      <c r="C1138" s="133"/>
      <c r="D1138" s="133"/>
      <c r="E1138" s="145" t="s">
        <v>55</v>
      </c>
      <c r="F1138" s="194">
        <v>1000</v>
      </c>
      <c r="G1138" s="133"/>
      <c r="H1138" s="144"/>
      <c r="I1138" s="133"/>
      <c r="J1138" s="133"/>
      <c r="K1138" s="133"/>
      <c r="L1138" s="133"/>
      <c r="M1138" s="133"/>
      <c r="N1138" s="147"/>
      <c r="P1138" s="140"/>
      <c r="Q1138" s="140"/>
    </row>
    <row r="1139" spans="1:17" hidden="1" x14ac:dyDescent="0.35">
      <c r="A1139" s="146"/>
      <c r="B1139" s="143"/>
      <c r="C1139" s="133"/>
      <c r="D1139" s="133"/>
      <c r="E1139" s="145" t="s">
        <v>1184</v>
      </c>
      <c r="F1139" s="194">
        <v>3500</v>
      </c>
      <c r="G1139" s="133"/>
      <c r="H1139" s="144"/>
      <c r="I1139" s="133"/>
      <c r="J1139" s="133"/>
      <c r="K1139" s="133"/>
      <c r="L1139" s="133"/>
      <c r="M1139" s="133"/>
      <c r="N1139" s="147"/>
      <c r="P1139" s="140"/>
      <c r="Q1139" s="140"/>
    </row>
    <row r="1140" spans="1:17" hidden="1" x14ac:dyDescent="0.35">
      <c r="A1140" s="146"/>
      <c r="B1140" s="143"/>
      <c r="C1140" s="133"/>
      <c r="D1140" s="133"/>
      <c r="E1140" s="145" t="s">
        <v>1064</v>
      </c>
      <c r="F1140" s="194">
        <v>482.3</v>
      </c>
      <c r="G1140" s="133"/>
      <c r="H1140" s="144"/>
      <c r="I1140" s="133"/>
      <c r="J1140" s="133"/>
      <c r="K1140" s="133"/>
      <c r="L1140" s="133"/>
      <c r="M1140" s="133"/>
      <c r="N1140" s="147"/>
      <c r="P1140" s="140"/>
      <c r="Q1140" s="140"/>
    </row>
    <row r="1141" spans="1:17" hidden="1" x14ac:dyDescent="0.35">
      <c r="A1141" s="146"/>
      <c r="B1141" s="143"/>
      <c r="C1141" s="133"/>
      <c r="D1141" s="133"/>
      <c r="E1141" s="145" t="s">
        <v>1118</v>
      </c>
      <c r="F1141" s="194">
        <v>3380.5</v>
      </c>
      <c r="G1141" s="133"/>
      <c r="H1141" s="144"/>
      <c r="I1141" s="133"/>
      <c r="J1141" s="133"/>
      <c r="K1141" s="133"/>
      <c r="L1141" s="133"/>
      <c r="M1141" s="133"/>
      <c r="N1141" s="147"/>
      <c r="P1141" s="140"/>
      <c r="Q1141" s="140"/>
    </row>
    <row r="1142" spans="1:17" hidden="1" x14ac:dyDescent="0.35">
      <c r="A1142" s="146"/>
      <c r="B1142" s="143"/>
      <c r="C1142" s="133"/>
      <c r="D1142" s="133"/>
      <c r="E1142" s="145"/>
      <c r="F1142" s="194"/>
      <c r="G1142" s="133"/>
      <c r="H1142" s="144"/>
      <c r="I1142" s="133"/>
      <c r="J1142" s="133"/>
      <c r="K1142" s="133"/>
      <c r="L1142" s="133"/>
      <c r="M1142" s="133"/>
      <c r="N1142" s="147"/>
      <c r="P1142" s="140"/>
      <c r="Q1142" s="140"/>
    </row>
    <row r="1143" spans="1:17" hidden="1" x14ac:dyDescent="0.35">
      <c r="A1143" s="146">
        <v>246</v>
      </c>
      <c r="B1143" s="143">
        <v>45323</v>
      </c>
      <c r="C1143" s="133" t="s">
        <v>1486</v>
      </c>
      <c r="D1143" s="133" t="s">
        <v>1963</v>
      </c>
      <c r="E1143" s="145" t="s">
        <v>1342</v>
      </c>
      <c r="F1143" s="194">
        <v>403</v>
      </c>
      <c r="G1143" s="133" t="s">
        <v>1034</v>
      </c>
      <c r="H1143" s="144" t="s">
        <v>1341</v>
      </c>
      <c r="I1143" s="133" t="s">
        <v>1092</v>
      </c>
      <c r="J1143" s="133" t="s">
        <v>1961</v>
      </c>
      <c r="K1143" s="143">
        <v>45352</v>
      </c>
      <c r="L1143" s="133" t="s">
        <v>1092</v>
      </c>
      <c r="M1143" s="133">
        <v>5520.4</v>
      </c>
      <c r="N1143" s="147">
        <f>+F1143+F1144-M1143-M1144</f>
        <v>0</v>
      </c>
      <c r="P1143" s="140"/>
      <c r="Q1143" s="140"/>
    </row>
    <row r="1144" spans="1:17" hidden="1" x14ac:dyDescent="0.35">
      <c r="A1144" s="146"/>
      <c r="B1144" s="143"/>
      <c r="C1144" s="133"/>
      <c r="D1144" s="133"/>
      <c r="E1144" s="145" t="s">
        <v>1067</v>
      </c>
      <c r="F1144" s="194">
        <v>5232.3999999999996</v>
      </c>
      <c r="G1144" s="133" t="s">
        <v>1034</v>
      </c>
      <c r="H1144" s="144" t="s">
        <v>1341</v>
      </c>
      <c r="I1144" s="133" t="s">
        <v>1092</v>
      </c>
      <c r="J1144" s="133" t="s">
        <v>1960</v>
      </c>
      <c r="K1144" s="143">
        <v>45352</v>
      </c>
      <c r="L1144" s="133" t="s">
        <v>1241</v>
      </c>
      <c r="M1144" s="133">
        <v>115</v>
      </c>
      <c r="N1144" s="142"/>
      <c r="O1144" s="140"/>
      <c r="P1144" s="140"/>
      <c r="Q1144" s="140"/>
    </row>
    <row r="1145" spans="1:17" hidden="1" x14ac:dyDescent="0.35">
      <c r="A1145" s="146"/>
      <c r="B1145" s="143"/>
      <c r="C1145" s="133"/>
      <c r="D1145" s="133"/>
      <c r="E1145" s="145"/>
      <c r="F1145" s="194"/>
      <c r="G1145" s="133"/>
      <c r="H1145" s="144"/>
      <c r="I1145" s="133"/>
      <c r="J1145" s="133"/>
      <c r="K1145" s="133"/>
      <c r="L1145" s="133"/>
      <c r="M1145" s="133"/>
      <c r="N1145" s="142"/>
      <c r="P1145" s="140"/>
      <c r="Q1145" s="140"/>
    </row>
    <row r="1146" spans="1:17" hidden="1" x14ac:dyDescent="0.35">
      <c r="A1146" s="146">
        <v>247</v>
      </c>
      <c r="B1146" s="143">
        <v>45323</v>
      </c>
      <c r="C1146" s="133" t="s">
        <v>1484</v>
      </c>
      <c r="D1146" s="133" t="s">
        <v>1962</v>
      </c>
      <c r="E1146" s="145" t="s">
        <v>1342</v>
      </c>
      <c r="F1146" s="194">
        <v>3082</v>
      </c>
      <c r="G1146" s="133" t="s">
        <v>1034</v>
      </c>
      <c r="H1146" s="144" t="s">
        <v>1341</v>
      </c>
      <c r="I1146" s="133" t="s">
        <v>1092</v>
      </c>
      <c r="J1146" s="133" t="s">
        <v>1961</v>
      </c>
      <c r="K1146" s="143">
        <v>45352</v>
      </c>
      <c r="L1146" s="133" t="s">
        <v>1092</v>
      </c>
      <c r="M1146" s="133">
        <f>585+1791.77</f>
        <v>2376.77</v>
      </c>
      <c r="N1146" s="147">
        <f>+F1146+F1147-M1146-M1147-M1148</f>
        <v>0</v>
      </c>
      <c r="P1146" s="140"/>
      <c r="Q1146" s="140"/>
    </row>
    <row r="1147" spans="1:17" hidden="1" x14ac:dyDescent="0.35">
      <c r="A1147" s="146"/>
      <c r="B1147" s="143"/>
      <c r="C1147" s="133"/>
      <c r="D1147" s="133"/>
      <c r="E1147" s="145" t="s">
        <v>1075</v>
      </c>
      <c r="F1147" s="194">
        <v>585</v>
      </c>
      <c r="G1147" s="133" t="s">
        <v>1034</v>
      </c>
      <c r="H1147" s="144" t="s">
        <v>1341</v>
      </c>
      <c r="I1147" s="133" t="s">
        <v>1092</v>
      </c>
      <c r="J1147" s="133" t="s">
        <v>1960</v>
      </c>
      <c r="K1147" s="143">
        <v>45352</v>
      </c>
      <c r="L1147" s="133" t="s">
        <v>1241</v>
      </c>
      <c r="M1147" s="133">
        <v>71</v>
      </c>
      <c r="N1147" s="142"/>
      <c r="P1147" s="140"/>
      <c r="Q1147" s="140"/>
    </row>
    <row r="1148" spans="1:17" hidden="1" x14ac:dyDescent="0.35">
      <c r="A1148" s="146"/>
      <c r="B1148" s="143"/>
      <c r="C1148" s="133"/>
      <c r="D1148" s="133"/>
      <c r="E1148" s="145"/>
      <c r="F1148" s="194"/>
      <c r="G1148" s="133" t="s">
        <v>1034</v>
      </c>
      <c r="H1148" s="144" t="s">
        <v>1341</v>
      </c>
      <c r="I1148" s="133" t="s">
        <v>1092</v>
      </c>
      <c r="J1148" s="133" t="s">
        <v>1944</v>
      </c>
      <c r="K1148" s="143">
        <v>45352</v>
      </c>
      <c r="L1148" s="133" t="s">
        <v>1092</v>
      </c>
      <c r="M1148" s="133">
        <v>1219.23</v>
      </c>
      <c r="N1148" s="142"/>
      <c r="P1148" s="140"/>
      <c r="Q1148" s="140"/>
    </row>
    <row r="1149" spans="1:17" hidden="1" x14ac:dyDescent="0.35">
      <c r="A1149" s="146"/>
      <c r="B1149" s="143"/>
      <c r="C1149" s="133"/>
      <c r="D1149" s="133"/>
      <c r="E1149" s="145"/>
      <c r="F1149" s="194"/>
      <c r="G1149" s="133"/>
      <c r="H1149" s="144"/>
      <c r="I1149" s="133"/>
      <c r="J1149" s="133"/>
      <c r="K1149" s="133"/>
      <c r="L1149" s="133"/>
      <c r="M1149" s="133"/>
      <c r="N1149" s="142"/>
      <c r="P1149" s="140"/>
      <c r="Q1149" s="140"/>
    </row>
    <row r="1150" spans="1:17" hidden="1" x14ac:dyDescent="0.35">
      <c r="A1150" s="156"/>
      <c r="B1150" s="152"/>
      <c r="C1150" s="151"/>
      <c r="D1150" s="151"/>
      <c r="E1150" s="154"/>
      <c r="F1150" s="196"/>
      <c r="G1150" s="151"/>
      <c r="H1150" s="153"/>
      <c r="I1150" s="151"/>
      <c r="J1150" s="151"/>
      <c r="K1150" s="151"/>
      <c r="L1150" s="151"/>
      <c r="M1150" s="151"/>
      <c r="N1150" s="150"/>
      <c r="P1150" s="140"/>
      <c r="Q1150" s="140"/>
    </row>
    <row r="1151" spans="1:17" hidden="1" x14ac:dyDescent="0.35">
      <c r="A1151" s="146"/>
      <c r="B1151" s="143"/>
      <c r="C1151" s="133"/>
      <c r="D1151" s="133"/>
      <c r="E1151" s="145"/>
      <c r="F1151" s="194"/>
      <c r="G1151" s="133"/>
      <c r="H1151" s="144"/>
      <c r="I1151" s="133"/>
      <c r="J1151" s="133"/>
      <c r="K1151" s="133"/>
      <c r="L1151" s="133"/>
      <c r="M1151" s="133"/>
      <c r="N1151" s="142"/>
      <c r="P1151" s="140"/>
      <c r="Q1151" s="140"/>
    </row>
    <row r="1152" spans="1:17" hidden="1" x14ac:dyDescent="0.35">
      <c r="A1152" s="146">
        <v>248</v>
      </c>
      <c r="B1152" s="143">
        <v>45352</v>
      </c>
      <c r="C1152" s="133" t="s">
        <v>1482</v>
      </c>
      <c r="D1152" s="133" t="s">
        <v>1959</v>
      </c>
      <c r="E1152" s="145" t="s">
        <v>1342</v>
      </c>
      <c r="F1152" s="194">
        <v>6842</v>
      </c>
      <c r="G1152" s="133" t="s">
        <v>1034</v>
      </c>
      <c r="H1152" s="144" t="s">
        <v>1341</v>
      </c>
      <c r="I1152" s="133" t="s">
        <v>1092</v>
      </c>
      <c r="J1152" s="133" t="s">
        <v>1944</v>
      </c>
      <c r="K1152" s="143">
        <v>45352</v>
      </c>
      <c r="L1152" s="133" t="s">
        <v>1092</v>
      </c>
      <c r="M1152" s="133">
        <f>12091.9-700</f>
        <v>11391.9</v>
      </c>
      <c r="N1152" s="147">
        <f>+F1152+F1153+F1154+F1156+F1155-M1152-M1153-M1154</f>
        <v>0</v>
      </c>
      <c r="P1152" s="140"/>
      <c r="Q1152" s="140"/>
    </row>
    <row r="1153" spans="1:17" hidden="1" x14ac:dyDescent="0.35">
      <c r="A1153" s="146"/>
      <c r="B1153" s="143"/>
      <c r="C1153" s="133"/>
      <c r="D1153" s="133"/>
      <c r="E1153" s="145" t="s">
        <v>1118</v>
      </c>
      <c r="F1153" s="194">
        <v>2221.9</v>
      </c>
      <c r="G1153" s="133" t="s">
        <v>1034</v>
      </c>
      <c r="H1153" s="144" t="s">
        <v>1341</v>
      </c>
      <c r="I1153" s="133" t="s">
        <v>1092</v>
      </c>
      <c r="J1153" s="133" t="s">
        <v>1920</v>
      </c>
      <c r="K1153" s="143">
        <v>45383</v>
      </c>
      <c r="L1153" s="133" t="s">
        <v>1092</v>
      </c>
      <c r="M1153" s="133">
        <v>700</v>
      </c>
      <c r="N1153" s="147"/>
      <c r="O1153" s="140"/>
      <c r="P1153" s="140"/>
      <c r="Q1153" s="140"/>
    </row>
    <row r="1154" spans="1:17" hidden="1" x14ac:dyDescent="0.35">
      <c r="A1154" s="146"/>
      <c r="B1154" s="143"/>
      <c r="C1154" s="133"/>
      <c r="D1154" s="133"/>
      <c r="E1154" s="145" t="s">
        <v>1067</v>
      </c>
      <c r="F1154" s="194">
        <v>2169</v>
      </c>
      <c r="G1154" s="133" t="s">
        <v>1034</v>
      </c>
      <c r="H1154" s="144" t="s">
        <v>1341</v>
      </c>
      <c r="I1154" s="133" t="s">
        <v>1092</v>
      </c>
      <c r="J1154" s="133" t="s">
        <v>1930</v>
      </c>
      <c r="K1154" s="143">
        <v>45383</v>
      </c>
      <c r="L1154" s="133" t="s">
        <v>1241</v>
      </c>
      <c r="M1154" s="133">
        <v>249</v>
      </c>
      <c r="N1154" s="147"/>
      <c r="P1154" s="140"/>
      <c r="Q1154" s="140"/>
    </row>
    <row r="1155" spans="1:17" hidden="1" x14ac:dyDescent="0.35">
      <c r="A1155" s="146"/>
      <c r="B1155" s="143"/>
      <c r="C1155" s="133"/>
      <c r="D1155" s="133"/>
      <c r="E1155" s="145" t="s">
        <v>1075</v>
      </c>
      <c r="F1155" s="194">
        <v>408</v>
      </c>
      <c r="G1155" s="133"/>
      <c r="H1155" s="144"/>
      <c r="I1155" s="133"/>
      <c r="J1155" s="133"/>
      <c r="K1155" s="133"/>
      <c r="L1155" s="133"/>
      <c r="M1155" s="133"/>
      <c r="N1155" s="147"/>
      <c r="P1155" s="140"/>
      <c r="Q1155" s="140"/>
    </row>
    <row r="1156" spans="1:17" hidden="1" x14ac:dyDescent="0.35">
      <c r="A1156" s="146"/>
      <c r="B1156" s="143"/>
      <c r="C1156" s="133"/>
      <c r="D1156" s="133"/>
      <c r="E1156" s="145" t="s">
        <v>1953</v>
      </c>
      <c r="F1156" s="194">
        <v>700</v>
      </c>
      <c r="G1156" s="133"/>
      <c r="H1156" s="144"/>
      <c r="I1156" s="133"/>
      <c r="J1156" s="133"/>
      <c r="K1156" s="133"/>
      <c r="L1156" s="133"/>
      <c r="M1156" s="133"/>
      <c r="N1156" s="147"/>
      <c r="P1156" s="140"/>
      <c r="Q1156" s="140"/>
    </row>
    <row r="1157" spans="1:17" hidden="1" x14ac:dyDescent="0.35">
      <c r="A1157" s="146"/>
      <c r="B1157" s="143"/>
      <c r="C1157" s="133"/>
      <c r="D1157" s="133"/>
      <c r="E1157" s="145"/>
      <c r="F1157" s="194"/>
      <c r="G1157" s="133"/>
      <c r="H1157" s="144"/>
      <c r="I1157" s="133"/>
      <c r="J1157" s="133"/>
      <c r="K1157" s="133"/>
      <c r="L1157" s="133"/>
      <c r="M1157" s="133"/>
      <c r="N1157" s="147"/>
      <c r="P1157" s="140"/>
      <c r="Q1157" s="140"/>
    </row>
    <row r="1158" spans="1:17" hidden="1" x14ac:dyDescent="0.35">
      <c r="A1158" s="146">
        <v>249</v>
      </c>
      <c r="B1158" s="143">
        <v>45352</v>
      </c>
      <c r="C1158" s="133" t="s">
        <v>1480</v>
      </c>
      <c r="D1158" s="133" t="s">
        <v>1958</v>
      </c>
      <c r="E1158" s="145" t="s">
        <v>1067</v>
      </c>
      <c r="F1158" s="194">
        <v>2410</v>
      </c>
      <c r="G1158" s="133" t="s">
        <v>1034</v>
      </c>
      <c r="H1158" s="144" t="s">
        <v>1341</v>
      </c>
      <c r="I1158" s="133" t="s">
        <v>1092</v>
      </c>
      <c r="J1158" s="133" t="s">
        <v>1944</v>
      </c>
      <c r="K1158" s="143">
        <v>45352</v>
      </c>
      <c r="L1158" s="133" t="s">
        <v>1092</v>
      </c>
      <c r="M1158" s="133">
        <v>2361</v>
      </c>
      <c r="N1158" s="147">
        <f>+F1158-M1158-M1159</f>
        <v>0</v>
      </c>
      <c r="P1158" s="140"/>
      <c r="Q1158" s="140"/>
    </row>
    <row r="1159" spans="1:17" hidden="1" x14ac:dyDescent="0.35">
      <c r="A1159" s="146"/>
      <c r="B1159" s="143"/>
      <c r="C1159" s="133"/>
      <c r="D1159" s="133"/>
      <c r="E1159" s="145"/>
      <c r="F1159" s="194"/>
      <c r="G1159" s="133" t="s">
        <v>1034</v>
      </c>
      <c r="H1159" s="144" t="s">
        <v>1341</v>
      </c>
      <c r="I1159" s="133" t="s">
        <v>1092</v>
      </c>
      <c r="J1159" s="133" t="s">
        <v>1930</v>
      </c>
      <c r="K1159" s="143">
        <v>45383</v>
      </c>
      <c r="L1159" s="133" t="s">
        <v>1241</v>
      </c>
      <c r="M1159" s="133">
        <v>49</v>
      </c>
      <c r="N1159" s="147"/>
      <c r="P1159" s="140"/>
      <c r="Q1159" s="140"/>
    </row>
    <row r="1160" spans="1:17" hidden="1" x14ac:dyDescent="0.35">
      <c r="A1160" s="146"/>
      <c r="B1160" s="143"/>
      <c r="C1160" s="133"/>
      <c r="D1160" s="133"/>
      <c r="E1160" s="145"/>
      <c r="F1160" s="194"/>
      <c r="G1160" s="133"/>
      <c r="H1160" s="144"/>
      <c r="I1160" s="133"/>
      <c r="J1160" s="133"/>
      <c r="K1160" s="143"/>
      <c r="L1160" s="133"/>
      <c r="M1160" s="133"/>
      <c r="N1160" s="147"/>
      <c r="P1160" s="140"/>
      <c r="Q1160" s="140"/>
    </row>
    <row r="1161" spans="1:17" hidden="1" x14ac:dyDescent="0.35">
      <c r="A1161" s="146">
        <v>250</v>
      </c>
      <c r="B1161" s="143">
        <v>45352</v>
      </c>
      <c r="C1161" s="133" t="s">
        <v>1478</v>
      </c>
      <c r="D1161" s="133" t="s">
        <v>1957</v>
      </c>
      <c r="E1161" s="145" t="s">
        <v>1118</v>
      </c>
      <c r="F1161" s="194">
        <v>299.70999999999998</v>
      </c>
      <c r="G1161" s="133" t="s">
        <v>1034</v>
      </c>
      <c r="H1161" s="144" t="s">
        <v>1341</v>
      </c>
      <c r="I1161" s="133" t="s">
        <v>1092</v>
      </c>
      <c r="J1161" s="133" t="s">
        <v>1944</v>
      </c>
      <c r="K1161" s="143">
        <v>45352</v>
      </c>
      <c r="L1161" s="133" t="s">
        <v>1092</v>
      </c>
      <c r="M1161" s="133">
        <v>299.70999999999998</v>
      </c>
      <c r="N1161" s="147">
        <f>+F1161-M1161</f>
        <v>0</v>
      </c>
      <c r="P1161" s="140"/>
      <c r="Q1161" s="140"/>
    </row>
    <row r="1162" spans="1:17" hidden="1" x14ac:dyDescent="0.35">
      <c r="A1162" s="146"/>
      <c r="B1162" s="143"/>
      <c r="C1162" s="133"/>
      <c r="D1162" s="133"/>
      <c r="E1162" s="145"/>
      <c r="F1162" s="194"/>
      <c r="G1162" s="133"/>
      <c r="H1162" s="144"/>
      <c r="I1162" s="133"/>
      <c r="J1162" s="133"/>
      <c r="K1162" s="133"/>
      <c r="L1162" s="133"/>
      <c r="M1162" s="133"/>
      <c r="N1162" s="147"/>
      <c r="P1162" s="140"/>
      <c r="Q1162" s="140"/>
    </row>
    <row r="1163" spans="1:17" hidden="1" x14ac:dyDescent="0.35">
      <c r="A1163" s="146">
        <v>251</v>
      </c>
      <c r="B1163" s="143">
        <v>45352</v>
      </c>
      <c r="C1163" s="133" t="s">
        <v>1476</v>
      </c>
      <c r="D1163" s="133" t="s">
        <v>1956</v>
      </c>
      <c r="E1163" s="145" t="s">
        <v>1953</v>
      </c>
      <c r="F1163" s="194">
        <v>1000</v>
      </c>
      <c r="G1163" s="133" t="s">
        <v>1034</v>
      </c>
      <c r="H1163" s="144" t="s">
        <v>1341</v>
      </c>
      <c r="I1163" s="133" t="s">
        <v>1092</v>
      </c>
      <c r="J1163" s="133" t="s">
        <v>1944</v>
      </c>
      <c r="K1163" s="143">
        <v>45352</v>
      </c>
      <c r="L1163" s="133" t="s">
        <v>1092</v>
      </c>
      <c r="M1163" s="133">
        <v>9582</v>
      </c>
      <c r="N1163" s="147">
        <f>+F1163+F1164+F1165-M1163-M1164-M1165</f>
        <v>0</v>
      </c>
      <c r="P1163" s="140"/>
      <c r="Q1163" s="140"/>
    </row>
    <row r="1164" spans="1:17" hidden="1" x14ac:dyDescent="0.35">
      <c r="A1164" s="146"/>
      <c r="B1164" s="143"/>
      <c r="C1164" s="133"/>
      <c r="D1164" s="133"/>
      <c r="E1164" s="145" t="s">
        <v>1342</v>
      </c>
      <c r="F1164" s="194">
        <v>7382</v>
      </c>
      <c r="G1164" s="133" t="s">
        <v>1034</v>
      </c>
      <c r="H1164" s="144" t="s">
        <v>1341</v>
      </c>
      <c r="I1164" s="133" t="s">
        <v>1092</v>
      </c>
      <c r="J1164" s="133" t="s">
        <v>1920</v>
      </c>
      <c r="K1164" s="143">
        <v>45383</v>
      </c>
      <c r="L1164" s="133" t="s">
        <v>1092</v>
      </c>
      <c r="M1164" s="133">
        <v>1000</v>
      </c>
      <c r="N1164" s="147"/>
      <c r="O1164" s="140"/>
      <c r="P1164" s="140"/>
      <c r="Q1164" s="140"/>
    </row>
    <row r="1165" spans="1:17" hidden="1" x14ac:dyDescent="0.35">
      <c r="A1165" s="146"/>
      <c r="B1165" s="143"/>
      <c r="C1165" s="133"/>
      <c r="D1165" s="133"/>
      <c r="E1165" s="145" t="s">
        <v>1075</v>
      </c>
      <c r="F1165" s="194">
        <v>2416</v>
      </c>
      <c r="G1165" s="133" t="s">
        <v>1034</v>
      </c>
      <c r="H1165" s="144" t="s">
        <v>1341</v>
      </c>
      <c r="I1165" s="133" t="s">
        <v>1092</v>
      </c>
      <c r="J1165" s="133" t="s">
        <v>1930</v>
      </c>
      <c r="K1165" s="143">
        <v>45383</v>
      </c>
      <c r="L1165" s="133" t="s">
        <v>1241</v>
      </c>
      <c r="M1165" s="133">
        <v>216</v>
      </c>
      <c r="N1165" s="147"/>
      <c r="P1165" s="140"/>
      <c r="Q1165" s="140"/>
    </row>
    <row r="1166" spans="1:17" hidden="1" x14ac:dyDescent="0.35">
      <c r="A1166" s="146"/>
      <c r="B1166" s="143"/>
      <c r="C1166" s="133"/>
      <c r="D1166" s="133"/>
      <c r="E1166" s="145"/>
      <c r="F1166" s="194"/>
      <c r="G1166" s="133"/>
      <c r="H1166" s="144"/>
      <c r="I1166" s="133"/>
      <c r="J1166" s="133"/>
      <c r="K1166" s="133"/>
      <c r="L1166" s="133"/>
      <c r="M1166" s="133"/>
      <c r="N1166" s="147"/>
      <c r="P1166" s="140"/>
      <c r="Q1166" s="140"/>
    </row>
    <row r="1167" spans="1:17" hidden="1" x14ac:dyDescent="0.35">
      <c r="A1167" s="146">
        <v>252</v>
      </c>
      <c r="B1167" s="143">
        <v>45352</v>
      </c>
      <c r="C1167" s="133" t="s">
        <v>1474</v>
      </c>
      <c r="D1167" s="133" t="s">
        <v>1955</v>
      </c>
      <c r="E1167" s="145" t="s">
        <v>1184</v>
      </c>
      <c r="F1167" s="194">
        <v>7000</v>
      </c>
      <c r="G1167" s="133" t="s">
        <v>1034</v>
      </c>
      <c r="H1167" s="144" t="s">
        <v>1341</v>
      </c>
      <c r="I1167" s="133" t="s">
        <v>1092</v>
      </c>
      <c r="J1167" s="133" t="s">
        <v>1944</v>
      </c>
      <c r="K1167" s="143">
        <v>45352</v>
      </c>
      <c r="L1167" s="133" t="s">
        <v>1092</v>
      </c>
      <c r="M1167" s="133">
        <v>6000</v>
      </c>
      <c r="N1167" s="147">
        <f>+F1167-M1167-M1168</f>
        <v>0</v>
      </c>
      <c r="P1167" s="140"/>
      <c r="Q1167" s="140"/>
    </row>
    <row r="1168" spans="1:17" hidden="1" x14ac:dyDescent="0.35">
      <c r="A1168" s="146"/>
      <c r="B1168" s="143"/>
      <c r="C1168" s="133"/>
      <c r="D1168" s="133"/>
      <c r="E1168" s="145"/>
      <c r="F1168" s="194"/>
      <c r="G1168" s="133" t="s">
        <v>1034</v>
      </c>
      <c r="H1168" s="144" t="s">
        <v>1341</v>
      </c>
      <c r="I1168" s="133" t="s">
        <v>1092</v>
      </c>
      <c r="J1168" s="133" t="s">
        <v>1937</v>
      </c>
      <c r="K1168" s="143">
        <v>45383</v>
      </c>
      <c r="L1168" s="133" t="s">
        <v>1092</v>
      </c>
      <c r="M1168" s="133">
        <v>1000</v>
      </c>
      <c r="N1168" s="147"/>
      <c r="P1168" s="140"/>
      <c r="Q1168" s="140"/>
    </row>
    <row r="1169" spans="1:17" hidden="1" x14ac:dyDescent="0.35">
      <c r="A1169" s="146"/>
      <c r="B1169" s="143"/>
      <c r="C1169" s="133"/>
      <c r="D1169" s="133"/>
      <c r="E1169" s="145"/>
      <c r="F1169" s="194"/>
      <c r="G1169" s="133"/>
      <c r="H1169" s="144"/>
      <c r="I1169" s="133"/>
      <c r="J1169" s="133"/>
      <c r="K1169" s="133"/>
      <c r="L1169" s="133"/>
      <c r="M1169" s="133"/>
      <c r="N1169" s="147"/>
      <c r="P1169" s="140"/>
      <c r="Q1169" s="140"/>
    </row>
    <row r="1170" spans="1:17" hidden="1" x14ac:dyDescent="0.35">
      <c r="A1170" s="146">
        <v>253</v>
      </c>
      <c r="B1170" s="143">
        <v>45352</v>
      </c>
      <c r="C1170" s="133" t="s">
        <v>1472</v>
      </c>
      <c r="D1170" s="133" t="s">
        <v>1954</v>
      </c>
      <c r="E1170" s="145" t="s">
        <v>1953</v>
      </c>
      <c r="F1170" s="145">
        <v>250</v>
      </c>
      <c r="G1170" s="133" t="s">
        <v>1034</v>
      </c>
      <c r="H1170" s="144" t="s">
        <v>1341</v>
      </c>
      <c r="I1170" s="133" t="s">
        <v>1092</v>
      </c>
      <c r="J1170" s="133" t="s">
        <v>1944</v>
      </c>
      <c r="K1170" s="143">
        <v>45352</v>
      </c>
      <c r="L1170" s="133" t="s">
        <v>1092</v>
      </c>
      <c r="M1170" s="133">
        <f>4438.8-250</f>
        <v>4188.8</v>
      </c>
      <c r="N1170" s="147">
        <f>+F1170+F1171+F1172+F1173-M1170-M1171-M1172</f>
        <v>0</v>
      </c>
      <c r="P1170" s="140"/>
      <c r="Q1170" s="140"/>
    </row>
    <row r="1171" spans="1:17" hidden="1" x14ac:dyDescent="0.35">
      <c r="A1171" s="146"/>
      <c r="B1171" s="143"/>
      <c r="C1171" s="133"/>
      <c r="D1171" s="133"/>
      <c r="E1171" s="145" t="s">
        <v>1342</v>
      </c>
      <c r="F1171" s="145">
        <v>2764</v>
      </c>
      <c r="G1171" s="133" t="s">
        <v>1034</v>
      </c>
      <c r="H1171" s="144" t="s">
        <v>1341</v>
      </c>
      <c r="I1171" s="133" t="s">
        <v>1092</v>
      </c>
      <c r="J1171" s="133" t="s">
        <v>1920</v>
      </c>
      <c r="K1171" s="143">
        <v>45383</v>
      </c>
      <c r="L1171" s="133" t="s">
        <v>1092</v>
      </c>
      <c r="M1171" s="133">
        <v>250</v>
      </c>
      <c r="N1171" s="147"/>
      <c r="P1171" s="140"/>
      <c r="Q1171" s="140"/>
    </row>
    <row r="1172" spans="1:17" hidden="1" x14ac:dyDescent="0.35">
      <c r="A1172" s="146"/>
      <c r="B1172" s="143"/>
      <c r="C1172" s="133"/>
      <c r="D1172" s="133"/>
      <c r="E1172" s="145" t="s">
        <v>1075</v>
      </c>
      <c r="F1172" s="145">
        <v>595</v>
      </c>
      <c r="G1172" s="133" t="s">
        <v>1034</v>
      </c>
      <c r="H1172" s="144" t="s">
        <v>1341</v>
      </c>
      <c r="I1172" s="133" t="s">
        <v>1092</v>
      </c>
      <c r="J1172" s="133" t="s">
        <v>1930</v>
      </c>
      <c r="K1172" s="143">
        <v>45383</v>
      </c>
      <c r="L1172" s="133" t="s">
        <v>1241</v>
      </c>
      <c r="M1172" s="133">
        <v>89</v>
      </c>
      <c r="N1172" s="147"/>
      <c r="P1172" s="140"/>
      <c r="Q1172" s="140"/>
    </row>
    <row r="1173" spans="1:17" hidden="1" x14ac:dyDescent="0.35">
      <c r="A1173" s="146"/>
      <c r="B1173" s="143"/>
      <c r="C1173" s="133"/>
      <c r="D1173" s="133"/>
      <c r="E1173" s="145" t="s">
        <v>1067</v>
      </c>
      <c r="F1173" s="145">
        <v>918.8</v>
      </c>
      <c r="G1173" s="133"/>
      <c r="H1173" s="144"/>
      <c r="I1173" s="133"/>
      <c r="J1173" s="133"/>
      <c r="K1173" s="133"/>
      <c r="L1173" s="133"/>
      <c r="M1173" s="133"/>
      <c r="N1173" s="147"/>
      <c r="P1173" s="140"/>
      <c r="Q1173" s="140"/>
    </row>
    <row r="1174" spans="1:17" hidden="1" x14ac:dyDescent="0.35">
      <c r="A1174" s="146"/>
      <c r="B1174" s="143"/>
      <c r="C1174" s="133"/>
      <c r="D1174" s="133"/>
      <c r="E1174" s="145"/>
      <c r="F1174" s="145"/>
      <c r="G1174" s="133"/>
      <c r="H1174" s="144"/>
      <c r="I1174" s="133"/>
      <c r="J1174" s="133"/>
      <c r="K1174" s="133"/>
      <c r="L1174" s="133"/>
      <c r="M1174" s="133"/>
      <c r="N1174" s="147"/>
      <c r="P1174" s="140"/>
      <c r="Q1174" s="140"/>
    </row>
    <row r="1175" spans="1:17" hidden="1" x14ac:dyDescent="0.35">
      <c r="A1175" s="146">
        <v>254</v>
      </c>
      <c r="B1175" s="143">
        <v>45352</v>
      </c>
      <c r="C1175" s="133" t="s">
        <v>1471</v>
      </c>
      <c r="D1175" s="133" t="s">
        <v>1952</v>
      </c>
      <c r="E1175" s="145" t="s">
        <v>1071</v>
      </c>
      <c r="F1175" s="145">
        <v>2638.8</v>
      </c>
      <c r="G1175" s="133" t="s">
        <v>1034</v>
      </c>
      <c r="H1175" s="144" t="s">
        <v>1341</v>
      </c>
      <c r="I1175" s="133" t="s">
        <v>1092</v>
      </c>
      <c r="J1175" s="133" t="s">
        <v>1944</v>
      </c>
      <c r="K1175" s="143">
        <v>45352</v>
      </c>
      <c r="L1175" s="133" t="s">
        <v>1092</v>
      </c>
      <c r="M1175" s="133">
        <v>8095.5</v>
      </c>
      <c r="N1175" s="147">
        <f>+F1175+F1176+F1177-M1175-M1176</f>
        <v>0</v>
      </c>
      <c r="P1175" s="140"/>
      <c r="Q1175" s="140"/>
    </row>
    <row r="1176" spans="1:17" hidden="1" x14ac:dyDescent="0.35">
      <c r="A1176" s="146"/>
      <c r="B1176" s="143"/>
      <c r="C1176" s="133"/>
      <c r="D1176" s="133"/>
      <c r="E1176" s="145" t="s">
        <v>1342</v>
      </c>
      <c r="F1176" s="145">
        <v>2833</v>
      </c>
      <c r="G1176" s="133" t="s">
        <v>1034</v>
      </c>
      <c r="H1176" s="144" t="s">
        <v>1341</v>
      </c>
      <c r="I1176" s="133" t="s">
        <v>1092</v>
      </c>
      <c r="J1176" s="133" t="s">
        <v>1930</v>
      </c>
      <c r="K1176" s="143">
        <v>45383</v>
      </c>
      <c r="L1176" s="133" t="s">
        <v>1241</v>
      </c>
      <c r="M1176" s="133">
        <v>166</v>
      </c>
      <c r="N1176" s="147"/>
      <c r="P1176" s="140"/>
      <c r="Q1176" s="140"/>
    </row>
    <row r="1177" spans="1:17" hidden="1" x14ac:dyDescent="0.35">
      <c r="A1177" s="146"/>
      <c r="B1177" s="143"/>
      <c r="C1177" s="133"/>
      <c r="D1177" s="133"/>
      <c r="E1177" s="145" t="s">
        <v>1064</v>
      </c>
      <c r="F1177" s="145">
        <v>2789.7</v>
      </c>
      <c r="G1177" s="133"/>
      <c r="H1177" s="144"/>
      <c r="I1177" s="133"/>
      <c r="J1177" s="133"/>
      <c r="K1177" s="133"/>
      <c r="L1177" s="133"/>
      <c r="M1177" s="133"/>
      <c r="N1177" s="147"/>
      <c r="P1177" s="140"/>
      <c r="Q1177" s="140"/>
    </row>
    <row r="1178" spans="1:17" hidden="1" x14ac:dyDescent="0.35">
      <c r="A1178" s="146"/>
      <c r="B1178" s="143"/>
      <c r="C1178" s="133"/>
      <c r="D1178" s="133"/>
      <c r="E1178" s="145"/>
      <c r="F1178" s="194"/>
      <c r="G1178" s="133"/>
      <c r="H1178" s="144"/>
      <c r="I1178" s="133"/>
      <c r="J1178" s="133"/>
      <c r="K1178" s="133"/>
      <c r="L1178" s="133"/>
      <c r="M1178" s="133"/>
      <c r="N1178" s="147"/>
      <c r="P1178" s="140"/>
      <c r="Q1178" s="140"/>
    </row>
    <row r="1179" spans="1:17" hidden="1" x14ac:dyDescent="0.35">
      <c r="A1179" s="146">
        <v>255</v>
      </c>
      <c r="B1179" s="143">
        <v>45352</v>
      </c>
      <c r="C1179" s="133" t="s">
        <v>1469</v>
      </c>
      <c r="D1179" s="133" t="s">
        <v>1951</v>
      </c>
      <c r="E1179" s="145" t="s">
        <v>1184</v>
      </c>
      <c r="F1179" s="195">
        <v>3000</v>
      </c>
      <c r="G1179" s="133" t="s">
        <v>1034</v>
      </c>
      <c r="H1179" s="144" t="s">
        <v>1341</v>
      </c>
      <c r="I1179" s="133" t="s">
        <v>1092</v>
      </c>
      <c r="J1179" s="133" t="s">
        <v>1937</v>
      </c>
      <c r="K1179" s="143">
        <v>45383</v>
      </c>
      <c r="L1179" s="133" t="s">
        <v>1092</v>
      </c>
      <c r="M1179" s="133">
        <v>3000</v>
      </c>
      <c r="N1179" s="147">
        <f>+F1179-M1179</f>
        <v>0</v>
      </c>
      <c r="P1179" s="140"/>
      <c r="Q1179" s="140"/>
    </row>
    <row r="1180" spans="1:17" hidden="1" x14ac:dyDescent="0.35">
      <c r="A1180" s="146"/>
      <c r="B1180" s="143"/>
      <c r="C1180" s="133"/>
      <c r="D1180" s="133"/>
      <c r="E1180" s="145"/>
      <c r="F1180" s="194"/>
      <c r="G1180" s="133"/>
      <c r="H1180" s="144"/>
      <c r="I1180" s="133"/>
      <c r="J1180" s="133"/>
      <c r="K1180" s="133"/>
      <c r="L1180" s="133"/>
      <c r="M1180" s="133"/>
      <c r="N1180" s="147"/>
      <c r="P1180" s="140"/>
      <c r="Q1180" s="140"/>
    </row>
    <row r="1181" spans="1:17" hidden="1" x14ac:dyDescent="0.35">
      <c r="A1181" s="146">
        <v>256</v>
      </c>
      <c r="B1181" s="143">
        <v>45352</v>
      </c>
      <c r="C1181" s="133" t="s">
        <v>1467</v>
      </c>
      <c r="D1181" s="133" t="s">
        <v>1950</v>
      </c>
      <c r="E1181" s="145" t="s">
        <v>1067</v>
      </c>
      <c r="F1181" s="145">
        <v>1556.9</v>
      </c>
      <c r="G1181" s="133" t="s">
        <v>1034</v>
      </c>
      <c r="H1181" s="144" t="s">
        <v>1341</v>
      </c>
      <c r="I1181" s="133" t="s">
        <v>1092</v>
      </c>
      <c r="J1181" s="133" t="s">
        <v>1944</v>
      </c>
      <c r="K1181" s="143">
        <v>45352</v>
      </c>
      <c r="L1181" s="133" t="s">
        <v>1092</v>
      </c>
      <c r="M1181" s="133">
        <v>4169.8999999999996</v>
      </c>
      <c r="N1181" s="147">
        <f>+F1181+F1182-M1181-M1182</f>
        <v>0</v>
      </c>
      <c r="P1181" s="140"/>
      <c r="Q1181" s="140"/>
    </row>
    <row r="1182" spans="1:17" hidden="1" x14ac:dyDescent="0.35">
      <c r="A1182" s="146"/>
      <c r="B1182" s="143"/>
      <c r="C1182" s="133"/>
      <c r="D1182" s="133"/>
      <c r="E1182" s="145" t="s">
        <v>1342</v>
      </c>
      <c r="F1182" s="145">
        <v>2700</v>
      </c>
      <c r="G1182" s="133" t="s">
        <v>1034</v>
      </c>
      <c r="H1182" s="144" t="s">
        <v>1341</v>
      </c>
      <c r="I1182" s="133" t="s">
        <v>1092</v>
      </c>
      <c r="J1182" s="133" t="s">
        <v>1930</v>
      </c>
      <c r="K1182" s="143">
        <v>45383</v>
      </c>
      <c r="L1182" s="133" t="s">
        <v>1241</v>
      </c>
      <c r="M1182" s="133">
        <v>87</v>
      </c>
      <c r="N1182" s="147"/>
      <c r="P1182" s="140"/>
      <c r="Q1182" s="140"/>
    </row>
    <row r="1183" spans="1:17" hidden="1" x14ac:dyDescent="0.35">
      <c r="A1183" s="146"/>
      <c r="B1183" s="143"/>
      <c r="C1183" s="133"/>
      <c r="D1183" s="133"/>
      <c r="E1183" s="145"/>
      <c r="F1183" s="194"/>
      <c r="G1183" s="133"/>
      <c r="H1183" s="144"/>
      <c r="I1183" s="133"/>
      <c r="J1183" s="133"/>
      <c r="K1183" s="133"/>
      <c r="L1183" s="133"/>
      <c r="M1183" s="133"/>
      <c r="N1183" s="147"/>
      <c r="P1183" s="140"/>
      <c r="Q1183" s="140"/>
    </row>
    <row r="1184" spans="1:17" hidden="1" x14ac:dyDescent="0.35">
      <c r="A1184" s="146">
        <v>257</v>
      </c>
      <c r="B1184" s="143">
        <v>45352</v>
      </c>
      <c r="C1184" s="133" t="s">
        <v>1465</v>
      </c>
      <c r="D1184" s="133" t="s">
        <v>1949</v>
      </c>
      <c r="E1184" s="145" t="s">
        <v>1067</v>
      </c>
      <c r="F1184" s="145">
        <v>538.20000000000005</v>
      </c>
      <c r="G1184" s="133" t="s">
        <v>1034</v>
      </c>
      <c r="H1184" s="144" t="s">
        <v>1341</v>
      </c>
      <c r="I1184" s="133" t="s">
        <v>1092</v>
      </c>
      <c r="J1184" s="133" t="s">
        <v>1937</v>
      </c>
      <c r="K1184" s="143">
        <v>45383</v>
      </c>
      <c r="L1184" s="133" t="s">
        <v>1092</v>
      </c>
      <c r="M1184" s="133">
        <v>10426.86</v>
      </c>
      <c r="N1184" s="147">
        <f>+F1184+F1185+F1186+F1187-M1184-M1185</f>
        <v>0</v>
      </c>
      <c r="P1184" s="140"/>
      <c r="Q1184" s="140"/>
    </row>
    <row r="1185" spans="1:17" hidden="1" x14ac:dyDescent="0.35">
      <c r="A1185" s="146"/>
      <c r="B1185" s="143"/>
      <c r="C1185" s="133"/>
      <c r="D1185" s="133"/>
      <c r="E1185" s="145" t="s">
        <v>1342</v>
      </c>
      <c r="F1185" s="145">
        <v>2326</v>
      </c>
      <c r="G1185" s="133" t="s">
        <v>1034</v>
      </c>
      <c r="H1185" s="144" t="s">
        <v>1341</v>
      </c>
      <c r="I1185" s="133" t="s">
        <v>1092</v>
      </c>
      <c r="J1185" s="133" t="s">
        <v>1930</v>
      </c>
      <c r="K1185" s="143">
        <v>45383</v>
      </c>
      <c r="L1185" s="133" t="s">
        <v>1241</v>
      </c>
      <c r="M1185" s="133">
        <v>215</v>
      </c>
      <c r="N1185" s="147"/>
      <c r="P1185" s="140"/>
      <c r="Q1185" s="140"/>
    </row>
    <row r="1186" spans="1:17" hidden="1" x14ac:dyDescent="0.35">
      <c r="A1186" s="146"/>
      <c r="B1186" s="143"/>
      <c r="C1186" s="133"/>
      <c r="D1186" s="133"/>
      <c r="E1186" s="145" t="s">
        <v>1075</v>
      </c>
      <c r="F1186" s="194">
        <v>4310</v>
      </c>
      <c r="G1186" s="133"/>
      <c r="H1186" s="144"/>
      <c r="I1186" s="133"/>
      <c r="J1186" s="133"/>
      <c r="K1186" s="133"/>
      <c r="L1186" s="133"/>
      <c r="M1186" s="133"/>
      <c r="N1186" s="147"/>
      <c r="P1186" s="140"/>
      <c r="Q1186" s="140"/>
    </row>
    <row r="1187" spans="1:17" hidden="1" x14ac:dyDescent="0.35">
      <c r="A1187" s="146"/>
      <c r="B1187" s="143"/>
      <c r="C1187" s="133"/>
      <c r="D1187" s="133"/>
      <c r="E1187" s="145" t="s">
        <v>1118</v>
      </c>
      <c r="F1187" s="194">
        <v>3467.66</v>
      </c>
      <c r="G1187" s="133"/>
      <c r="H1187" s="144"/>
      <c r="I1187" s="133"/>
      <c r="J1187" s="133"/>
      <c r="K1187" s="133"/>
      <c r="L1187" s="133"/>
      <c r="M1187" s="133"/>
      <c r="N1187" s="147"/>
      <c r="P1187" s="140"/>
      <c r="Q1187" s="140"/>
    </row>
    <row r="1188" spans="1:17" hidden="1" x14ac:dyDescent="0.35">
      <c r="A1188" s="146"/>
      <c r="B1188" s="143"/>
      <c r="C1188" s="133"/>
      <c r="D1188" s="133"/>
      <c r="E1188" s="145"/>
      <c r="F1188" s="194"/>
      <c r="G1188" s="133"/>
      <c r="H1188" s="144"/>
      <c r="I1188" s="133"/>
      <c r="J1188" s="133"/>
      <c r="K1188" s="133"/>
      <c r="L1188" s="133"/>
      <c r="M1188" s="133"/>
      <c r="N1188" s="147"/>
      <c r="P1188" s="140"/>
      <c r="Q1188" s="140"/>
    </row>
    <row r="1189" spans="1:17" hidden="1" x14ac:dyDescent="0.35">
      <c r="A1189" s="146">
        <v>258</v>
      </c>
      <c r="B1189" s="143">
        <v>45352</v>
      </c>
      <c r="C1189" s="133" t="s">
        <v>1462</v>
      </c>
      <c r="D1189" s="133" t="s">
        <v>1948</v>
      </c>
      <c r="E1189" s="145" t="s">
        <v>1064</v>
      </c>
      <c r="F1189" s="145">
        <v>2484.8000000000002</v>
      </c>
      <c r="G1189" s="133" t="s">
        <v>1034</v>
      </c>
      <c r="H1189" s="144" t="s">
        <v>1341</v>
      </c>
      <c r="I1189" s="133" t="s">
        <v>1092</v>
      </c>
      <c r="J1189" s="133" t="s">
        <v>1944</v>
      </c>
      <c r="K1189" s="143">
        <v>45352</v>
      </c>
      <c r="L1189" s="133" t="s">
        <v>1092</v>
      </c>
      <c r="M1189" s="145">
        <v>2484.8000000000002</v>
      </c>
      <c r="N1189" s="147">
        <f>+F1189+F1190+F1191+F1192-M1189-M1190-M1191</f>
        <v>0</v>
      </c>
      <c r="P1189" s="140"/>
      <c r="Q1189" s="140"/>
    </row>
    <row r="1190" spans="1:17" hidden="1" x14ac:dyDescent="0.35">
      <c r="A1190" s="146"/>
      <c r="B1190" s="143"/>
      <c r="C1190" s="133"/>
      <c r="D1190" s="133"/>
      <c r="E1190" s="145" t="s">
        <v>1342</v>
      </c>
      <c r="F1190" s="145">
        <v>16</v>
      </c>
      <c r="G1190" s="133" t="s">
        <v>1034</v>
      </c>
      <c r="H1190" s="144" t="s">
        <v>1341</v>
      </c>
      <c r="I1190" s="133" t="s">
        <v>1092</v>
      </c>
      <c r="J1190" s="133" t="s">
        <v>1937</v>
      </c>
      <c r="K1190" s="143">
        <v>45383</v>
      </c>
      <c r="L1190" s="133" t="s">
        <v>1092</v>
      </c>
      <c r="M1190" s="133">
        <v>1082.3000000000002</v>
      </c>
      <c r="N1190" s="147"/>
      <c r="O1190" s="140"/>
      <c r="P1190" s="140"/>
      <c r="Q1190" s="140"/>
    </row>
    <row r="1191" spans="1:17" hidden="1" x14ac:dyDescent="0.35">
      <c r="A1191" s="146"/>
      <c r="B1191" s="143"/>
      <c r="C1191" s="133"/>
      <c r="D1191" s="133"/>
      <c r="E1191" s="145" t="s">
        <v>1075</v>
      </c>
      <c r="F1191" s="194">
        <v>97</v>
      </c>
      <c r="G1191" s="133" t="s">
        <v>1034</v>
      </c>
      <c r="H1191" s="144" t="s">
        <v>1341</v>
      </c>
      <c r="I1191" s="133" t="s">
        <v>1092</v>
      </c>
      <c r="J1191" s="133" t="s">
        <v>1930</v>
      </c>
      <c r="K1191" s="143">
        <v>45383</v>
      </c>
      <c r="L1191" s="133" t="s">
        <v>1241</v>
      </c>
      <c r="M1191" s="133">
        <v>69</v>
      </c>
      <c r="N1191" s="147"/>
      <c r="P1191" s="140"/>
      <c r="Q1191" s="140"/>
    </row>
    <row r="1192" spans="1:17" hidden="1" x14ac:dyDescent="0.35">
      <c r="A1192" s="146"/>
      <c r="B1192" s="143"/>
      <c r="C1192" s="133"/>
      <c r="D1192" s="133"/>
      <c r="E1192" s="145" t="s">
        <v>1071</v>
      </c>
      <c r="F1192" s="194">
        <v>1038.3</v>
      </c>
      <c r="G1192" s="133"/>
      <c r="H1192" s="144"/>
      <c r="I1192" s="133"/>
      <c r="J1192" s="133"/>
      <c r="K1192" s="133"/>
      <c r="L1192" s="133"/>
      <c r="M1192" s="133"/>
      <c r="N1192" s="147"/>
      <c r="P1192" s="140"/>
      <c r="Q1192" s="140"/>
    </row>
    <row r="1193" spans="1:17" hidden="1" x14ac:dyDescent="0.35">
      <c r="A1193" s="146"/>
      <c r="B1193" s="143"/>
      <c r="C1193" s="133"/>
      <c r="D1193" s="133"/>
      <c r="E1193" s="145"/>
      <c r="F1193" s="194"/>
      <c r="G1193" s="133"/>
      <c r="H1193" s="144"/>
      <c r="I1193" s="133"/>
      <c r="J1193" s="133"/>
      <c r="K1193" s="133"/>
      <c r="L1193" s="133"/>
      <c r="M1193" s="133"/>
      <c r="N1193" s="147"/>
      <c r="P1193" s="140"/>
      <c r="Q1193" s="140"/>
    </row>
    <row r="1194" spans="1:17" hidden="1" x14ac:dyDescent="0.35">
      <c r="A1194" s="146">
        <v>259</v>
      </c>
      <c r="B1194" s="143">
        <v>45352</v>
      </c>
      <c r="C1194" s="133" t="s">
        <v>1460</v>
      </c>
      <c r="D1194" s="133" t="s">
        <v>1947</v>
      </c>
      <c r="E1194" s="145" t="s">
        <v>1342</v>
      </c>
      <c r="F1194" s="145">
        <v>1984</v>
      </c>
      <c r="G1194" s="133" t="s">
        <v>1034</v>
      </c>
      <c r="H1194" s="144" t="s">
        <v>1341</v>
      </c>
      <c r="I1194" s="133" t="s">
        <v>1092</v>
      </c>
      <c r="J1194" s="133" t="s">
        <v>1937</v>
      </c>
      <c r="K1194" s="143">
        <v>45383</v>
      </c>
      <c r="L1194" s="133" t="s">
        <v>1092</v>
      </c>
      <c r="M1194" s="133">
        <v>1942</v>
      </c>
      <c r="N1194" s="147">
        <f>+F1194-M1194-M1195</f>
        <v>0</v>
      </c>
      <c r="P1194" s="140"/>
      <c r="Q1194" s="140"/>
    </row>
    <row r="1195" spans="1:17" hidden="1" x14ac:dyDescent="0.35">
      <c r="A1195" s="146"/>
      <c r="B1195" s="143"/>
      <c r="C1195" s="133"/>
      <c r="D1195" s="133"/>
      <c r="E1195" s="145"/>
      <c r="F1195" s="194"/>
      <c r="G1195" s="133" t="s">
        <v>1034</v>
      </c>
      <c r="H1195" s="144" t="s">
        <v>1341</v>
      </c>
      <c r="I1195" s="133" t="s">
        <v>1092</v>
      </c>
      <c r="J1195" s="133" t="s">
        <v>1930</v>
      </c>
      <c r="K1195" s="143">
        <v>45383</v>
      </c>
      <c r="L1195" s="133" t="s">
        <v>1241</v>
      </c>
      <c r="M1195" s="133">
        <v>42</v>
      </c>
      <c r="N1195" s="147"/>
      <c r="P1195" s="140"/>
      <c r="Q1195" s="140"/>
    </row>
    <row r="1196" spans="1:17" hidden="1" x14ac:dyDescent="0.35">
      <c r="A1196" s="146"/>
      <c r="B1196" s="143"/>
      <c r="C1196" s="133"/>
      <c r="D1196" s="133"/>
      <c r="E1196" s="145"/>
      <c r="F1196" s="194"/>
      <c r="G1196" s="133"/>
      <c r="H1196" s="144"/>
      <c r="I1196" s="133"/>
      <c r="J1196" s="133"/>
      <c r="K1196" s="143"/>
      <c r="L1196" s="133"/>
      <c r="M1196" s="133"/>
      <c r="N1196" s="147"/>
      <c r="P1196" s="140"/>
      <c r="Q1196" s="140"/>
    </row>
    <row r="1197" spans="1:17" hidden="1" x14ac:dyDescent="0.35">
      <c r="A1197" s="146">
        <v>260</v>
      </c>
      <c r="B1197" s="143">
        <v>45352</v>
      </c>
      <c r="C1197" s="133" t="s">
        <v>1457</v>
      </c>
      <c r="D1197" s="133" t="s">
        <v>1946</v>
      </c>
      <c r="E1197" s="145" t="s">
        <v>1064</v>
      </c>
      <c r="F1197" s="145">
        <v>222</v>
      </c>
      <c r="G1197" s="133" t="s">
        <v>1034</v>
      </c>
      <c r="H1197" s="144" t="s">
        <v>1341</v>
      </c>
      <c r="I1197" s="133" t="s">
        <v>1092</v>
      </c>
      <c r="J1197" s="133" t="s">
        <v>1944</v>
      </c>
      <c r="K1197" s="143">
        <v>45352</v>
      </c>
      <c r="L1197" s="133" t="s">
        <v>1092</v>
      </c>
      <c r="M1197" s="133">
        <f>222+1000</f>
        <v>1222</v>
      </c>
      <c r="N1197" s="147">
        <f>+F1197+F1198+F1199+F1200+F1201-M1197-M1198-M1199</f>
        <v>0</v>
      </c>
      <c r="P1197" s="140"/>
      <c r="Q1197" s="140"/>
    </row>
    <row r="1198" spans="1:17" hidden="1" x14ac:dyDescent="0.35">
      <c r="A1198" s="146"/>
      <c r="B1198" s="143"/>
      <c r="C1198" s="133"/>
      <c r="D1198" s="133"/>
      <c r="E1198" s="148" t="s">
        <v>1074</v>
      </c>
      <c r="F1198" s="145">
        <v>1000</v>
      </c>
      <c r="G1198" s="133" t="s">
        <v>1034</v>
      </c>
      <c r="H1198" s="144" t="s">
        <v>1341</v>
      </c>
      <c r="I1198" s="133" t="s">
        <v>1092</v>
      </c>
      <c r="J1198" s="133" t="s">
        <v>1937</v>
      </c>
      <c r="K1198" s="143">
        <v>45383</v>
      </c>
      <c r="L1198" s="133" t="s">
        <v>1092</v>
      </c>
      <c r="M1198" s="133">
        <f>2477+376+1979.2</f>
        <v>4832.2</v>
      </c>
      <c r="N1198" s="147"/>
      <c r="O1198" s="140"/>
      <c r="P1198" s="140"/>
      <c r="Q1198" s="140"/>
    </row>
    <row r="1199" spans="1:17" hidden="1" x14ac:dyDescent="0.35">
      <c r="A1199" s="146"/>
      <c r="B1199" s="143"/>
      <c r="C1199" s="133"/>
      <c r="D1199" s="133"/>
      <c r="E1199" s="145" t="s">
        <v>1342</v>
      </c>
      <c r="F1199" s="194">
        <v>2602</v>
      </c>
      <c r="G1199" s="133" t="s">
        <v>1034</v>
      </c>
      <c r="H1199" s="144" t="s">
        <v>1341</v>
      </c>
      <c r="I1199" s="133" t="s">
        <v>1092</v>
      </c>
      <c r="J1199" s="133" t="s">
        <v>1930</v>
      </c>
      <c r="K1199" s="143">
        <v>45383</v>
      </c>
      <c r="L1199" s="133" t="s">
        <v>1241</v>
      </c>
      <c r="M1199" s="142">
        <v>125</v>
      </c>
      <c r="N1199" s="147"/>
      <c r="P1199" s="140"/>
      <c r="Q1199" s="140"/>
    </row>
    <row r="1200" spans="1:17" hidden="1" x14ac:dyDescent="0.35">
      <c r="A1200" s="146"/>
      <c r="B1200" s="143"/>
      <c r="C1200" s="133"/>
      <c r="D1200" s="133"/>
      <c r="E1200" s="145" t="s">
        <v>1075</v>
      </c>
      <c r="F1200" s="194">
        <v>376</v>
      </c>
      <c r="G1200" s="133"/>
      <c r="H1200" s="144"/>
      <c r="I1200" s="133"/>
      <c r="J1200" s="133"/>
      <c r="K1200" s="133"/>
      <c r="L1200" s="133"/>
      <c r="M1200" s="133"/>
      <c r="N1200" s="147"/>
      <c r="P1200" s="140"/>
      <c r="Q1200" s="140"/>
    </row>
    <row r="1201" spans="1:17" hidden="1" x14ac:dyDescent="0.35">
      <c r="A1201" s="146"/>
      <c r="B1201" s="143"/>
      <c r="C1201" s="133"/>
      <c r="D1201" s="133"/>
      <c r="E1201" s="145" t="s">
        <v>1067</v>
      </c>
      <c r="F1201" s="194">
        <v>1979.2</v>
      </c>
      <c r="G1201" s="133"/>
      <c r="H1201" s="144"/>
      <c r="I1201" s="133"/>
      <c r="J1201" s="133"/>
      <c r="K1201" s="133"/>
      <c r="L1201" s="133"/>
      <c r="M1201" s="133"/>
      <c r="N1201" s="147"/>
      <c r="P1201" s="140"/>
      <c r="Q1201" s="140"/>
    </row>
    <row r="1202" spans="1:17" hidden="1" x14ac:dyDescent="0.35">
      <c r="A1202" s="146"/>
      <c r="B1202" s="143"/>
      <c r="C1202" s="133"/>
      <c r="D1202" s="133"/>
      <c r="E1202" s="145"/>
      <c r="F1202" s="194"/>
      <c r="G1202" s="133"/>
      <c r="H1202" s="144"/>
      <c r="I1202" s="133"/>
      <c r="J1202" s="133"/>
      <c r="K1202" s="133"/>
      <c r="L1202" s="133"/>
      <c r="M1202" s="133"/>
      <c r="N1202" s="147"/>
      <c r="P1202" s="140"/>
      <c r="Q1202" s="140"/>
    </row>
    <row r="1203" spans="1:17" hidden="1" x14ac:dyDescent="0.35">
      <c r="A1203" s="146">
        <v>261</v>
      </c>
      <c r="B1203" s="143">
        <v>45352</v>
      </c>
      <c r="C1203" s="133" t="s">
        <v>1456</v>
      </c>
      <c r="D1203" s="133" t="s">
        <v>1945</v>
      </c>
      <c r="E1203" s="145" t="s">
        <v>1064</v>
      </c>
      <c r="F1203" s="145">
        <v>10321.700000000001</v>
      </c>
      <c r="G1203" s="133" t="s">
        <v>1034</v>
      </c>
      <c r="H1203" s="144" t="s">
        <v>1341</v>
      </c>
      <c r="I1203" s="133" t="s">
        <v>1092</v>
      </c>
      <c r="J1203" s="133" t="s">
        <v>1944</v>
      </c>
      <c r="K1203" s="143">
        <v>45352</v>
      </c>
      <c r="L1203" s="133" t="s">
        <v>1092</v>
      </c>
      <c r="M1203" s="133">
        <v>8080.66</v>
      </c>
      <c r="N1203" s="147">
        <f>+F1203+F1204+F1205-M1203-M1204-M1205</f>
        <v>0</v>
      </c>
      <c r="P1203" s="140"/>
      <c r="Q1203" s="140"/>
    </row>
    <row r="1204" spans="1:17" hidden="1" x14ac:dyDescent="0.35">
      <c r="A1204" s="146"/>
      <c r="B1204" s="143"/>
      <c r="C1204" s="133"/>
      <c r="D1204" s="133"/>
      <c r="E1204" s="145" t="s">
        <v>1075</v>
      </c>
      <c r="F1204" s="145">
        <v>40.1</v>
      </c>
      <c r="G1204" s="133"/>
      <c r="H1204" s="144"/>
      <c r="I1204" s="133"/>
      <c r="J1204" s="133" t="s">
        <v>1937</v>
      </c>
      <c r="K1204" s="143">
        <v>45383</v>
      </c>
      <c r="L1204" s="133" t="s">
        <v>1092</v>
      </c>
      <c r="M1204" s="133">
        <v>4708.1400000000012</v>
      </c>
      <c r="N1204" s="147"/>
      <c r="O1204" s="140"/>
      <c r="P1204" s="140"/>
      <c r="Q1204" s="140"/>
    </row>
    <row r="1205" spans="1:17" hidden="1" x14ac:dyDescent="0.35">
      <c r="A1205" s="146"/>
      <c r="B1205" s="143"/>
      <c r="C1205" s="133"/>
      <c r="D1205" s="133"/>
      <c r="E1205" s="145" t="s">
        <v>1067</v>
      </c>
      <c r="F1205" s="194">
        <v>2685</v>
      </c>
      <c r="G1205" s="133" t="s">
        <v>1034</v>
      </c>
      <c r="H1205" s="144" t="s">
        <v>1341</v>
      </c>
      <c r="I1205" s="133" t="s">
        <v>1092</v>
      </c>
      <c r="J1205" s="133" t="s">
        <v>1930</v>
      </c>
      <c r="K1205" s="143">
        <v>45383</v>
      </c>
      <c r="L1205" s="133" t="s">
        <v>1241</v>
      </c>
      <c r="M1205" s="133">
        <v>258</v>
      </c>
      <c r="N1205" s="147"/>
      <c r="P1205" s="140"/>
      <c r="Q1205" s="140"/>
    </row>
    <row r="1206" spans="1:17" hidden="1" x14ac:dyDescent="0.35">
      <c r="A1206" s="146"/>
      <c r="B1206" s="143"/>
      <c r="C1206" s="133"/>
      <c r="D1206" s="133"/>
      <c r="E1206" s="145"/>
      <c r="F1206" s="194"/>
      <c r="G1206" s="133"/>
      <c r="H1206" s="144"/>
      <c r="I1206" s="133"/>
      <c r="J1206" s="133"/>
      <c r="K1206" s="133"/>
      <c r="L1206" s="133"/>
      <c r="M1206" s="133"/>
      <c r="N1206" s="147"/>
      <c r="P1206" s="140"/>
      <c r="Q1206" s="140"/>
    </row>
    <row r="1207" spans="1:17" hidden="1" x14ac:dyDescent="0.35">
      <c r="A1207" s="146">
        <v>262</v>
      </c>
      <c r="B1207" s="143">
        <v>45352</v>
      </c>
      <c r="C1207" s="133" t="s">
        <v>1454</v>
      </c>
      <c r="D1207" s="133" t="s">
        <v>1943</v>
      </c>
      <c r="E1207" s="145" t="s">
        <v>1064</v>
      </c>
      <c r="F1207" s="145">
        <v>2198</v>
      </c>
      <c r="G1207" s="133" t="s">
        <v>1034</v>
      </c>
      <c r="H1207" s="144" t="s">
        <v>1341</v>
      </c>
      <c r="I1207" s="133" t="s">
        <v>1092</v>
      </c>
      <c r="J1207" s="133" t="s">
        <v>1937</v>
      </c>
      <c r="K1207" s="143">
        <v>45383</v>
      </c>
      <c r="L1207" s="133" t="s">
        <v>1092</v>
      </c>
      <c r="M1207" s="133">
        <f>8128+2198</f>
        <v>10326</v>
      </c>
      <c r="N1207" s="147">
        <f>+F1207+F1208+F1209+F1210+F1211-M1207-M1208-M1209</f>
        <v>0</v>
      </c>
      <c r="P1207" s="140"/>
      <c r="Q1207" s="140"/>
    </row>
    <row r="1208" spans="1:17" hidden="1" x14ac:dyDescent="0.35">
      <c r="A1208" s="146"/>
      <c r="B1208" s="143"/>
      <c r="C1208" s="133"/>
      <c r="D1208" s="133"/>
      <c r="E1208" s="145" t="s">
        <v>1067</v>
      </c>
      <c r="F1208" s="194">
        <v>1253</v>
      </c>
      <c r="G1208" s="133" t="s">
        <v>1034</v>
      </c>
      <c r="H1208" s="144" t="s">
        <v>1341</v>
      </c>
      <c r="I1208" s="133" t="s">
        <v>1092</v>
      </c>
      <c r="J1208" s="133" t="s">
        <v>1936</v>
      </c>
      <c r="K1208" s="143">
        <v>45383</v>
      </c>
      <c r="L1208" s="133" t="s">
        <v>1092</v>
      </c>
      <c r="M1208" s="133">
        <v>3823.7999999999993</v>
      </c>
      <c r="N1208" s="147"/>
      <c r="O1208" s="140"/>
      <c r="P1208" s="140"/>
      <c r="Q1208" s="140"/>
    </row>
    <row r="1209" spans="1:17" hidden="1" x14ac:dyDescent="0.35">
      <c r="A1209" s="146"/>
      <c r="B1209" s="143"/>
      <c r="C1209" s="133"/>
      <c r="D1209" s="133"/>
      <c r="E1209" s="145" t="s">
        <v>1342</v>
      </c>
      <c r="F1209" s="194">
        <v>8418</v>
      </c>
      <c r="G1209" s="133" t="s">
        <v>1034</v>
      </c>
      <c r="H1209" s="144" t="s">
        <v>1341</v>
      </c>
      <c r="I1209" s="133" t="s">
        <v>1092</v>
      </c>
      <c r="J1209" s="133" t="s">
        <v>1930</v>
      </c>
      <c r="K1209" s="143">
        <v>45383</v>
      </c>
      <c r="L1209" s="133" t="s">
        <v>1241</v>
      </c>
      <c r="M1209" s="133">
        <v>290</v>
      </c>
      <c r="N1209" s="147"/>
      <c r="P1209" s="140"/>
      <c r="Q1209" s="140"/>
    </row>
    <row r="1210" spans="1:17" hidden="1" x14ac:dyDescent="0.35">
      <c r="A1210" s="146"/>
      <c r="B1210" s="143"/>
      <c r="C1210" s="133"/>
      <c r="D1210" s="133"/>
      <c r="E1210" s="145" t="s">
        <v>1075</v>
      </c>
      <c r="F1210" s="194">
        <v>1012</v>
      </c>
      <c r="G1210" s="133"/>
      <c r="H1210" s="144"/>
      <c r="I1210" s="133"/>
      <c r="J1210" s="133"/>
      <c r="K1210" s="133"/>
      <c r="L1210" s="133"/>
      <c r="M1210" s="133"/>
      <c r="N1210" s="147"/>
      <c r="P1210" s="140"/>
      <c r="Q1210" s="140"/>
    </row>
    <row r="1211" spans="1:17" hidden="1" x14ac:dyDescent="0.35">
      <c r="A1211" s="146"/>
      <c r="B1211" s="143"/>
      <c r="C1211" s="133"/>
      <c r="D1211" s="133"/>
      <c r="E1211" s="145" t="s">
        <v>1118</v>
      </c>
      <c r="F1211" s="194">
        <v>1558.8</v>
      </c>
      <c r="G1211" s="133"/>
      <c r="H1211" s="144"/>
      <c r="I1211" s="133"/>
      <c r="J1211" s="133"/>
      <c r="K1211" s="133"/>
      <c r="L1211" s="133"/>
      <c r="M1211" s="133"/>
      <c r="N1211" s="147"/>
      <c r="P1211" s="140"/>
      <c r="Q1211" s="140"/>
    </row>
    <row r="1212" spans="1:17" hidden="1" x14ac:dyDescent="0.35">
      <c r="A1212" s="146"/>
      <c r="B1212" s="143"/>
      <c r="C1212" s="133"/>
      <c r="D1212" s="133"/>
      <c r="E1212" s="145"/>
      <c r="F1212" s="194"/>
      <c r="G1212" s="133"/>
      <c r="H1212" s="144"/>
      <c r="I1212" s="133"/>
      <c r="J1212" s="133"/>
      <c r="K1212" s="133"/>
      <c r="L1212" s="133"/>
      <c r="M1212" s="133"/>
      <c r="N1212" s="147"/>
      <c r="P1212" s="140"/>
      <c r="Q1212" s="140"/>
    </row>
    <row r="1213" spans="1:17" hidden="1" x14ac:dyDescent="0.35">
      <c r="A1213" s="146">
        <v>263</v>
      </c>
      <c r="B1213" s="143">
        <v>45352</v>
      </c>
      <c r="C1213" s="133" t="s">
        <v>1452</v>
      </c>
      <c r="D1213" s="133" t="s">
        <v>1942</v>
      </c>
      <c r="E1213" s="145" t="s">
        <v>1064</v>
      </c>
      <c r="F1213" s="145">
        <v>10922</v>
      </c>
      <c r="G1213" s="133" t="s">
        <v>1034</v>
      </c>
      <c r="H1213" s="144" t="s">
        <v>1341</v>
      </c>
      <c r="I1213" s="133" t="s">
        <v>1092</v>
      </c>
      <c r="J1213" s="133" t="s">
        <v>1937</v>
      </c>
      <c r="K1213" s="143">
        <v>45383</v>
      </c>
      <c r="L1213" s="133" t="s">
        <v>1092</v>
      </c>
      <c r="M1213" s="133">
        <v>10922</v>
      </c>
      <c r="N1213" s="147">
        <f>+F1213+F1214+F1215+F1216-M1213-M1214</f>
        <v>0</v>
      </c>
      <c r="P1213" s="140"/>
      <c r="Q1213" s="140"/>
    </row>
    <row r="1214" spans="1:17" hidden="1" x14ac:dyDescent="0.35">
      <c r="A1214" s="146"/>
      <c r="B1214" s="143"/>
      <c r="C1214" s="133"/>
      <c r="D1214" s="133"/>
      <c r="E1214" s="145" t="s">
        <v>1067</v>
      </c>
      <c r="F1214" s="194">
        <v>304</v>
      </c>
      <c r="G1214" s="133" t="s">
        <v>1034</v>
      </c>
      <c r="H1214" s="144" t="s">
        <v>1341</v>
      </c>
      <c r="I1214" s="133" t="s">
        <v>1092</v>
      </c>
      <c r="J1214" s="133" t="s">
        <v>1936</v>
      </c>
      <c r="K1214" s="143">
        <v>45383</v>
      </c>
      <c r="L1214" s="133" t="s">
        <v>1092</v>
      </c>
      <c r="M1214" s="133">
        <f>4984.8+327</f>
        <v>5311.8</v>
      </c>
      <c r="N1214" s="147"/>
      <c r="P1214" s="140"/>
      <c r="Q1214" s="140"/>
    </row>
    <row r="1215" spans="1:17" hidden="1" x14ac:dyDescent="0.35">
      <c r="A1215" s="146"/>
      <c r="B1215" s="143"/>
      <c r="C1215" s="133"/>
      <c r="D1215" s="133"/>
      <c r="E1215" s="145" t="s">
        <v>1342</v>
      </c>
      <c r="F1215" s="194">
        <v>4381</v>
      </c>
      <c r="G1215" s="133"/>
      <c r="H1215" s="144"/>
      <c r="I1215" s="133"/>
      <c r="J1215" s="133"/>
      <c r="K1215" s="133"/>
      <c r="L1215" s="133"/>
      <c r="M1215" s="133"/>
      <c r="N1215" s="147"/>
      <c r="P1215" s="140"/>
      <c r="Q1215" s="140"/>
    </row>
    <row r="1216" spans="1:17" hidden="1" x14ac:dyDescent="0.35">
      <c r="A1216" s="146"/>
      <c r="B1216" s="143"/>
      <c r="C1216" s="133"/>
      <c r="D1216" s="133"/>
      <c r="E1216" s="145" t="s">
        <v>1071</v>
      </c>
      <c r="F1216" s="194">
        <v>626.79999999999995</v>
      </c>
      <c r="G1216" s="133"/>
      <c r="H1216" s="144"/>
      <c r="I1216" s="133"/>
      <c r="J1216" s="133"/>
      <c r="K1216" s="133"/>
      <c r="L1216" s="133"/>
      <c r="M1216" s="133"/>
      <c r="N1216" s="147"/>
      <c r="P1216" s="140"/>
      <c r="Q1216" s="140"/>
    </row>
    <row r="1217" spans="1:17" hidden="1" x14ac:dyDescent="0.35">
      <c r="A1217" s="146"/>
      <c r="B1217" s="143"/>
      <c r="C1217" s="133"/>
      <c r="D1217" s="133"/>
      <c r="E1217" s="145"/>
      <c r="F1217" s="194"/>
      <c r="G1217" s="133"/>
      <c r="H1217" s="144"/>
      <c r="I1217" s="133"/>
      <c r="J1217" s="133"/>
      <c r="K1217" s="133"/>
      <c r="L1217" s="133"/>
      <c r="M1217" s="133"/>
      <c r="N1217" s="147"/>
      <c r="P1217" s="140"/>
      <c r="Q1217" s="140"/>
    </row>
    <row r="1218" spans="1:17" hidden="1" x14ac:dyDescent="0.35">
      <c r="A1218" s="146">
        <v>264</v>
      </c>
      <c r="B1218" s="143">
        <v>45352</v>
      </c>
      <c r="C1218" s="133" t="s">
        <v>1450</v>
      </c>
      <c r="D1218" s="133" t="s">
        <v>1941</v>
      </c>
      <c r="E1218" s="145" t="s">
        <v>1064</v>
      </c>
      <c r="F1218" s="145">
        <v>12152</v>
      </c>
      <c r="G1218" s="133" t="s">
        <v>1034</v>
      </c>
      <c r="H1218" s="144" t="s">
        <v>1341</v>
      </c>
      <c r="I1218" s="133" t="s">
        <v>1092</v>
      </c>
      <c r="J1218" s="133" t="s">
        <v>1937</v>
      </c>
      <c r="K1218" s="143">
        <v>45383</v>
      </c>
      <c r="L1218" s="133" t="s">
        <v>1092</v>
      </c>
      <c r="M1218" s="133">
        <v>12152</v>
      </c>
      <c r="N1218" s="147">
        <f>+F1218+F1219-M1218-M1219-M1220</f>
        <v>0</v>
      </c>
      <c r="P1218" s="140"/>
      <c r="Q1218" s="140"/>
    </row>
    <row r="1219" spans="1:17" hidden="1" x14ac:dyDescent="0.35">
      <c r="A1219" s="146"/>
      <c r="B1219" s="143"/>
      <c r="C1219" s="133"/>
      <c r="D1219" s="133"/>
      <c r="E1219" s="145" t="s">
        <v>1067</v>
      </c>
      <c r="F1219" s="194">
        <v>382.9</v>
      </c>
      <c r="G1219" s="133" t="s">
        <v>1034</v>
      </c>
      <c r="H1219" s="144" t="s">
        <v>1341</v>
      </c>
      <c r="I1219" s="133" t="s">
        <v>1092</v>
      </c>
      <c r="J1219" s="133" t="s">
        <v>1936</v>
      </c>
      <c r="K1219" s="143">
        <v>45383</v>
      </c>
      <c r="L1219" s="133" t="s">
        <v>1092</v>
      </c>
      <c r="M1219" s="133">
        <v>131.89999999999964</v>
      </c>
      <c r="N1219" s="147"/>
      <c r="P1219" s="140"/>
      <c r="Q1219" s="140"/>
    </row>
    <row r="1220" spans="1:17" hidden="1" x14ac:dyDescent="0.35">
      <c r="A1220" s="146"/>
      <c r="B1220" s="143"/>
      <c r="C1220" s="133"/>
      <c r="D1220" s="133"/>
      <c r="E1220" s="145"/>
      <c r="F1220" s="194"/>
      <c r="G1220" s="133" t="s">
        <v>1034</v>
      </c>
      <c r="H1220" s="144" t="s">
        <v>1341</v>
      </c>
      <c r="I1220" s="133" t="s">
        <v>1092</v>
      </c>
      <c r="J1220" s="133" t="s">
        <v>1930</v>
      </c>
      <c r="K1220" s="143">
        <v>45383</v>
      </c>
      <c r="L1220" s="133" t="s">
        <v>1241</v>
      </c>
      <c r="M1220" s="133">
        <v>251</v>
      </c>
      <c r="N1220" s="147"/>
      <c r="P1220" s="140"/>
      <c r="Q1220" s="140"/>
    </row>
    <row r="1221" spans="1:17" hidden="1" x14ac:dyDescent="0.35">
      <c r="A1221" s="146"/>
      <c r="B1221" s="143"/>
      <c r="C1221" s="133"/>
      <c r="D1221" s="133"/>
      <c r="E1221" s="145"/>
      <c r="F1221" s="194"/>
      <c r="G1221" s="133"/>
      <c r="H1221" s="144"/>
      <c r="I1221" s="133"/>
      <c r="J1221" s="133"/>
      <c r="K1221" s="133"/>
      <c r="L1221" s="133"/>
      <c r="M1221" s="133"/>
      <c r="N1221" s="147"/>
      <c r="P1221" s="140"/>
      <c r="Q1221" s="140"/>
    </row>
    <row r="1222" spans="1:17" hidden="1" x14ac:dyDescent="0.35">
      <c r="A1222" s="146">
        <v>265</v>
      </c>
      <c r="B1222" s="143">
        <v>45352</v>
      </c>
      <c r="C1222" s="133" t="s">
        <v>1447</v>
      </c>
      <c r="D1222" s="133" t="s">
        <v>1940</v>
      </c>
      <c r="E1222" s="145" t="s">
        <v>1064</v>
      </c>
      <c r="F1222" s="145">
        <v>8450</v>
      </c>
      <c r="G1222" s="133" t="s">
        <v>1034</v>
      </c>
      <c r="H1222" s="144" t="s">
        <v>1341</v>
      </c>
      <c r="I1222" s="133" t="s">
        <v>1092</v>
      </c>
      <c r="J1222" s="133" t="s">
        <v>1937</v>
      </c>
      <c r="K1222" s="143">
        <v>45383</v>
      </c>
      <c r="L1222" s="133" t="s">
        <v>1092</v>
      </c>
      <c r="M1222" s="133">
        <v>8450</v>
      </c>
      <c r="N1222" s="147">
        <f>+F1222+F1223+F1224-M1222-M1223-M1224</f>
        <v>0</v>
      </c>
      <c r="P1222" s="140"/>
      <c r="Q1222" s="140"/>
    </row>
    <row r="1223" spans="1:17" hidden="1" x14ac:dyDescent="0.35">
      <c r="A1223" s="146"/>
      <c r="B1223" s="143"/>
      <c r="C1223" s="133"/>
      <c r="D1223" s="133"/>
      <c r="E1223" s="145" t="s">
        <v>1067</v>
      </c>
      <c r="F1223" s="194">
        <v>1101</v>
      </c>
      <c r="G1223" s="133" t="s">
        <v>1034</v>
      </c>
      <c r="H1223" s="144" t="s">
        <v>1341</v>
      </c>
      <c r="I1223" s="133" t="s">
        <v>1092</v>
      </c>
      <c r="J1223" s="133" t="s">
        <v>1936</v>
      </c>
      <c r="K1223" s="143">
        <v>45383</v>
      </c>
      <c r="L1223" s="133" t="s">
        <v>1092</v>
      </c>
      <c r="M1223" s="133">
        <v>3074</v>
      </c>
      <c r="N1223" s="147"/>
      <c r="O1223" s="140"/>
      <c r="P1223" s="140"/>
      <c r="Q1223" s="140"/>
    </row>
    <row r="1224" spans="1:17" hidden="1" x14ac:dyDescent="0.35">
      <c r="A1224" s="146"/>
      <c r="B1224" s="143"/>
      <c r="C1224" s="133"/>
      <c r="D1224" s="133"/>
      <c r="E1224" s="145" t="s">
        <v>1342</v>
      </c>
      <c r="F1224" s="194">
        <v>2206</v>
      </c>
      <c r="G1224" s="133" t="s">
        <v>1034</v>
      </c>
      <c r="H1224" s="144" t="s">
        <v>1341</v>
      </c>
      <c r="I1224" s="133" t="s">
        <v>1092</v>
      </c>
      <c r="J1224" s="133" t="s">
        <v>1930</v>
      </c>
      <c r="K1224" s="143">
        <v>45383</v>
      </c>
      <c r="L1224" s="133" t="s">
        <v>1241</v>
      </c>
      <c r="M1224" s="133">
        <v>233</v>
      </c>
      <c r="N1224" s="147"/>
      <c r="P1224" s="140"/>
      <c r="Q1224" s="140"/>
    </row>
    <row r="1225" spans="1:17" hidden="1" x14ac:dyDescent="0.35">
      <c r="A1225" s="146"/>
      <c r="B1225" s="143"/>
      <c r="C1225" s="133"/>
      <c r="D1225" s="133"/>
      <c r="E1225" s="145"/>
      <c r="F1225" s="194"/>
      <c r="G1225" s="133"/>
      <c r="H1225" s="144"/>
      <c r="I1225" s="133"/>
      <c r="J1225" s="133"/>
      <c r="K1225" s="133"/>
      <c r="L1225" s="133"/>
      <c r="M1225" s="133"/>
      <c r="N1225" s="147"/>
      <c r="P1225" s="140"/>
      <c r="Q1225" s="140"/>
    </row>
    <row r="1226" spans="1:17" hidden="1" x14ac:dyDescent="0.35">
      <c r="A1226" s="146">
        <v>266</v>
      </c>
      <c r="B1226" s="143">
        <v>45352</v>
      </c>
      <c r="C1226" s="133" t="s">
        <v>1443</v>
      </c>
      <c r="D1226" s="133" t="s">
        <v>1939</v>
      </c>
      <c r="E1226" s="145" t="s">
        <v>1064</v>
      </c>
      <c r="F1226" s="145">
        <v>5554</v>
      </c>
      <c r="G1226" s="133" t="s">
        <v>1034</v>
      </c>
      <c r="H1226" s="144" t="s">
        <v>1341</v>
      </c>
      <c r="I1226" s="133" t="s">
        <v>1092</v>
      </c>
      <c r="J1226" s="133" t="s">
        <v>1936</v>
      </c>
      <c r="K1226" s="143">
        <v>45383</v>
      </c>
      <c r="L1226" s="133" t="s">
        <v>1092</v>
      </c>
      <c r="M1226" s="133">
        <v>8768.7000000000007</v>
      </c>
      <c r="N1226" s="147">
        <f>+F1226+F1227+F1228-M1226-M1227</f>
        <v>0</v>
      </c>
      <c r="P1226" s="140"/>
      <c r="Q1226" s="140"/>
    </row>
    <row r="1227" spans="1:17" hidden="1" x14ac:dyDescent="0.35">
      <c r="A1227" s="146"/>
      <c r="B1227" s="143"/>
      <c r="C1227" s="133"/>
      <c r="D1227" s="133"/>
      <c r="E1227" s="145" t="s">
        <v>1067</v>
      </c>
      <c r="F1227" s="194">
        <v>1436.3</v>
      </c>
      <c r="G1227" s="133" t="s">
        <v>1034</v>
      </c>
      <c r="H1227" s="144" t="s">
        <v>1341</v>
      </c>
      <c r="I1227" s="133" t="s">
        <v>1092</v>
      </c>
      <c r="J1227" s="133" t="s">
        <v>1930</v>
      </c>
      <c r="K1227" s="143">
        <v>45383</v>
      </c>
      <c r="L1227" s="133" t="s">
        <v>1241</v>
      </c>
      <c r="M1227" s="133">
        <v>180</v>
      </c>
      <c r="N1227" s="147"/>
      <c r="P1227" s="140"/>
      <c r="Q1227" s="140"/>
    </row>
    <row r="1228" spans="1:17" hidden="1" x14ac:dyDescent="0.35">
      <c r="A1228" s="146"/>
      <c r="B1228" s="143"/>
      <c r="C1228" s="133"/>
      <c r="D1228" s="133"/>
      <c r="E1228" s="145" t="s">
        <v>1118</v>
      </c>
      <c r="F1228" s="194">
        <v>1958.4</v>
      </c>
      <c r="G1228" s="133"/>
      <c r="H1228" s="144"/>
      <c r="I1228" s="133"/>
      <c r="J1228" s="133"/>
      <c r="K1228" s="133"/>
      <c r="L1228" s="133"/>
      <c r="M1228" s="133"/>
      <c r="N1228" s="147"/>
      <c r="P1228" s="140"/>
      <c r="Q1228" s="140"/>
    </row>
    <row r="1229" spans="1:17" hidden="1" x14ac:dyDescent="0.35">
      <c r="A1229" s="146"/>
      <c r="B1229" s="143"/>
      <c r="C1229" s="133"/>
      <c r="D1229" s="133"/>
      <c r="E1229" s="145"/>
      <c r="F1229" s="194"/>
      <c r="G1229" s="133"/>
      <c r="H1229" s="144"/>
      <c r="I1229" s="133"/>
      <c r="J1229" s="133"/>
      <c r="K1229" s="133"/>
      <c r="L1229" s="133"/>
      <c r="M1229" s="133"/>
      <c r="N1229" s="147"/>
      <c r="P1229" s="140"/>
      <c r="Q1229" s="140"/>
    </row>
    <row r="1230" spans="1:17" hidden="1" x14ac:dyDescent="0.35">
      <c r="A1230" s="146">
        <v>267</v>
      </c>
      <c r="B1230" s="143">
        <v>45352</v>
      </c>
      <c r="C1230" s="133" t="s">
        <v>1441</v>
      </c>
      <c r="D1230" s="133" t="s">
        <v>1938</v>
      </c>
      <c r="E1230" s="145" t="s">
        <v>1067</v>
      </c>
      <c r="F1230" s="145">
        <v>674</v>
      </c>
      <c r="G1230" s="133" t="s">
        <v>1034</v>
      </c>
      <c r="H1230" s="144" t="s">
        <v>1341</v>
      </c>
      <c r="I1230" s="133" t="s">
        <v>1092</v>
      </c>
      <c r="J1230" s="133" t="s">
        <v>1932</v>
      </c>
      <c r="K1230" s="143">
        <v>45383</v>
      </c>
      <c r="L1230" s="133" t="s">
        <v>1092</v>
      </c>
      <c r="M1230" s="133">
        <v>3430</v>
      </c>
      <c r="N1230" s="147">
        <f>+F1230+F1231-M1230-M1231</f>
        <v>0</v>
      </c>
      <c r="P1230" s="140"/>
      <c r="Q1230" s="140"/>
    </row>
    <row r="1231" spans="1:17" hidden="1" x14ac:dyDescent="0.35">
      <c r="A1231" s="146"/>
      <c r="B1231" s="143"/>
      <c r="C1231" s="133"/>
      <c r="D1231" s="133"/>
      <c r="E1231" s="145" t="s">
        <v>1342</v>
      </c>
      <c r="F1231" s="194">
        <v>2827</v>
      </c>
      <c r="G1231" s="133" t="s">
        <v>1034</v>
      </c>
      <c r="H1231" s="144" t="s">
        <v>1341</v>
      </c>
      <c r="I1231" s="133" t="s">
        <v>1092</v>
      </c>
      <c r="J1231" s="133" t="s">
        <v>1930</v>
      </c>
      <c r="K1231" s="143">
        <v>45383</v>
      </c>
      <c r="L1231" s="133" t="s">
        <v>1241</v>
      </c>
      <c r="M1231" s="133">
        <v>71</v>
      </c>
      <c r="N1231" s="147"/>
      <c r="O1231" s="140"/>
      <c r="P1231" s="140"/>
      <c r="Q1231" s="140"/>
    </row>
    <row r="1232" spans="1:17" hidden="1" x14ac:dyDescent="0.35">
      <c r="A1232" s="146"/>
      <c r="B1232" s="143"/>
      <c r="C1232" s="133"/>
      <c r="D1232" s="133"/>
      <c r="E1232" s="145"/>
      <c r="F1232" s="194"/>
      <c r="G1232" s="133"/>
      <c r="H1232" s="144"/>
      <c r="I1232" s="133"/>
      <c r="J1232" s="133"/>
      <c r="K1232" s="133"/>
      <c r="L1232" s="133"/>
      <c r="M1232" s="133"/>
      <c r="N1232" s="142"/>
      <c r="P1232" s="140"/>
      <c r="Q1232" s="140"/>
    </row>
    <row r="1233" spans="1:17" hidden="1" x14ac:dyDescent="0.35">
      <c r="A1233" s="146">
        <v>268</v>
      </c>
      <c r="B1233" s="143">
        <v>45352</v>
      </c>
      <c r="C1233" s="133" t="s">
        <v>1439</v>
      </c>
      <c r="D1233" s="133" t="s">
        <v>1935</v>
      </c>
      <c r="E1233" s="148" t="s">
        <v>1059</v>
      </c>
      <c r="F1233" s="145">
        <v>99000</v>
      </c>
      <c r="G1233" s="133" t="s">
        <v>1034</v>
      </c>
      <c r="H1233" s="144" t="s">
        <v>1341</v>
      </c>
      <c r="I1233" s="133" t="s">
        <v>1092</v>
      </c>
      <c r="J1233" s="133" t="s">
        <v>1937</v>
      </c>
      <c r="K1233" s="143">
        <v>45383</v>
      </c>
      <c r="L1233" s="133" t="s">
        <v>1092</v>
      </c>
      <c r="M1233" s="133">
        <v>9258.6</v>
      </c>
      <c r="N1233" s="147">
        <f>+F1233-M1233-M1234-M1235-M1236-M1237-M1238</f>
        <v>0</v>
      </c>
      <c r="P1233" s="140"/>
      <c r="Q1233" s="140"/>
    </row>
    <row r="1234" spans="1:17" hidden="1" x14ac:dyDescent="0.35">
      <c r="A1234" s="146"/>
      <c r="B1234" s="143"/>
      <c r="C1234" s="133"/>
      <c r="D1234" s="133"/>
      <c r="E1234" s="148"/>
      <c r="F1234" s="145"/>
      <c r="G1234" s="133" t="s">
        <v>1034</v>
      </c>
      <c r="H1234" s="144" t="s">
        <v>1341</v>
      </c>
      <c r="I1234" s="133" t="s">
        <v>1092</v>
      </c>
      <c r="J1234" s="133" t="s">
        <v>1936</v>
      </c>
      <c r="K1234" s="143">
        <v>45383</v>
      </c>
      <c r="L1234" s="133" t="s">
        <v>1092</v>
      </c>
      <c r="M1234" s="133">
        <v>12819.8</v>
      </c>
      <c r="N1234" s="142"/>
      <c r="P1234" s="140"/>
      <c r="Q1234" s="140"/>
    </row>
    <row r="1235" spans="1:17" hidden="1" x14ac:dyDescent="0.35">
      <c r="A1235" s="146"/>
      <c r="B1235" s="143"/>
      <c r="C1235" s="133"/>
      <c r="D1235" s="133"/>
      <c r="E1235" s="148"/>
      <c r="F1235" s="145"/>
      <c r="G1235" s="133" t="s">
        <v>1034</v>
      </c>
      <c r="H1235" s="144" t="s">
        <v>1341</v>
      </c>
      <c r="I1235" s="133" t="s">
        <v>1092</v>
      </c>
      <c r="J1235" s="133" t="s">
        <v>1932</v>
      </c>
      <c r="K1235" s="143">
        <v>45383</v>
      </c>
      <c r="L1235" s="133" t="s">
        <v>1092</v>
      </c>
      <c r="M1235" s="133">
        <v>34445.339999999997</v>
      </c>
      <c r="N1235" s="142"/>
      <c r="P1235" s="140"/>
      <c r="Q1235" s="140"/>
    </row>
    <row r="1236" spans="1:17" hidden="1" x14ac:dyDescent="0.35">
      <c r="A1236" s="146"/>
      <c r="B1236" s="143"/>
      <c r="C1236" s="133"/>
      <c r="D1236" s="133"/>
      <c r="E1236" s="148"/>
      <c r="F1236" s="145"/>
      <c r="G1236" s="133" t="s">
        <v>1034</v>
      </c>
      <c r="H1236" s="144" t="s">
        <v>1341</v>
      </c>
      <c r="I1236" s="133" t="s">
        <v>1092</v>
      </c>
      <c r="J1236" s="133" t="s">
        <v>1920</v>
      </c>
      <c r="K1236" s="143">
        <v>45383</v>
      </c>
      <c r="L1236" s="133" t="s">
        <v>1092</v>
      </c>
      <c r="M1236" s="133">
        <v>29738.2</v>
      </c>
      <c r="N1236" s="142"/>
      <c r="P1236" s="140"/>
      <c r="Q1236" s="140"/>
    </row>
    <row r="1237" spans="1:17" hidden="1" x14ac:dyDescent="0.35">
      <c r="A1237" s="146"/>
      <c r="B1237" s="143"/>
      <c r="C1237" s="133"/>
      <c r="D1237" s="133"/>
      <c r="E1237" s="148"/>
      <c r="F1237" s="145"/>
      <c r="G1237" s="133" t="s">
        <v>1034</v>
      </c>
      <c r="H1237" s="144" t="s">
        <v>1341</v>
      </c>
      <c r="I1237" s="133" t="s">
        <v>1092</v>
      </c>
      <c r="J1237" s="133" t="s">
        <v>1930</v>
      </c>
      <c r="K1237" s="143">
        <v>45383</v>
      </c>
      <c r="L1237" s="133" t="s">
        <v>1241</v>
      </c>
      <c r="M1237" s="133">
        <v>1982</v>
      </c>
      <c r="N1237" s="147"/>
      <c r="P1237" s="140"/>
      <c r="Q1237" s="140"/>
    </row>
    <row r="1238" spans="1:17" hidden="1" x14ac:dyDescent="0.35">
      <c r="A1238" s="146"/>
      <c r="B1238" s="143"/>
      <c r="C1238" s="133"/>
      <c r="D1238" s="133"/>
      <c r="E1238" s="148"/>
      <c r="F1238" s="145"/>
      <c r="G1238" s="133" t="s">
        <v>1034</v>
      </c>
      <c r="H1238" s="144" t="s">
        <v>1341</v>
      </c>
      <c r="I1238" s="133" t="s">
        <v>1092</v>
      </c>
      <c r="J1238" s="133" t="s">
        <v>1924</v>
      </c>
      <c r="K1238" s="143">
        <v>45383</v>
      </c>
      <c r="L1238" s="133" t="s">
        <v>1092</v>
      </c>
      <c r="M1238" s="133">
        <v>10756.059999999994</v>
      </c>
      <c r="N1238" s="147"/>
      <c r="P1238" s="140"/>
      <c r="Q1238" s="140"/>
    </row>
    <row r="1239" spans="1:17" hidden="1" x14ac:dyDescent="0.35">
      <c r="A1239" s="146"/>
      <c r="B1239" s="143"/>
      <c r="C1239" s="133"/>
      <c r="D1239" s="133"/>
      <c r="E1239" s="145"/>
      <c r="F1239" s="194"/>
      <c r="G1239" s="133"/>
      <c r="H1239" s="144"/>
      <c r="I1239" s="133"/>
      <c r="J1239" s="133"/>
      <c r="K1239" s="143"/>
      <c r="L1239" s="133"/>
      <c r="M1239" s="133"/>
      <c r="N1239" s="147"/>
      <c r="P1239" s="140"/>
      <c r="Q1239" s="140"/>
    </row>
    <row r="1240" spans="1:17" hidden="1" x14ac:dyDescent="0.35">
      <c r="A1240" s="146">
        <v>269</v>
      </c>
      <c r="B1240" s="143">
        <v>45352</v>
      </c>
      <c r="C1240" s="133" t="s">
        <v>1437</v>
      </c>
      <c r="D1240" s="133" t="s">
        <v>1935</v>
      </c>
      <c r="E1240" s="145" t="s">
        <v>1075</v>
      </c>
      <c r="F1240" s="145">
        <v>237.8</v>
      </c>
      <c r="G1240" s="133" t="s">
        <v>1034</v>
      </c>
      <c r="H1240" s="144" t="s">
        <v>1341</v>
      </c>
      <c r="I1240" s="133" t="s">
        <v>1092</v>
      </c>
      <c r="J1240" s="133" t="s">
        <v>1932</v>
      </c>
      <c r="K1240" s="143">
        <v>45383</v>
      </c>
      <c r="L1240" s="133" t="s">
        <v>1092</v>
      </c>
      <c r="M1240" s="133">
        <v>237.8</v>
      </c>
      <c r="N1240" s="147">
        <f>+F1240-M1240</f>
        <v>0</v>
      </c>
      <c r="P1240" s="140"/>
      <c r="Q1240" s="140"/>
    </row>
    <row r="1241" spans="1:17" hidden="1" x14ac:dyDescent="0.35">
      <c r="A1241" s="146"/>
      <c r="B1241" s="143"/>
      <c r="C1241" s="133"/>
      <c r="D1241" s="133"/>
      <c r="E1241" s="145"/>
      <c r="F1241" s="194"/>
      <c r="G1241" s="133"/>
      <c r="H1241" s="144"/>
      <c r="I1241" s="133"/>
      <c r="J1241" s="133"/>
      <c r="K1241" s="133"/>
      <c r="L1241" s="133"/>
      <c r="M1241" s="133"/>
      <c r="N1241" s="147"/>
      <c r="P1241" s="140"/>
      <c r="Q1241" s="140"/>
    </row>
    <row r="1242" spans="1:17" hidden="1" x14ac:dyDescent="0.35">
      <c r="A1242" s="146">
        <v>270</v>
      </c>
      <c r="B1242" s="143">
        <v>45352</v>
      </c>
      <c r="C1242" s="133" t="s">
        <v>1435</v>
      </c>
      <c r="D1242" s="133" t="s">
        <v>1934</v>
      </c>
      <c r="E1242" s="145" t="s">
        <v>1067</v>
      </c>
      <c r="F1242" s="145">
        <v>397</v>
      </c>
      <c r="G1242" s="133" t="s">
        <v>1034</v>
      </c>
      <c r="H1242" s="144" t="s">
        <v>1341</v>
      </c>
      <c r="I1242" s="133" t="s">
        <v>1092</v>
      </c>
      <c r="J1242" s="133" t="s">
        <v>1932</v>
      </c>
      <c r="K1242" s="143">
        <v>45383</v>
      </c>
      <c r="L1242" s="133" t="s">
        <v>1092</v>
      </c>
      <c r="M1242" s="133">
        <v>397</v>
      </c>
      <c r="N1242" s="147">
        <f>+F1242-M1242</f>
        <v>0</v>
      </c>
      <c r="P1242" s="140"/>
      <c r="Q1242" s="140"/>
    </row>
    <row r="1243" spans="1:17" hidden="1" x14ac:dyDescent="0.35">
      <c r="A1243" s="146"/>
      <c r="B1243" s="143"/>
      <c r="C1243" s="133"/>
      <c r="D1243" s="133"/>
      <c r="E1243" s="145"/>
      <c r="F1243" s="194"/>
      <c r="G1243" s="133"/>
      <c r="H1243" s="144"/>
      <c r="I1243" s="133"/>
      <c r="J1243" s="133"/>
      <c r="K1243" s="133"/>
      <c r="L1243" s="133"/>
      <c r="M1243" s="133"/>
      <c r="N1243" s="147"/>
      <c r="P1243" s="140"/>
      <c r="Q1243" s="140"/>
    </row>
    <row r="1244" spans="1:17" hidden="1" x14ac:dyDescent="0.35">
      <c r="A1244" s="146">
        <v>271</v>
      </c>
      <c r="B1244" s="143">
        <v>45352</v>
      </c>
      <c r="C1244" s="133" t="s">
        <v>1433</v>
      </c>
      <c r="D1244" s="133" t="s">
        <v>1933</v>
      </c>
      <c r="E1244" s="145" t="s">
        <v>1064</v>
      </c>
      <c r="F1244" s="145">
        <v>1219.5</v>
      </c>
      <c r="G1244" s="133" t="s">
        <v>1034</v>
      </c>
      <c r="H1244" s="144" t="s">
        <v>1341</v>
      </c>
      <c r="I1244" s="133" t="s">
        <v>1092</v>
      </c>
      <c r="J1244" s="133" t="s">
        <v>1932</v>
      </c>
      <c r="K1244" s="143">
        <v>45383</v>
      </c>
      <c r="L1244" s="133" t="s">
        <v>1092</v>
      </c>
      <c r="M1244" s="133">
        <v>17872.86</v>
      </c>
      <c r="N1244" s="147">
        <f>+F1244+F1245+F1246+F1247+F1248-M1244-M1245</f>
        <v>0</v>
      </c>
      <c r="P1244" s="140"/>
      <c r="Q1244" s="140"/>
    </row>
    <row r="1245" spans="1:17" hidden="1" x14ac:dyDescent="0.35">
      <c r="A1245" s="146"/>
      <c r="B1245" s="143"/>
      <c r="C1245" s="133"/>
      <c r="D1245" s="133"/>
      <c r="E1245" s="145" t="s">
        <v>1067</v>
      </c>
      <c r="F1245" s="194">
        <v>2658.5</v>
      </c>
      <c r="G1245" s="133" t="s">
        <v>1034</v>
      </c>
      <c r="H1245" s="144" t="s">
        <v>1341</v>
      </c>
      <c r="I1245" s="133" t="s">
        <v>1092</v>
      </c>
      <c r="J1245" s="133" t="s">
        <v>1930</v>
      </c>
      <c r="K1245" s="143">
        <v>45383</v>
      </c>
      <c r="L1245" s="133" t="s">
        <v>1241</v>
      </c>
      <c r="M1245" s="133">
        <v>362</v>
      </c>
      <c r="N1245" s="147"/>
      <c r="O1245" s="140"/>
      <c r="P1245" s="140"/>
      <c r="Q1245" s="140"/>
    </row>
    <row r="1246" spans="1:17" hidden="1" x14ac:dyDescent="0.35">
      <c r="A1246" s="146"/>
      <c r="B1246" s="143"/>
      <c r="C1246" s="133"/>
      <c r="D1246" s="133"/>
      <c r="E1246" s="145" t="s">
        <v>1342</v>
      </c>
      <c r="F1246" s="194">
        <v>8507.2000000000007</v>
      </c>
      <c r="G1246" s="133"/>
      <c r="H1246" s="144"/>
      <c r="I1246" s="133"/>
      <c r="J1246" s="133"/>
      <c r="K1246" s="133"/>
      <c r="L1246" s="133"/>
      <c r="M1246" s="133"/>
      <c r="N1246" s="147"/>
      <c r="P1246" s="140"/>
      <c r="Q1246" s="140"/>
    </row>
    <row r="1247" spans="1:17" hidden="1" x14ac:dyDescent="0.35">
      <c r="A1247" s="146"/>
      <c r="B1247" s="143"/>
      <c r="C1247" s="133"/>
      <c r="D1247" s="133"/>
      <c r="E1247" s="145" t="s">
        <v>1075</v>
      </c>
      <c r="F1247" s="194">
        <v>1185.3</v>
      </c>
      <c r="G1247" s="133"/>
      <c r="H1247" s="144"/>
      <c r="I1247" s="133"/>
      <c r="J1247" s="133"/>
      <c r="K1247" s="133"/>
      <c r="L1247" s="133"/>
      <c r="M1247" s="133"/>
      <c r="N1247" s="147"/>
      <c r="P1247" s="140"/>
      <c r="Q1247" s="140"/>
    </row>
    <row r="1248" spans="1:17" hidden="1" x14ac:dyDescent="0.35">
      <c r="A1248" s="146"/>
      <c r="B1248" s="143"/>
      <c r="C1248" s="133"/>
      <c r="D1248" s="133"/>
      <c r="E1248" s="145" t="s">
        <v>678</v>
      </c>
      <c r="F1248" s="194">
        <v>4664.3599999999997</v>
      </c>
      <c r="G1248" s="133"/>
      <c r="H1248" s="144"/>
      <c r="I1248" s="133"/>
      <c r="J1248" s="133"/>
      <c r="K1248" s="133"/>
      <c r="L1248" s="133"/>
      <c r="M1248" s="133"/>
      <c r="N1248" s="147"/>
      <c r="P1248" s="140"/>
      <c r="Q1248" s="140"/>
    </row>
    <row r="1249" spans="1:16" hidden="1" x14ac:dyDescent="0.35">
      <c r="A1249" s="146"/>
      <c r="B1249" s="143"/>
      <c r="C1249" s="133"/>
      <c r="D1249" s="133"/>
      <c r="E1249" s="145"/>
      <c r="F1249" s="145"/>
      <c r="G1249" s="133"/>
      <c r="H1249" s="144"/>
      <c r="I1249" s="133"/>
      <c r="J1249" s="133"/>
      <c r="K1249" s="133"/>
      <c r="L1249" s="133"/>
      <c r="M1249" s="133"/>
      <c r="N1249" s="147"/>
      <c r="P1249" s="140"/>
    </row>
    <row r="1250" spans="1:16" hidden="1" x14ac:dyDescent="0.35">
      <c r="A1250" s="146">
        <v>272</v>
      </c>
      <c r="B1250" s="143">
        <v>45352</v>
      </c>
      <c r="C1250" s="133" t="s">
        <v>1431</v>
      </c>
      <c r="D1250" s="133" t="s">
        <v>1931</v>
      </c>
      <c r="E1250" s="145" t="s">
        <v>1071</v>
      </c>
      <c r="F1250" s="145">
        <v>224.6</v>
      </c>
      <c r="G1250" s="133" t="s">
        <v>1034</v>
      </c>
      <c r="H1250" s="144" t="s">
        <v>1341</v>
      </c>
      <c r="I1250" s="133" t="s">
        <v>1092</v>
      </c>
      <c r="J1250" s="133" t="s">
        <v>1920</v>
      </c>
      <c r="K1250" s="143">
        <v>45383</v>
      </c>
      <c r="L1250" s="133" t="s">
        <v>1092</v>
      </c>
      <c r="M1250" s="133">
        <v>813.6</v>
      </c>
      <c r="N1250" s="147">
        <f>+F1250+F1251-M1250-M1251</f>
        <v>0</v>
      </c>
      <c r="P1250" s="140"/>
    </row>
    <row r="1251" spans="1:16" hidden="1" x14ac:dyDescent="0.35">
      <c r="A1251" s="146"/>
      <c r="B1251" s="143"/>
      <c r="C1251" s="133"/>
      <c r="D1251" s="133"/>
      <c r="E1251" s="145" t="s">
        <v>1342</v>
      </c>
      <c r="F1251" s="194">
        <v>608</v>
      </c>
      <c r="G1251" s="133" t="s">
        <v>1034</v>
      </c>
      <c r="H1251" s="144" t="s">
        <v>1341</v>
      </c>
      <c r="I1251" s="133" t="s">
        <v>1092</v>
      </c>
      <c r="J1251" s="133" t="s">
        <v>1930</v>
      </c>
      <c r="K1251" s="143">
        <v>45383</v>
      </c>
      <c r="L1251" s="133" t="s">
        <v>1241</v>
      </c>
      <c r="M1251" s="133">
        <v>19</v>
      </c>
      <c r="N1251" s="142"/>
      <c r="O1251" s="140"/>
      <c r="P1251" s="140"/>
    </row>
    <row r="1252" spans="1:16" hidden="1" x14ac:dyDescent="0.35">
      <c r="A1252" s="146"/>
      <c r="B1252" s="143"/>
      <c r="C1252" s="133"/>
      <c r="D1252" s="133"/>
      <c r="E1252" s="145"/>
      <c r="F1252" s="145"/>
      <c r="G1252" s="133"/>
      <c r="H1252" s="144"/>
      <c r="I1252" s="133"/>
      <c r="J1252" s="133"/>
      <c r="K1252" s="133"/>
      <c r="L1252" s="133"/>
      <c r="M1252" s="133"/>
      <c r="N1252" s="142"/>
      <c r="P1252" s="140"/>
    </row>
    <row r="1253" spans="1:16" hidden="1" x14ac:dyDescent="0.35">
      <c r="A1253" s="156"/>
      <c r="B1253" s="152"/>
      <c r="C1253" s="151"/>
      <c r="D1253" s="151"/>
      <c r="E1253" s="154"/>
      <c r="F1253" s="154"/>
      <c r="G1253" s="151"/>
      <c r="H1253" s="153"/>
      <c r="I1253" s="151"/>
      <c r="J1253" s="151"/>
      <c r="K1253" s="151"/>
      <c r="L1253" s="151"/>
      <c r="M1253" s="151"/>
      <c r="N1253" s="150"/>
      <c r="P1253" s="140"/>
    </row>
    <row r="1254" spans="1:16" hidden="1" x14ac:dyDescent="0.35">
      <c r="A1254" s="146"/>
      <c r="B1254" s="143"/>
      <c r="C1254" s="133"/>
      <c r="D1254" s="133"/>
      <c r="E1254" s="145"/>
      <c r="F1254" s="145"/>
      <c r="G1254" s="133"/>
      <c r="H1254" s="144"/>
      <c r="I1254" s="133"/>
      <c r="J1254" s="133"/>
      <c r="K1254" s="133"/>
      <c r="L1254" s="133"/>
      <c r="M1254" s="133"/>
      <c r="N1254" s="142"/>
      <c r="P1254" s="140"/>
    </row>
    <row r="1255" spans="1:16" hidden="1" x14ac:dyDescent="0.35">
      <c r="A1255" s="146">
        <v>1</v>
      </c>
      <c r="B1255" s="143">
        <v>45383</v>
      </c>
      <c r="C1255" s="133" t="s">
        <v>1375</v>
      </c>
      <c r="D1255" s="133" t="s">
        <v>1929</v>
      </c>
      <c r="E1255" s="145" t="s">
        <v>1067</v>
      </c>
      <c r="F1255" s="145">
        <v>2170.1999999999998</v>
      </c>
      <c r="G1255" s="133" t="s">
        <v>1034</v>
      </c>
      <c r="H1255" s="144" t="s">
        <v>1341</v>
      </c>
      <c r="I1255" s="133" t="s">
        <v>1092</v>
      </c>
      <c r="J1255" s="133" t="s">
        <v>1920</v>
      </c>
      <c r="K1255" s="143">
        <v>45383</v>
      </c>
      <c r="L1255" s="133" t="s">
        <v>1092</v>
      </c>
      <c r="M1255" s="133">
        <v>1048.2</v>
      </c>
      <c r="N1255" s="147">
        <f>+F1255+F1256+F1257-M1255-M1256-M1257</f>
        <v>0</v>
      </c>
      <c r="P1255" s="140"/>
    </row>
    <row r="1256" spans="1:16" hidden="1" x14ac:dyDescent="0.35">
      <c r="A1256" s="146"/>
      <c r="B1256" s="143"/>
      <c r="C1256" s="133"/>
      <c r="D1256" s="133"/>
      <c r="E1256" s="145" t="s">
        <v>1342</v>
      </c>
      <c r="F1256" s="194">
        <v>1268</v>
      </c>
      <c r="G1256" s="133" t="s">
        <v>1034</v>
      </c>
      <c r="H1256" s="144" t="s">
        <v>1341</v>
      </c>
      <c r="I1256" s="133" t="s">
        <v>1092</v>
      </c>
      <c r="J1256" s="133" t="s">
        <v>1924</v>
      </c>
      <c r="K1256" s="143">
        <v>45383</v>
      </c>
      <c r="L1256" s="133" t="s">
        <v>1092</v>
      </c>
      <c r="M1256" s="133">
        <v>3351.2</v>
      </c>
      <c r="N1256" s="147"/>
      <c r="P1256" s="140"/>
    </row>
    <row r="1257" spans="1:16" hidden="1" x14ac:dyDescent="0.35">
      <c r="A1257" s="146"/>
      <c r="B1257" s="143"/>
      <c r="C1257" s="133"/>
      <c r="D1257" s="133"/>
      <c r="E1257" s="145" t="s">
        <v>1118</v>
      </c>
      <c r="F1257" s="145">
        <v>1048.2</v>
      </c>
      <c r="G1257" s="133" t="s">
        <v>1034</v>
      </c>
      <c r="H1257" s="144" t="s">
        <v>1341</v>
      </c>
      <c r="I1257" s="133" t="s">
        <v>1092</v>
      </c>
      <c r="J1257" s="133" t="s">
        <v>1874</v>
      </c>
      <c r="K1257" s="143">
        <v>45413</v>
      </c>
      <c r="L1257" s="133" t="s">
        <v>1241</v>
      </c>
      <c r="M1257" s="133">
        <v>87</v>
      </c>
      <c r="N1257" s="147"/>
      <c r="P1257" s="140"/>
    </row>
    <row r="1258" spans="1:16" hidden="1" x14ac:dyDescent="0.35">
      <c r="A1258" s="146"/>
      <c r="B1258" s="143"/>
      <c r="C1258" s="133"/>
      <c r="D1258" s="133"/>
      <c r="E1258" s="145"/>
      <c r="F1258" s="145"/>
      <c r="G1258" s="133"/>
      <c r="H1258" s="144"/>
      <c r="I1258" s="133"/>
      <c r="J1258" s="133"/>
      <c r="K1258" s="133"/>
      <c r="L1258" s="133"/>
      <c r="M1258" s="133"/>
      <c r="N1258" s="147"/>
      <c r="P1258" s="140"/>
    </row>
    <row r="1259" spans="1:16" hidden="1" x14ac:dyDescent="0.35">
      <c r="A1259" s="146">
        <v>2</v>
      </c>
      <c r="B1259" s="143">
        <v>45383</v>
      </c>
      <c r="C1259" s="133" t="s">
        <v>1373</v>
      </c>
      <c r="D1259" s="133" t="s">
        <v>1928</v>
      </c>
      <c r="E1259" s="145" t="s">
        <v>1075</v>
      </c>
      <c r="F1259" s="145">
        <v>4279.6000000000004</v>
      </c>
      <c r="G1259" s="133" t="s">
        <v>1034</v>
      </c>
      <c r="H1259" s="144" t="s">
        <v>1341</v>
      </c>
      <c r="I1259" s="133" t="s">
        <v>1092</v>
      </c>
      <c r="J1259" s="133" t="s">
        <v>1924</v>
      </c>
      <c r="K1259" s="143">
        <v>45383</v>
      </c>
      <c r="L1259" s="133" t="s">
        <v>1092</v>
      </c>
      <c r="M1259" s="133">
        <v>13631.289999999999</v>
      </c>
      <c r="N1259" s="147">
        <f>+F1259+F1260+F1261+F1262-M1259-M1260</f>
        <v>0</v>
      </c>
      <c r="P1259" s="140"/>
    </row>
    <row r="1260" spans="1:16" hidden="1" x14ac:dyDescent="0.35">
      <c r="A1260" s="146"/>
      <c r="B1260" s="143"/>
      <c r="C1260" s="133"/>
      <c r="D1260" s="133"/>
      <c r="E1260" s="145" t="s">
        <v>1342</v>
      </c>
      <c r="F1260" s="194">
        <v>5974</v>
      </c>
      <c r="G1260" s="133" t="s">
        <v>1034</v>
      </c>
      <c r="H1260" s="144" t="s">
        <v>1341</v>
      </c>
      <c r="I1260" s="133" t="s">
        <v>1092</v>
      </c>
      <c r="J1260" s="133" t="s">
        <v>1874</v>
      </c>
      <c r="K1260" s="143">
        <v>45413</v>
      </c>
      <c r="L1260" s="133" t="s">
        <v>1241</v>
      </c>
      <c r="M1260" s="133">
        <v>280</v>
      </c>
      <c r="N1260" s="147"/>
      <c r="O1260" s="140"/>
      <c r="P1260" s="140"/>
    </row>
    <row r="1261" spans="1:16" hidden="1" x14ac:dyDescent="0.35">
      <c r="A1261" s="146"/>
      <c r="B1261" s="143"/>
      <c r="C1261" s="133"/>
      <c r="D1261" s="133"/>
      <c r="E1261" s="145" t="s">
        <v>678</v>
      </c>
      <c r="F1261" s="145">
        <v>2783.79</v>
      </c>
      <c r="G1261" s="133"/>
      <c r="H1261" s="144"/>
      <c r="I1261" s="133"/>
      <c r="J1261" s="133"/>
      <c r="K1261" s="133"/>
      <c r="L1261" s="133"/>
      <c r="M1261" s="133"/>
      <c r="N1261" s="147"/>
      <c r="P1261" s="140"/>
    </row>
    <row r="1262" spans="1:16" hidden="1" x14ac:dyDescent="0.35">
      <c r="A1262" s="146"/>
      <c r="B1262" s="143"/>
      <c r="C1262" s="133"/>
      <c r="D1262" s="133"/>
      <c r="E1262" s="145" t="s">
        <v>1064</v>
      </c>
      <c r="F1262" s="145">
        <v>873.9</v>
      </c>
      <c r="G1262" s="133"/>
      <c r="H1262" s="144"/>
      <c r="I1262" s="133"/>
      <c r="J1262" s="133"/>
      <c r="K1262" s="133"/>
      <c r="L1262" s="133"/>
      <c r="M1262" s="133"/>
      <c r="N1262" s="147"/>
      <c r="P1262" s="140"/>
    </row>
    <row r="1263" spans="1:16" hidden="1" x14ac:dyDescent="0.35">
      <c r="A1263" s="146"/>
      <c r="B1263" s="143"/>
      <c r="C1263" s="133"/>
      <c r="D1263" s="133"/>
      <c r="E1263" s="145"/>
      <c r="F1263" s="145"/>
      <c r="G1263" s="133"/>
      <c r="H1263" s="144"/>
      <c r="I1263" s="133"/>
      <c r="J1263" s="133"/>
      <c r="K1263" s="133"/>
      <c r="L1263" s="133"/>
      <c r="M1263" s="133"/>
      <c r="N1263" s="147"/>
      <c r="P1263" s="140"/>
    </row>
    <row r="1264" spans="1:16" hidden="1" x14ac:dyDescent="0.35">
      <c r="A1264" s="146">
        <v>3</v>
      </c>
      <c r="B1264" s="143">
        <v>45383</v>
      </c>
      <c r="C1264" s="133" t="s">
        <v>1371</v>
      </c>
      <c r="D1264" s="133" t="s">
        <v>1927</v>
      </c>
      <c r="E1264" s="145" t="s">
        <v>1118</v>
      </c>
      <c r="F1264" s="145">
        <v>2002</v>
      </c>
      <c r="G1264" s="133" t="s">
        <v>1034</v>
      </c>
      <c r="H1264" s="144" t="s">
        <v>1341</v>
      </c>
      <c r="I1264" s="133" t="s">
        <v>1092</v>
      </c>
      <c r="J1264" s="133" t="s">
        <v>1924</v>
      </c>
      <c r="K1264" s="143">
        <v>45383</v>
      </c>
      <c r="L1264" s="133" t="s">
        <v>1092</v>
      </c>
      <c r="M1264" s="133">
        <f>771+552</f>
        <v>1323</v>
      </c>
      <c r="N1264" s="147">
        <f>+F1264+F1265+F1266+F1267-M1264-M1265-M1266</f>
        <v>0</v>
      </c>
      <c r="P1264" s="140"/>
    </row>
    <row r="1265" spans="1:16" hidden="1" x14ac:dyDescent="0.35">
      <c r="A1265" s="146"/>
      <c r="B1265" s="143"/>
      <c r="C1265" s="133"/>
      <c r="D1265" s="133"/>
      <c r="E1265" s="145" t="s">
        <v>1075</v>
      </c>
      <c r="F1265" s="194">
        <v>771</v>
      </c>
      <c r="G1265" s="133" t="s">
        <v>1034</v>
      </c>
      <c r="H1265" s="144" t="s">
        <v>1341</v>
      </c>
      <c r="I1265" s="133" t="s">
        <v>1092</v>
      </c>
      <c r="J1265" s="133" t="s">
        <v>1919</v>
      </c>
      <c r="K1265" s="143">
        <v>45383</v>
      </c>
      <c r="L1265" s="133" t="s">
        <v>1092</v>
      </c>
      <c r="M1265" s="133">
        <v>9654</v>
      </c>
      <c r="N1265" s="147"/>
      <c r="P1265" s="140"/>
    </row>
    <row r="1266" spans="1:16" hidden="1" x14ac:dyDescent="0.35">
      <c r="A1266" s="146"/>
      <c r="B1266" s="143"/>
      <c r="C1266" s="133"/>
      <c r="D1266" s="133"/>
      <c r="E1266" s="145" t="s">
        <v>1342</v>
      </c>
      <c r="F1266" s="145">
        <v>7875</v>
      </c>
      <c r="G1266" s="133" t="s">
        <v>1034</v>
      </c>
      <c r="H1266" s="144" t="s">
        <v>1341</v>
      </c>
      <c r="I1266" s="133" t="s">
        <v>1092</v>
      </c>
      <c r="J1266" s="133" t="s">
        <v>1874</v>
      </c>
      <c r="K1266" s="143">
        <v>45413</v>
      </c>
      <c r="L1266" s="133" t="s">
        <v>1241</v>
      </c>
      <c r="M1266" s="133">
        <v>223</v>
      </c>
      <c r="N1266" s="147"/>
      <c r="P1266" s="140"/>
    </row>
    <row r="1267" spans="1:16" hidden="1" x14ac:dyDescent="0.35">
      <c r="A1267" s="146"/>
      <c r="B1267" s="143"/>
      <c r="C1267" s="133"/>
      <c r="D1267" s="133"/>
      <c r="E1267" s="145" t="s">
        <v>1067</v>
      </c>
      <c r="F1267" s="145">
        <v>552</v>
      </c>
      <c r="G1267" s="133"/>
      <c r="H1267" s="144"/>
      <c r="I1267" s="133"/>
      <c r="J1267" s="133"/>
      <c r="K1267" s="133"/>
      <c r="L1267" s="133"/>
      <c r="M1267" s="133"/>
      <c r="N1267" s="147"/>
      <c r="P1267" s="140"/>
    </row>
    <row r="1268" spans="1:16" hidden="1" x14ac:dyDescent="0.35">
      <c r="A1268" s="146"/>
      <c r="B1268" s="143"/>
      <c r="C1268" s="133"/>
      <c r="D1268" s="133"/>
      <c r="E1268" s="145"/>
      <c r="F1268" s="145"/>
      <c r="G1268" s="133"/>
      <c r="H1268" s="144"/>
      <c r="I1268" s="133"/>
      <c r="J1268" s="133"/>
      <c r="K1268" s="133"/>
      <c r="L1268" s="133"/>
      <c r="M1268" s="133"/>
      <c r="N1268" s="147"/>
      <c r="P1268" s="140"/>
    </row>
    <row r="1269" spans="1:16" hidden="1" x14ac:dyDescent="0.35">
      <c r="A1269" s="146">
        <v>4</v>
      </c>
      <c r="B1269" s="143">
        <v>45383</v>
      </c>
      <c r="C1269" s="133" t="s">
        <v>1368</v>
      </c>
      <c r="D1269" s="133" t="s">
        <v>1926</v>
      </c>
      <c r="E1269" s="145" t="s">
        <v>1067</v>
      </c>
      <c r="F1269" s="145">
        <v>4174.6000000000004</v>
      </c>
      <c r="G1269" s="133" t="s">
        <v>1034</v>
      </c>
      <c r="H1269" s="144" t="s">
        <v>1341</v>
      </c>
      <c r="I1269" s="133" t="s">
        <v>1092</v>
      </c>
      <c r="J1269" s="133" t="s">
        <v>1924</v>
      </c>
      <c r="K1269" s="143">
        <v>45383</v>
      </c>
      <c r="L1269" s="133" t="s">
        <v>1092</v>
      </c>
      <c r="M1269" s="133">
        <v>4090.6000000000004</v>
      </c>
      <c r="N1269" s="147">
        <f>+F1269-M1269-M1270</f>
        <v>0</v>
      </c>
      <c r="P1269" s="140"/>
    </row>
    <row r="1270" spans="1:16" hidden="1" x14ac:dyDescent="0.35">
      <c r="A1270" s="146"/>
      <c r="B1270" s="143"/>
      <c r="C1270" s="133"/>
      <c r="D1270" s="133"/>
      <c r="E1270" s="145"/>
      <c r="F1270" s="145"/>
      <c r="G1270" s="133" t="s">
        <v>1034</v>
      </c>
      <c r="H1270" s="144" t="s">
        <v>1341</v>
      </c>
      <c r="I1270" s="133" t="s">
        <v>1092</v>
      </c>
      <c r="J1270" s="133" t="s">
        <v>1874</v>
      </c>
      <c r="K1270" s="143">
        <v>45413</v>
      </c>
      <c r="L1270" s="133" t="s">
        <v>1241</v>
      </c>
      <c r="M1270" s="133">
        <v>84</v>
      </c>
      <c r="N1270" s="147"/>
      <c r="P1270" s="140"/>
    </row>
    <row r="1271" spans="1:16" hidden="1" x14ac:dyDescent="0.35">
      <c r="A1271" s="146"/>
      <c r="B1271" s="143"/>
      <c r="C1271" s="133"/>
      <c r="D1271" s="133"/>
      <c r="E1271" s="145"/>
      <c r="F1271" s="145"/>
      <c r="G1271" s="133"/>
      <c r="H1271" s="144"/>
      <c r="I1271" s="133"/>
      <c r="J1271" s="133"/>
      <c r="K1271" s="143"/>
      <c r="L1271" s="133"/>
      <c r="M1271" s="133"/>
      <c r="N1271" s="147"/>
      <c r="P1271" s="140"/>
    </row>
    <row r="1272" spans="1:16" hidden="1" x14ac:dyDescent="0.35">
      <c r="A1272" s="146">
        <v>5</v>
      </c>
      <c r="B1272" s="143">
        <v>45383</v>
      </c>
      <c r="C1272" s="133" t="s">
        <v>1365</v>
      </c>
      <c r="D1272" s="133" t="s">
        <v>1925</v>
      </c>
      <c r="E1272" s="145" t="s">
        <v>1067</v>
      </c>
      <c r="F1272" s="145">
        <v>4092</v>
      </c>
      <c r="G1272" s="133" t="s">
        <v>1034</v>
      </c>
      <c r="H1272" s="144" t="s">
        <v>1341</v>
      </c>
      <c r="I1272" s="133" t="s">
        <v>1092</v>
      </c>
      <c r="J1272" s="133" t="s">
        <v>1924</v>
      </c>
      <c r="K1272" s="143">
        <v>45383</v>
      </c>
      <c r="L1272" s="133" t="s">
        <v>1092</v>
      </c>
      <c r="M1272" s="133">
        <f>817+51.9+4470.57</f>
        <v>5339.4699999999993</v>
      </c>
      <c r="N1272" s="147">
        <f>F1272+F1273+F1274+F1275+F1276+F1277-M1272-M1273-M1274-M1275</f>
        <v>0</v>
      </c>
      <c r="P1272" s="140"/>
    </row>
    <row r="1273" spans="1:16" hidden="1" x14ac:dyDescent="0.35">
      <c r="A1273" s="146"/>
      <c r="B1273" s="143"/>
      <c r="C1273" s="133"/>
      <c r="D1273" s="133"/>
      <c r="E1273" s="145" t="s">
        <v>1118</v>
      </c>
      <c r="F1273" s="145">
        <v>4126.1000000000004</v>
      </c>
      <c r="G1273" s="133" t="s">
        <v>1034</v>
      </c>
      <c r="H1273" s="144" t="s">
        <v>1341</v>
      </c>
      <c r="I1273" s="133" t="s">
        <v>1092</v>
      </c>
      <c r="J1273" s="133" t="s">
        <v>1919</v>
      </c>
      <c r="K1273" s="143">
        <v>45383</v>
      </c>
      <c r="L1273" s="133" t="s">
        <v>1092</v>
      </c>
      <c r="M1273" s="133">
        <f>12687.33-4126.1</f>
        <v>8561.23</v>
      </c>
      <c r="N1273" s="147"/>
      <c r="P1273" s="140"/>
    </row>
    <row r="1274" spans="1:16" hidden="1" x14ac:dyDescent="0.35">
      <c r="A1274" s="146"/>
      <c r="B1274" s="143"/>
      <c r="C1274" s="133"/>
      <c r="D1274" s="133"/>
      <c r="E1274" s="145" t="s">
        <v>1075</v>
      </c>
      <c r="F1274" s="145">
        <v>6349.8</v>
      </c>
      <c r="G1274" s="133" t="s">
        <v>1034</v>
      </c>
      <c r="H1274" s="144" t="s">
        <v>1341</v>
      </c>
      <c r="I1274" s="133" t="s">
        <v>1092</v>
      </c>
      <c r="J1274" s="133" t="s">
        <v>1895</v>
      </c>
      <c r="K1274" s="143">
        <v>45413</v>
      </c>
      <c r="L1274" s="133" t="s">
        <v>1092</v>
      </c>
      <c r="M1274" s="133">
        <v>4126.100000000004</v>
      </c>
      <c r="N1274" s="147"/>
      <c r="P1274" s="140"/>
    </row>
    <row r="1275" spans="1:16" hidden="1" x14ac:dyDescent="0.35">
      <c r="A1275" s="146"/>
      <c r="B1275" s="143"/>
      <c r="C1275" s="133"/>
      <c r="D1275" s="133"/>
      <c r="E1275" s="145" t="s">
        <v>1342</v>
      </c>
      <c r="F1275" s="145">
        <v>2955</v>
      </c>
      <c r="G1275" s="133" t="s">
        <v>1034</v>
      </c>
      <c r="H1275" s="144" t="s">
        <v>1341</v>
      </c>
      <c r="I1275" s="133" t="s">
        <v>1092</v>
      </c>
      <c r="J1275" s="133" t="s">
        <v>1874</v>
      </c>
      <c r="K1275" s="143">
        <v>45413</v>
      </c>
      <c r="L1275" s="133" t="s">
        <v>1241</v>
      </c>
      <c r="M1275" s="133">
        <v>365</v>
      </c>
      <c r="N1275" s="147"/>
      <c r="P1275" s="140"/>
    </row>
    <row r="1276" spans="1:16" hidden="1" x14ac:dyDescent="0.35">
      <c r="A1276" s="146"/>
      <c r="B1276" s="143"/>
      <c r="C1276" s="133"/>
      <c r="D1276" s="133"/>
      <c r="E1276" s="145" t="s">
        <v>1064</v>
      </c>
      <c r="F1276" s="145">
        <v>817</v>
      </c>
      <c r="G1276" s="133"/>
      <c r="H1276" s="144"/>
      <c r="I1276" s="133"/>
      <c r="J1276" s="133"/>
      <c r="K1276" s="133"/>
      <c r="L1276" s="133"/>
      <c r="M1276" s="133"/>
      <c r="N1276" s="147"/>
      <c r="P1276" s="140"/>
    </row>
    <row r="1277" spans="1:16" hidden="1" x14ac:dyDescent="0.35">
      <c r="A1277" s="146"/>
      <c r="B1277" s="143"/>
      <c r="C1277" s="133"/>
      <c r="D1277" s="133"/>
      <c r="E1277" s="145" t="s">
        <v>1071</v>
      </c>
      <c r="F1277" s="145">
        <v>51.9</v>
      </c>
      <c r="G1277" s="133"/>
      <c r="H1277" s="144"/>
      <c r="I1277" s="133"/>
      <c r="J1277" s="133"/>
      <c r="K1277" s="133"/>
      <c r="L1277" s="133"/>
      <c r="M1277" s="133"/>
      <c r="N1277" s="147"/>
      <c r="P1277" s="140"/>
    </row>
    <row r="1278" spans="1:16" hidden="1" x14ac:dyDescent="0.35">
      <c r="A1278" s="146"/>
      <c r="B1278" s="143"/>
      <c r="C1278" s="133"/>
      <c r="D1278" s="133"/>
      <c r="E1278" s="145"/>
      <c r="F1278" s="145"/>
      <c r="G1278" s="133"/>
      <c r="H1278" s="144"/>
      <c r="I1278" s="133"/>
      <c r="J1278" s="133"/>
      <c r="K1278" s="133"/>
      <c r="L1278" s="133"/>
      <c r="M1278" s="133"/>
      <c r="N1278" s="147"/>
      <c r="P1278" s="140"/>
    </row>
    <row r="1279" spans="1:16" hidden="1" x14ac:dyDescent="0.35">
      <c r="A1279" s="146">
        <v>6</v>
      </c>
      <c r="B1279" s="143">
        <v>45383</v>
      </c>
      <c r="C1279" s="133" t="s">
        <v>1363</v>
      </c>
      <c r="D1279" s="133" t="s">
        <v>1923</v>
      </c>
      <c r="E1279" s="145" t="s">
        <v>1067</v>
      </c>
      <c r="F1279" s="145">
        <v>1855.8</v>
      </c>
      <c r="G1279" s="133" t="s">
        <v>1034</v>
      </c>
      <c r="H1279" s="144" t="s">
        <v>1341</v>
      </c>
      <c r="I1279" s="133" t="s">
        <v>1092</v>
      </c>
      <c r="J1279" s="133" t="s">
        <v>1919</v>
      </c>
      <c r="K1279" s="143">
        <v>45383</v>
      </c>
      <c r="L1279" s="133" t="s">
        <v>1092</v>
      </c>
      <c r="M1279" s="133">
        <v>8781.9</v>
      </c>
      <c r="N1279" s="147">
        <f>F1279+F1280+F1281+F1282+F1283+F1284-M1279-M1280</f>
        <v>0</v>
      </c>
      <c r="P1279" s="140"/>
    </row>
    <row r="1280" spans="1:16" hidden="1" x14ac:dyDescent="0.35">
      <c r="A1280" s="146"/>
      <c r="B1280" s="143"/>
      <c r="C1280" s="133"/>
      <c r="D1280" s="133"/>
      <c r="E1280" s="145" t="s">
        <v>55</v>
      </c>
      <c r="F1280" s="145">
        <v>1000</v>
      </c>
      <c r="G1280" s="133" t="s">
        <v>1034</v>
      </c>
      <c r="H1280" s="144" t="s">
        <v>1341</v>
      </c>
      <c r="I1280" s="133" t="s">
        <v>1092</v>
      </c>
      <c r="J1280" s="133" t="s">
        <v>1874</v>
      </c>
      <c r="K1280" s="143">
        <v>45413</v>
      </c>
      <c r="L1280" s="133" t="s">
        <v>1241</v>
      </c>
      <c r="M1280" s="133">
        <v>180</v>
      </c>
      <c r="N1280" s="147"/>
      <c r="P1280" s="140"/>
    </row>
    <row r="1281" spans="1:16" hidden="1" x14ac:dyDescent="0.35">
      <c r="A1281" s="146"/>
      <c r="B1281" s="143"/>
      <c r="C1281" s="133"/>
      <c r="D1281" s="133"/>
      <c r="E1281" s="145" t="s">
        <v>1075</v>
      </c>
      <c r="F1281" s="145">
        <v>2972.7</v>
      </c>
      <c r="G1281" s="133"/>
      <c r="H1281" s="144"/>
      <c r="I1281" s="133"/>
      <c r="J1281" s="133"/>
      <c r="K1281" s="133"/>
      <c r="L1281" s="133"/>
      <c r="M1281" s="133"/>
      <c r="N1281" s="147"/>
      <c r="P1281" s="140"/>
    </row>
    <row r="1282" spans="1:16" hidden="1" x14ac:dyDescent="0.35">
      <c r="A1282" s="146"/>
      <c r="B1282" s="143"/>
      <c r="C1282" s="133"/>
      <c r="D1282" s="133"/>
      <c r="E1282" s="145" t="s">
        <v>1342</v>
      </c>
      <c r="F1282" s="145">
        <v>133</v>
      </c>
      <c r="G1282" s="133"/>
      <c r="H1282" s="144"/>
      <c r="I1282" s="133"/>
      <c r="J1282" s="133"/>
      <c r="K1282" s="133"/>
      <c r="L1282" s="133"/>
      <c r="M1282" s="133"/>
      <c r="N1282" s="147"/>
      <c r="P1282" s="140"/>
    </row>
    <row r="1283" spans="1:16" hidden="1" x14ac:dyDescent="0.35">
      <c r="A1283" s="146"/>
      <c r="B1283" s="143"/>
      <c r="C1283" s="133"/>
      <c r="D1283" s="133"/>
      <c r="E1283" s="145" t="s">
        <v>1064</v>
      </c>
      <c r="F1283" s="145">
        <v>1805</v>
      </c>
      <c r="G1283" s="133"/>
      <c r="H1283" s="144"/>
      <c r="I1283" s="133"/>
      <c r="J1283" s="133"/>
      <c r="K1283" s="133"/>
      <c r="L1283" s="133"/>
      <c r="M1283" s="133"/>
      <c r="N1283" s="147"/>
      <c r="P1283" s="140"/>
    </row>
    <row r="1284" spans="1:16" hidden="1" x14ac:dyDescent="0.35">
      <c r="A1284" s="146"/>
      <c r="B1284" s="143"/>
      <c r="C1284" s="133"/>
      <c r="D1284" s="133"/>
      <c r="E1284" s="145" t="s">
        <v>1071</v>
      </c>
      <c r="F1284" s="145">
        <v>1195.4000000000001</v>
      </c>
      <c r="G1284" s="133"/>
      <c r="H1284" s="144"/>
      <c r="I1284" s="133"/>
      <c r="J1284" s="133"/>
      <c r="K1284" s="133"/>
      <c r="L1284" s="133"/>
      <c r="M1284" s="133"/>
      <c r="N1284" s="147"/>
      <c r="P1284" s="140"/>
    </row>
    <row r="1285" spans="1:16" hidden="1" x14ac:dyDescent="0.35">
      <c r="A1285" s="146"/>
      <c r="B1285" s="143"/>
      <c r="C1285" s="133"/>
      <c r="D1285" s="133"/>
      <c r="E1285" s="145"/>
      <c r="F1285" s="145"/>
      <c r="G1285" s="133"/>
      <c r="H1285" s="144"/>
      <c r="I1285" s="133"/>
      <c r="J1285" s="133"/>
      <c r="K1285" s="133"/>
      <c r="L1285" s="133"/>
      <c r="M1285" s="133"/>
      <c r="N1285" s="147"/>
      <c r="P1285" s="140"/>
    </row>
    <row r="1286" spans="1:16" hidden="1" x14ac:dyDescent="0.35">
      <c r="A1286" s="146">
        <v>7</v>
      </c>
      <c r="B1286" s="143">
        <v>45383</v>
      </c>
      <c r="C1286" s="133" t="s">
        <v>1360</v>
      </c>
      <c r="D1286" s="133" t="s">
        <v>1922</v>
      </c>
      <c r="E1286" s="145" t="s">
        <v>1075</v>
      </c>
      <c r="F1286" s="145">
        <v>4959.7</v>
      </c>
      <c r="G1286" s="133" t="s">
        <v>1034</v>
      </c>
      <c r="H1286" s="144" t="s">
        <v>1341</v>
      </c>
      <c r="I1286" s="133" t="s">
        <v>1092</v>
      </c>
      <c r="J1286" s="133" t="s">
        <v>1919</v>
      </c>
      <c r="K1286" s="143">
        <v>45383</v>
      </c>
      <c r="L1286" s="133" t="s">
        <v>1092</v>
      </c>
      <c r="M1286" s="133">
        <v>4860.7</v>
      </c>
      <c r="N1286" s="147">
        <f>+F1286-M1286-M1287</f>
        <v>0</v>
      </c>
      <c r="P1286" s="140"/>
    </row>
    <row r="1287" spans="1:16" hidden="1" x14ac:dyDescent="0.35">
      <c r="A1287" s="146"/>
      <c r="B1287" s="143"/>
      <c r="C1287" s="133"/>
      <c r="D1287" s="133"/>
      <c r="E1287" s="145"/>
      <c r="F1287" s="145"/>
      <c r="G1287" s="133" t="s">
        <v>1034</v>
      </c>
      <c r="H1287" s="144" t="s">
        <v>1341</v>
      </c>
      <c r="I1287" s="133" t="s">
        <v>1092</v>
      </c>
      <c r="J1287" s="133" t="s">
        <v>1874</v>
      </c>
      <c r="K1287" s="143">
        <v>45413</v>
      </c>
      <c r="L1287" s="133" t="s">
        <v>1241</v>
      </c>
      <c r="M1287" s="133">
        <v>99</v>
      </c>
      <c r="N1287" s="147"/>
      <c r="P1287" s="140"/>
    </row>
    <row r="1288" spans="1:16" hidden="1" x14ac:dyDescent="0.35">
      <c r="A1288" s="146"/>
      <c r="B1288" s="143"/>
      <c r="C1288" s="133"/>
      <c r="D1288" s="133"/>
      <c r="E1288" s="145"/>
      <c r="F1288" s="145"/>
      <c r="G1288" s="133"/>
      <c r="H1288" s="144"/>
      <c r="I1288" s="133"/>
      <c r="J1288" s="133"/>
      <c r="K1288" s="143"/>
      <c r="L1288" s="133"/>
      <c r="M1288" s="133"/>
      <c r="N1288" s="147"/>
      <c r="P1288" s="140"/>
    </row>
    <row r="1289" spans="1:16" hidden="1" x14ac:dyDescent="0.35">
      <c r="A1289" s="146">
        <v>8</v>
      </c>
      <c r="B1289" s="143">
        <v>45383</v>
      </c>
      <c r="C1289" s="133" t="s">
        <v>1358</v>
      </c>
      <c r="D1289" s="133" t="s">
        <v>1921</v>
      </c>
      <c r="E1289" s="145" t="s">
        <v>1184</v>
      </c>
      <c r="F1289" s="145">
        <v>7000</v>
      </c>
      <c r="G1289" s="133" t="s">
        <v>1034</v>
      </c>
      <c r="H1289" s="144" t="s">
        <v>1341</v>
      </c>
      <c r="I1289" s="133" t="s">
        <v>1092</v>
      </c>
      <c r="J1289" s="133" t="s">
        <v>1920</v>
      </c>
      <c r="K1289" s="143">
        <v>45383</v>
      </c>
      <c r="L1289" s="133" t="s">
        <v>1092</v>
      </c>
      <c r="M1289" s="133">
        <v>5000</v>
      </c>
      <c r="N1289" s="147">
        <f>F1289+F1290+F1291+F1292+F1293-M1289-M1290-M1291-M1292</f>
        <v>0</v>
      </c>
      <c r="P1289" s="140"/>
    </row>
    <row r="1290" spans="1:16" hidden="1" x14ac:dyDescent="0.35">
      <c r="A1290" s="146"/>
      <c r="B1290" s="143"/>
      <c r="C1290" s="133"/>
      <c r="D1290" s="133"/>
      <c r="E1290" s="145" t="s">
        <v>1071</v>
      </c>
      <c r="F1290" s="145">
        <v>2648.5</v>
      </c>
      <c r="G1290" s="133" t="s">
        <v>1034</v>
      </c>
      <c r="H1290" s="144" t="s">
        <v>1341</v>
      </c>
      <c r="I1290" s="133" t="s">
        <v>1092</v>
      </c>
      <c r="J1290" s="133" t="s">
        <v>1919</v>
      </c>
      <c r="K1290" s="143">
        <v>45383</v>
      </c>
      <c r="L1290" s="133" t="s">
        <v>1092</v>
      </c>
      <c r="M1290" s="133">
        <f>2000+2648.5+2531.4+803+397.47</f>
        <v>8380.369999999999</v>
      </c>
      <c r="N1290" s="147"/>
      <c r="P1290" s="140"/>
    </row>
    <row r="1291" spans="1:16" hidden="1" x14ac:dyDescent="0.35">
      <c r="A1291" s="146"/>
      <c r="B1291" s="143"/>
      <c r="C1291" s="133"/>
      <c r="D1291" s="133"/>
      <c r="E1291" s="145" t="s">
        <v>1075</v>
      </c>
      <c r="F1291" s="145">
        <v>2531.4</v>
      </c>
      <c r="G1291" s="133" t="s">
        <v>1034</v>
      </c>
      <c r="H1291" s="144" t="s">
        <v>1341</v>
      </c>
      <c r="I1291" s="133" t="s">
        <v>1092</v>
      </c>
      <c r="J1291" s="133" t="s">
        <v>1895</v>
      </c>
      <c r="K1291" s="143">
        <v>45413</v>
      </c>
      <c r="L1291" s="133" t="s">
        <v>1092</v>
      </c>
      <c r="M1291" s="133">
        <v>6202.5300000000025</v>
      </c>
      <c r="N1291" s="147"/>
      <c r="P1291" s="140"/>
    </row>
    <row r="1292" spans="1:16" hidden="1" x14ac:dyDescent="0.35">
      <c r="A1292" s="146"/>
      <c r="B1292" s="143"/>
      <c r="C1292" s="133"/>
      <c r="D1292" s="133"/>
      <c r="E1292" s="145" t="s">
        <v>1342</v>
      </c>
      <c r="F1292" s="145">
        <v>6997</v>
      </c>
      <c r="G1292" s="133" t="s">
        <v>1034</v>
      </c>
      <c r="H1292" s="144" t="s">
        <v>1341</v>
      </c>
      <c r="I1292" s="133" t="s">
        <v>1092</v>
      </c>
      <c r="J1292" s="133" t="s">
        <v>1874</v>
      </c>
      <c r="K1292" s="143">
        <v>45413</v>
      </c>
      <c r="L1292" s="133" t="s">
        <v>1241</v>
      </c>
      <c r="M1292" s="133">
        <v>397</v>
      </c>
      <c r="N1292" s="147"/>
      <c r="P1292" s="140"/>
    </row>
    <row r="1293" spans="1:16" hidden="1" x14ac:dyDescent="0.35">
      <c r="A1293" s="146"/>
      <c r="B1293" s="143"/>
      <c r="C1293" s="133"/>
      <c r="D1293" s="133"/>
      <c r="E1293" s="145" t="s">
        <v>1064</v>
      </c>
      <c r="F1293" s="145">
        <v>803</v>
      </c>
      <c r="G1293" s="133"/>
      <c r="H1293" s="144"/>
      <c r="I1293" s="133"/>
      <c r="J1293" s="133"/>
      <c r="K1293" s="133"/>
      <c r="L1293" s="133"/>
      <c r="M1293" s="133"/>
      <c r="N1293" s="147"/>
      <c r="P1293" s="140"/>
    </row>
    <row r="1294" spans="1:16" hidden="1" x14ac:dyDescent="0.35">
      <c r="A1294" s="146"/>
      <c r="B1294" s="143"/>
      <c r="C1294" s="133"/>
      <c r="D1294" s="133"/>
      <c r="E1294" s="145"/>
      <c r="F1294" s="145"/>
      <c r="G1294" s="133"/>
      <c r="H1294" s="144"/>
      <c r="I1294" s="133"/>
      <c r="J1294" s="133"/>
      <c r="K1294" s="133"/>
      <c r="L1294" s="133"/>
      <c r="M1294" s="133"/>
      <c r="N1294" s="147"/>
      <c r="P1294" s="140"/>
    </row>
    <row r="1295" spans="1:16" hidden="1" x14ac:dyDescent="0.35">
      <c r="A1295" s="146">
        <v>9</v>
      </c>
      <c r="B1295" s="143">
        <v>45383</v>
      </c>
      <c r="C1295" s="133" t="s">
        <v>1356</v>
      </c>
      <c r="D1295" s="133" t="s">
        <v>1918</v>
      </c>
      <c r="E1295" s="145" t="s">
        <v>1342</v>
      </c>
      <c r="F1295" s="145">
        <v>469</v>
      </c>
      <c r="G1295" s="133" t="s">
        <v>1034</v>
      </c>
      <c r="H1295" s="144" t="s">
        <v>1341</v>
      </c>
      <c r="I1295" s="133" t="s">
        <v>1092</v>
      </c>
      <c r="J1295" s="133" t="s">
        <v>1895</v>
      </c>
      <c r="K1295" s="143">
        <v>45413</v>
      </c>
      <c r="L1295" s="133" t="s">
        <v>1092</v>
      </c>
      <c r="M1295" s="133">
        <v>1112.2</v>
      </c>
      <c r="N1295" s="147">
        <f>+F1295+F1296-M1295-M1296</f>
        <v>0</v>
      </c>
      <c r="P1295" s="140"/>
    </row>
    <row r="1296" spans="1:16" hidden="1" x14ac:dyDescent="0.35">
      <c r="A1296" s="146"/>
      <c r="B1296" s="143"/>
      <c r="C1296" s="133"/>
      <c r="D1296" s="133"/>
      <c r="E1296" s="145" t="s">
        <v>1067</v>
      </c>
      <c r="F1296" s="145">
        <v>668.2</v>
      </c>
      <c r="G1296" s="133" t="s">
        <v>1034</v>
      </c>
      <c r="H1296" s="144" t="s">
        <v>1341</v>
      </c>
      <c r="I1296" s="133" t="s">
        <v>1092</v>
      </c>
      <c r="J1296" s="133" t="s">
        <v>1874</v>
      </c>
      <c r="K1296" s="143">
        <v>45413</v>
      </c>
      <c r="L1296" s="133" t="s">
        <v>1241</v>
      </c>
      <c r="M1296" s="133">
        <v>25</v>
      </c>
      <c r="N1296" s="147"/>
      <c r="P1296" s="140"/>
    </row>
    <row r="1297" spans="1:16" hidden="1" x14ac:dyDescent="0.35">
      <c r="A1297" s="146"/>
      <c r="B1297" s="143"/>
      <c r="C1297" s="133"/>
      <c r="D1297" s="133"/>
      <c r="E1297" s="145"/>
      <c r="F1297" s="145"/>
      <c r="G1297" s="133"/>
      <c r="H1297" s="144"/>
      <c r="I1297" s="133"/>
      <c r="J1297" s="133"/>
      <c r="K1297" s="133"/>
      <c r="L1297" s="133"/>
      <c r="M1297" s="133"/>
      <c r="N1297" s="147"/>
      <c r="P1297" s="140"/>
    </row>
    <row r="1298" spans="1:16" hidden="1" x14ac:dyDescent="0.35">
      <c r="A1298" s="146">
        <v>10</v>
      </c>
      <c r="B1298" s="143">
        <v>45383</v>
      </c>
      <c r="C1298" s="133" t="s">
        <v>1354</v>
      </c>
      <c r="D1298" s="133" t="s">
        <v>1917</v>
      </c>
      <c r="E1298" s="145" t="s">
        <v>1075</v>
      </c>
      <c r="F1298" s="145">
        <v>7292.7</v>
      </c>
      <c r="G1298" s="133" t="s">
        <v>1034</v>
      </c>
      <c r="H1298" s="144" t="s">
        <v>1341</v>
      </c>
      <c r="I1298" s="133" t="s">
        <v>1092</v>
      </c>
      <c r="J1298" s="133" t="s">
        <v>1895</v>
      </c>
      <c r="K1298" s="143">
        <v>45413</v>
      </c>
      <c r="L1298" s="133" t="s">
        <v>1092</v>
      </c>
      <c r="M1298" s="133">
        <v>11735.800000000001</v>
      </c>
      <c r="N1298" s="147">
        <f>+F1298+F1299+F1300+F1301-M1298-M1299</f>
        <v>0</v>
      </c>
      <c r="P1298" s="140"/>
    </row>
    <row r="1299" spans="1:16" hidden="1" x14ac:dyDescent="0.35">
      <c r="A1299" s="146"/>
      <c r="B1299" s="143"/>
      <c r="C1299" s="133"/>
      <c r="D1299" s="133"/>
      <c r="E1299" s="145" t="s">
        <v>1067</v>
      </c>
      <c r="F1299" s="145">
        <v>3145.5</v>
      </c>
      <c r="G1299" s="133" t="s">
        <v>1034</v>
      </c>
      <c r="H1299" s="144" t="s">
        <v>1341</v>
      </c>
      <c r="I1299" s="133" t="s">
        <v>1092</v>
      </c>
      <c r="J1299" s="133" t="s">
        <v>1874</v>
      </c>
      <c r="K1299" s="143">
        <v>45413</v>
      </c>
      <c r="L1299" s="133" t="s">
        <v>1241</v>
      </c>
      <c r="M1299" s="133">
        <v>241</v>
      </c>
      <c r="N1299" s="147"/>
      <c r="P1299" s="140"/>
    </row>
    <row r="1300" spans="1:16" hidden="1" x14ac:dyDescent="0.35">
      <c r="A1300" s="146"/>
      <c r="B1300" s="143"/>
      <c r="C1300" s="133"/>
      <c r="D1300" s="133"/>
      <c r="E1300" s="145" t="s">
        <v>1064</v>
      </c>
      <c r="F1300" s="145">
        <v>467.5</v>
      </c>
      <c r="G1300" s="133"/>
      <c r="H1300" s="144"/>
      <c r="I1300" s="133"/>
      <c r="J1300" s="133"/>
      <c r="K1300" s="133"/>
      <c r="L1300" s="133"/>
      <c r="M1300" s="133"/>
      <c r="N1300" s="147"/>
      <c r="P1300" s="140"/>
    </row>
    <row r="1301" spans="1:16" hidden="1" x14ac:dyDescent="0.35">
      <c r="A1301" s="146"/>
      <c r="B1301" s="143"/>
      <c r="C1301" s="133"/>
      <c r="D1301" s="133"/>
      <c r="E1301" s="145" t="s">
        <v>1118</v>
      </c>
      <c r="F1301" s="145">
        <v>1071.0999999999999</v>
      </c>
      <c r="G1301" s="133"/>
      <c r="H1301" s="144"/>
      <c r="I1301" s="133"/>
      <c r="J1301" s="133"/>
      <c r="K1301" s="133"/>
      <c r="L1301" s="133"/>
      <c r="M1301" s="133"/>
      <c r="N1301" s="147"/>
      <c r="P1301" s="140"/>
    </row>
    <row r="1302" spans="1:16" hidden="1" x14ac:dyDescent="0.35">
      <c r="A1302" s="146"/>
      <c r="B1302" s="143"/>
      <c r="C1302" s="133"/>
      <c r="D1302" s="133"/>
      <c r="E1302" s="145"/>
      <c r="F1302" s="145"/>
      <c r="G1302" s="133"/>
      <c r="H1302" s="144"/>
      <c r="I1302" s="133"/>
      <c r="J1302" s="133"/>
      <c r="K1302" s="133"/>
      <c r="L1302" s="133"/>
      <c r="M1302" s="133"/>
      <c r="N1302" s="147"/>
      <c r="P1302" s="140"/>
    </row>
    <row r="1303" spans="1:16" hidden="1" x14ac:dyDescent="0.35">
      <c r="A1303" s="146">
        <v>11</v>
      </c>
      <c r="B1303" s="143">
        <v>45383</v>
      </c>
      <c r="C1303" s="133" t="s">
        <v>1352</v>
      </c>
      <c r="D1303" s="133" t="s">
        <v>1916</v>
      </c>
      <c r="E1303" s="145" t="s">
        <v>1075</v>
      </c>
      <c r="F1303" s="145">
        <v>2383</v>
      </c>
      <c r="G1303" s="133" t="s">
        <v>1034</v>
      </c>
      <c r="H1303" s="144" t="s">
        <v>1341</v>
      </c>
      <c r="I1303" s="133" t="s">
        <v>1092</v>
      </c>
      <c r="J1303" s="133" t="s">
        <v>1895</v>
      </c>
      <c r="K1303" s="143">
        <v>45413</v>
      </c>
      <c r="L1303" s="133" t="s">
        <v>1092</v>
      </c>
      <c r="M1303" s="133">
        <v>2338</v>
      </c>
      <c r="N1303" s="147">
        <f>+F1303-M1303-M1304</f>
        <v>0</v>
      </c>
      <c r="P1303" s="140"/>
    </row>
    <row r="1304" spans="1:16" hidden="1" x14ac:dyDescent="0.35">
      <c r="A1304" s="146"/>
      <c r="B1304" s="143"/>
      <c r="C1304" s="133"/>
      <c r="D1304" s="133"/>
      <c r="E1304" s="145"/>
      <c r="F1304" s="145"/>
      <c r="G1304" s="133" t="s">
        <v>1034</v>
      </c>
      <c r="H1304" s="144" t="s">
        <v>1341</v>
      </c>
      <c r="I1304" s="133" t="s">
        <v>1092</v>
      </c>
      <c r="J1304" s="133" t="s">
        <v>1874</v>
      </c>
      <c r="K1304" s="143">
        <v>45413</v>
      </c>
      <c r="L1304" s="133" t="s">
        <v>1241</v>
      </c>
      <c r="M1304" s="133">
        <v>45</v>
      </c>
      <c r="N1304" s="147"/>
      <c r="P1304" s="140"/>
    </row>
    <row r="1305" spans="1:16" hidden="1" x14ac:dyDescent="0.35">
      <c r="A1305" s="146"/>
      <c r="B1305" s="143"/>
      <c r="C1305" s="133"/>
      <c r="D1305" s="133"/>
      <c r="E1305" s="145"/>
      <c r="F1305" s="145"/>
      <c r="G1305" s="133"/>
      <c r="H1305" s="144"/>
      <c r="I1305" s="133"/>
      <c r="J1305" s="133"/>
      <c r="K1305" s="143"/>
      <c r="L1305" s="133"/>
      <c r="M1305" s="133"/>
      <c r="N1305" s="147"/>
      <c r="P1305" s="140"/>
    </row>
    <row r="1306" spans="1:16" hidden="1" x14ac:dyDescent="0.35">
      <c r="A1306" s="146">
        <v>12</v>
      </c>
      <c r="B1306" s="143">
        <v>45383</v>
      </c>
      <c r="C1306" s="133" t="s">
        <v>1350</v>
      </c>
      <c r="D1306" s="133" t="s">
        <v>1915</v>
      </c>
      <c r="E1306" s="145" t="s">
        <v>1118</v>
      </c>
      <c r="F1306" s="145">
        <v>1490</v>
      </c>
      <c r="G1306" s="133" t="s">
        <v>1034</v>
      </c>
      <c r="H1306" s="144" t="s">
        <v>1341</v>
      </c>
      <c r="I1306" s="133" t="s">
        <v>1092</v>
      </c>
      <c r="J1306" s="133" t="s">
        <v>1895</v>
      </c>
      <c r="K1306" s="143">
        <v>45413</v>
      </c>
      <c r="L1306" s="133" t="s">
        <v>1092</v>
      </c>
      <c r="M1306" s="133">
        <v>1268.5</v>
      </c>
      <c r="N1306" s="147">
        <f>+F1306+F1307-M1306-M1307-M1308</f>
        <v>0</v>
      </c>
      <c r="P1306" s="140"/>
    </row>
    <row r="1307" spans="1:16" hidden="1" x14ac:dyDescent="0.35">
      <c r="A1307" s="146"/>
      <c r="B1307" s="143"/>
      <c r="C1307" s="133"/>
      <c r="D1307" s="133"/>
      <c r="E1307" s="145" t="s">
        <v>1067</v>
      </c>
      <c r="F1307" s="145">
        <v>1323.5</v>
      </c>
      <c r="G1307" s="133" t="s">
        <v>1034</v>
      </c>
      <c r="H1307" s="144" t="s">
        <v>1341</v>
      </c>
      <c r="I1307" s="133" t="s">
        <v>1092</v>
      </c>
      <c r="J1307" s="133" t="s">
        <v>1893</v>
      </c>
      <c r="K1307" s="143">
        <v>45413</v>
      </c>
      <c r="L1307" s="133" t="s">
        <v>1092</v>
      </c>
      <c r="M1307" s="133">
        <v>1490</v>
      </c>
      <c r="N1307" s="147"/>
      <c r="P1307" s="140"/>
    </row>
    <row r="1308" spans="1:16" hidden="1" x14ac:dyDescent="0.35">
      <c r="A1308" s="146"/>
      <c r="B1308" s="143"/>
      <c r="C1308" s="133"/>
      <c r="D1308" s="133"/>
      <c r="E1308" s="145"/>
      <c r="F1308" s="145"/>
      <c r="G1308" s="133" t="s">
        <v>1034</v>
      </c>
      <c r="H1308" s="144" t="s">
        <v>1341</v>
      </c>
      <c r="I1308" s="133" t="s">
        <v>1092</v>
      </c>
      <c r="J1308" s="133" t="s">
        <v>1874</v>
      </c>
      <c r="K1308" s="143">
        <v>45413</v>
      </c>
      <c r="L1308" s="133" t="s">
        <v>1241</v>
      </c>
      <c r="M1308" s="133">
        <v>55</v>
      </c>
      <c r="N1308" s="147"/>
      <c r="P1308" s="140"/>
    </row>
    <row r="1309" spans="1:16" hidden="1" x14ac:dyDescent="0.35">
      <c r="A1309" s="146"/>
      <c r="B1309" s="143"/>
      <c r="C1309" s="133"/>
      <c r="D1309" s="133"/>
      <c r="E1309" s="145"/>
      <c r="F1309" s="145"/>
      <c r="G1309" s="133"/>
      <c r="H1309" s="144"/>
      <c r="I1309" s="133"/>
      <c r="J1309" s="133"/>
      <c r="K1309" s="143"/>
      <c r="L1309" s="133"/>
      <c r="M1309" s="133"/>
      <c r="N1309" s="147"/>
      <c r="P1309" s="140"/>
    </row>
    <row r="1310" spans="1:16" hidden="1" x14ac:dyDescent="0.35">
      <c r="A1310" s="146">
        <v>13</v>
      </c>
      <c r="B1310" s="143">
        <v>45383</v>
      </c>
      <c r="C1310" s="133" t="s">
        <v>1349</v>
      </c>
      <c r="D1310" s="133" t="s">
        <v>1914</v>
      </c>
      <c r="E1310" s="145" t="s">
        <v>1118</v>
      </c>
      <c r="F1310" s="145">
        <v>1818.2</v>
      </c>
      <c r="G1310" s="133" t="s">
        <v>1034</v>
      </c>
      <c r="H1310" s="144" t="s">
        <v>1341</v>
      </c>
      <c r="I1310" s="133" t="s">
        <v>1092</v>
      </c>
      <c r="J1310" s="133" t="s">
        <v>1895</v>
      </c>
      <c r="K1310" s="143">
        <v>45413</v>
      </c>
      <c r="L1310" s="133" t="s">
        <v>1092</v>
      </c>
      <c r="M1310" s="133">
        <f>3232.9+1353.6</f>
        <v>4586.5</v>
      </c>
      <c r="N1310" s="147">
        <f>+F1310+F1311+F1312-M1310-M1311-M1312</f>
        <v>0</v>
      </c>
      <c r="P1310" s="140"/>
    </row>
    <row r="1311" spans="1:16" hidden="1" x14ac:dyDescent="0.35">
      <c r="A1311" s="146"/>
      <c r="B1311" s="143"/>
      <c r="C1311" s="133"/>
      <c r="D1311" s="133"/>
      <c r="E1311" s="145" t="s">
        <v>1075</v>
      </c>
      <c r="F1311" s="145">
        <v>3364.9</v>
      </c>
      <c r="G1311" s="133" t="s">
        <v>1034</v>
      </c>
      <c r="H1311" s="144" t="s">
        <v>1341</v>
      </c>
      <c r="I1311" s="133" t="s">
        <v>1092</v>
      </c>
      <c r="J1311" s="133" t="s">
        <v>1893</v>
      </c>
      <c r="K1311" s="143">
        <v>45413</v>
      </c>
      <c r="L1311" s="133" t="s">
        <v>1092</v>
      </c>
      <c r="M1311" s="133">
        <v>1818.2000000000007</v>
      </c>
      <c r="N1311" s="147"/>
      <c r="P1311" s="140"/>
    </row>
    <row r="1312" spans="1:16" hidden="1" x14ac:dyDescent="0.35">
      <c r="A1312" s="146"/>
      <c r="B1312" s="143"/>
      <c r="C1312" s="133"/>
      <c r="D1312" s="133"/>
      <c r="E1312" s="145" t="s">
        <v>1064</v>
      </c>
      <c r="F1312" s="145">
        <v>1353.6</v>
      </c>
      <c r="G1312" s="133" t="s">
        <v>1034</v>
      </c>
      <c r="H1312" s="144" t="s">
        <v>1341</v>
      </c>
      <c r="I1312" s="133" t="s">
        <v>1092</v>
      </c>
      <c r="J1312" s="133" t="s">
        <v>1874</v>
      </c>
      <c r="K1312" s="143">
        <v>45413</v>
      </c>
      <c r="L1312" s="133" t="s">
        <v>1241</v>
      </c>
      <c r="M1312" s="133">
        <v>132</v>
      </c>
      <c r="N1312" s="147"/>
      <c r="P1312" s="140"/>
    </row>
    <row r="1313" spans="1:16" hidden="1" x14ac:dyDescent="0.35">
      <c r="A1313" s="146"/>
      <c r="B1313" s="143"/>
      <c r="C1313" s="133"/>
      <c r="D1313" s="133"/>
      <c r="E1313" s="145"/>
      <c r="F1313" s="145"/>
      <c r="G1313" s="133"/>
      <c r="H1313" s="144"/>
      <c r="I1313" s="133"/>
      <c r="J1313" s="133"/>
      <c r="K1313" s="133"/>
      <c r="L1313" s="133"/>
      <c r="M1313" s="133"/>
      <c r="N1313" s="147"/>
      <c r="P1313" s="140"/>
    </row>
    <row r="1314" spans="1:16" hidden="1" x14ac:dyDescent="0.35">
      <c r="A1314" s="146">
        <v>14</v>
      </c>
      <c r="B1314" s="143">
        <v>45383</v>
      </c>
      <c r="C1314" s="133" t="s">
        <v>1348</v>
      </c>
      <c r="D1314" s="133" t="s">
        <v>1913</v>
      </c>
      <c r="E1314" s="145" t="s">
        <v>1078</v>
      </c>
      <c r="F1314" s="145">
        <v>3244.58</v>
      </c>
      <c r="G1314" s="133" t="s">
        <v>1034</v>
      </c>
      <c r="H1314" s="144" t="s">
        <v>1341</v>
      </c>
      <c r="I1314" s="133" t="s">
        <v>1092</v>
      </c>
      <c r="J1314" s="133" t="s">
        <v>1893</v>
      </c>
      <c r="K1314" s="143">
        <v>45413</v>
      </c>
      <c r="L1314" s="133" t="s">
        <v>1092</v>
      </c>
      <c r="M1314" s="133">
        <v>6578.58</v>
      </c>
      <c r="N1314" s="147">
        <f>+F1314+F1315+F1316-M1314-M1315</f>
        <v>0</v>
      </c>
      <c r="P1314" s="140"/>
    </row>
    <row r="1315" spans="1:16" hidden="1" x14ac:dyDescent="0.35">
      <c r="A1315" s="146"/>
      <c r="B1315" s="143"/>
      <c r="C1315" s="133"/>
      <c r="D1315" s="133"/>
      <c r="E1315" s="145" t="s">
        <v>1067</v>
      </c>
      <c r="F1315" s="145">
        <v>2071</v>
      </c>
      <c r="G1315" s="133" t="s">
        <v>1034</v>
      </c>
      <c r="H1315" s="144" t="s">
        <v>1341</v>
      </c>
      <c r="I1315" s="133" t="s">
        <v>1092</v>
      </c>
      <c r="J1315" s="133" t="s">
        <v>1874</v>
      </c>
      <c r="K1315" s="143">
        <v>45413</v>
      </c>
      <c r="L1315" s="133" t="s">
        <v>1241</v>
      </c>
      <c r="M1315" s="133">
        <v>135</v>
      </c>
      <c r="N1315" s="147"/>
      <c r="P1315" s="140"/>
    </row>
    <row r="1316" spans="1:16" hidden="1" x14ac:dyDescent="0.35">
      <c r="A1316" s="146"/>
      <c r="B1316" s="143"/>
      <c r="C1316" s="133"/>
      <c r="D1316" s="133"/>
      <c r="E1316" s="145" t="s">
        <v>1342</v>
      </c>
      <c r="F1316" s="145">
        <v>1398</v>
      </c>
      <c r="G1316" s="133"/>
      <c r="H1316" s="144"/>
      <c r="I1316" s="133"/>
      <c r="J1316" s="133"/>
      <c r="K1316" s="133"/>
      <c r="L1316" s="133"/>
      <c r="M1316" s="133"/>
      <c r="N1316" s="147"/>
      <c r="P1316" s="140"/>
    </row>
    <row r="1317" spans="1:16" hidden="1" x14ac:dyDescent="0.35">
      <c r="A1317" s="146"/>
      <c r="B1317" s="143"/>
      <c r="C1317" s="133"/>
      <c r="D1317" s="133"/>
      <c r="E1317" s="145"/>
      <c r="F1317" s="145"/>
      <c r="G1317" s="133"/>
      <c r="H1317" s="144"/>
      <c r="I1317" s="133"/>
      <c r="J1317" s="133"/>
      <c r="K1317" s="133"/>
      <c r="L1317" s="133"/>
      <c r="M1317" s="133"/>
      <c r="N1317" s="147"/>
      <c r="P1317" s="140"/>
    </row>
    <row r="1318" spans="1:16" hidden="1" x14ac:dyDescent="0.35">
      <c r="A1318" s="146">
        <v>15</v>
      </c>
      <c r="B1318" s="143">
        <v>45383</v>
      </c>
      <c r="C1318" s="133" t="s">
        <v>1346</v>
      </c>
      <c r="D1318" s="133" t="s">
        <v>1912</v>
      </c>
      <c r="E1318" s="145" t="s">
        <v>1064</v>
      </c>
      <c r="F1318" s="145">
        <v>394.5</v>
      </c>
      <c r="G1318" s="133" t="s">
        <v>1034</v>
      </c>
      <c r="H1318" s="144" t="s">
        <v>1341</v>
      </c>
      <c r="I1318" s="133" t="s">
        <v>1092</v>
      </c>
      <c r="J1318" s="133" t="s">
        <v>1893</v>
      </c>
      <c r="K1318" s="143">
        <v>45413</v>
      </c>
      <c r="L1318" s="133" t="s">
        <v>1092</v>
      </c>
      <c r="M1318" s="133">
        <v>10396.4</v>
      </c>
      <c r="N1318" s="147">
        <f>+F1318+F1319+F1320+F1321+F1322-M1318-M1319</f>
        <v>0</v>
      </c>
      <c r="P1318" s="140"/>
    </row>
    <row r="1319" spans="1:16" hidden="1" x14ac:dyDescent="0.35">
      <c r="A1319" s="146"/>
      <c r="B1319" s="143"/>
      <c r="C1319" s="133"/>
      <c r="D1319" s="133"/>
      <c r="E1319" s="145" t="s">
        <v>1067</v>
      </c>
      <c r="F1319" s="145">
        <v>1475</v>
      </c>
      <c r="G1319" s="133" t="s">
        <v>1034</v>
      </c>
      <c r="H1319" s="144" t="s">
        <v>1341</v>
      </c>
      <c r="I1319" s="133" t="s">
        <v>1092</v>
      </c>
      <c r="J1319" s="133" t="s">
        <v>1874</v>
      </c>
      <c r="K1319" s="143">
        <v>45413</v>
      </c>
      <c r="L1319" s="133" t="s">
        <v>1241</v>
      </c>
      <c r="M1319" s="133">
        <v>210</v>
      </c>
      <c r="N1319" s="147"/>
      <c r="P1319" s="140"/>
    </row>
    <row r="1320" spans="1:16" hidden="1" x14ac:dyDescent="0.35">
      <c r="A1320" s="146"/>
      <c r="B1320" s="143"/>
      <c r="C1320" s="133"/>
      <c r="D1320" s="133"/>
      <c r="E1320" s="145" t="s">
        <v>1342</v>
      </c>
      <c r="F1320" s="145">
        <v>2387</v>
      </c>
      <c r="G1320" s="133"/>
      <c r="H1320" s="144"/>
      <c r="I1320" s="133"/>
      <c r="J1320" s="133"/>
      <c r="K1320" s="133"/>
      <c r="L1320" s="133"/>
      <c r="M1320" s="133"/>
      <c r="N1320" s="147"/>
      <c r="P1320" s="140"/>
    </row>
    <row r="1321" spans="1:16" hidden="1" x14ac:dyDescent="0.35">
      <c r="A1321" s="146"/>
      <c r="B1321" s="143"/>
      <c r="C1321" s="133"/>
      <c r="D1321" s="133"/>
      <c r="E1321" s="145" t="s">
        <v>1118</v>
      </c>
      <c r="F1321" s="145">
        <v>2491.3000000000002</v>
      </c>
      <c r="G1321" s="133"/>
      <c r="H1321" s="144"/>
      <c r="I1321" s="133"/>
      <c r="J1321" s="133"/>
      <c r="K1321" s="133"/>
      <c r="L1321" s="133"/>
      <c r="M1321" s="133"/>
      <c r="N1321" s="147"/>
      <c r="P1321" s="140"/>
    </row>
    <row r="1322" spans="1:16" hidden="1" x14ac:dyDescent="0.35">
      <c r="A1322" s="146"/>
      <c r="B1322" s="143"/>
      <c r="C1322" s="133"/>
      <c r="D1322" s="133"/>
      <c r="E1322" s="145" t="s">
        <v>1075</v>
      </c>
      <c r="F1322" s="145">
        <v>3858.6</v>
      </c>
      <c r="G1322" s="133"/>
      <c r="H1322" s="144"/>
      <c r="I1322" s="133"/>
      <c r="J1322" s="133"/>
      <c r="K1322" s="133"/>
      <c r="L1322" s="133"/>
      <c r="M1322" s="133"/>
      <c r="N1322" s="147"/>
      <c r="P1322" s="140"/>
    </row>
    <row r="1323" spans="1:16" hidden="1" x14ac:dyDescent="0.35">
      <c r="A1323" s="146"/>
      <c r="B1323" s="143"/>
      <c r="C1323" s="133"/>
      <c r="D1323" s="133"/>
      <c r="E1323" s="145"/>
      <c r="F1323" s="145"/>
      <c r="G1323" s="133"/>
      <c r="H1323" s="144"/>
      <c r="I1323" s="133"/>
      <c r="J1323" s="133"/>
      <c r="K1323" s="133"/>
      <c r="L1323" s="133"/>
      <c r="M1323" s="133"/>
      <c r="N1323" s="147"/>
      <c r="P1323" s="140"/>
    </row>
    <row r="1324" spans="1:16" hidden="1" x14ac:dyDescent="0.35">
      <c r="A1324" s="146">
        <v>16</v>
      </c>
      <c r="B1324" s="143">
        <v>45383</v>
      </c>
      <c r="C1324" s="133" t="s">
        <v>1344</v>
      </c>
      <c r="D1324" s="133" t="s">
        <v>1911</v>
      </c>
      <c r="E1324" s="145" t="s">
        <v>1071</v>
      </c>
      <c r="F1324" s="145">
        <v>520.4</v>
      </c>
      <c r="G1324" s="133" t="s">
        <v>1034</v>
      </c>
      <c r="H1324" s="144" t="s">
        <v>1341</v>
      </c>
      <c r="I1324" s="133" t="s">
        <v>1092</v>
      </c>
      <c r="J1324" s="133" t="s">
        <v>1893</v>
      </c>
      <c r="K1324" s="143">
        <v>45413</v>
      </c>
      <c r="L1324" s="133" t="s">
        <v>1092</v>
      </c>
      <c r="M1324" s="133">
        <v>4361.3999999999996</v>
      </c>
      <c r="N1324" s="147">
        <f>+F1324+F1325-M1324-M1325</f>
        <v>0</v>
      </c>
      <c r="P1324" s="140"/>
    </row>
    <row r="1325" spans="1:16" hidden="1" x14ac:dyDescent="0.35">
      <c r="A1325" s="146"/>
      <c r="B1325" s="143"/>
      <c r="C1325" s="133"/>
      <c r="D1325" s="133"/>
      <c r="E1325" s="145" t="s">
        <v>1067</v>
      </c>
      <c r="F1325" s="145">
        <v>3932</v>
      </c>
      <c r="G1325" s="133" t="s">
        <v>1034</v>
      </c>
      <c r="H1325" s="144" t="s">
        <v>1341</v>
      </c>
      <c r="I1325" s="133" t="s">
        <v>1092</v>
      </c>
      <c r="J1325" s="133" t="s">
        <v>1874</v>
      </c>
      <c r="K1325" s="143">
        <v>45413</v>
      </c>
      <c r="L1325" s="133" t="s">
        <v>1241</v>
      </c>
      <c r="M1325" s="133">
        <v>91</v>
      </c>
      <c r="N1325" s="147"/>
      <c r="P1325" s="140"/>
    </row>
    <row r="1326" spans="1:16" hidden="1" x14ac:dyDescent="0.35">
      <c r="A1326" s="146"/>
      <c r="B1326" s="143"/>
      <c r="C1326" s="133"/>
      <c r="D1326" s="133"/>
      <c r="E1326" s="145"/>
      <c r="F1326" s="145"/>
      <c r="G1326" s="133"/>
      <c r="H1326" s="144"/>
      <c r="I1326" s="133"/>
      <c r="J1326" s="133"/>
      <c r="K1326" s="133"/>
      <c r="L1326" s="133"/>
      <c r="M1326" s="133"/>
      <c r="N1326" s="147"/>
      <c r="P1326" s="140"/>
    </row>
    <row r="1327" spans="1:16" hidden="1" x14ac:dyDescent="0.35">
      <c r="A1327" s="146">
        <v>17</v>
      </c>
      <c r="B1327" s="143">
        <v>45383</v>
      </c>
      <c r="C1327" s="133" t="s">
        <v>1910</v>
      </c>
      <c r="D1327" s="133" t="s">
        <v>1909</v>
      </c>
      <c r="E1327" s="145" t="s">
        <v>1064</v>
      </c>
      <c r="F1327" s="145">
        <v>538</v>
      </c>
      <c r="G1327" s="133" t="s">
        <v>1034</v>
      </c>
      <c r="H1327" s="144" t="s">
        <v>1341</v>
      </c>
      <c r="I1327" s="133" t="s">
        <v>1092</v>
      </c>
      <c r="J1327" s="133" t="s">
        <v>1893</v>
      </c>
      <c r="K1327" s="143">
        <v>45413</v>
      </c>
      <c r="L1327" s="133" t="s">
        <v>1092</v>
      </c>
      <c r="M1327" s="133">
        <v>12819.3</v>
      </c>
      <c r="N1327" s="147">
        <f>+F1327+F1328+F1329+F1330-M1327-M1328</f>
        <v>0</v>
      </c>
      <c r="P1327" s="140"/>
    </row>
    <row r="1328" spans="1:16" hidden="1" x14ac:dyDescent="0.35">
      <c r="A1328" s="146"/>
      <c r="B1328" s="143"/>
      <c r="C1328" s="133"/>
      <c r="D1328" s="133"/>
      <c r="E1328" s="145" t="s">
        <v>1067</v>
      </c>
      <c r="F1328" s="145">
        <v>4572</v>
      </c>
      <c r="G1328" s="133" t="s">
        <v>1034</v>
      </c>
      <c r="H1328" s="144" t="s">
        <v>1341</v>
      </c>
      <c r="I1328" s="133" t="s">
        <v>1092</v>
      </c>
      <c r="J1328" s="133" t="s">
        <v>1874</v>
      </c>
      <c r="K1328" s="143">
        <v>45413</v>
      </c>
      <c r="L1328" s="133" t="s">
        <v>1241</v>
      </c>
      <c r="M1328" s="133">
        <v>262</v>
      </c>
      <c r="N1328" s="147"/>
      <c r="P1328" s="140"/>
    </row>
    <row r="1329" spans="1:16" hidden="1" x14ac:dyDescent="0.35">
      <c r="A1329" s="146"/>
      <c r="B1329" s="143"/>
      <c r="C1329" s="133"/>
      <c r="D1329" s="133"/>
      <c r="E1329" s="145" t="s">
        <v>1342</v>
      </c>
      <c r="F1329" s="145">
        <v>4130</v>
      </c>
      <c r="G1329" s="133"/>
      <c r="H1329" s="144"/>
      <c r="I1329" s="133"/>
      <c r="J1329" s="133"/>
      <c r="K1329" s="133"/>
      <c r="L1329" s="133"/>
      <c r="M1329" s="133"/>
      <c r="N1329" s="147"/>
      <c r="P1329" s="140"/>
    </row>
    <row r="1330" spans="1:16" hidden="1" x14ac:dyDescent="0.35">
      <c r="A1330" s="146"/>
      <c r="B1330" s="143"/>
      <c r="C1330" s="133"/>
      <c r="D1330" s="133"/>
      <c r="E1330" s="145" t="s">
        <v>1075</v>
      </c>
      <c r="F1330" s="145">
        <v>3841.3</v>
      </c>
      <c r="G1330" s="133"/>
      <c r="H1330" s="144"/>
      <c r="I1330" s="133"/>
      <c r="J1330" s="133"/>
      <c r="K1330" s="133"/>
      <c r="L1330" s="133"/>
      <c r="M1330" s="133"/>
      <c r="N1330" s="147"/>
      <c r="P1330" s="140"/>
    </row>
    <row r="1331" spans="1:16" hidden="1" x14ac:dyDescent="0.35">
      <c r="A1331" s="146"/>
      <c r="B1331" s="143"/>
      <c r="C1331" s="133"/>
      <c r="D1331" s="133"/>
      <c r="E1331" s="145"/>
      <c r="F1331" s="145"/>
      <c r="G1331" s="133"/>
      <c r="H1331" s="144"/>
      <c r="I1331" s="133"/>
      <c r="J1331" s="133"/>
      <c r="K1331" s="133"/>
      <c r="L1331" s="133"/>
      <c r="M1331" s="133"/>
      <c r="N1331" s="147"/>
      <c r="P1331" s="140"/>
    </row>
    <row r="1332" spans="1:16" hidden="1" x14ac:dyDescent="0.35">
      <c r="A1332" s="146">
        <v>18</v>
      </c>
      <c r="B1332" s="143">
        <v>45383</v>
      </c>
      <c r="C1332" s="133" t="s">
        <v>1908</v>
      </c>
      <c r="D1332" s="133" t="s">
        <v>1907</v>
      </c>
      <c r="E1332" s="145" t="s">
        <v>1342</v>
      </c>
      <c r="F1332" s="145">
        <v>463</v>
      </c>
      <c r="G1332" s="133" t="s">
        <v>1034</v>
      </c>
      <c r="H1332" s="144" t="s">
        <v>1341</v>
      </c>
      <c r="I1332" s="133" t="s">
        <v>1092</v>
      </c>
      <c r="J1332" s="133" t="s">
        <v>1893</v>
      </c>
      <c r="K1332" s="143">
        <v>45413</v>
      </c>
      <c r="L1332" s="133" t="s">
        <v>1092</v>
      </c>
      <c r="M1332" s="133">
        <v>1231.9000000000001</v>
      </c>
      <c r="N1332" s="147">
        <f>+F1332+F1333-M1332-M1333</f>
        <v>0</v>
      </c>
      <c r="P1332" s="140"/>
    </row>
    <row r="1333" spans="1:16" hidden="1" x14ac:dyDescent="0.35">
      <c r="A1333" s="146"/>
      <c r="B1333" s="143"/>
      <c r="C1333" s="133"/>
      <c r="D1333" s="133"/>
      <c r="E1333" s="145" t="s">
        <v>1067</v>
      </c>
      <c r="F1333" s="145">
        <v>791.9</v>
      </c>
      <c r="G1333" s="133" t="s">
        <v>1034</v>
      </c>
      <c r="H1333" s="144" t="s">
        <v>1341</v>
      </c>
      <c r="I1333" s="133" t="s">
        <v>1092</v>
      </c>
      <c r="J1333" s="133" t="s">
        <v>1874</v>
      </c>
      <c r="K1333" s="143">
        <v>45413</v>
      </c>
      <c r="L1333" s="133" t="s">
        <v>1241</v>
      </c>
      <c r="M1333" s="133">
        <v>23</v>
      </c>
      <c r="N1333" s="147"/>
      <c r="P1333" s="140"/>
    </row>
    <row r="1334" spans="1:16" hidden="1" x14ac:dyDescent="0.35">
      <c r="A1334" s="146"/>
      <c r="B1334" s="143"/>
      <c r="C1334" s="133"/>
      <c r="D1334" s="133"/>
      <c r="E1334" s="145"/>
      <c r="F1334" s="145"/>
      <c r="G1334" s="133"/>
      <c r="H1334" s="144"/>
      <c r="I1334" s="133"/>
      <c r="J1334" s="133"/>
      <c r="K1334" s="133"/>
      <c r="L1334" s="133"/>
      <c r="M1334" s="133"/>
      <c r="N1334" s="147"/>
      <c r="P1334" s="140"/>
    </row>
    <row r="1335" spans="1:16" hidden="1" x14ac:dyDescent="0.35">
      <c r="A1335" s="146">
        <v>19</v>
      </c>
      <c r="B1335" s="143">
        <v>45383</v>
      </c>
      <c r="C1335" s="133" t="s">
        <v>1906</v>
      </c>
      <c r="D1335" s="133" t="s">
        <v>1905</v>
      </c>
      <c r="E1335" s="145" t="s">
        <v>1075</v>
      </c>
      <c r="F1335" s="145">
        <v>1887</v>
      </c>
      <c r="G1335" s="133" t="s">
        <v>1034</v>
      </c>
      <c r="H1335" s="144" t="s">
        <v>1341</v>
      </c>
      <c r="I1335" s="133" t="s">
        <v>1092</v>
      </c>
      <c r="J1335" s="133" t="s">
        <v>1893</v>
      </c>
      <c r="K1335" s="143">
        <v>45413</v>
      </c>
      <c r="L1335" s="133" t="s">
        <v>1092</v>
      </c>
      <c r="M1335" s="133">
        <v>2625.3</v>
      </c>
      <c r="N1335" s="147">
        <f>+F1335+F1336-M1335-M1336</f>
        <v>0</v>
      </c>
      <c r="P1335" s="140"/>
    </row>
    <row r="1336" spans="1:16" hidden="1" x14ac:dyDescent="0.35">
      <c r="A1336" s="146"/>
      <c r="B1336" s="143"/>
      <c r="C1336" s="133"/>
      <c r="D1336" s="133"/>
      <c r="E1336" s="145" t="s">
        <v>1067</v>
      </c>
      <c r="F1336" s="145">
        <v>793.3</v>
      </c>
      <c r="G1336" s="133" t="s">
        <v>1034</v>
      </c>
      <c r="H1336" s="144" t="s">
        <v>1341</v>
      </c>
      <c r="I1336" s="133" t="s">
        <v>1092</v>
      </c>
      <c r="J1336" s="133" t="s">
        <v>1874</v>
      </c>
      <c r="K1336" s="143">
        <v>45413</v>
      </c>
      <c r="L1336" s="133" t="s">
        <v>1241</v>
      </c>
      <c r="M1336" s="133">
        <v>55</v>
      </c>
      <c r="N1336" s="147"/>
      <c r="P1336" s="140"/>
    </row>
    <row r="1337" spans="1:16" hidden="1" x14ac:dyDescent="0.35">
      <c r="A1337" s="146"/>
      <c r="B1337" s="143"/>
      <c r="C1337" s="133"/>
      <c r="D1337" s="133"/>
      <c r="E1337" s="145"/>
      <c r="F1337" s="145"/>
      <c r="G1337" s="133"/>
      <c r="H1337" s="144"/>
      <c r="I1337" s="133"/>
      <c r="J1337" s="133"/>
      <c r="K1337" s="133"/>
      <c r="L1337" s="133"/>
      <c r="M1337" s="133"/>
      <c r="N1337" s="142"/>
      <c r="P1337" s="140"/>
    </row>
    <row r="1338" spans="1:16" hidden="1" x14ac:dyDescent="0.35">
      <c r="A1338" s="146">
        <v>20</v>
      </c>
      <c r="B1338" s="143">
        <v>45383</v>
      </c>
      <c r="C1338" s="133" t="s">
        <v>1904</v>
      </c>
      <c r="D1338" s="133" t="s">
        <v>1903</v>
      </c>
      <c r="E1338" s="145" t="s">
        <v>1064</v>
      </c>
      <c r="F1338" s="145">
        <v>818.5</v>
      </c>
      <c r="G1338" s="133" t="s">
        <v>1034</v>
      </c>
      <c r="H1338" s="144" t="s">
        <v>1341</v>
      </c>
      <c r="I1338" s="133" t="s">
        <v>1092</v>
      </c>
      <c r="J1338" s="133" t="s">
        <v>1893</v>
      </c>
      <c r="K1338" s="143">
        <v>45413</v>
      </c>
      <c r="L1338" s="133" t="s">
        <v>1092</v>
      </c>
      <c r="M1338" s="133">
        <v>8003.3</v>
      </c>
      <c r="N1338" s="147">
        <f>+F1338+F1339+F1340+F1341-M1338-M1339</f>
        <v>0</v>
      </c>
      <c r="P1338" s="140"/>
    </row>
    <row r="1339" spans="1:16" hidden="1" x14ac:dyDescent="0.35">
      <c r="A1339" s="146"/>
      <c r="B1339" s="143"/>
      <c r="C1339" s="133"/>
      <c r="D1339" s="133"/>
      <c r="E1339" s="145" t="s">
        <v>1067</v>
      </c>
      <c r="F1339" s="145">
        <v>61.9</v>
      </c>
      <c r="G1339" s="133" t="s">
        <v>1034</v>
      </c>
      <c r="H1339" s="144" t="s">
        <v>1341</v>
      </c>
      <c r="I1339" s="133" t="s">
        <v>1092</v>
      </c>
      <c r="J1339" s="133" t="s">
        <v>1874</v>
      </c>
      <c r="K1339" s="143">
        <v>45413</v>
      </c>
      <c r="L1339" s="133" t="s">
        <v>1241</v>
      </c>
      <c r="M1339" s="133">
        <v>160</v>
      </c>
      <c r="N1339" s="142"/>
      <c r="P1339" s="140"/>
    </row>
    <row r="1340" spans="1:16" hidden="1" x14ac:dyDescent="0.35">
      <c r="A1340" s="146"/>
      <c r="B1340" s="143"/>
      <c r="C1340" s="133"/>
      <c r="D1340" s="133"/>
      <c r="E1340" s="145" t="s">
        <v>1118</v>
      </c>
      <c r="F1340" s="145">
        <v>3865.1</v>
      </c>
      <c r="G1340" s="133"/>
      <c r="H1340" s="144"/>
      <c r="I1340" s="133"/>
      <c r="J1340" s="133"/>
      <c r="K1340" s="133"/>
      <c r="L1340" s="133"/>
      <c r="M1340" s="133"/>
      <c r="N1340" s="142"/>
      <c r="P1340" s="140"/>
    </row>
    <row r="1341" spans="1:16" hidden="1" x14ac:dyDescent="0.35">
      <c r="A1341" s="146"/>
      <c r="B1341" s="143"/>
      <c r="C1341" s="133"/>
      <c r="D1341" s="133"/>
      <c r="E1341" s="145" t="s">
        <v>1075</v>
      </c>
      <c r="F1341" s="145">
        <v>3417.8</v>
      </c>
      <c r="G1341" s="133"/>
      <c r="H1341" s="144"/>
      <c r="I1341" s="133"/>
      <c r="J1341" s="133"/>
      <c r="K1341" s="133"/>
      <c r="L1341" s="133"/>
      <c r="M1341" s="133"/>
      <c r="N1341" s="142"/>
      <c r="P1341" s="140"/>
    </row>
    <row r="1342" spans="1:16" hidden="1" x14ac:dyDescent="0.35">
      <c r="A1342" s="146"/>
      <c r="B1342" s="143"/>
      <c r="C1342" s="133"/>
      <c r="D1342" s="133"/>
      <c r="E1342" s="145"/>
      <c r="F1342" s="145"/>
      <c r="G1342" s="133"/>
      <c r="H1342" s="144"/>
      <c r="I1342" s="133"/>
      <c r="J1342" s="133"/>
      <c r="K1342" s="133"/>
      <c r="L1342" s="133"/>
      <c r="M1342" s="133"/>
      <c r="N1342" s="142"/>
      <c r="P1342" s="140"/>
    </row>
    <row r="1343" spans="1:16" hidden="1" x14ac:dyDescent="0.35">
      <c r="A1343" s="156"/>
      <c r="B1343" s="152"/>
      <c r="C1343" s="151"/>
      <c r="D1343" s="151"/>
      <c r="E1343" s="154"/>
      <c r="F1343" s="154"/>
      <c r="G1343" s="151"/>
      <c r="H1343" s="153"/>
      <c r="I1343" s="151"/>
      <c r="J1343" s="151"/>
      <c r="K1343" s="151"/>
      <c r="L1343" s="151"/>
      <c r="M1343" s="151"/>
      <c r="N1343" s="150"/>
      <c r="P1343" s="140"/>
    </row>
    <row r="1344" spans="1:16" hidden="1" x14ac:dyDescent="0.35">
      <c r="A1344" s="146"/>
      <c r="B1344" s="143"/>
      <c r="C1344" s="133"/>
      <c r="D1344" s="133"/>
      <c r="E1344" s="145"/>
      <c r="F1344" s="145"/>
      <c r="G1344" s="133"/>
      <c r="H1344" s="144"/>
      <c r="I1344" s="133"/>
      <c r="J1344" s="133"/>
      <c r="K1344" s="133"/>
      <c r="L1344" s="133"/>
      <c r="M1344" s="133"/>
      <c r="N1344" s="142"/>
      <c r="P1344" s="140"/>
    </row>
    <row r="1345" spans="1:16" hidden="1" x14ac:dyDescent="0.35">
      <c r="A1345" s="146">
        <v>21</v>
      </c>
      <c r="B1345" s="143">
        <v>45413</v>
      </c>
      <c r="C1345" s="133" t="s">
        <v>1902</v>
      </c>
      <c r="D1345" s="133" t="s">
        <v>1901</v>
      </c>
      <c r="E1345" s="145" t="s">
        <v>1075</v>
      </c>
      <c r="F1345" s="145">
        <v>2130</v>
      </c>
      <c r="G1345" s="133" t="s">
        <v>1034</v>
      </c>
      <c r="H1345" s="144" t="s">
        <v>1341</v>
      </c>
      <c r="I1345" s="133" t="s">
        <v>1092</v>
      </c>
      <c r="J1345" s="133" t="s">
        <v>1861</v>
      </c>
      <c r="K1345" s="143">
        <v>45413</v>
      </c>
      <c r="L1345" s="133" t="s">
        <v>1092</v>
      </c>
      <c r="M1345" s="133">
        <v>4017</v>
      </c>
      <c r="N1345" s="147">
        <f>+F1345+F1346+F1347-M1345-M1346</f>
        <v>0</v>
      </c>
      <c r="P1345" s="140"/>
    </row>
    <row r="1346" spans="1:16" hidden="1" x14ac:dyDescent="0.35">
      <c r="A1346" s="146"/>
      <c r="B1346" s="143"/>
      <c r="C1346" s="133"/>
      <c r="D1346" s="133"/>
      <c r="E1346" s="145" t="s">
        <v>1342</v>
      </c>
      <c r="F1346" s="145">
        <v>1471</v>
      </c>
      <c r="G1346" s="133" t="s">
        <v>1034</v>
      </c>
      <c r="H1346" s="144" t="s">
        <v>1341</v>
      </c>
      <c r="I1346" s="133" t="s">
        <v>1092</v>
      </c>
      <c r="J1346" s="133" t="s">
        <v>1874</v>
      </c>
      <c r="K1346" s="143">
        <v>45413</v>
      </c>
      <c r="L1346" s="133" t="s">
        <v>1241</v>
      </c>
      <c r="M1346" s="133">
        <v>85</v>
      </c>
      <c r="N1346" s="147"/>
      <c r="P1346" s="140"/>
    </row>
    <row r="1347" spans="1:16" hidden="1" x14ac:dyDescent="0.35">
      <c r="A1347" s="146"/>
      <c r="B1347" s="143"/>
      <c r="C1347" s="133"/>
      <c r="D1347" s="133"/>
      <c r="E1347" s="145" t="s">
        <v>1071</v>
      </c>
      <c r="F1347" s="145">
        <v>501</v>
      </c>
      <c r="G1347" s="133"/>
      <c r="H1347" s="144"/>
      <c r="I1347" s="133"/>
      <c r="J1347" s="133"/>
      <c r="K1347" s="133"/>
      <c r="L1347" s="133"/>
      <c r="M1347" s="133"/>
      <c r="N1347" s="147"/>
      <c r="P1347" s="140"/>
    </row>
    <row r="1348" spans="1:16" hidden="1" x14ac:dyDescent="0.35">
      <c r="A1348" s="146"/>
      <c r="B1348" s="143"/>
      <c r="C1348" s="133"/>
      <c r="D1348" s="133"/>
      <c r="E1348" s="145"/>
      <c r="F1348" s="145"/>
      <c r="G1348" s="133"/>
      <c r="H1348" s="144"/>
      <c r="I1348" s="133"/>
      <c r="J1348" s="133"/>
      <c r="K1348" s="133"/>
      <c r="L1348" s="133"/>
      <c r="M1348" s="133"/>
      <c r="N1348" s="147"/>
      <c r="P1348" s="140"/>
    </row>
    <row r="1349" spans="1:16" hidden="1" x14ac:dyDescent="0.35">
      <c r="A1349" s="146">
        <v>22</v>
      </c>
      <c r="B1349" s="143">
        <v>45413</v>
      </c>
      <c r="C1349" s="133" t="s">
        <v>1900</v>
      </c>
      <c r="D1349" s="133" t="s">
        <v>1899</v>
      </c>
      <c r="E1349" s="145" t="s">
        <v>1075</v>
      </c>
      <c r="F1349" s="145">
        <v>3642.5</v>
      </c>
      <c r="G1349" s="133" t="s">
        <v>1034</v>
      </c>
      <c r="H1349" s="144" t="s">
        <v>1341</v>
      </c>
      <c r="I1349" s="133" t="s">
        <v>1092</v>
      </c>
      <c r="J1349" s="133" t="s">
        <v>1861</v>
      </c>
      <c r="K1349" s="143">
        <v>45413</v>
      </c>
      <c r="L1349" s="133" t="s">
        <v>1092</v>
      </c>
      <c r="M1349" s="133">
        <v>7463.37</v>
      </c>
      <c r="N1349" s="147">
        <f>+F1349+F1350-M1349-M1350</f>
        <v>0</v>
      </c>
      <c r="P1349" s="140"/>
    </row>
    <row r="1350" spans="1:16" hidden="1" x14ac:dyDescent="0.35">
      <c r="A1350" s="146"/>
      <c r="B1350" s="143"/>
      <c r="C1350" s="133"/>
      <c r="D1350" s="133"/>
      <c r="E1350" s="145" t="s">
        <v>1078</v>
      </c>
      <c r="F1350" s="145">
        <v>3976.87</v>
      </c>
      <c r="G1350" s="133" t="s">
        <v>1034</v>
      </c>
      <c r="H1350" s="144" t="s">
        <v>1341</v>
      </c>
      <c r="I1350" s="133" t="s">
        <v>1092</v>
      </c>
      <c r="J1350" s="133" t="s">
        <v>1874</v>
      </c>
      <c r="K1350" s="143">
        <v>45413</v>
      </c>
      <c r="L1350" s="133" t="s">
        <v>1241</v>
      </c>
      <c r="M1350" s="133">
        <v>156</v>
      </c>
      <c r="N1350" s="147"/>
      <c r="P1350" s="140"/>
    </row>
    <row r="1351" spans="1:16" hidden="1" x14ac:dyDescent="0.35">
      <c r="A1351" s="146"/>
      <c r="B1351" s="143"/>
      <c r="C1351" s="133"/>
      <c r="D1351" s="133"/>
      <c r="E1351" s="145"/>
      <c r="F1351" s="145"/>
      <c r="G1351" s="133"/>
      <c r="H1351" s="144"/>
      <c r="I1351" s="133"/>
      <c r="J1351" s="133"/>
      <c r="K1351" s="133"/>
      <c r="L1351" s="133"/>
      <c r="M1351" s="133"/>
      <c r="N1351" s="147"/>
      <c r="P1351" s="140"/>
    </row>
    <row r="1352" spans="1:16" hidden="1" x14ac:dyDescent="0.35">
      <c r="A1352" s="146">
        <v>23</v>
      </c>
      <c r="B1352" s="143">
        <v>45413</v>
      </c>
      <c r="C1352" s="133" t="s">
        <v>1898</v>
      </c>
      <c r="D1352" s="133" t="s">
        <v>1896</v>
      </c>
      <c r="E1352" s="145" t="s">
        <v>1342</v>
      </c>
      <c r="F1352" s="145">
        <v>7041</v>
      </c>
      <c r="G1352" s="133" t="s">
        <v>1034</v>
      </c>
      <c r="H1352" s="144" t="s">
        <v>1341</v>
      </c>
      <c r="I1352" s="133" t="s">
        <v>1092</v>
      </c>
      <c r="J1352" s="133" t="s">
        <v>1861</v>
      </c>
      <c r="K1352" s="143">
        <v>45413</v>
      </c>
      <c r="L1352" s="133" t="s">
        <v>1092</v>
      </c>
      <c r="M1352" s="133">
        <v>7719</v>
      </c>
      <c r="N1352" s="147">
        <f>+F1352+F1353-M1352-M1353</f>
        <v>0</v>
      </c>
      <c r="P1352" s="140"/>
    </row>
    <row r="1353" spans="1:16" hidden="1" x14ac:dyDescent="0.35">
      <c r="A1353" s="146"/>
      <c r="B1353" s="143"/>
      <c r="C1353" s="133"/>
      <c r="D1353" s="133"/>
      <c r="E1353" s="145" t="s">
        <v>1075</v>
      </c>
      <c r="F1353" s="145">
        <v>836</v>
      </c>
      <c r="G1353" s="133" t="s">
        <v>1034</v>
      </c>
      <c r="H1353" s="144" t="s">
        <v>1341</v>
      </c>
      <c r="I1353" s="133" t="s">
        <v>1092</v>
      </c>
      <c r="J1353" s="133" t="s">
        <v>1874</v>
      </c>
      <c r="K1353" s="143">
        <v>45413</v>
      </c>
      <c r="L1353" s="133" t="s">
        <v>1241</v>
      </c>
      <c r="M1353" s="133">
        <v>158</v>
      </c>
      <c r="N1353" s="147"/>
      <c r="P1353" s="140"/>
    </row>
    <row r="1354" spans="1:16" hidden="1" x14ac:dyDescent="0.35">
      <c r="A1354" s="146"/>
      <c r="B1354" s="143"/>
      <c r="C1354" s="133"/>
      <c r="D1354" s="133"/>
      <c r="E1354" s="145"/>
      <c r="F1354" s="145"/>
      <c r="G1354" s="133"/>
      <c r="H1354" s="144"/>
      <c r="I1354" s="133"/>
      <c r="J1354" s="133"/>
      <c r="K1354" s="133"/>
      <c r="L1354" s="133"/>
      <c r="M1354" s="133"/>
      <c r="N1354" s="147"/>
      <c r="P1354" s="140"/>
    </row>
    <row r="1355" spans="1:16" hidden="1" x14ac:dyDescent="0.35">
      <c r="A1355" s="146">
        <v>24</v>
      </c>
      <c r="B1355" s="143">
        <v>45413</v>
      </c>
      <c r="C1355" s="133" t="s">
        <v>1897</v>
      </c>
      <c r="D1355" s="133" t="s">
        <v>1896</v>
      </c>
      <c r="E1355" s="148" t="s">
        <v>1059</v>
      </c>
      <c r="F1355" s="145">
        <v>28000</v>
      </c>
      <c r="G1355" s="133" t="s">
        <v>1034</v>
      </c>
      <c r="H1355" s="144" t="s">
        <v>1341</v>
      </c>
      <c r="I1355" s="133" t="s">
        <v>1092</v>
      </c>
      <c r="J1355" s="133" t="s">
        <v>1895</v>
      </c>
      <c r="K1355" s="143">
        <v>45413</v>
      </c>
      <c r="L1355" s="133" t="s">
        <v>1092</v>
      </c>
      <c r="M1355" s="133">
        <v>19121.57</v>
      </c>
      <c r="N1355" s="147">
        <f>+F1355-M1355-M1356-M1357</f>
        <v>0</v>
      </c>
      <c r="P1355" s="140"/>
    </row>
    <row r="1356" spans="1:16" hidden="1" x14ac:dyDescent="0.35">
      <c r="A1356" s="146"/>
      <c r="B1356" s="143"/>
      <c r="C1356" s="133"/>
      <c r="D1356" s="133"/>
      <c r="E1356" s="145"/>
      <c r="F1356" s="145"/>
      <c r="G1356" s="133" t="s">
        <v>1034</v>
      </c>
      <c r="H1356" s="144" t="s">
        <v>1341</v>
      </c>
      <c r="I1356" s="133" t="s">
        <v>1092</v>
      </c>
      <c r="J1356" s="133" t="s">
        <v>1893</v>
      </c>
      <c r="K1356" s="143">
        <v>45413</v>
      </c>
      <c r="L1356" s="133" t="s">
        <v>1092</v>
      </c>
      <c r="M1356" s="133">
        <v>8316.43</v>
      </c>
      <c r="N1356" s="147"/>
      <c r="P1356" s="140"/>
    </row>
    <row r="1357" spans="1:16" hidden="1" x14ac:dyDescent="0.35">
      <c r="A1357" s="146"/>
      <c r="B1357" s="143"/>
      <c r="C1357" s="133"/>
      <c r="D1357" s="133"/>
      <c r="E1357" s="145"/>
      <c r="F1357" s="145"/>
      <c r="G1357" s="133" t="s">
        <v>1034</v>
      </c>
      <c r="H1357" s="144" t="s">
        <v>1341</v>
      </c>
      <c r="I1357" s="133" t="s">
        <v>1092</v>
      </c>
      <c r="J1357" s="133" t="s">
        <v>1874</v>
      </c>
      <c r="K1357" s="143">
        <v>45413</v>
      </c>
      <c r="L1357" s="133" t="s">
        <v>1241</v>
      </c>
      <c r="M1357" s="133">
        <v>562</v>
      </c>
      <c r="N1357" s="147"/>
      <c r="P1357" s="140"/>
    </row>
    <row r="1358" spans="1:16" hidden="1" x14ac:dyDescent="0.35">
      <c r="A1358" s="146"/>
      <c r="B1358" s="143"/>
      <c r="C1358" s="133"/>
      <c r="D1358" s="133"/>
      <c r="E1358" s="145"/>
      <c r="F1358" s="145"/>
      <c r="G1358" s="133"/>
      <c r="H1358" s="144"/>
      <c r="I1358" s="133"/>
      <c r="J1358" s="133"/>
      <c r="K1358" s="143"/>
      <c r="L1358" s="133"/>
      <c r="M1358" s="133"/>
      <c r="N1358" s="147"/>
      <c r="P1358" s="140"/>
    </row>
    <row r="1359" spans="1:16" hidden="1" x14ac:dyDescent="0.35">
      <c r="A1359" s="146">
        <v>25</v>
      </c>
      <c r="B1359" s="143">
        <v>45413</v>
      </c>
      <c r="C1359" s="133" t="s">
        <v>1894</v>
      </c>
      <c r="D1359" s="133" t="s">
        <v>1891</v>
      </c>
      <c r="E1359" s="148" t="s">
        <v>1059</v>
      </c>
      <c r="F1359" s="145">
        <v>28000</v>
      </c>
      <c r="G1359" s="133" t="s">
        <v>1034</v>
      </c>
      <c r="H1359" s="144" t="s">
        <v>1341</v>
      </c>
      <c r="I1359" s="133" t="s">
        <v>1092</v>
      </c>
      <c r="J1359" s="133" t="s">
        <v>1893</v>
      </c>
      <c r="K1359" s="143">
        <v>45413</v>
      </c>
      <c r="L1359" s="133" t="s">
        <v>1092</v>
      </c>
      <c r="M1359" s="133">
        <v>12770.19</v>
      </c>
      <c r="N1359" s="147">
        <f>+F1359-M1359-M1360-M1361</f>
        <v>0</v>
      </c>
      <c r="P1359" s="140"/>
    </row>
    <row r="1360" spans="1:16" hidden="1" x14ac:dyDescent="0.35">
      <c r="A1360" s="146"/>
      <c r="B1360" s="143"/>
      <c r="C1360" s="133"/>
      <c r="D1360" s="133"/>
      <c r="E1360" s="148"/>
      <c r="F1360" s="145"/>
      <c r="G1360" s="133" t="s">
        <v>1034</v>
      </c>
      <c r="H1360" s="144" t="s">
        <v>1341</v>
      </c>
      <c r="I1360" s="133" t="s">
        <v>1092</v>
      </c>
      <c r="J1360" s="133" t="s">
        <v>1861</v>
      </c>
      <c r="K1360" s="143">
        <v>45413</v>
      </c>
      <c r="L1360" s="133" t="s">
        <v>1092</v>
      </c>
      <c r="M1360" s="133">
        <v>14670.81</v>
      </c>
      <c r="N1360" s="147"/>
      <c r="P1360" s="140"/>
    </row>
    <row r="1361" spans="1:16" hidden="1" x14ac:dyDescent="0.35">
      <c r="A1361" s="146"/>
      <c r="B1361" s="143"/>
      <c r="C1361" s="133"/>
      <c r="D1361" s="133"/>
      <c r="E1361" s="148"/>
      <c r="F1361" s="145"/>
      <c r="G1361" s="133" t="s">
        <v>1034</v>
      </c>
      <c r="H1361" s="144" t="s">
        <v>1341</v>
      </c>
      <c r="I1361" s="133" t="s">
        <v>1092</v>
      </c>
      <c r="J1361" s="133" t="s">
        <v>1874</v>
      </c>
      <c r="K1361" s="143">
        <v>45413</v>
      </c>
      <c r="L1361" s="133" t="s">
        <v>1241</v>
      </c>
      <c r="M1361" s="133">
        <v>559</v>
      </c>
      <c r="N1361" s="147"/>
      <c r="P1361" s="140"/>
    </row>
    <row r="1362" spans="1:16" hidden="1" x14ac:dyDescent="0.35">
      <c r="A1362" s="146"/>
      <c r="B1362" s="143"/>
      <c r="C1362" s="133"/>
      <c r="D1362" s="133"/>
      <c r="E1362" s="145"/>
      <c r="F1362" s="145"/>
      <c r="G1362" s="133"/>
      <c r="H1362" s="144"/>
      <c r="I1362" s="133"/>
      <c r="J1362" s="133"/>
      <c r="K1362" s="133"/>
      <c r="L1362" s="133"/>
      <c r="M1362" s="133"/>
      <c r="N1362" s="147"/>
      <c r="P1362" s="140"/>
    </row>
    <row r="1363" spans="1:16" hidden="1" x14ac:dyDescent="0.35">
      <c r="A1363" s="146">
        <v>26</v>
      </c>
      <c r="B1363" s="143">
        <v>45413</v>
      </c>
      <c r="C1363" s="133" t="s">
        <v>1892</v>
      </c>
      <c r="D1363" s="133" t="s">
        <v>1891</v>
      </c>
      <c r="E1363" s="145" t="s">
        <v>1067</v>
      </c>
      <c r="F1363" s="145">
        <v>1403.7</v>
      </c>
      <c r="G1363" s="133" t="s">
        <v>1034</v>
      </c>
      <c r="H1363" s="144" t="s">
        <v>1341</v>
      </c>
      <c r="I1363" s="133" t="s">
        <v>1092</v>
      </c>
      <c r="J1363" s="133" t="s">
        <v>1861</v>
      </c>
      <c r="K1363" s="143">
        <v>45413</v>
      </c>
      <c r="L1363" s="133" t="s">
        <v>1092</v>
      </c>
      <c r="M1363" s="133">
        <v>3627.7</v>
      </c>
      <c r="N1363" s="147">
        <f>+F1363+F1364-M1363-M1364</f>
        <v>0</v>
      </c>
      <c r="P1363" s="140"/>
    </row>
    <row r="1364" spans="1:16" hidden="1" x14ac:dyDescent="0.35">
      <c r="A1364" s="146"/>
      <c r="B1364" s="143"/>
      <c r="C1364" s="133"/>
      <c r="D1364" s="133"/>
      <c r="E1364" s="145" t="s">
        <v>1342</v>
      </c>
      <c r="F1364" s="145">
        <v>2300</v>
      </c>
      <c r="G1364" s="133" t="s">
        <v>1034</v>
      </c>
      <c r="H1364" s="144" t="s">
        <v>1341</v>
      </c>
      <c r="I1364" s="133" t="s">
        <v>1092</v>
      </c>
      <c r="J1364" s="133" t="s">
        <v>1874</v>
      </c>
      <c r="K1364" s="143">
        <v>45413</v>
      </c>
      <c r="L1364" s="133" t="s">
        <v>1241</v>
      </c>
      <c r="M1364" s="133">
        <v>76</v>
      </c>
      <c r="N1364" s="147"/>
      <c r="P1364" s="140"/>
    </row>
    <row r="1365" spans="1:16" hidden="1" x14ac:dyDescent="0.35">
      <c r="A1365" s="146"/>
      <c r="B1365" s="143"/>
      <c r="C1365" s="133"/>
      <c r="D1365" s="133"/>
      <c r="E1365" s="145"/>
      <c r="F1365" s="145"/>
      <c r="G1365" s="133"/>
      <c r="H1365" s="144"/>
      <c r="I1365" s="133"/>
      <c r="J1365" s="133"/>
      <c r="K1365" s="133"/>
      <c r="L1365" s="133"/>
      <c r="M1365" s="133"/>
      <c r="N1365" s="147"/>
      <c r="P1365" s="140"/>
    </row>
    <row r="1366" spans="1:16" hidden="1" x14ac:dyDescent="0.35">
      <c r="A1366" s="146">
        <v>27</v>
      </c>
      <c r="B1366" s="143">
        <v>45413</v>
      </c>
      <c r="C1366" s="133" t="s">
        <v>1890</v>
      </c>
      <c r="D1366" s="133" t="s">
        <v>1889</v>
      </c>
      <c r="E1366" s="145" t="s">
        <v>1075</v>
      </c>
      <c r="F1366" s="145">
        <v>2368</v>
      </c>
      <c r="G1366" s="133" t="s">
        <v>1034</v>
      </c>
      <c r="H1366" s="144" t="s">
        <v>1341</v>
      </c>
      <c r="I1366" s="133" t="s">
        <v>1092</v>
      </c>
      <c r="J1366" s="133" t="s">
        <v>1861</v>
      </c>
      <c r="K1366" s="143">
        <v>45413</v>
      </c>
      <c r="L1366" s="133" t="s">
        <v>1092</v>
      </c>
      <c r="M1366" s="133">
        <v>6983</v>
      </c>
      <c r="N1366" s="147">
        <f>+F1366+F1367+F1368+F1369-M1366-M1367</f>
        <v>0</v>
      </c>
      <c r="P1366" s="140"/>
    </row>
    <row r="1367" spans="1:16" hidden="1" x14ac:dyDescent="0.35">
      <c r="A1367" s="146"/>
      <c r="B1367" s="143"/>
      <c r="C1367" s="133"/>
      <c r="D1367" s="133"/>
      <c r="E1367" s="145" t="s">
        <v>1342</v>
      </c>
      <c r="F1367" s="145">
        <v>3599</v>
      </c>
      <c r="G1367" s="133" t="s">
        <v>1034</v>
      </c>
      <c r="H1367" s="144" t="s">
        <v>1341</v>
      </c>
      <c r="I1367" s="133" t="s">
        <v>1092</v>
      </c>
      <c r="J1367" s="133" t="s">
        <v>1874</v>
      </c>
      <c r="K1367" s="143">
        <v>45413</v>
      </c>
      <c r="L1367" s="133" t="s">
        <v>1241</v>
      </c>
      <c r="M1367" s="133">
        <v>140</v>
      </c>
      <c r="N1367" s="147"/>
      <c r="P1367" s="140"/>
    </row>
    <row r="1368" spans="1:16" hidden="1" x14ac:dyDescent="0.35">
      <c r="A1368" s="146"/>
      <c r="B1368" s="143"/>
      <c r="C1368" s="133"/>
      <c r="D1368" s="133"/>
      <c r="E1368" s="145" t="s">
        <v>1067</v>
      </c>
      <c r="F1368" s="145">
        <v>714</v>
      </c>
      <c r="G1368" s="133"/>
      <c r="H1368" s="144"/>
      <c r="I1368" s="133"/>
      <c r="J1368" s="133"/>
      <c r="K1368" s="133"/>
      <c r="L1368" s="133"/>
      <c r="M1368" s="133"/>
      <c r="N1368" s="147"/>
      <c r="P1368" s="140"/>
    </row>
    <row r="1369" spans="1:16" hidden="1" x14ac:dyDescent="0.35">
      <c r="A1369" s="146"/>
      <c r="B1369" s="143"/>
      <c r="C1369" s="133"/>
      <c r="D1369" s="133"/>
      <c r="E1369" s="145" t="s">
        <v>837</v>
      </c>
      <c r="F1369" s="145">
        <v>442</v>
      </c>
      <c r="G1369" s="133"/>
      <c r="H1369" s="144"/>
      <c r="I1369" s="133"/>
      <c r="J1369" s="133"/>
      <c r="K1369" s="133"/>
      <c r="L1369" s="133"/>
      <c r="M1369" s="133"/>
      <c r="N1369" s="147"/>
      <c r="P1369" s="140"/>
    </row>
    <row r="1370" spans="1:16" hidden="1" x14ac:dyDescent="0.35">
      <c r="A1370" s="146"/>
      <c r="B1370" s="143"/>
      <c r="C1370" s="133"/>
      <c r="D1370" s="133"/>
      <c r="E1370" s="145"/>
      <c r="F1370" s="145"/>
      <c r="G1370" s="133"/>
      <c r="H1370" s="144"/>
      <c r="I1370" s="133"/>
      <c r="J1370" s="133"/>
      <c r="K1370" s="133"/>
      <c r="L1370" s="133"/>
      <c r="M1370" s="133"/>
      <c r="N1370" s="147"/>
      <c r="P1370" s="140"/>
    </row>
    <row r="1371" spans="1:16" hidden="1" x14ac:dyDescent="0.35">
      <c r="A1371" s="146">
        <v>28</v>
      </c>
      <c r="B1371" s="143">
        <v>45413</v>
      </c>
      <c r="C1371" s="133" t="s">
        <v>1888</v>
      </c>
      <c r="D1371" s="133" t="s">
        <v>1887</v>
      </c>
      <c r="E1371" s="145" t="s">
        <v>1075</v>
      </c>
      <c r="F1371" s="145">
        <v>3239.7</v>
      </c>
      <c r="G1371" s="133" t="s">
        <v>1034</v>
      </c>
      <c r="H1371" s="144" t="s">
        <v>1341</v>
      </c>
      <c r="I1371" s="133" t="s">
        <v>1092</v>
      </c>
      <c r="J1371" s="133" t="s">
        <v>1861</v>
      </c>
      <c r="K1371" s="143">
        <v>45413</v>
      </c>
      <c r="L1371" s="133" t="s">
        <v>1092</v>
      </c>
      <c r="M1371" s="133">
        <v>6458.7999999999993</v>
      </c>
      <c r="N1371" s="147">
        <f>+F1371+F1372+F1373+F1374-M1371-M1372</f>
        <v>0</v>
      </c>
      <c r="P1371" s="140"/>
    </row>
    <row r="1372" spans="1:16" hidden="1" x14ac:dyDescent="0.35">
      <c r="A1372" s="146"/>
      <c r="B1372" s="143"/>
      <c r="C1372" s="133"/>
      <c r="D1372" s="133"/>
      <c r="E1372" s="145" t="s">
        <v>1342</v>
      </c>
      <c r="F1372" s="145">
        <v>684</v>
      </c>
      <c r="G1372" s="133" t="s">
        <v>1034</v>
      </c>
      <c r="H1372" s="144" t="s">
        <v>1341</v>
      </c>
      <c r="I1372" s="133" t="s">
        <v>1092</v>
      </c>
      <c r="J1372" s="133" t="s">
        <v>1874</v>
      </c>
      <c r="K1372" s="143">
        <v>45413</v>
      </c>
      <c r="L1372" s="133" t="s">
        <v>1241</v>
      </c>
      <c r="M1372" s="133">
        <v>132</v>
      </c>
      <c r="N1372" s="147"/>
      <c r="P1372" s="140"/>
    </row>
    <row r="1373" spans="1:16" hidden="1" x14ac:dyDescent="0.35">
      <c r="A1373" s="146"/>
      <c r="B1373" s="143"/>
      <c r="C1373" s="133"/>
      <c r="D1373" s="133"/>
      <c r="E1373" s="145" t="s">
        <v>1067</v>
      </c>
      <c r="F1373" s="145">
        <v>1837.1</v>
      </c>
      <c r="G1373" s="133"/>
      <c r="H1373" s="144"/>
      <c r="I1373" s="133"/>
      <c r="J1373" s="133"/>
      <c r="K1373" s="133"/>
      <c r="L1373" s="133"/>
      <c r="M1373" s="133"/>
      <c r="N1373" s="147"/>
      <c r="P1373" s="140"/>
    </row>
    <row r="1374" spans="1:16" hidden="1" x14ac:dyDescent="0.35">
      <c r="A1374" s="146"/>
      <c r="B1374" s="143"/>
      <c r="C1374" s="133"/>
      <c r="D1374" s="133"/>
      <c r="E1374" s="145" t="s">
        <v>1064</v>
      </c>
      <c r="F1374" s="145">
        <v>830</v>
      </c>
      <c r="G1374" s="133"/>
      <c r="H1374" s="144"/>
      <c r="I1374" s="133"/>
      <c r="J1374" s="133"/>
      <c r="K1374" s="133"/>
      <c r="L1374" s="133"/>
      <c r="M1374" s="133"/>
      <c r="N1374" s="147"/>
      <c r="P1374" s="140"/>
    </row>
    <row r="1375" spans="1:16" hidden="1" x14ac:dyDescent="0.35">
      <c r="A1375" s="146"/>
      <c r="B1375" s="143"/>
      <c r="C1375" s="133"/>
      <c r="D1375" s="133"/>
      <c r="E1375" s="145"/>
      <c r="F1375" s="145"/>
      <c r="G1375" s="133"/>
      <c r="H1375" s="144"/>
      <c r="I1375" s="133"/>
      <c r="J1375" s="133"/>
      <c r="K1375" s="133"/>
      <c r="L1375" s="133"/>
      <c r="M1375" s="133"/>
      <c r="N1375" s="147"/>
      <c r="P1375" s="140"/>
    </row>
    <row r="1376" spans="1:16" hidden="1" x14ac:dyDescent="0.35">
      <c r="A1376" s="146">
        <v>29</v>
      </c>
      <c r="B1376" s="143">
        <v>45413</v>
      </c>
      <c r="C1376" s="133" t="s">
        <v>1886</v>
      </c>
      <c r="D1376" s="133" t="s">
        <v>1885</v>
      </c>
      <c r="E1376" s="145" t="s">
        <v>1118</v>
      </c>
      <c r="F1376" s="145">
        <v>4053</v>
      </c>
      <c r="G1376" s="133" t="s">
        <v>1034</v>
      </c>
      <c r="H1376" s="144" t="s">
        <v>1341</v>
      </c>
      <c r="I1376" s="133" t="s">
        <v>1092</v>
      </c>
      <c r="J1376" s="133" t="s">
        <v>1861</v>
      </c>
      <c r="K1376" s="143">
        <v>45413</v>
      </c>
      <c r="L1376" s="133" t="s">
        <v>1092</v>
      </c>
      <c r="M1376" s="133">
        <v>4053</v>
      </c>
      <c r="N1376" s="147">
        <f>+F1376+F1377+F1378-M1376-M1377-M1378</f>
        <v>0</v>
      </c>
      <c r="P1376" s="159"/>
    </row>
    <row r="1377" spans="1:16" hidden="1" x14ac:dyDescent="0.35">
      <c r="A1377" s="146"/>
      <c r="B1377" s="143"/>
      <c r="C1377" s="133"/>
      <c r="D1377" s="133"/>
      <c r="E1377" s="145" t="s">
        <v>1342</v>
      </c>
      <c r="F1377" s="145">
        <v>182</v>
      </c>
      <c r="G1377" s="133" t="s">
        <v>1034</v>
      </c>
      <c r="H1377" s="144" t="s">
        <v>1341</v>
      </c>
      <c r="I1377" s="133" t="s">
        <v>1092</v>
      </c>
      <c r="J1377" s="133" t="s">
        <v>1871</v>
      </c>
      <c r="K1377" s="143">
        <v>45413</v>
      </c>
      <c r="L1377" s="133" t="s">
        <v>1092</v>
      </c>
      <c r="M1377" s="133">
        <v>6837.9</v>
      </c>
      <c r="N1377" s="147"/>
      <c r="P1377" s="159"/>
    </row>
    <row r="1378" spans="1:16" hidden="1" x14ac:dyDescent="0.35">
      <c r="A1378" s="146"/>
      <c r="B1378" s="143"/>
      <c r="C1378" s="133"/>
      <c r="D1378" s="133"/>
      <c r="E1378" s="145" t="s">
        <v>1067</v>
      </c>
      <c r="F1378" s="145">
        <v>6875.9</v>
      </c>
      <c r="G1378" s="133" t="s">
        <v>1034</v>
      </c>
      <c r="H1378" s="144" t="s">
        <v>1341</v>
      </c>
      <c r="I1378" s="133" t="s">
        <v>1092</v>
      </c>
      <c r="J1378" s="133" t="s">
        <v>1874</v>
      </c>
      <c r="K1378" s="143">
        <v>45413</v>
      </c>
      <c r="L1378" s="133" t="s">
        <v>1241</v>
      </c>
      <c r="M1378" s="133">
        <v>220</v>
      </c>
      <c r="N1378" s="147"/>
      <c r="P1378" s="159"/>
    </row>
    <row r="1379" spans="1:16" hidden="1" x14ac:dyDescent="0.35">
      <c r="A1379" s="146"/>
      <c r="B1379" s="143"/>
      <c r="C1379" s="133"/>
      <c r="D1379" s="133"/>
      <c r="E1379" s="145"/>
      <c r="F1379" s="145"/>
      <c r="G1379" s="133"/>
      <c r="H1379" s="144"/>
      <c r="I1379" s="133"/>
      <c r="J1379" s="133"/>
      <c r="K1379" s="133"/>
      <c r="L1379" s="133"/>
      <c r="M1379" s="133"/>
      <c r="N1379" s="147"/>
      <c r="P1379" s="159"/>
    </row>
    <row r="1380" spans="1:16" hidden="1" x14ac:dyDescent="0.35">
      <c r="A1380" s="146">
        <v>30</v>
      </c>
      <c r="B1380" s="143">
        <v>45413</v>
      </c>
      <c r="C1380" s="133" t="s">
        <v>1884</v>
      </c>
      <c r="D1380" s="133" t="s">
        <v>1883</v>
      </c>
      <c r="E1380" s="145" t="s">
        <v>1075</v>
      </c>
      <c r="F1380" s="145">
        <v>1258</v>
      </c>
      <c r="G1380" s="133" t="s">
        <v>1034</v>
      </c>
      <c r="H1380" s="144" t="s">
        <v>1341</v>
      </c>
      <c r="I1380" s="133" t="s">
        <v>1092</v>
      </c>
      <c r="J1380" s="133" t="s">
        <v>1871</v>
      </c>
      <c r="K1380" s="143">
        <v>45413</v>
      </c>
      <c r="L1380" s="133" t="s">
        <v>1092</v>
      </c>
      <c r="M1380" s="133">
        <v>14983.5</v>
      </c>
      <c r="N1380" s="147">
        <f>+F1380+F1381+F1382+F1383-M1380-M1381</f>
        <v>0</v>
      </c>
      <c r="P1380" s="159"/>
    </row>
    <row r="1381" spans="1:16" hidden="1" x14ac:dyDescent="0.35">
      <c r="A1381" s="146"/>
      <c r="B1381" s="143"/>
      <c r="C1381" s="133"/>
      <c r="D1381" s="133"/>
      <c r="E1381" s="145" t="s">
        <v>1342</v>
      </c>
      <c r="F1381" s="145">
        <v>2056</v>
      </c>
      <c r="G1381" s="133" t="s">
        <v>1034</v>
      </c>
      <c r="H1381" s="144" t="s">
        <v>1341</v>
      </c>
      <c r="I1381" s="133" t="s">
        <v>1092</v>
      </c>
      <c r="J1381" s="133" t="s">
        <v>1874</v>
      </c>
      <c r="K1381" s="143">
        <v>45413</v>
      </c>
      <c r="L1381" s="133" t="s">
        <v>1241</v>
      </c>
      <c r="M1381" s="133">
        <v>306</v>
      </c>
      <c r="N1381" s="147"/>
      <c r="P1381" s="159"/>
    </row>
    <row r="1382" spans="1:16" hidden="1" x14ac:dyDescent="0.35">
      <c r="A1382" s="146"/>
      <c r="B1382" s="143"/>
      <c r="C1382" s="133"/>
      <c r="D1382" s="133"/>
      <c r="E1382" s="145" t="s">
        <v>1067</v>
      </c>
      <c r="F1382" s="145">
        <v>6475.5</v>
      </c>
      <c r="G1382" s="133"/>
      <c r="H1382" s="144"/>
      <c r="I1382" s="133"/>
      <c r="J1382" s="133"/>
      <c r="K1382" s="133"/>
      <c r="L1382" s="133"/>
      <c r="M1382" s="133"/>
      <c r="N1382" s="147"/>
      <c r="P1382" s="159"/>
    </row>
    <row r="1383" spans="1:16" hidden="1" x14ac:dyDescent="0.35">
      <c r="A1383" s="146"/>
      <c r="B1383" s="143"/>
      <c r="C1383" s="133"/>
      <c r="D1383" s="133"/>
      <c r="E1383" s="145" t="s">
        <v>1184</v>
      </c>
      <c r="F1383" s="145">
        <v>5500</v>
      </c>
      <c r="G1383" s="133"/>
      <c r="H1383" s="144"/>
      <c r="I1383" s="133"/>
      <c r="J1383" s="133"/>
      <c r="K1383" s="133"/>
      <c r="L1383" s="133"/>
      <c r="M1383" s="133"/>
      <c r="N1383" s="147"/>
      <c r="P1383" s="159"/>
    </row>
    <row r="1384" spans="1:16" hidden="1" x14ac:dyDescent="0.35">
      <c r="A1384" s="146"/>
      <c r="B1384" s="143"/>
      <c r="C1384" s="133"/>
      <c r="D1384" s="133"/>
      <c r="E1384" s="145"/>
      <c r="F1384" s="145"/>
      <c r="G1384" s="133"/>
      <c r="H1384" s="144"/>
      <c r="I1384" s="133"/>
      <c r="J1384" s="133"/>
      <c r="K1384" s="133"/>
      <c r="L1384" s="133"/>
      <c r="M1384" s="133"/>
      <c r="N1384" s="147"/>
      <c r="P1384" s="159"/>
    </row>
    <row r="1385" spans="1:16" hidden="1" x14ac:dyDescent="0.35">
      <c r="A1385" s="146">
        <v>31</v>
      </c>
      <c r="B1385" s="143">
        <v>45413</v>
      </c>
      <c r="C1385" s="133" t="s">
        <v>1882</v>
      </c>
      <c r="D1385" s="133" t="s">
        <v>1881</v>
      </c>
      <c r="E1385" s="145" t="s">
        <v>1064</v>
      </c>
      <c r="F1385" s="145">
        <v>578.1</v>
      </c>
      <c r="G1385" s="133" t="s">
        <v>1034</v>
      </c>
      <c r="H1385" s="144" t="s">
        <v>1341</v>
      </c>
      <c r="I1385" s="133" t="s">
        <v>1092</v>
      </c>
      <c r="J1385" s="133" t="s">
        <v>1871</v>
      </c>
      <c r="K1385" s="143">
        <v>45413</v>
      </c>
      <c r="L1385" s="133" t="s">
        <v>1092</v>
      </c>
      <c r="M1385" s="133">
        <v>8803.9600000000009</v>
      </c>
      <c r="N1385" s="147">
        <f>+F1385+F1386+F1387+F1388-M1385-M1386</f>
        <v>0</v>
      </c>
      <c r="P1385" s="159"/>
    </row>
    <row r="1386" spans="1:16" hidden="1" x14ac:dyDescent="0.35">
      <c r="A1386" s="146"/>
      <c r="B1386" s="143"/>
      <c r="C1386" s="133"/>
      <c r="D1386" s="133"/>
      <c r="E1386" s="145" t="s">
        <v>1075</v>
      </c>
      <c r="F1386" s="145">
        <v>3549.8</v>
      </c>
      <c r="G1386" s="133" t="s">
        <v>1034</v>
      </c>
      <c r="H1386" s="144" t="s">
        <v>1341</v>
      </c>
      <c r="I1386" s="133" t="s">
        <v>1092</v>
      </c>
      <c r="J1386" s="133" t="s">
        <v>1874</v>
      </c>
      <c r="K1386" s="143">
        <v>45413</v>
      </c>
      <c r="L1386" s="133" t="s">
        <v>1241</v>
      </c>
      <c r="M1386" s="133">
        <v>178</v>
      </c>
      <c r="N1386" s="147"/>
      <c r="P1386" s="159"/>
    </row>
    <row r="1387" spans="1:16" hidden="1" x14ac:dyDescent="0.35">
      <c r="A1387" s="146"/>
      <c r="B1387" s="143"/>
      <c r="C1387" s="133"/>
      <c r="D1387" s="133"/>
      <c r="E1387" s="145" t="s">
        <v>1342</v>
      </c>
      <c r="F1387" s="145">
        <v>2371</v>
      </c>
      <c r="G1387" s="133"/>
      <c r="H1387" s="144"/>
      <c r="I1387" s="133"/>
      <c r="J1387" s="133"/>
      <c r="K1387" s="133"/>
      <c r="L1387" s="133"/>
      <c r="M1387" s="133"/>
      <c r="N1387" s="147"/>
      <c r="P1387" s="159"/>
    </row>
    <row r="1388" spans="1:16" hidden="1" x14ac:dyDescent="0.35">
      <c r="A1388" s="146"/>
      <c r="B1388" s="143"/>
      <c r="C1388" s="133"/>
      <c r="D1388" s="133"/>
      <c r="E1388" s="145" t="s">
        <v>1067</v>
      </c>
      <c r="F1388" s="145">
        <v>2483.06</v>
      </c>
      <c r="G1388" s="133"/>
      <c r="H1388" s="144"/>
      <c r="I1388" s="133"/>
      <c r="J1388" s="133"/>
      <c r="K1388" s="133"/>
      <c r="L1388" s="133"/>
      <c r="M1388" s="133"/>
      <c r="N1388" s="147"/>
      <c r="P1388" s="159"/>
    </row>
    <row r="1389" spans="1:16" hidden="1" x14ac:dyDescent="0.35">
      <c r="A1389" s="146"/>
      <c r="B1389" s="143"/>
      <c r="C1389" s="133"/>
      <c r="D1389" s="133"/>
      <c r="E1389" s="145"/>
      <c r="F1389" s="145"/>
      <c r="G1389" s="133"/>
      <c r="H1389" s="144"/>
      <c r="I1389" s="133"/>
      <c r="J1389" s="133"/>
      <c r="K1389" s="133"/>
      <c r="L1389" s="133"/>
      <c r="M1389" s="133"/>
      <c r="N1389" s="147"/>
      <c r="P1389" s="159"/>
    </row>
    <row r="1390" spans="1:16" hidden="1" x14ac:dyDescent="0.35">
      <c r="A1390" s="146">
        <v>32</v>
      </c>
      <c r="B1390" s="143">
        <v>45413</v>
      </c>
      <c r="C1390" s="133" t="s">
        <v>1880</v>
      </c>
      <c r="D1390" s="133" t="s">
        <v>1879</v>
      </c>
      <c r="E1390" s="145" t="s">
        <v>1064</v>
      </c>
      <c r="F1390" s="145">
        <v>725.1</v>
      </c>
      <c r="G1390" s="133" t="s">
        <v>1034</v>
      </c>
      <c r="H1390" s="144" t="s">
        <v>1341</v>
      </c>
      <c r="I1390" s="133" t="s">
        <v>1092</v>
      </c>
      <c r="J1390" s="133" t="s">
        <v>1871</v>
      </c>
      <c r="K1390" s="143">
        <v>45413</v>
      </c>
      <c r="L1390" s="133" t="s">
        <v>1092</v>
      </c>
      <c r="M1390" s="133">
        <v>5965.1</v>
      </c>
      <c r="N1390" s="147">
        <f>+F1390+F1391-M1390-M1391</f>
        <v>0</v>
      </c>
      <c r="P1390" s="159"/>
    </row>
    <row r="1391" spans="1:16" hidden="1" x14ac:dyDescent="0.35">
      <c r="A1391" s="146"/>
      <c r="B1391" s="143"/>
      <c r="C1391" s="133"/>
      <c r="D1391" s="133"/>
      <c r="E1391" s="145" t="s">
        <v>1075</v>
      </c>
      <c r="F1391" s="145">
        <v>5363</v>
      </c>
      <c r="G1391" s="133" t="s">
        <v>1034</v>
      </c>
      <c r="H1391" s="144" t="s">
        <v>1341</v>
      </c>
      <c r="I1391" s="133" t="s">
        <v>1092</v>
      </c>
      <c r="J1391" s="133" t="s">
        <v>1874</v>
      </c>
      <c r="K1391" s="143">
        <v>45413</v>
      </c>
      <c r="L1391" s="133" t="s">
        <v>1241</v>
      </c>
      <c r="M1391" s="133">
        <v>123</v>
      </c>
      <c r="N1391" s="147"/>
      <c r="P1391" s="140"/>
    </row>
    <row r="1392" spans="1:16" hidden="1" x14ac:dyDescent="0.35">
      <c r="A1392" s="146"/>
      <c r="B1392" s="143"/>
      <c r="C1392" s="133"/>
      <c r="D1392" s="133"/>
      <c r="E1392" s="145"/>
      <c r="F1392" s="145"/>
      <c r="G1392" s="133"/>
      <c r="H1392" s="144"/>
      <c r="I1392" s="133"/>
      <c r="J1392" s="133"/>
      <c r="K1392" s="133"/>
      <c r="L1392" s="133"/>
      <c r="M1392" s="133"/>
      <c r="N1392" s="142"/>
      <c r="P1392" s="140"/>
    </row>
    <row r="1393" spans="1:16" hidden="1" x14ac:dyDescent="0.35">
      <c r="A1393" s="146">
        <v>33</v>
      </c>
      <c r="B1393" s="143">
        <v>45413</v>
      </c>
      <c r="C1393" s="133" t="s">
        <v>1878</v>
      </c>
      <c r="D1393" s="133" t="s">
        <v>1877</v>
      </c>
      <c r="E1393" s="145" t="s">
        <v>1075</v>
      </c>
      <c r="F1393" s="145">
        <v>5937</v>
      </c>
      <c r="G1393" s="133" t="s">
        <v>1034</v>
      </c>
      <c r="H1393" s="144" t="s">
        <v>1341</v>
      </c>
      <c r="I1393" s="133" t="s">
        <v>1092</v>
      </c>
      <c r="J1393" s="133" t="s">
        <v>1864</v>
      </c>
      <c r="K1393" s="143">
        <v>45444</v>
      </c>
      <c r="L1393" s="133" t="s">
        <v>1092</v>
      </c>
      <c r="M1393" s="133">
        <v>12914</v>
      </c>
      <c r="N1393" s="147">
        <f>+F1393+F1394+F1395+F1396-M1393-M1394</f>
        <v>0</v>
      </c>
      <c r="P1393" s="159"/>
    </row>
    <row r="1394" spans="1:16" hidden="1" x14ac:dyDescent="0.35">
      <c r="A1394" s="146"/>
      <c r="B1394" s="143"/>
      <c r="C1394" s="133"/>
      <c r="D1394" s="133"/>
      <c r="E1394" s="145" t="s">
        <v>1342</v>
      </c>
      <c r="F1394" s="145">
        <v>4179</v>
      </c>
      <c r="G1394" s="133" t="s">
        <v>1034</v>
      </c>
      <c r="H1394" s="144" t="s">
        <v>1341</v>
      </c>
      <c r="I1394" s="133" t="s">
        <v>1092</v>
      </c>
      <c r="J1394" s="133" t="s">
        <v>1810</v>
      </c>
      <c r="K1394" s="143">
        <v>45474</v>
      </c>
      <c r="L1394" s="133" t="s">
        <v>1241</v>
      </c>
      <c r="M1394" s="133">
        <v>265</v>
      </c>
      <c r="N1394" s="147"/>
      <c r="P1394" s="159"/>
    </row>
    <row r="1395" spans="1:16" hidden="1" x14ac:dyDescent="0.35">
      <c r="A1395" s="146"/>
      <c r="B1395" s="143"/>
      <c r="C1395" s="133"/>
      <c r="D1395" s="133"/>
      <c r="E1395" s="145" t="s">
        <v>1067</v>
      </c>
      <c r="F1395" s="145">
        <v>563</v>
      </c>
      <c r="G1395" s="133"/>
      <c r="H1395" s="144"/>
      <c r="I1395" s="133"/>
      <c r="J1395" s="133"/>
      <c r="K1395" s="133"/>
      <c r="L1395" s="133"/>
      <c r="M1395" s="133"/>
      <c r="N1395" s="147"/>
      <c r="P1395" s="159"/>
    </row>
    <row r="1396" spans="1:16" hidden="1" x14ac:dyDescent="0.35">
      <c r="A1396" s="146"/>
      <c r="B1396" s="143"/>
      <c r="C1396" s="133"/>
      <c r="D1396" s="133"/>
      <c r="E1396" s="145" t="s">
        <v>1184</v>
      </c>
      <c r="F1396" s="145">
        <v>2500</v>
      </c>
      <c r="G1396" s="133"/>
      <c r="H1396" s="144"/>
      <c r="I1396" s="133"/>
      <c r="J1396" s="133"/>
      <c r="K1396" s="133"/>
      <c r="L1396" s="133"/>
      <c r="M1396" s="133"/>
      <c r="N1396" s="147"/>
      <c r="P1396" s="159"/>
    </row>
    <row r="1397" spans="1:16" hidden="1" x14ac:dyDescent="0.35">
      <c r="A1397" s="146"/>
      <c r="B1397" s="143"/>
      <c r="C1397" s="133"/>
      <c r="D1397" s="133"/>
      <c r="E1397" s="145"/>
      <c r="F1397" s="145"/>
      <c r="G1397" s="133"/>
      <c r="H1397" s="144"/>
      <c r="I1397" s="133"/>
      <c r="J1397" s="133"/>
      <c r="K1397" s="133"/>
      <c r="L1397" s="133"/>
      <c r="M1397" s="133"/>
      <c r="N1397" s="147"/>
      <c r="P1397" s="159"/>
    </row>
    <row r="1398" spans="1:16" hidden="1" x14ac:dyDescent="0.35">
      <c r="A1398" s="146">
        <v>34</v>
      </c>
      <c r="B1398" s="143">
        <v>45413</v>
      </c>
      <c r="C1398" s="133" t="s">
        <v>1876</v>
      </c>
      <c r="D1398" s="133" t="s">
        <v>1875</v>
      </c>
      <c r="E1398" s="148" t="s">
        <v>1059</v>
      </c>
      <c r="F1398" s="145">
        <v>49500</v>
      </c>
      <c r="G1398" s="133" t="s">
        <v>1034</v>
      </c>
      <c r="H1398" s="144" t="s">
        <v>1341</v>
      </c>
      <c r="I1398" s="133" t="s">
        <v>1092</v>
      </c>
      <c r="J1398" s="133" t="s">
        <v>1871</v>
      </c>
      <c r="K1398" s="143">
        <v>45413</v>
      </c>
      <c r="L1398" s="133" t="s">
        <v>1092</v>
      </c>
      <c r="M1398" s="133">
        <v>27198.44</v>
      </c>
      <c r="N1398" s="147">
        <f>+F1398-M1398-M1399-M1400</f>
        <v>0</v>
      </c>
      <c r="P1398" s="159"/>
    </row>
    <row r="1399" spans="1:16" hidden="1" x14ac:dyDescent="0.35">
      <c r="A1399" s="146"/>
      <c r="B1399" s="143"/>
      <c r="C1399" s="133"/>
      <c r="D1399" s="133"/>
      <c r="E1399" s="148"/>
      <c r="F1399" s="145"/>
      <c r="G1399" s="133" t="s">
        <v>1034</v>
      </c>
      <c r="H1399" s="144" t="s">
        <v>1341</v>
      </c>
      <c r="I1399" s="133" t="s">
        <v>1092</v>
      </c>
      <c r="J1399" s="133" t="s">
        <v>1874</v>
      </c>
      <c r="K1399" s="143">
        <v>45413</v>
      </c>
      <c r="L1399" s="133" t="s">
        <v>1241</v>
      </c>
      <c r="M1399" s="133">
        <v>987</v>
      </c>
      <c r="N1399" s="147"/>
      <c r="P1399" s="140"/>
    </row>
    <row r="1400" spans="1:16" hidden="1" x14ac:dyDescent="0.35">
      <c r="A1400" s="146"/>
      <c r="B1400" s="143"/>
      <c r="C1400" s="133"/>
      <c r="D1400" s="133"/>
      <c r="E1400" s="148"/>
      <c r="F1400" s="145"/>
      <c r="G1400" s="133"/>
      <c r="H1400" s="144"/>
      <c r="I1400" s="133"/>
      <c r="J1400" s="133" t="s">
        <v>1864</v>
      </c>
      <c r="K1400" s="143">
        <v>45444</v>
      </c>
      <c r="L1400" s="133" t="s">
        <v>1092</v>
      </c>
      <c r="M1400" s="133">
        <v>21314.560000000001</v>
      </c>
      <c r="N1400" s="147"/>
      <c r="P1400" s="140"/>
    </row>
    <row r="1401" spans="1:16" hidden="1" x14ac:dyDescent="0.35">
      <c r="A1401" s="146"/>
      <c r="B1401" s="143"/>
      <c r="C1401" s="133"/>
      <c r="D1401" s="133"/>
      <c r="E1401" s="148"/>
      <c r="F1401" s="145"/>
      <c r="G1401" s="133"/>
      <c r="H1401" s="144"/>
      <c r="I1401" s="133"/>
      <c r="J1401" s="133"/>
      <c r="K1401" s="143"/>
      <c r="L1401" s="133"/>
      <c r="M1401" s="133"/>
      <c r="N1401" s="147"/>
      <c r="P1401" s="140"/>
    </row>
    <row r="1402" spans="1:16" hidden="1" x14ac:dyDescent="0.35">
      <c r="A1402" s="146"/>
      <c r="B1402" s="143"/>
      <c r="C1402" s="133"/>
      <c r="D1402" s="133"/>
      <c r="E1402" s="145"/>
      <c r="F1402" s="145"/>
      <c r="G1402" s="133"/>
      <c r="H1402" s="144"/>
      <c r="I1402" s="133"/>
      <c r="J1402" s="133"/>
      <c r="K1402" s="133"/>
      <c r="L1402" s="133"/>
      <c r="M1402" s="133"/>
      <c r="N1402" s="147"/>
      <c r="P1402" s="140"/>
    </row>
    <row r="1403" spans="1:16" hidden="1" x14ac:dyDescent="0.35">
      <c r="A1403" s="146">
        <v>35</v>
      </c>
      <c r="B1403" s="143">
        <v>45413</v>
      </c>
      <c r="C1403" s="133" t="s">
        <v>1873</v>
      </c>
      <c r="D1403" s="133" t="s">
        <v>1872</v>
      </c>
      <c r="E1403" s="145" t="s">
        <v>1075</v>
      </c>
      <c r="F1403" s="145">
        <v>7232.7</v>
      </c>
      <c r="G1403" s="133" t="s">
        <v>1034</v>
      </c>
      <c r="H1403" s="144" t="s">
        <v>1341</v>
      </c>
      <c r="I1403" s="133" t="s">
        <v>1092</v>
      </c>
      <c r="J1403" s="133" t="s">
        <v>1871</v>
      </c>
      <c r="K1403" s="143">
        <v>45413</v>
      </c>
      <c r="L1403" s="133" t="s">
        <v>1092</v>
      </c>
      <c r="M1403" s="133">
        <v>1231.0999999999999</v>
      </c>
      <c r="N1403" s="147">
        <f>+F1403+F1404+F1405+F1406+F1407-M1403-M1404-M1405</f>
        <v>0</v>
      </c>
      <c r="P1403" s="159"/>
    </row>
    <row r="1404" spans="1:16" hidden="1" x14ac:dyDescent="0.35">
      <c r="A1404" s="146"/>
      <c r="B1404" s="143"/>
      <c r="C1404" s="133"/>
      <c r="D1404" s="133"/>
      <c r="E1404" s="145" t="s">
        <v>1342</v>
      </c>
      <c r="F1404" s="145">
        <v>2606</v>
      </c>
      <c r="G1404" s="133" t="s">
        <v>1034</v>
      </c>
      <c r="H1404" s="144" t="s">
        <v>1341</v>
      </c>
      <c r="I1404" s="133" t="s">
        <v>1092</v>
      </c>
      <c r="J1404" s="133" t="s">
        <v>1864</v>
      </c>
      <c r="K1404" s="143">
        <v>45444</v>
      </c>
      <c r="L1404" s="133" t="s">
        <v>1092</v>
      </c>
      <c r="M1404" s="133">
        <v>12992.400000000001</v>
      </c>
      <c r="N1404" s="147"/>
      <c r="P1404" s="140"/>
    </row>
    <row r="1405" spans="1:16" hidden="1" x14ac:dyDescent="0.35">
      <c r="A1405" s="146"/>
      <c r="B1405" s="143"/>
      <c r="C1405" s="133"/>
      <c r="D1405" s="133"/>
      <c r="E1405" s="145" t="s">
        <v>1067</v>
      </c>
      <c r="F1405" s="145">
        <v>2260</v>
      </c>
      <c r="G1405" s="133" t="s">
        <v>1034</v>
      </c>
      <c r="H1405" s="144" t="s">
        <v>1341</v>
      </c>
      <c r="I1405" s="133" t="s">
        <v>1092</v>
      </c>
      <c r="J1405" s="133" t="s">
        <v>1810</v>
      </c>
      <c r="K1405" s="143">
        <v>45474</v>
      </c>
      <c r="L1405" s="133" t="s">
        <v>1241</v>
      </c>
      <c r="M1405" s="133">
        <v>292</v>
      </c>
      <c r="N1405" s="147"/>
      <c r="P1405" s="140"/>
    </row>
    <row r="1406" spans="1:16" hidden="1" x14ac:dyDescent="0.35">
      <c r="A1406" s="146"/>
      <c r="B1406" s="143"/>
      <c r="C1406" s="133"/>
      <c r="D1406" s="133"/>
      <c r="E1406" s="145" t="s">
        <v>1064</v>
      </c>
      <c r="F1406" s="145">
        <v>1185.7</v>
      </c>
      <c r="G1406" s="133"/>
      <c r="H1406" s="144"/>
      <c r="I1406" s="133"/>
      <c r="J1406" s="133"/>
      <c r="K1406" s="133"/>
      <c r="L1406" s="133"/>
      <c r="M1406" s="133"/>
      <c r="N1406" s="147"/>
      <c r="P1406" s="140"/>
    </row>
    <row r="1407" spans="1:16" hidden="1" x14ac:dyDescent="0.35">
      <c r="A1407" s="146"/>
      <c r="B1407" s="143"/>
      <c r="C1407" s="133"/>
      <c r="D1407" s="133"/>
      <c r="E1407" s="145" t="s">
        <v>1118</v>
      </c>
      <c r="F1407" s="193">
        <v>1231.0999999999999</v>
      </c>
      <c r="G1407" s="133"/>
      <c r="H1407" s="144"/>
      <c r="I1407" s="133"/>
      <c r="J1407" s="133"/>
      <c r="K1407" s="133"/>
      <c r="L1407" s="133"/>
      <c r="M1407" s="133"/>
      <c r="N1407" s="147"/>
      <c r="P1407" s="140"/>
    </row>
    <row r="1408" spans="1:16" hidden="1" x14ac:dyDescent="0.35">
      <c r="A1408" s="146"/>
      <c r="B1408" s="143"/>
      <c r="C1408" s="133"/>
      <c r="D1408" s="133"/>
      <c r="E1408" s="145"/>
      <c r="F1408" s="145"/>
      <c r="G1408" s="133"/>
      <c r="H1408" s="144"/>
      <c r="I1408" s="133"/>
      <c r="J1408" s="133"/>
      <c r="K1408" s="133"/>
      <c r="L1408" s="133"/>
      <c r="M1408" s="133"/>
      <c r="N1408" s="147"/>
      <c r="P1408" s="140"/>
    </row>
    <row r="1409" spans="1:16" hidden="1" x14ac:dyDescent="0.35">
      <c r="A1409" s="146">
        <v>36</v>
      </c>
      <c r="B1409" s="143">
        <v>45413</v>
      </c>
      <c r="C1409" s="133" t="s">
        <v>1870</v>
      </c>
      <c r="D1409" s="133" t="s">
        <v>1869</v>
      </c>
      <c r="E1409" s="145" t="s">
        <v>1067</v>
      </c>
      <c r="F1409" s="145">
        <v>472</v>
      </c>
      <c r="G1409" s="133" t="s">
        <v>1034</v>
      </c>
      <c r="H1409" s="144" t="s">
        <v>1341</v>
      </c>
      <c r="I1409" s="133" t="s">
        <v>1092</v>
      </c>
      <c r="J1409" s="133" t="s">
        <v>1864</v>
      </c>
      <c r="K1409" s="143">
        <v>45444</v>
      </c>
      <c r="L1409" s="133" t="s">
        <v>1092</v>
      </c>
      <c r="M1409" s="133">
        <v>2525.9</v>
      </c>
      <c r="N1409" s="147">
        <f>+F1409+F1410-M1409-M1410</f>
        <v>0</v>
      </c>
      <c r="P1409" s="159"/>
    </row>
    <row r="1410" spans="1:16" hidden="1" x14ac:dyDescent="0.35">
      <c r="A1410" s="146"/>
      <c r="B1410" s="143"/>
      <c r="C1410" s="133"/>
      <c r="D1410" s="133"/>
      <c r="E1410" s="145" t="s">
        <v>1118</v>
      </c>
      <c r="F1410" s="145">
        <v>2105.9</v>
      </c>
      <c r="G1410" s="133" t="s">
        <v>1034</v>
      </c>
      <c r="H1410" s="144" t="s">
        <v>1341</v>
      </c>
      <c r="I1410" s="133" t="s">
        <v>1092</v>
      </c>
      <c r="J1410" s="133" t="s">
        <v>1810</v>
      </c>
      <c r="K1410" s="143">
        <v>45474</v>
      </c>
      <c r="L1410" s="133" t="s">
        <v>1241</v>
      </c>
      <c r="M1410" s="133">
        <v>52</v>
      </c>
      <c r="N1410" s="147"/>
      <c r="P1410" s="140"/>
    </row>
    <row r="1411" spans="1:16" hidden="1" x14ac:dyDescent="0.35">
      <c r="A1411" s="146"/>
      <c r="B1411" s="143"/>
      <c r="C1411" s="133"/>
      <c r="D1411" s="133"/>
      <c r="E1411" s="145"/>
      <c r="F1411" s="145"/>
      <c r="G1411" s="133"/>
      <c r="H1411" s="144"/>
      <c r="I1411" s="133"/>
      <c r="J1411" s="133"/>
      <c r="K1411" s="133"/>
      <c r="L1411" s="133"/>
      <c r="M1411" s="133"/>
      <c r="N1411" s="147"/>
      <c r="P1411" s="140"/>
    </row>
    <row r="1412" spans="1:16" hidden="1" x14ac:dyDescent="0.35">
      <c r="A1412" s="146">
        <v>37</v>
      </c>
      <c r="B1412" s="143">
        <v>45413</v>
      </c>
      <c r="C1412" s="133" t="s">
        <v>1868</v>
      </c>
      <c r="D1412" s="133" t="s">
        <v>1867</v>
      </c>
      <c r="E1412" s="145" t="s">
        <v>1075</v>
      </c>
      <c r="F1412" s="145">
        <v>4679.2</v>
      </c>
      <c r="G1412" s="133" t="s">
        <v>1034</v>
      </c>
      <c r="H1412" s="144" t="s">
        <v>1341</v>
      </c>
      <c r="I1412" s="133" t="s">
        <v>1092</v>
      </c>
      <c r="J1412" s="133" t="s">
        <v>1864</v>
      </c>
      <c r="K1412" s="143">
        <v>45444</v>
      </c>
      <c r="L1412" s="133" t="s">
        <v>1092</v>
      </c>
      <c r="M1412" s="133">
        <v>14554.98</v>
      </c>
      <c r="N1412" s="147">
        <f>+F1412+F1413+F1414+F1415+F1416-M1412-M1413</f>
        <v>0</v>
      </c>
      <c r="P1412" s="159"/>
    </row>
    <row r="1413" spans="1:16" hidden="1" x14ac:dyDescent="0.35">
      <c r="A1413" s="146"/>
      <c r="B1413" s="143"/>
      <c r="C1413" s="133"/>
      <c r="D1413" s="133"/>
      <c r="E1413" s="145" t="s">
        <v>1342</v>
      </c>
      <c r="F1413" s="145">
        <v>1715</v>
      </c>
      <c r="G1413" s="133" t="s">
        <v>1034</v>
      </c>
      <c r="H1413" s="144" t="s">
        <v>1341</v>
      </c>
      <c r="I1413" s="133" t="s">
        <v>1092</v>
      </c>
      <c r="J1413" s="133" t="s">
        <v>1810</v>
      </c>
      <c r="K1413" s="143">
        <v>45474</v>
      </c>
      <c r="L1413" s="133" t="s">
        <v>1241</v>
      </c>
      <c r="M1413" s="133">
        <v>296</v>
      </c>
      <c r="N1413" s="147"/>
      <c r="P1413" s="140"/>
    </row>
    <row r="1414" spans="1:16" hidden="1" x14ac:dyDescent="0.35">
      <c r="A1414" s="146"/>
      <c r="B1414" s="143"/>
      <c r="C1414" s="133"/>
      <c r="D1414" s="133"/>
      <c r="E1414" s="145" t="s">
        <v>1067</v>
      </c>
      <c r="F1414" s="145">
        <v>2053.1999999999998</v>
      </c>
      <c r="G1414" s="133"/>
      <c r="H1414" s="144"/>
      <c r="I1414" s="133"/>
      <c r="J1414" s="133"/>
      <c r="K1414" s="133"/>
      <c r="L1414" s="133"/>
      <c r="M1414" s="133"/>
      <c r="N1414" s="147"/>
      <c r="P1414" s="140"/>
    </row>
    <row r="1415" spans="1:16" hidden="1" x14ac:dyDescent="0.35">
      <c r="A1415" s="146"/>
      <c r="B1415" s="143"/>
      <c r="C1415" s="133"/>
      <c r="D1415" s="133"/>
      <c r="E1415" s="145" t="s">
        <v>1064</v>
      </c>
      <c r="F1415" s="145">
        <v>941.5</v>
      </c>
      <c r="G1415" s="133"/>
      <c r="H1415" s="144"/>
      <c r="I1415" s="133"/>
      <c r="J1415" s="133"/>
      <c r="K1415" s="133"/>
      <c r="L1415" s="133"/>
      <c r="M1415" s="133"/>
      <c r="N1415" s="147"/>
      <c r="P1415" s="140"/>
    </row>
    <row r="1416" spans="1:16" hidden="1" x14ac:dyDescent="0.35">
      <c r="A1416" s="146"/>
      <c r="B1416" s="143"/>
      <c r="C1416" s="133"/>
      <c r="D1416" s="133"/>
      <c r="E1416" s="145" t="s">
        <v>1118</v>
      </c>
      <c r="F1416" s="145">
        <v>5462.08</v>
      </c>
      <c r="G1416" s="133"/>
      <c r="H1416" s="144"/>
      <c r="I1416" s="133"/>
      <c r="J1416" s="133"/>
      <c r="K1416" s="133"/>
      <c r="L1416" s="133"/>
      <c r="M1416" s="133"/>
      <c r="N1416" s="147"/>
      <c r="P1416" s="140"/>
    </row>
    <row r="1417" spans="1:16" hidden="1" x14ac:dyDescent="0.35">
      <c r="A1417" s="146"/>
      <c r="B1417" s="143"/>
      <c r="C1417" s="133"/>
      <c r="D1417" s="133"/>
      <c r="E1417" s="145"/>
      <c r="F1417" s="145"/>
      <c r="G1417" s="133"/>
      <c r="H1417" s="144"/>
      <c r="I1417" s="133"/>
      <c r="J1417" s="133"/>
      <c r="K1417" s="133"/>
      <c r="L1417" s="133"/>
      <c r="M1417" s="133"/>
      <c r="N1417" s="147"/>
      <c r="P1417" s="140"/>
    </row>
    <row r="1418" spans="1:16" hidden="1" x14ac:dyDescent="0.35">
      <c r="A1418" s="146">
        <v>38</v>
      </c>
      <c r="B1418" s="143">
        <v>45413</v>
      </c>
      <c r="C1418" s="133" t="s">
        <v>1866</v>
      </c>
      <c r="D1418" s="133" t="s">
        <v>1865</v>
      </c>
      <c r="E1418" s="145" t="s">
        <v>1075</v>
      </c>
      <c r="F1418" s="145">
        <v>6594</v>
      </c>
      <c r="G1418" s="133" t="s">
        <v>1034</v>
      </c>
      <c r="H1418" s="144" t="s">
        <v>1341</v>
      </c>
      <c r="I1418" s="133" t="s">
        <v>1092</v>
      </c>
      <c r="J1418" s="133" t="s">
        <v>1864</v>
      </c>
      <c r="K1418" s="143">
        <v>45444</v>
      </c>
      <c r="L1418" s="133" t="s">
        <v>1092</v>
      </c>
      <c r="M1418" s="133">
        <v>6461</v>
      </c>
      <c r="N1418" s="147">
        <f>+F1418-M1418-M1419</f>
        <v>0</v>
      </c>
      <c r="P1418" s="159"/>
    </row>
    <row r="1419" spans="1:16" hidden="1" x14ac:dyDescent="0.35">
      <c r="A1419" s="146"/>
      <c r="B1419" s="143"/>
      <c r="C1419" s="133"/>
      <c r="D1419" s="133"/>
      <c r="E1419" s="145"/>
      <c r="F1419" s="145"/>
      <c r="G1419" s="133" t="s">
        <v>1034</v>
      </c>
      <c r="H1419" s="144" t="s">
        <v>1341</v>
      </c>
      <c r="I1419" s="133" t="s">
        <v>1092</v>
      </c>
      <c r="J1419" s="133" t="s">
        <v>1810</v>
      </c>
      <c r="K1419" s="143">
        <v>45474</v>
      </c>
      <c r="L1419" s="133" t="s">
        <v>1241</v>
      </c>
      <c r="M1419" s="133">
        <v>133</v>
      </c>
      <c r="N1419" s="147"/>
      <c r="P1419" s="159"/>
    </row>
    <row r="1420" spans="1:16" hidden="1" x14ac:dyDescent="0.35">
      <c r="A1420" s="146"/>
      <c r="B1420" s="143"/>
      <c r="C1420" s="133"/>
      <c r="D1420" s="133"/>
      <c r="E1420" s="145"/>
      <c r="F1420" s="145"/>
      <c r="G1420" s="133"/>
      <c r="H1420" s="144"/>
      <c r="I1420" s="133"/>
      <c r="J1420" s="133"/>
      <c r="K1420" s="133"/>
      <c r="L1420" s="133"/>
      <c r="M1420" s="133"/>
      <c r="N1420" s="147"/>
      <c r="P1420" s="140"/>
    </row>
    <row r="1421" spans="1:16" hidden="1" x14ac:dyDescent="0.35">
      <c r="A1421" s="146">
        <v>39</v>
      </c>
      <c r="B1421" s="143">
        <v>45413</v>
      </c>
      <c r="C1421" s="133" t="s">
        <v>1863</v>
      </c>
      <c r="D1421" s="133" t="s">
        <v>1862</v>
      </c>
      <c r="E1421" s="148" t="s">
        <v>1059</v>
      </c>
      <c r="F1421" s="145">
        <v>99000</v>
      </c>
      <c r="G1421" s="133" t="s">
        <v>1034</v>
      </c>
      <c r="H1421" s="144" t="s">
        <v>1341</v>
      </c>
      <c r="I1421" s="133" t="s">
        <v>1092</v>
      </c>
      <c r="J1421" s="133" t="s">
        <v>1861</v>
      </c>
      <c r="K1421" s="143">
        <v>45413</v>
      </c>
      <c r="L1421" s="133" t="s">
        <v>1092</v>
      </c>
      <c r="M1421" s="133">
        <v>12803</v>
      </c>
      <c r="N1421" s="147">
        <f>+F1421-M1421-M1422-M1423-M1424-M1425</f>
        <v>0</v>
      </c>
      <c r="P1421" s="140"/>
    </row>
    <row r="1422" spans="1:16" hidden="1" x14ac:dyDescent="0.35">
      <c r="A1422" s="146"/>
      <c r="B1422" s="143"/>
      <c r="C1422" s="133"/>
      <c r="D1422" s="133"/>
      <c r="E1422" s="148"/>
      <c r="F1422" s="145"/>
      <c r="G1422" s="133" t="s">
        <v>1034</v>
      </c>
      <c r="H1422" s="144" t="s">
        <v>1341</v>
      </c>
      <c r="I1422" s="133" t="s">
        <v>1092</v>
      </c>
      <c r="J1422" s="133" t="s">
        <v>1838</v>
      </c>
      <c r="K1422" s="143">
        <v>45444</v>
      </c>
      <c r="L1422" s="133" t="s">
        <v>1092</v>
      </c>
      <c r="M1422" s="133">
        <v>44697.8</v>
      </c>
      <c r="N1422" s="147"/>
      <c r="P1422" s="140"/>
    </row>
    <row r="1423" spans="1:16" hidden="1" x14ac:dyDescent="0.35">
      <c r="A1423" s="146"/>
      <c r="B1423" s="143"/>
      <c r="C1423" s="133"/>
      <c r="D1423" s="133"/>
      <c r="E1423" s="148"/>
      <c r="F1423" s="145"/>
      <c r="G1423" s="133" t="s">
        <v>1034</v>
      </c>
      <c r="H1423" s="144" t="s">
        <v>1341</v>
      </c>
      <c r="I1423" s="133" t="s">
        <v>1092</v>
      </c>
      <c r="J1423" s="133" t="s">
        <v>1860</v>
      </c>
      <c r="K1423" s="143">
        <v>45444</v>
      </c>
      <c r="L1423" s="133" t="s">
        <v>1092</v>
      </c>
      <c r="M1423" s="133">
        <v>7154.3</v>
      </c>
      <c r="N1423" s="147"/>
      <c r="P1423" s="140"/>
    </row>
    <row r="1424" spans="1:16" hidden="1" x14ac:dyDescent="0.35">
      <c r="A1424" s="146"/>
      <c r="B1424" s="143"/>
      <c r="C1424" s="133"/>
      <c r="D1424" s="133"/>
      <c r="E1424" s="148"/>
      <c r="F1424" s="145"/>
      <c r="G1424" s="133" t="s">
        <v>1034</v>
      </c>
      <c r="H1424" s="144" t="s">
        <v>1341</v>
      </c>
      <c r="I1424" s="133" t="s">
        <v>1092</v>
      </c>
      <c r="J1424" s="133" t="s">
        <v>1833</v>
      </c>
      <c r="K1424" s="143">
        <v>45444</v>
      </c>
      <c r="L1424" s="133" t="s">
        <v>1092</v>
      </c>
      <c r="M1424" s="133">
        <v>32362.899999999994</v>
      </c>
      <c r="N1424" s="147"/>
      <c r="P1424" s="140"/>
    </row>
    <row r="1425" spans="1:16" hidden="1" x14ac:dyDescent="0.35">
      <c r="A1425" s="146"/>
      <c r="B1425" s="143"/>
      <c r="C1425" s="133"/>
      <c r="D1425" s="133"/>
      <c r="E1425" s="148"/>
      <c r="F1425" s="145"/>
      <c r="G1425" s="133" t="s">
        <v>1034</v>
      </c>
      <c r="H1425" s="144" t="s">
        <v>1341</v>
      </c>
      <c r="I1425" s="133" t="s">
        <v>1092</v>
      </c>
      <c r="J1425" s="133" t="s">
        <v>1810</v>
      </c>
      <c r="K1425" s="143">
        <v>45474</v>
      </c>
      <c r="L1425" s="133" t="s">
        <v>1241</v>
      </c>
      <c r="M1425" s="133">
        <v>1982</v>
      </c>
      <c r="N1425" s="147"/>
      <c r="P1425" s="140"/>
    </row>
    <row r="1426" spans="1:16" hidden="1" x14ac:dyDescent="0.35">
      <c r="A1426" s="146"/>
      <c r="B1426" s="143"/>
      <c r="C1426" s="133"/>
      <c r="D1426" s="133"/>
      <c r="E1426" s="145"/>
      <c r="F1426" s="145"/>
      <c r="G1426" s="133"/>
      <c r="H1426" s="144"/>
      <c r="I1426" s="133"/>
      <c r="J1426" s="133"/>
      <c r="K1426" s="133"/>
      <c r="L1426" s="133"/>
      <c r="M1426" s="133"/>
      <c r="N1426" s="147"/>
      <c r="P1426" s="140"/>
    </row>
    <row r="1427" spans="1:16" hidden="1" x14ac:dyDescent="0.35">
      <c r="A1427" s="146">
        <v>40</v>
      </c>
      <c r="B1427" s="143">
        <v>45413</v>
      </c>
      <c r="C1427" s="133" t="s">
        <v>1859</v>
      </c>
      <c r="D1427" s="133" t="s">
        <v>1858</v>
      </c>
      <c r="E1427" s="145" t="s">
        <v>1075</v>
      </c>
      <c r="F1427" s="145">
        <v>2595.4</v>
      </c>
      <c r="G1427" s="133" t="s">
        <v>1034</v>
      </c>
      <c r="H1427" s="144" t="s">
        <v>1341</v>
      </c>
      <c r="I1427" s="133" t="s">
        <v>1092</v>
      </c>
      <c r="J1427" s="133" t="s">
        <v>1838</v>
      </c>
      <c r="K1427" s="143">
        <v>45444</v>
      </c>
      <c r="L1427" s="133" t="s">
        <v>1092</v>
      </c>
      <c r="M1427" s="133">
        <v>7266.7999999999993</v>
      </c>
      <c r="N1427" s="147">
        <f>+F1427+F1428+F1429+F1430+F1431-M1427-M1428</f>
        <v>0</v>
      </c>
      <c r="P1427" s="140"/>
    </row>
    <row r="1428" spans="1:16" hidden="1" x14ac:dyDescent="0.35">
      <c r="A1428" s="146"/>
      <c r="B1428" s="143"/>
      <c r="C1428" s="133"/>
      <c r="D1428" s="133"/>
      <c r="E1428" s="145" t="s">
        <v>1342</v>
      </c>
      <c r="F1428" s="145">
        <v>2634</v>
      </c>
      <c r="G1428" s="133" t="s">
        <v>1034</v>
      </c>
      <c r="H1428" s="144" t="s">
        <v>1341</v>
      </c>
      <c r="I1428" s="133" t="s">
        <v>1092</v>
      </c>
      <c r="J1428" s="133" t="s">
        <v>1810</v>
      </c>
      <c r="K1428" s="143">
        <v>45474</v>
      </c>
      <c r="L1428" s="133" t="s">
        <v>1241</v>
      </c>
      <c r="M1428" s="133">
        <v>149</v>
      </c>
      <c r="N1428" s="147"/>
      <c r="P1428" s="140"/>
    </row>
    <row r="1429" spans="1:16" hidden="1" x14ac:dyDescent="0.35">
      <c r="A1429" s="146"/>
      <c r="B1429" s="143"/>
      <c r="C1429" s="133"/>
      <c r="D1429" s="133"/>
      <c r="E1429" s="145" t="s">
        <v>1067</v>
      </c>
      <c r="F1429" s="145">
        <v>1229.9000000000001</v>
      </c>
      <c r="G1429" s="133"/>
      <c r="H1429" s="144"/>
      <c r="I1429" s="133"/>
      <c r="J1429" s="133"/>
      <c r="K1429" s="133"/>
      <c r="L1429" s="133"/>
      <c r="M1429" s="133"/>
      <c r="N1429" s="147"/>
      <c r="P1429" s="140"/>
    </row>
    <row r="1430" spans="1:16" hidden="1" x14ac:dyDescent="0.35">
      <c r="A1430" s="146"/>
      <c r="B1430" s="143"/>
      <c r="C1430" s="133"/>
      <c r="D1430" s="133"/>
      <c r="E1430" s="145" t="s">
        <v>1342</v>
      </c>
      <c r="F1430" s="145">
        <v>234</v>
      </c>
      <c r="G1430" s="133"/>
      <c r="H1430" s="144"/>
      <c r="I1430" s="133"/>
      <c r="J1430" s="133"/>
      <c r="K1430" s="133"/>
      <c r="L1430" s="133"/>
      <c r="M1430" s="133"/>
      <c r="N1430" s="147"/>
      <c r="P1430" s="140"/>
    </row>
    <row r="1431" spans="1:16" hidden="1" x14ac:dyDescent="0.35">
      <c r="A1431" s="146"/>
      <c r="B1431" s="143"/>
      <c r="C1431" s="133"/>
      <c r="D1431" s="133"/>
      <c r="E1431" s="145" t="s">
        <v>1064</v>
      </c>
      <c r="F1431" s="145">
        <v>722.5</v>
      </c>
      <c r="G1431" s="133"/>
      <c r="H1431" s="144"/>
      <c r="I1431" s="133"/>
      <c r="J1431" s="133"/>
      <c r="K1431" s="133"/>
      <c r="L1431" s="133"/>
      <c r="M1431" s="133"/>
      <c r="N1431" s="147"/>
      <c r="P1431" s="140"/>
    </row>
    <row r="1432" spans="1:16" hidden="1" x14ac:dyDescent="0.35">
      <c r="A1432" s="146"/>
      <c r="B1432" s="143"/>
      <c r="C1432" s="133"/>
      <c r="D1432" s="133"/>
      <c r="E1432" s="145"/>
      <c r="F1432" s="145"/>
      <c r="G1432" s="133"/>
      <c r="H1432" s="144"/>
      <c r="I1432" s="133"/>
      <c r="J1432" s="133"/>
      <c r="K1432" s="133"/>
      <c r="L1432" s="133"/>
      <c r="M1432" s="133"/>
      <c r="N1432" s="147"/>
      <c r="P1432" s="140"/>
    </row>
    <row r="1433" spans="1:16" hidden="1" x14ac:dyDescent="0.35">
      <c r="A1433" s="146">
        <v>41</v>
      </c>
      <c r="B1433" s="143">
        <v>45413</v>
      </c>
      <c r="C1433" s="133" t="s">
        <v>1857</v>
      </c>
      <c r="D1433" s="133" t="s">
        <v>1323</v>
      </c>
      <c r="E1433" s="145" t="s">
        <v>1118</v>
      </c>
      <c r="F1433" s="145">
        <v>1768.1</v>
      </c>
      <c r="G1433" s="133" t="s">
        <v>1034</v>
      </c>
      <c r="H1433" s="144" t="s">
        <v>1341</v>
      </c>
      <c r="I1433" s="133" t="s">
        <v>1092</v>
      </c>
      <c r="J1433" s="133" t="s">
        <v>1856</v>
      </c>
      <c r="K1433" s="143">
        <v>45444</v>
      </c>
      <c r="L1433" s="133" t="s">
        <v>1092</v>
      </c>
      <c r="M1433" s="133">
        <v>3180</v>
      </c>
      <c r="N1433" s="147">
        <f>+F1433+F1434+F1435+F1436-M1433-M1434-M1435</f>
        <v>0</v>
      </c>
      <c r="P1433" s="140"/>
    </row>
    <row r="1434" spans="1:16" hidden="1" x14ac:dyDescent="0.35">
      <c r="A1434" s="146"/>
      <c r="B1434" s="143"/>
      <c r="C1434" s="133"/>
      <c r="D1434" s="133"/>
      <c r="E1434" s="145" t="s">
        <v>1342</v>
      </c>
      <c r="F1434" s="145">
        <v>197</v>
      </c>
      <c r="G1434" s="133" t="s">
        <v>1034</v>
      </c>
      <c r="H1434" s="144" t="s">
        <v>1341</v>
      </c>
      <c r="I1434" s="133" t="s">
        <v>1092</v>
      </c>
      <c r="J1434" s="133" t="s">
        <v>1838</v>
      </c>
      <c r="K1434" s="143">
        <v>45444</v>
      </c>
      <c r="L1434" s="133" t="s">
        <v>1092</v>
      </c>
      <c r="M1434" s="133">
        <f>4080-232</f>
        <v>3848</v>
      </c>
      <c r="N1434" s="147"/>
      <c r="P1434" s="140"/>
    </row>
    <row r="1435" spans="1:16" hidden="1" x14ac:dyDescent="0.35">
      <c r="A1435" s="146"/>
      <c r="B1435" s="143"/>
      <c r="C1435" s="133"/>
      <c r="D1435" s="133"/>
      <c r="E1435" s="145" t="s">
        <v>1067</v>
      </c>
      <c r="F1435" s="145">
        <v>285</v>
      </c>
      <c r="G1435" s="133" t="s">
        <v>1034</v>
      </c>
      <c r="H1435" s="144" t="s">
        <v>1341</v>
      </c>
      <c r="I1435" s="133" t="s">
        <v>1092</v>
      </c>
      <c r="J1435" s="133" t="s">
        <v>1810</v>
      </c>
      <c r="K1435" s="143">
        <v>45474</v>
      </c>
      <c r="L1435" s="133" t="s">
        <v>1241</v>
      </c>
      <c r="M1435" s="133">
        <v>232</v>
      </c>
      <c r="N1435" s="147"/>
      <c r="P1435" s="140"/>
    </row>
    <row r="1436" spans="1:16" hidden="1" x14ac:dyDescent="0.35">
      <c r="A1436" s="146"/>
      <c r="B1436" s="143"/>
      <c r="C1436" s="133"/>
      <c r="D1436" s="133"/>
      <c r="E1436" s="145" t="s">
        <v>1078</v>
      </c>
      <c r="F1436" s="145">
        <v>5009.8999999999996</v>
      </c>
      <c r="G1436" s="133"/>
      <c r="H1436" s="144"/>
      <c r="I1436" s="133"/>
      <c r="J1436" s="133"/>
      <c r="K1436" s="133"/>
      <c r="L1436" s="133"/>
      <c r="M1436" s="133"/>
      <c r="N1436" s="147"/>
      <c r="P1436" s="140"/>
    </row>
    <row r="1437" spans="1:16" hidden="1" x14ac:dyDescent="0.35">
      <c r="A1437" s="146"/>
      <c r="B1437" s="143"/>
      <c r="C1437" s="133"/>
      <c r="D1437" s="133"/>
      <c r="E1437" s="145"/>
      <c r="F1437" s="145"/>
      <c r="G1437" s="133"/>
      <c r="H1437" s="144"/>
      <c r="I1437" s="133"/>
      <c r="J1437" s="133"/>
      <c r="K1437" s="133"/>
      <c r="L1437" s="133"/>
      <c r="M1437" s="133"/>
      <c r="N1437" s="147"/>
      <c r="P1437" s="140"/>
    </row>
    <row r="1438" spans="1:16" hidden="1" x14ac:dyDescent="0.35">
      <c r="A1438" s="146">
        <v>42</v>
      </c>
      <c r="B1438" s="143">
        <v>45413</v>
      </c>
      <c r="C1438" s="133" t="s">
        <v>1855</v>
      </c>
      <c r="D1438" s="133" t="s">
        <v>1854</v>
      </c>
      <c r="E1438" s="145" t="s">
        <v>1064</v>
      </c>
      <c r="F1438" s="145">
        <v>1269.2</v>
      </c>
      <c r="G1438" s="133" t="s">
        <v>1034</v>
      </c>
      <c r="H1438" s="144" t="s">
        <v>1341</v>
      </c>
      <c r="I1438" s="133" t="s">
        <v>1092</v>
      </c>
      <c r="J1438" s="133" t="s">
        <v>1838</v>
      </c>
      <c r="K1438" s="143">
        <v>45444</v>
      </c>
      <c r="L1438" s="133" t="s">
        <v>1092</v>
      </c>
      <c r="M1438" s="133">
        <v>5847.3</v>
      </c>
      <c r="N1438" s="147">
        <f>+F1438+F1439+F1440-M1438-M1439</f>
        <v>0</v>
      </c>
      <c r="P1438" s="140"/>
    </row>
    <row r="1439" spans="1:16" hidden="1" x14ac:dyDescent="0.35">
      <c r="A1439" s="146"/>
      <c r="B1439" s="143"/>
      <c r="C1439" s="133"/>
      <c r="D1439" s="133"/>
      <c r="E1439" s="145" t="s">
        <v>1075</v>
      </c>
      <c r="F1439" s="145">
        <v>2077.1</v>
      </c>
      <c r="G1439" s="133" t="s">
        <v>1034</v>
      </c>
      <c r="H1439" s="144" t="s">
        <v>1341</v>
      </c>
      <c r="I1439" s="133" t="s">
        <v>1092</v>
      </c>
      <c r="J1439" s="133" t="s">
        <v>1810</v>
      </c>
      <c r="K1439" s="143">
        <v>45474</v>
      </c>
      <c r="L1439" s="133" t="s">
        <v>1241</v>
      </c>
      <c r="M1439" s="133">
        <v>121</v>
      </c>
      <c r="N1439" s="147"/>
      <c r="P1439" s="140"/>
    </row>
    <row r="1440" spans="1:16" hidden="1" x14ac:dyDescent="0.35">
      <c r="A1440" s="146"/>
      <c r="B1440" s="143"/>
      <c r="C1440" s="133"/>
      <c r="D1440" s="133"/>
      <c r="E1440" s="145" t="s">
        <v>1067</v>
      </c>
      <c r="F1440" s="145">
        <v>2622</v>
      </c>
      <c r="G1440" s="133"/>
      <c r="H1440" s="144"/>
      <c r="I1440" s="133"/>
      <c r="J1440" s="133"/>
      <c r="K1440" s="133"/>
      <c r="L1440" s="133"/>
      <c r="M1440" s="133"/>
      <c r="N1440" s="147"/>
      <c r="P1440" s="140"/>
    </row>
    <row r="1441" spans="1:16" hidden="1" x14ac:dyDescent="0.35">
      <c r="A1441" s="146"/>
      <c r="B1441" s="143"/>
      <c r="C1441" s="133"/>
      <c r="D1441" s="133"/>
      <c r="E1441" s="145"/>
      <c r="F1441" s="145"/>
      <c r="G1441" s="133"/>
      <c r="H1441" s="144"/>
      <c r="I1441" s="133"/>
      <c r="J1441" s="133"/>
      <c r="K1441" s="133"/>
      <c r="L1441" s="133"/>
      <c r="M1441" s="133"/>
      <c r="N1441" s="147"/>
      <c r="P1441" s="140"/>
    </row>
    <row r="1442" spans="1:16" hidden="1" x14ac:dyDescent="0.35">
      <c r="A1442" s="146">
        <v>43</v>
      </c>
      <c r="B1442" s="143">
        <v>45413</v>
      </c>
      <c r="C1442" s="133" t="s">
        <v>1853</v>
      </c>
      <c r="D1442" s="133" t="s">
        <v>1852</v>
      </c>
      <c r="E1442" s="145" t="s">
        <v>1064</v>
      </c>
      <c r="F1442" s="145">
        <v>375.8</v>
      </c>
      <c r="G1442" s="133" t="s">
        <v>1034</v>
      </c>
      <c r="H1442" s="144" t="s">
        <v>1341</v>
      </c>
      <c r="I1442" s="133" t="s">
        <v>1092</v>
      </c>
      <c r="J1442" s="133" t="s">
        <v>1838</v>
      </c>
      <c r="K1442" s="143">
        <v>45444</v>
      </c>
      <c r="L1442" s="133" t="s">
        <v>1092</v>
      </c>
      <c r="M1442" s="133">
        <v>12279.9</v>
      </c>
      <c r="N1442" s="147">
        <f>+F1442+F1443+F1444+F1445-M1442-M1443</f>
        <v>0</v>
      </c>
      <c r="P1442" s="140"/>
    </row>
    <row r="1443" spans="1:16" hidden="1" x14ac:dyDescent="0.35">
      <c r="A1443" s="146"/>
      <c r="B1443" s="143"/>
      <c r="C1443" s="133"/>
      <c r="D1443" s="133"/>
      <c r="E1443" s="145" t="s">
        <v>1075</v>
      </c>
      <c r="F1443" s="145">
        <v>8085.1</v>
      </c>
      <c r="G1443" s="133" t="s">
        <v>1034</v>
      </c>
      <c r="H1443" s="144" t="s">
        <v>1341</v>
      </c>
      <c r="I1443" s="133" t="s">
        <v>1092</v>
      </c>
      <c r="J1443" s="133" t="s">
        <v>1810</v>
      </c>
      <c r="K1443" s="143">
        <v>45474</v>
      </c>
      <c r="L1443" s="133" t="s">
        <v>1241</v>
      </c>
      <c r="M1443" s="133">
        <v>251</v>
      </c>
      <c r="N1443" s="147"/>
      <c r="P1443" s="140"/>
    </row>
    <row r="1444" spans="1:16" hidden="1" x14ac:dyDescent="0.35">
      <c r="A1444" s="146"/>
      <c r="B1444" s="143"/>
      <c r="C1444" s="133"/>
      <c r="D1444" s="133"/>
      <c r="E1444" s="145" t="s">
        <v>1342</v>
      </c>
      <c r="F1444" s="145">
        <v>1522</v>
      </c>
      <c r="G1444" s="133"/>
      <c r="H1444" s="144"/>
      <c r="I1444" s="133"/>
      <c r="J1444" s="133"/>
      <c r="K1444" s="133"/>
      <c r="L1444" s="133"/>
      <c r="M1444" s="133"/>
      <c r="N1444" s="147"/>
      <c r="P1444" s="140"/>
    </row>
    <row r="1445" spans="1:16" hidden="1" x14ac:dyDescent="0.35">
      <c r="A1445" s="146"/>
      <c r="B1445" s="143"/>
      <c r="C1445" s="133"/>
      <c r="D1445" s="133"/>
      <c r="E1445" s="145" t="s">
        <v>1067</v>
      </c>
      <c r="F1445" s="145">
        <v>2548</v>
      </c>
      <c r="G1445" s="133"/>
      <c r="H1445" s="144"/>
      <c r="I1445" s="133"/>
      <c r="J1445" s="133"/>
      <c r="K1445" s="133"/>
      <c r="L1445" s="133"/>
      <c r="M1445" s="133"/>
      <c r="N1445" s="147"/>
      <c r="P1445" s="140"/>
    </row>
    <row r="1446" spans="1:16" hidden="1" x14ac:dyDescent="0.35">
      <c r="A1446" s="146"/>
      <c r="B1446" s="143"/>
      <c r="C1446" s="133"/>
      <c r="D1446" s="133"/>
      <c r="E1446" s="145"/>
      <c r="F1446" s="145"/>
      <c r="G1446" s="133"/>
      <c r="H1446" s="144"/>
      <c r="I1446" s="133"/>
      <c r="J1446" s="133"/>
      <c r="K1446" s="133"/>
      <c r="L1446" s="133"/>
      <c r="M1446" s="133"/>
      <c r="N1446" s="147"/>
      <c r="P1446" s="140"/>
    </row>
    <row r="1447" spans="1:16" hidden="1" x14ac:dyDescent="0.35">
      <c r="A1447" s="146">
        <v>44</v>
      </c>
      <c r="B1447" s="143">
        <v>45413</v>
      </c>
      <c r="C1447" s="133" t="s">
        <v>1851</v>
      </c>
      <c r="D1447" s="133" t="s">
        <v>1850</v>
      </c>
      <c r="E1447" s="145" t="s">
        <v>1118</v>
      </c>
      <c r="F1447" s="145">
        <v>5675.4</v>
      </c>
      <c r="G1447" s="133" t="s">
        <v>1034</v>
      </c>
      <c r="H1447" s="144" t="s">
        <v>1341</v>
      </c>
      <c r="I1447" s="133" t="s">
        <v>1092</v>
      </c>
      <c r="J1447" s="133" t="s">
        <v>1838</v>
      </c>
      <c r="K1447" s="143">
        <v>45444</v>
      </c>
      <c r="L1447" s="133" t="s">
        <v>1092</v>
      </c>
      <c r="M1447" s="133">
        <v>7199.2</v>
      </c>
      <c r="N1447" s="147">
        <f>+F1447+F1448+F1449-M1447-M1448</f>
        <v>0</v>
      </c>
      <c r="P1447" s="140"/>
    </row>
    <row r="1448" spans="1:16" hidden="1" x14ac:dyDescent="0.35">
      <c r="A1448" s="146"/>
      <c r="B1448" s="143"/>
      <c r="C1448" s="133"/>
      <c r="D1448" s="133"/>
      <c r="E1448" s="145" t="s">
        <v>1342</v>
      </c>
      <c r="F1448" s="145">
        <v>1318</v>
      </c>
      <c r="G1448" s="133" t="s">
        <v>1034</v>
      </c>
      <c r="H1448" s="144" t="s">
        <v>1341</v>
      </c>
      <c r="I1448" s="133" t="s">
        <v>1092</v>
      </c>
      <c r="J1448" s="133" t="s">
        <v>1810</v>
      </c>
      <c r="K1448" s="143">
        <v>45474</v>
      </c>
      <c r="L1448" s="133" t="s">
        <v>1241</v>
      </c>
      <c r="M1448" s="133">
        <v>147</v>
      </c>
      <c r="N1448" s="147"/>
      <c r="P1448" s="140"/>
    </row>
    <row r="1449" spans="1:16" hidden="1" x14ac:dyDescent="0.35">
      <c r="A1449" s="146"/>
      <c r="B1449" s="143"/>
      <c r="C1449" s="133"/>
      <c r="D1449" s="133"/>
      <c r="E1449" s="145" t="s">
        <v>1067</v>
      </c>
      <c r="F1449" s="145">
        <v>352.8</v>
      </c>
      <c r="G1449" s="133"/>
      <c r="H1449" s="144"/>
      <c r="I1449" s="133"/>
      <c r="J1449" s="133"/>
      <c r="K1449" s="133"/>
      <c r="L1449" s="133"/>
      <c r="M1449" s="133"/>
      <c r="N1449" s="147"/>
      <c r="P1449" s="140"/>
    </row>
    <row r="1450" spans="1:16" hidden="1" x14ac:dyDescent="0.35">
      <c r="A1450" s="146"/>
      <c r="B1450" s="143"/>
      <c r="C1450" s="133"/>
      <c r="D1450" s="133"/>
      <c r="E1450" s="145"/>
      <c r="F1450" s="145"/>
      <c r="G1450" s="133"/>
      <c r="H1450" s="144"/>
      <c r="I1450" s="133"/>
      <c r="J1450" s="133"/>
      <c r="K1450" s="133"/>
      <c r="L1450" s="133"/>
      <c r="M1450" s="133"/>
      <c r="N1450" s="147"/>
      <c r="P1450" s="140"/>
    </row>
    <row r="1451" spans="1:16" hidden="1" x14ac:dyDescent="0.35">
      <c r="A1451" s="146">
        <v>45</v>
      </c>
      <c r="B1451" s="143">
        <v>45413</v>
      </c>
      <c r="C1451" s="133" t="s">
        <v>1849</v>
      </c>
      <c r="D1451" s="133" t="s">
        <v>1848</v>
      </c>
      <c r="E1451" s="145" t="s">
        <v>1067</v>
      </c>
      <c r="F1451" s="145">
        <v>974</v>
      </c>
      <c r="G1451" s="133" t="s">
        <v>1034</v>
      </c>
      <c r="H1451" s="144" t="s">
        <v>1341</v>
      </c>
      <c r="I1451" s="133" t="s">
        <v>1092</v>
      </c>
      <c r="J1451" s="133" t="s">
        <v>1838</v>
      </c>
      <c r="K1451" s="143">
        <v>45444</v>
      </c>
      <c r="L1451" s="133" t="s">
        <v>1092</v>
      </c>
      <c r="M1451" s="133">
        <v>2259</v>
      </c>
      <c r="N1451" s="147">
        <f>+F1451+F1452-M1451-M1452</f>
        <v>0</v>
      </c>
      <c r="P1451" s="140"/>
    </row>
    <row r="1452" spans="1:16" hidden="1" x14ac:dyDescent="0.35">
      <c r="A1452" s="146"/>
      <c r="B1452" s="143"/>
      <c r="C1452" s="133"/>
      <c r="D1452" s="133"/>
      <c r="E1452" s="145" t="s">
        <v>1342</v>
      </c>
      <c r="F1452" s="145">
        <v>1330</v>
      </c>
      <c r="G1452" s="133" t="s">
        <v>1034</v>
      </c>
      <c r="H1452" s="144" t="s">
        <v>1341</v>
      </c>
      <c r="I1452" s="133" t="s">
        <v>1092</v>
      </c>
      <c r="J1452" s="133" t="s">
        <v>1810</v>
      </c>
      <c r="K1452" s="143">
        <v>45474</v>
      </c>
      <c r="L1452" s="133" t="s">
        <v>1241</v>
      </c>
      <c r="M1452" s="133">
        <v>45</v>
      </c>
      <c r="N1452" s="147"/>
      <c r="P1452" s="140"/>
    </row>
    <row r="1453" spans="1:16" hidden="1" x14ac:dyDescent="0.35">
      <c r="A1453" s="146"/>
      <c r="B1453" s="143"/>
      <c r="C1453" s="133"/>
      <c r="D1453" s="133"/>
      <c r="E1453" s="145"/>
      <c r="F1453" s="145"/>
      <c r="G1453" s="133"/>
      <c r="H1453" s="144"/>
      <c r="I1453" s="133"/>
      <c r="J1453" s="133"/>
      <c r="K1453" s="133"/>
      <c r="L1453" s="133"/>
      <c r="M1453" s="133"/>
      <c r="N1453" s="147"/>
      <c r="P1453" s="140"/>
    </row>
    <row r="1454" spans="1:16" hidden="1" x14ac:dyDescent="0.35">
      <c r="A1454" s="146">
        <v>46</v>
      </c>
      <c r="B1454" s="143">
        <v>45413</v>
      </c>
      <c r="C1454" s="133" t="s">
        <v>1847</v>
      </c>
      <c r="D1454" s="133" t="s">
        <v>1846</v>
      </c>
      <c r="E1454" s="145" t="s">
        <v>1075</v>
      </c>
      <c r="F1454" s="145">
        <v>4554</v>
      </c>
      <c r="G1454" s="133" t="s">
        <v>1034</v>
      </c>
      <c r="H1454" s="144" t="s">
        <v>1341</v>
      </c>
      <c r="I1454" s="133" t="s">
        <v>1092</v>
      </c>
      <c r="J1454" s="133" t="s">
        <v>1838</v>
      </c>
      <c r="K1454" s="143">
        <v>45444</v>
      </c>
      <c r="L1454" s="133" t="s">
        <v>1092</v>
      </c>
      <c r="M1454" s="133">
        <v>4461</v>
      </c>
      <c r="N1454" s="147">
        <f>+F1454-M1454-M1455</f>
        <v>0</v>
      </c>
      <c r="P1454" s="140"/>
    </row>
    <row r="1455" spans="1:16" hidden="1" x14ac:dyDescent="0.35">
      <c r="A1455" s="146"/>
      <c r="B1455" s="143"/>
      <c r="C1455" s="133"/>
      <c r="D1455" s="133"/>
      <c r="E1455" s="145"/>
      <c r="F1455" s="145"/>
      <c r="G1455" s="133" t="s">
        <v>1034</v>
      </c>
      <c r="H1455" s="144" t="s">
        <v>1341</v>
      </c>
      <c r="I1455" s="133" t="s">
        <v>1092</v>
      </c>
      <c r="J1455" s="133" t="s">
        <v>1810</v>
      </c>
      <c r="K1455" s="143">
        <v>45474</v>
      </c>
      <c r="L1455" s="133" t="s">
        <v>1241</v>
      </c>
      <c r="M1455" s="133">
        <v>93</v>
      </c>
      <c r="N1455" s="147"/>
      <c r="P1455" s="140"/>
    </row>
    <row r="1456" spans="1:16" hidden="1" x14ac:dyDescent="0.35">
      <c r="A1456" s="146"/>
      <c r="B1456" s="143"/>
      <c r="C1456" s="133"/>
      <c r="D1456" s="133"/>
      <c r="E1456" s="145"/>
      <c r="F1456" s="145"/>
      <c r="G1456" s="133"/>
      <c r="H1456" s="144"/>
      <c r="I1456" s="133"/>
      <c r="J1456" s="133"/>
      <c r="K1456" s="143"/>
      <c r="L1456" s="133"/>
      <c r="M1456" s="133"/>
      <c r="N1456" s="147"/>
      <c r="P1456" s="140"/>
    </row>
    <row r="1457" spans="1:16" hidden="1" x14ac:dyDescent="0.35">
      <c r="A1457" s="146">
        <v>47</v>
      </c>
      <c r="B1457" s="143">
        <v>45413</v>
      </c>
      <c r="C1457" s="133" t="s">
        <v>1845</v>
      </c>
      <c r="D1457" s="133" t="s">
        <v>1844</v>
      </c>
      <c r="E1457" s="145" t="s">
        <v>1064</v>
      </c>
      <c r="F1457" s="145">
        <v>1066.3</v>
      </c>
      <c r="G1457" s="133" t="s">
        <v>1034</v>
      </c>
      <c r="H1457" s="144" t="s">
        <v>1341</v>
      </c>
      <c r="I1457" s="133" t="s">
        <v>1092</v>
      </c>
      <c r="J1457" s="133" t="s">
        <v>1833</v>
      </c>
      <c r="K1457" s="143">
        <v>45444</v>
      </c>
      <c r="L1457" s="133" t="s">
        <v>1092</v>
      </c>
      <c r="M1457" s="133">
        <v>2574.5</v>
      </c>
      <c r="N1457" s="147">
        <f>+F1457+F1458+F1459-M1457-M1458</f>
        <v>0</v>
      </c>
      <c r="P1457" s="140"/>
    </row>
    <row r="1458" spans="1:16" hidden="1" x14ac:dyDescent="0.35">
      <c r="A1458" s="146"/>
      <c r="B1458" s="143"/>
      <c r="C1458" s="133"/>
      <c r="D1458" s="133"/>
      <c r="E1458" s="145" t="s">
        <v>1075</v>
      </c>
      <c r="F1458" s="145">
        <v>7.6</v>
      </c>
      <c r="G1458" s="133" t="s">
        <v>1034</v>
      </c>
      <c r="H1458" s="144" t="s">
        <v>1341</v>
      </c>
      <c r="I1458" s="133" t="s">
        <v>1092</v>
      </c>
      <c r="J1458" s="133" t="s">
        <v>1810</v>
      </c>
      <c r="K1458" s="143">
        <v>45474</v>
      </c>
      <c r="L1458" s="133" t="s">
        <v>1241</v>
      </c>
      <c r="M1458" s="133">
        <v>53</v>
      </c>
      <c r="N1458" s="147"/>
      <c r="P1458" s="140"/>
    </row>
    <row r="1459" spans="1:16" hidden="1" x14ac:dyDescent="0.35">
      <c r="A1459" s="146"/>
      <c r="B1459" s="143"/>
      <c r="C1459" s="133"/>
      <c r="D1459" s="133"/>
      <c r="E1459" s="145" t="s">
        <v>1067</v>
      </c>
      <c r="F1459" s="145">
        <v>1553.6</v>
      </c>
      <c r="G1459" s="133"/>
      <c r="H1459" s="144"/>
      <c r="I1459" s="133"/>
      <c r="J1459" s="133"/>
      <c r="K1459" s="133"/>
      <c r="L1459" s="133"/>
      <c r="M1459" s="133"/>
      <c r="N1459" s="147"/>
      <c r="P1459" s="140"/>
    </row>
    <row r="1460" spans="1:16" hidden="1" x14ac:dyDescent="0.35">
      <c r="A1460" s="146"/>
      <c r="B1460" s="143"/>
      <c r="C1460" s="133"/>
      <c r="D1460" s="133"/>
      <c r="E1460" s="145"/>
      <c r="F1460" s="145"/>
      <c r="G1460" s="133"/>
      <c r="H1460" s="144"/>
      <c r="I1460" s="133"/>
      <c r="J1460" s="133"/>
      <c r="K1460" s="133"/>
      <c r="L1460" s="133"/>
      <c r="M1460" s="133"/>
      <c r="N1460" s="147"/>
      <c r="P1460" s="140"/>
    </row>
    <row r="1461" spans="1:16" hidden="1" x14ac:dyDescent="0.35">
      <c r="A1461" s="156"/>
      <c r="B1461" s="152"/>
      <c r="C1461" s="151"/>
      <c r="D1461" s="151"/>
      <c r="E1461" s="154"/>
      <c r="F1461" s="154"/>
      <c r="G1461" s="151"/>
      <c r="H1461" s="153"/>
      <c r="I1461" s="151"/>
      <c r="J1461" s="151"/>
      <c r="K1461" s="151"/>
      <c r="L1461" s="151"/>
      <c r="M1461" s="151"/>
      <c r="N1461" s="151"/>
      <c r="P1461" s="140"/>
    </row>
    <row r="1462" spans="1:16" hidden="1" x14ac:dyDescent="0.35">
      <c r="A1462" s="146"/>
      <c r="B1462" s="143"/>
      <c r="C1462" s="133"/>
      <c r="D1462" s="133"/>
      <c r="E1462" s="145"/>
      <c r="F1462" s="145"/>
      <c r="G1462" s="133"/>
      <c r="H1462" s="144"/>
      <c r="I1462" s="133"/>
      <c r="J1462" s="133"/>
      <c r="K1462" s="133"/>
      <c r="L1462" s="133"/>
      <c r="M1462" s="133"/>
      <c r="N1462" s="147"/>
      <c r="P1462" s="140"/>
    </row>
    <row r="1463" spans="1:16" hidden="1" x14ac:dyDescent="0.35">
      <c r="A1463" s="146">
        <v>48</v>
      </c>
      <c r="B1463" s="143">
        <v>45444</v>
      </c>
      <c r="C1463" s="133" t="s">
        <v>1843</v>
      </c>
      <c r="D1463" s="133" t="s">
        <v>1842</v>
      </c>
      <c r="E1463" s="145" t="s">
        <v>1075</v>
      </c>
      <c r="F1463" s="145">
        <v>2604</v>
      </c>
      <c r="G1463" s="133" t="s">
        <v>1034</v>
      </c>
      <c r="H1463" s="144" t="s">
        <v>1341</v>
      </c>
      <c r="I1463" s="133" t="s">
        <v>1092</v>
      </c>
      <c r="J1463" s="133" t="s">
        <v>1833</v>
      </c>
      <c r="K1463" s="143">
        <v>45444</v>
      </c>
      <c r="L1463" s="133" t="s">
        <v>1092</v>
      </c>
      <c r="M1463" s="133">
        <v>2550</v>
      </c>
      <c r="N1463" s="147">
        <f>+F1463-M1463-M1464</f>
        <v>0</v>
      </c>
      <c r="O1463" s="192"/>
      <c r="P1463" s="191"/>
    </row>
    <row r="1464" spans="1:16" hidden="1" x14ac:dyDescent="0.35">
      <c r="A1464" s="146"/>
      <c r="B1464" s="143"/>
      <c r="C1464" s="133"/>
      <c r="D1464" s="133"/>
      <c r="E1464" s="145"/>
      <c r="F1464" s="145"/>
      <c r="G1464" s="133" t="s">
        <v>1034</v>
      </c>
      <c r="H1464" s="144" t="s">
        <v>1341</v>
      </c>
      <c r="I1464" s="133" t="s">
        <v>1092</v>
      </c>
      <c r="J1464" s="133" t="s">
        <v>1810</v>
      </c>
      <c r="K1464" s="143">
        <v>45474</v>
      </c>
      <c r="L1464" s="133" t="s">
        <v>1241</v>
      </c>
      <c r="M1464" s="133">
        <v>54</v>
      </c>
      <c r="N1464" s="147"/>
      <c r="O1464" s="192"/>
      <c r="P1464" s="191"/>
    </row>
    <row r="1465" spans="1:16" hidden="1" x14ac:dyDescent="0.35">
      <c r="A1465" s="146"/>
      <c r="B1465" s="143"/>
      <c r="C1465" s="133"/>
      <c r="D1465" s="133"/>
      <c r="E1465" s="145"/>
      <c r="F1465" s="145"/>
      <c r="G1465" s="133"/>
      <c r="H1465" s="144"/>
      <c r="I1465" s="133"/>
      <c r="J1465" s="133"/>
      <c r="K1465" s="143"/>
      <c r="L1465" s="133"/>
      <c r="M1465" s="133"/>
      <c r="N1465" s="147"/>
      <c r="O1465" s="192"/>
      <c r="P1465" s="191"/>
    </row>
    <row r="1466" spans="1:16" hidden="1" x14ac:dyDescent="0.35">
      <c r="A1466" s="146">
        <v>49</v>
      </c>
      <c r="B1466" s="143">
        <v>45444</v>
      </c>
      <c r="C1466" s="133" t="s">
        <v>1841</v>
      </c>
      <c r="D1466" s="133" t="s">
        <v>1840</v>
      </c>
      <c r="E1466" s="145" t="s">
        <v>1075</v>
      </c>
      <c r="F1466" s="145">
        <v>1847.8</v>
      </c>
      <c r="G1466" s="133" t="s">
        <v>1034</v>
      </c>
      <c r="H1466" s="144" t="s">
        <v>1341</v>
      </c>
      <c r="I1466" s="133" t="s">
        <v>1092</v>
      </c>
      <c r="J1466" s="133" t="s">
        <v>1833</v>
      </c>
      <c r="K1466" s="143">
        <v>45444</v>
      </c>
      <c r="L1466" s="133" t="s">
        <v>1092</v>
      </c>
      <c r="M1466" s="133">
        <v>5274.3</v>
      </c>
      <c r="N1466" s="147">
        <f>+F1466+F1467+F1468+F1469-M1466-M1467</f>
        <v>0</v>
      </c>
      <c r="O1466" s="192"/>
      <c r="P1466" s="191"/>
    </row>
    <row r="1467" spans="1:16" hidden="1" x14ac:dyDescent="0.35">
      <c r="A1467" s="146"/>
      <c r="B1467" s="143"/>
      <c r="C1467" s="133"/>
      <c r="D1467" s="133"/>
      <c r="E1467" s="145" t="s">
        <v>1064</v>
      </c>
      <c r="F1467" s="145">
        <v>1647.5</v>
      </c>
      <c r="G1467" s="133" t="s">
        <v>1034</v>
      </c>
      <c r="H1467" s="144" t="s">
        <v>1341</v>
      </c>
      <c r="I1467" s="133" t="s">
        <v>1092</v>
      </c>
      <c r="J1467" s="133" t="s">
        <v>1810</v>
      </c>
      <c r="K1467" s="143">
        <v>45474</v>
      </c>
      <c r="L1467" s="133" t="s">
        <v>1241</v>
      </c>
      <c r="M1467" s="133">
        <v>105</v>
      </c>
      <c r="N1467" s="147"/>
      <c r="O1467" s="192"/>
      <c r="P1467" s="191"/>
    </row>
    <row r="1468" spans="1:16" hidden="1" x14ac:dyDescent="0.35">
      <c r="A1468" s="146"/>
      <c r="B1468" s="143"/>
      <c r="C1468" s="133"/>
      <c r="D1468" s="133"/>
      <c r="E1468" s="145" t="s">
        <v>1342</v>
      </c>
      <c r="F1468" s="145">
        <v>1691</v>
      </c>
      <c r="G1468" s="133"/>
      <c r="H1468" s="144"/>
      <c r="I1468" s="133"/>
      <c r="J1468" s="133"/>
      <c r="K1468" s="133"/>
      <c r="L1468" s="133"/>
      <c r="M1468" s="133"/>
      <c r="N1468" s="147"/>
      <c r="O1468" s="192"/>
      <c r="P1468" s="191"/>
    </row>
    <row r="1469" spans="1:16" hidden="1" x14ac:dyDescent="0.35">
      <c r="A1469" s="146"/>
      <c r="B1469" s="143"/>
      <c r="C1469" s="133"/>
      <c r="D1469" s="133"/>
      <c r="E1469" s="145" t="s">
        <v>1067</v>
      </c>
      <c r="F1469" s="145">
        <v>193</v>
      </c>
      <c r="G1469" s="133"/>
      <c r="H1469" s="144"/>
      <c r="I1469" s="133"/>
      <c r="J1469" s="133"/>
      <c r="K1469" s="133"/>
      <c r="L1469" s="133"/>
      <c r="M1469" s="133"/>
      <c r="N1469" s="147"/>
      <c r="O1469" s="192"/>
      <c r="P1469" s="191"/>
    </row>
    <row r="1470" spans="1:16" hidden="1" x14ac:dyDescent="0.35">
      <c r="A1470" s="146"/>
      <c r="B1470" s="143"/>
      <c r="C1470" s="133"/>
      <c r="D1470" s="133"/>
      <c r="E1470" s="145"/>
      <c r="F1470" s="145"/>
      <c r="G1470" s="133"/>
      <c r="H1470" s="144"/>
      <c r="I1470" s="133"/>
      <c r="J1470" s="133"/>
      <c r="K1470" s="133"/>
      <c r="L1470" s="133"/>
      <c r="M1470" s="133"/>
      <c r="N1470" s="147"/>
      <c r="O1470" s="192"/>
      <c r="P1470" s="191"/>
    </row>
    <row r="1471" spans="1:16" hidden="1" x14ac:dyDescent="0.35">
      <c r="A1471" s="146">
        <v>50</v>
      </c>
      <c r="B1471" s="143">
        <v>45444</v>
      </c>
      <c r="C1471" s="133" t="s">
        <v>1839</v>
      </c>
      <c r="D1471" s="133" t="s">
        <v>1321</v>
      </c>
      <c r="E1471" s="145" t="s">
        <v>1075</v>
      </c>
      <c r="F1471" s="145">
        <v>3052.1</v>
      </c>
      <c r="G1471" s="133" t="s">
        <v>1034</v>
      </c>
      <c r="H1471" s="144" t="s">
        <v>1341</v>
      </c>
      <c r="I1471" s="133" t="s">
        <v>1092</v>
      </c>
      <c r="J1471" s="133" t="s">
        <v>1838</v>
      </c>
      <c r="K1471" s="143">
        <v>45444</v>
      </c>
      <c r="L1471" s="133" t="s">
        <v>1092</v>
      </c>
      <c r="M1471" s="133">
        <v>35.700000000000003</v>
      </c>
      <c r="N1471" s="147">
        <f>+F1471+F1472+F1473+F1474-M1471-M1472-M1473</f>
        <v>0</v>
      </c>
      <c r="O1471" s="192"/>
      <c r="P1471" s="191"/>
    </row>
    <row r="1472" spans="1:16" hidden="1" x14ac:dyDescent="0.35">
      <c r="A1472" s="146"/>
      <c r="B1472" s="143"/>
      <c r="C1472" s="133"/>
      <c r="D1472" s="133"/>
      <c r="E1472" s="145" t="s">
        <v>1064</v>
      </c>
      <c r="F1472" s="145">
        <v>469.8</v>
      </c>
      <c r="G1472" s="133" t="s">
        <v>1034</v>
      </c>
      <c r="H1472" s="144" t="s">
        <v>1341</v>
      </c>
      <c r="I1472" s="133" t="s">
        <v>1092</v>
      </c>
      <c r="J1472" s="133" t="s">
        <v>1833</v>
      </c>
      <c r="K1472" s="143">
        <v>45444</v>
      </c>
      <c r="L1472" s="133" t="s">
        <v>1092</v>
      </c>
      <c r="M1472" s="133">
        <v>6084.6</v>
      </c>
      <c r="N1472" s="147"/>
      <c r="O1472" s="192"/>
      <c r="P1472" s="191"/>
    </row>
    <row r="1473" spans="1:16" hidden="1" x14ac:dyDescent="0.35">
      <c r="A1473" s="146"/>
      <c r="B1473" s="143"/>
      <c r="C1473" s="133"/>
      <c r="D1473" s="133"/>
      <c r="E1473" s="145" t="s">
        <v>1071</v>
      </c>
      <c r="F1473" s="145">
        <v>687.7</v>
      </c>
      <c r="G1473" s="133" t="s">
        <v>1034</v>
      </c>
      <c r="H1473" s="144" t="s">
        <v>1341</v>
      </c>
      <c r="I1473" s="133" t="s">
        <v>1092</v>
      </c>
      <c r="J1473" s="133" t="s">
        <v>1810</v>
      </c>
      <c r="K1473" s="143">
        <v>45474</v>
      </c>
      <c r="L1473" s="133" t="s">
        <v>1241</v>
      </c>
      <c r="M1473" s="133">
        <v>125</v>
      </c>
      <c r="N1473" s="147"/>
      <c r="O1473" s="192"/>
      <c r="P1473" s="191"/>
    </row>
    <row r="1474" spans="1:16" hidden="1" x14ac:dyDescent="0.35">
      <c r="A1474" s="146"/>
      <c r="B1474" s="143"/>
      <c r="C1474" s="133"/>
      <c r="D1474" s="133"/>
      <c r="E1474" s="145" t="s">
        <v>1118</v>
      </c>
      <c r="F1474" s="145">
        <v>2035.7</v>
      </c>
      <c r="G1474" s="133"/>
      <c r="H1474" s="144"/>
      <c r="I1474" s="133"/>
      <c r="J1474" s="133"/>
      <c r="K1474" s="133"/>
      <c r="L1474" s="133"/>
      <c r="M1474" s="133"/>
      <c r="N1474" s="147"/>
      <c r="O1474" s="192"/>
      <c r="P1474" s="191"/>
    </row>
    <row r="1475" spans="1:16" hidden="1" x14ac:dyDescent="0.35">
      <c r="A1475" s="146"/>
      <c r="B1475" s="143"/>
      <c r="C1475" s="133"/>
      <c r="D1475" s="133"/>
      <c r="E1475" s="145"/>
      <c r="F1475" s="145"/>
      <c r="G1475" s="133"/>
      <c r="H1475" s="144"/>
      <c r="I1475" s="133"/>
      <c r="J1475" s="133"/>
      <c r="K1475" s="133"/>
      <c r="L1475" s="133"/>
      <c r="M1475" s="133"/>
      <c r="N1475" s="147"/>
      <c r="O1475" s="192"/>
      <c r="P1475" s="191"/>
    </row>
    <row r="1476" spans="1:16" hidden="1" x14ac:dyDescent="0.35">
      <c r="A1476" s="146">
        <v>51</v>
      </c>
      <c r="B1476" s="143">
        <v>45444</v>
      </c>
      <c r="C1476" s="133" t="s">
        <v>1837</v>
      </c>
      <c r="D1476" s="133" t="s">
        <v>1836</v>
      </c>
      <c r="E1476" s="145" t="s">
        <v>1075</v>
      </c>
      <c r="F1476" s="145">
        <v>4076</v>
      </c>
      <c r="G1476" s="133" t="s">
        <v>1034</v>
      </c>
      <c r="H1476" s="144" t="s">
        <v>1341</v>
      </c>
      <c r="I1476" s="133" t="s">
        <v>1092</v>
      </c>
      <c r="J1476" s="133" t="s">
        <v>1833</v>
      </c>
      <c r="K1476" s="143">
        <v>45444</v>
      </c>
      <c r="L1476" s="133" t="s">
        <v>1092</v>
      </c>
      <c r="M1476" s="133">
        <v>4015</v>
      </c>
      <c r="N1476" s="147">
        <f>+F1476+F1477-M1476-M1477</f>
        <v>0</v>
      </c>
      <c r="O1476" s="192"/>
      <c r="P1476" s="191"/>
    </row>
    <row r="1477" spans="1:16" hidden="1" x14ac:dyDescent="0.35">
      <c r="A1477" s="146"/>
      <c r="B1477" s="143"/>
      <c r="C1477" s="133"/>
      <c r="D1477" s="133"/>
      <c r="E1477" s="145" t="s">
        <v>1071</v>
      </c>
      <c r="F1477" s="145">
        <v>22</v>
      </c>
      <c r="G1477" s="133" t="s">
        <v>1034</v>
      </c>
      <c r="H1477" s="144" t="s">
        <v>1341</v>
      </c>
      <c r="I1477" s="133" t="s">
        <v>1092</v>
      </c>
      <c r="J1477" s="133" t="s">
        <v>1810</v>
      </c>
      <c r="K1477" s="143">
        <v>45474</v>
      </c>
      <c r="L1477" s="133" t="s">
        <v>1241</v>
      </c>
      <c r="M1477" s="133">
        <v>83</v>
      </c>
      <c r="N1477" s="147"/>
      <c r="O1477" s="192"/>
      <c r="P1477" s="191"/>
    </row>
    <row r="1478" spans="1:16" hidden="1" x14ac:dyDescent="0.35">
      <c r="A1478" s="146"/>
      <c r="B1478" s="143"/>
      <c r="C1478" s="133"/>
      <c r="D1478" s="133"/>
      <c r="E1478" s="145"/>
      <c r="F1478" s="145"/>
      <c r="G1478" s="133"/>
      <c r="H1478" s="144"/>
      <c r="I1478" s="133"/>
      <c r="J1478" s="133"/>
      <c r="K1478" s="133"/>
      <c r="L1478" s="133"/>
      <c r="M1478" s="133"/>
      <c r="N1478" s="147"/>
      <c r="O1478" s="192"/>
      <c r="P1478" s="191"/>
    </row>
    <row r="1479" spans="1:16" hidden="1" x14ac:dyDescent="0.35">
      <c r="A1479" s="146">
        <v>52</v>
      </c>
      <c r="B1479" s="143">
        <v>45444</v>
      </c>
      <c r="C1479" s="133" t="s">
        <v>1835</v>
      </c>
      <c r="D1479" s="133" t="s">
        <v>1834</v>
      </c>
      <c r="E1479" s="145" t="s">
        <v>1075</v>
      </c>
      <c r="F1479" s="145">
        <v>4478.8999999999996</v>
      </c>
      <c r="G1479" s="133" t="s">
        <v>1034</v>
      </c>
      <c r="H1479" s="144" t="s">
        <v>1341</v>
      </c>
      <c r="I1479" s="133" t="s">
        <v>1092</v>
      </c>
      <c r="J1479" s="133" t="s">
        <v>1833</v>
      </c>
      <c r="K1479" s="143">
        <v>45444</v>
      </c>
      <c r="L1479" s="133" t="s">
        <v>1092</v>
      </c>
      <c r="M1479" s="133">
        <v>4478.8999999999996</v>
      </c>
      <c r="N1479" s="147">
        <f>+F1479+F1480+F1481+F1482+F1483-M1479-M1480-M1481</f>
        <v>0</v>
      </c>
      <c r="O1479" s="192"/>
      <c r="P1479" s="191"/>
    </row>
    <row r="1480" spans="1:16" hidden="1" x14ac:dyDescent="0.35">
      <c r="A1480" s="146"/>
      <c r="B1480" s="143"/>
      <c r="C1480" s="133"/>
      <c r="D1480" s="133"/>
      <c r="E1480" s="145" t="s">
        <v>1064</v>
      </c>
      <c r="F1480" s="145">
        <v>618.70000000000005</v>
      </c>
      <c r="G1480" s="133" t="s">
        <v>1034</v>
      </c>
      <c r="H1480" s="144" t="s">
        <v>1341</v>
      </c>
      <c r="I1480" s="133" t="s">
        <v>1092</v>
      </c>
      <c r="J1480" s="133" t="s">
        <v>1826</v>
      </c>
      <c r="K1480" s="143">
        <v>45474</v>
      </c>
      <c r="L1480" s="133" t="s">
        <v>1092</v>
      </c>
      <c r="M1480" s="133">
        <v>4436.1000000000004</v>
      </c>
      <c r="N1480" s="147"/>
      <c r="O1480" s="192"/>
      <c r="P1480" s="191"/>
    </row>
    <row r="1481" spans="1:16" hidden="1" x14ac:dyDescent="0.35">
      <c r="A1481" s="146"/>
      <c r="B1481" s="143"/>
      <c r="C1481" s="133"/>
      <c r="D1481" s="133"/>
      <c r="E1481" s="145" t="s">
        <v>1071</v>
      </c>
      <c r="F1481" s="145">
        <v>102.8</v>
      </c>
      <c r="G1481" s="133" t="s">
        <v>1034</v>
      </c>
      <c r="H1481" s="144" t="s">
        <v>1341</v>
      </c>
      <c r="I1481" s="133" t="s">
        <v>1092</v>
      </c>
      <c r="J1481" s="133" t="s">
        <v>1810</v>
      </c>
      <c r="K1481" s="143">
        <v>45474</v>
      </c>
      <c r="L1481" s="133" t="s">
        <v>1241</v>
      </c>
      <c r="M1481" s="133">
        <v>175</v>
      </c>
      <c r="N1481" s="147"/>
      <c r="O1481" s="192"/>
      <c r="P1481" s="191"/>
    </row>
    <row r="1482" spans="1:16" hidden="1" x14ac:dyDescent="0.35">
      <c r="A1482" s="146"/>
      <c r="B1482" s="143"/>
      <c r="C1482" s="133"/>
      <c r="D1482" s="133"/>
      <c r="E1482" s="145" t="s">
        <v>1342</v>
      </c>
      <c r="F1482" s="145">
        <v>3098</v>
      </c>
      <c r="G1482" s="133"/>
      <c r="H1482" s="144"/>
      <c r="I1482" s="133"/>
      <c r="J1482" s="133"/>
      <c r="K1482" s="133"/>
      <c r="L1482" s="133"/>
      <c r="M1482" s="133"/>
      <c r="N1482" s="147"/>
      <c r="O1482" s="192"/>
      <c r="P1482" s="191"/>
    </row>
    <row r="1483" spans="1:16" hidden="1" x14ac:dyDescent="0.35">
      <c r="A1483" s="146"/>
      <c r="B1483" s="143"/>
      <c r="C1483" s="133"/>
      <c r="D1483" s="133"/>
      <c r="E1483" s="145" t="s">
        <v>1067</v>
      </c>
      <c r="F1483" s="145">
        <v>791.6</v>
      </c>
      <c r="G1483" s="133"/>
      <c r="H1483" s="144"/>
      <c r="I1483" s="133"/>
      <c r="J1483" s="133"/>
      <c r="K1483" s="133"/>
      <c r="L1483" s="133"/>
      <c r="M1483" s="133"/>
      <c r="N1483" s="147"/>
      <c r="O1483" s="192"/>
      <c r="P1483" s="191"/>
    </row>
    <row r="1484" spans="1:16" hidden="1" x14ac:dyDescent="0.35">
      <c r="A1484" s="146"/>
      <c r="B1484" s="143"/>
      <c r="C1484" s="133"/>
      <c r="D1484" s="133"/>
      <c r="E1484" s="145"/>
      <c r="F1484" s="145"/>
      <c r="G1484" s="133"/>
      <c r="H1484" s="144"/>
      <c r="I1484" s="133"/>
      <c r="J1484" s="133"/>
      <c r="K1484" s="133"/>
      <c r="L1484" s="133"/>
      <c r="M1484" s="133"/>
      <c r="N1484" s="147"/>
      <c r="O1484" s="192"/>
      <c r="P1484" s="191"/>
    </row>
    <row r="1485" spans="1:16" hidden="1" x14ac:dyDescent="0.35">
      <c r="A1485" s="146">
        <v>53</v>
      </c>
      <c r="B1485" s="143">
        <v>45444</v>
      </c>
      <c r="C1485" s="133" t="s">
        <v>1832</v>
      </c>
      <c r="D1485" s="133" t="s">
        <v>1831</v>
      </c>
      <c r="E1485" s="145" t="s">
        <v>1342</v>
      </c>
      <c r="F1485" s="145">
        <v>2563</v>
      </c>
      <c r="G1485" s="133" t="s">
        <v>1034</v>
      </c>
      <c r="H1485" s="144" t="s">
        <v>1341</v>
      </c>
      <c r="I1485" s="133" t="s">
        <v>1092</v>
      </c>
      <c r="J1485" s="133" t="s">
        <v>1826</v>
      </c>
      <c r="K1485" s="143">
        <v>45474</v>
      </c>
      <c r="L1485" s="133" t="s">
        <v>1092</v>
      </c>
      <c r="M1485" s="133">
        <v>2691</v>
      </c>
      <c r="N1485" s="147">
        <f>+F1485+F1486-M1485-M1486</f>
        <v>0</v>
      </c>
      <c r="O1485" s="192"/>
      <c r="P1485" s="191"/>
    </row>
    <row r="1486" spans="1:16" hidden="1" x14ac:dyDescent="0.35">
      <c r="A1486" s="146"/>
      <c r="B1486" s="143"/>
      <c r="C1486" s="133"/>
      <c r="D1486" s="133"/>
      <c r="E1486" s="145" t="s">
        <v>1067</v>
      </c>
      <c r="F1486" s="145">
        <v>183</v>
      </c>
      <c r="G1486" s="133" t="s">
        <v>1034</v>
      </c>
      <c r="H1486" s="144" t="s">
        <v>1341</v>
      </c>
      <c r="I1486" s="133" t="s">
        <v>1092</v>
      </c>
      <c r="J1486" s="133" t="s">
        <v>1810</v>
      </c>
      <c r="K1486" s="143">
        <v>45474</v>
      </c>
      <c r="L1486" s="133" t="s">
        <v>1241</v>
      </c>
      <c r="M1486" s="133">
        <v>55</v>
      </c>
      <c r="N1486" s="147"/>
      <c r="O1486" s="192"/>
      <c r="P1486" s="191"/>
    </row>
    <row r="1487" spans="1:16" hidden="1" x14ac:dyDescent="0.35">
      <c r="A1487" s="146"/>
      <c r="B1487" s="143"/>
      <c r="C1487" s="133"/>
      <c r="D1487" s="133"/>
      <c r="E1487" s="145"/>
      <c r="F1487" s="145"/>
      <c r="G1487" s="133"/>
      <c r="H1487" s="144"/>
      <c r="I1487" s="133"/>
      <c r="J1487" s="133"/>
      <c r="K1487" s="133"/>
      <c r="L1487" s="133"/>
      <c r="M1487" s="133"/>
      <c r="N1487" s="147"/>
      <c r="O1487" s="192"/>
      <c r="P1487" s="191"/>
    </row>
    <row r="1488" spans="1:16" hidden="1" x14ac:dyDescent="0.35">
      <c r="A1488" s="146">
        <v>54</v>
      </c>
      <c r="B1488" s="143">
        <v>45444</v>
      </c>
      <c r="C1488" s="133" t="s">
        <v>1830</v>
      </c>
      <c r="D1488" s="133" t="s">
        <v>1829</v>
      </c>
      <c r="E1488" s="145" t="s">
        <v>1118</v>
      </c>
      <c r="F1488" s="145">
        <v>3207.2</v>
      </c>
      <c r="G1488" s="133" t="s">
        <v>1034</v>
      </c>
      <c r="H1488" s="144" t="s">
        <v>1341</v>
      </c>
      <c r="I1488" s="133" t="s">
        <v>1092</v>
      </c>
      <c r="J1488" s="133" t="s">
        <v>1826</v>
      </c>
      <c r="K1488" s="143">
        <v>45474</v>
      </c>
      <c r="L1488" s="133" t="s">
        <v>1092</v>
      </c>
      <c r="M1488" s="133">
        <v>7245.2</v>
      </c>
      <c r="N1488" s="147">
        <f>+F1488+F1489+F1490-M1488-M1489</f>
        <v>0</v>
      </c>
      <c r="O1488" s="192"/>
      <c r="P1488" s="191"/>
    </row>
    <row r="1489" spans="1:16" hidden="1" x14ac:dyDescent="0.35">
      <c r="A1489" s="146"/>
      <c r="B1489" s="143"/>
      <c r="C1489" s="133"/>
      <c r="D1489" s="133"/>
      <c r="E1489" s="145" t="s">
        <v>1342</v>
      </c>
      <c r="F1489" s="145">
        <v>557</v>
      </c>
      <c r="G1489" s="133" t="s">
        <v>1034</v>
      </c>
      <c r="H1489" s="144" t="s">
        <v>1341</v>
      </c>
      <c r="I1489" s="133" t="s">
        <v>1092</v>
      </c>
      <c r="J1489" s="133" t="s">
        <v>1810</v>
      </c>
      <c r="K1489" s="143">
        <v>45474</v>
      </c>
      <c r="L1489" s="133" t="s">
        <v>1241</v>
      </c>
      <c r="M1489" s="133">
        <v>145</v>
      </c>
      <c r="N1489" s="147"/>
      <c r="O1489" s="192"/>
      <c r="P1489" s="191"/>
    </row>
    <row r="1490" spans="1:16" hidden="1" x14ac:dyDescent="0.35">
      <c r="A1490" s="146"/>
      <c r="B1490" s="143"/>
      <c r="C1490" s="133"/>
      <c r="D1490" s="133"/>
      <c r="E1490" s="145" t="s">
        <v>1075</v>
      </c>
      <c r="F1490" s="145">
        <v>3626</v>
      </c>
      <c r="G1490" s="133"/>
      <c r="H1490" s="144"/>
      <c r="I1490" s="133"/>
      <c r="J1490" s="133"/>
      <c r="K1490" s="133"/>
      <c r="L1490" s="133"/>
      <c r="M1490" s="133"/>
      <c r="N1490" s="147"/>
      <c r="O1490" s="192"/>
      <c r="P1490" s="191"/>
    </row>
    <row r="1491" spans="1:16" hidden="1" x14ac:dyDescent="0.35">
      <c r="A1491" s="146"/>
      <c r="B1491" s="143"/>
      <c r="C1491" s="133"/>
      <c r="D1491" s="133"/>
      <c r="E1491" s="145"/>
      <c r="F1491" s="145"/>
      <c r="G1491" s="133"/>
      <c r="H1491" s="144"/>
      <c r="I1491" s="133"/>
      <c r="J1491" s="133"/>
      <c r="K1491" s="133"/>
      <c r="L1491" s="133"/>
      <c r="M1491" s="133"/>
      <c r="N1491" s="147"/>
      <c r="O1491" s="192"/>
      <c r="P1491" s="191"/>
    </row>
    <row r="1492" spans="1:16" hidden="1" x14ac:dyDescent="0.35">
      <c r="A1492" s="146">
        <v>55</v>
      </c>
      <c r="B1492" s="143">
        <v>45444</v>
      </c>
      <c r="C1492" s="133" t="s">
        <v>1828</v>
      </c>
      <c r="D1492" s="133" t="s">
        <v>1827</v>
      </c>
      <c r="E1492" s="145" t="s">
        <v>1071</v>
      </c>
      <c r="F1492" s="145">
        <v>2085</v>
      </c>
      <c r="G1492" s="133" t="s">
        <v>1034</v>
      </c>
      <c r="H1492" s="144" t="s">
        <v>1341</v>
      </c>
      <c r="I1492" s="133" t="s">
        <v>1092</v>
      </c>
      <c r="J1492" s="133" t="s">
        <v>1826</v>
      </c>
      <c r="K1492" s="143">
        <v>45474</v>
      </c>
      <c r="L1492" s="133" t="s">
        <v>1092</v>
      </c>
      <c r="M1492" s="133">
        <v>5615.8600000000006</v>
      </c>
      <c r="N1492" s="147">
        <f>+F1492+F1493-M1492-M1493</f>
        <v>0</v>
      </c>
      <c r="O1492" s="192"/>
      <c r="P1492" s="191"/>
    </row>
    <row r="1493" spans="1:16" hidden="1" x14ac:dyDescent="0.35">
      <c r="A1493" s="146"/>
      <c r="B1493" s="143"/>
      <c r="C1493" s="133"/>
      <c r="D1493" s="133"/>
      <c r="E1493" s="145" t="s">
        <v>1078</v>
      </c>
      <c r="F1493" s="145">
        <v>3645.86</v>
      </c>
      <c r="G1493" s="133" t="s">
        <v>1034</v>
      </c>
      <c r="H1493" s="144" t="s">
        <v>1341</v>
      </c>
      <c r="I1493" s="133" t="s">
        <v>1092</v>
      </c>
      <c r="J1493" s="133" t="s">
        <v>1810</v>
      </c>
      <c r="K1493" s="143">
        <v>45474</v>
      </c>
      <c r="L1493" s="133" t="s">
        <v>1241</v>
      </c>
      <c r="M1493" s="133">
        <v>115</v>
      </c>
      <c r="N1493" s="147"/>
      <c r="O1493" s="192"/>
      <c r="P1493" s="191"/>
    </row>
    <row r="1494" spans="1:16" hidden="1" x14ac:dyDescent="0.35">
      <c r="A1494" s="146"/>
      <c r="B1494" s="143"/>
      <c r="C1494" s="133"/>
      <c r="D1494" s="133"/>
      <c r="E1494" s="145"/>
      <c r="F1494" s="145"/>
      <c r="G1494" s="133"/>
      <c r="H1494" s="144"/>
      <c r="I1494" s="133"/>
      <c r="J1494" s="133"/>
      <c r="K1494" s="133"/>
      <c r="L1494" s="133"/>
      <c r="M1494" s="133"/>
      <c r="N1494" s="147"/>
      <c r="O1494" s="192"/>
      <c r="P1494" s="191"/>
    </row>
    <row r="1495" spans="1:16" hidden="1" x14ac:dyDescent="0.35">
      <c r="A1495" s="146">
        <v>56</v>
      </c>
      <c r="B1495" s="143">
        <v>45444</v>
      </c>
      <c r="C1495" s="133" t="s">
        <v>1825</v>
      </c>
      <c r="D1495" s="133" t="s">
        <v>1824</v>
      </c>
      <c r="E1495" s="145" t="s">
        <v>1064</v>
      </c>
      <c r="F1495" s="145">
        <v>936.9</v>
      </c>
      <c r="G1495" s="133" t="s">
        <v>1034</v>
      </c>
      <c r="H1495" s="144" t="s">
        <v>1341</v>
      </c>
      <c r="I1495" s="133" t="s">
        <v>1092</v>
      </c>
      <c r="J1495" s="133" t="s">
        <v>1811</v>
      </c>
      <c r="K1495" s="143">
        <v>45474</v>
      </c>
      <c r="L1495" s="133" t="s">
        <v>1092</v>
      </c>
      <c r="M1495" s="133">
        <v>7968.2000000000007</v>
      </c>
      <c r="N1495" s="147">
        <f>+F1495+F1496+F1497-M1495-M1496</f>
        <v>0</v>
      </c>
      <c r="O1495" s="192"/>
      <c r="P1495" s="191"/>
    </row>
    <row r="1496" spans="1:16" hidden="1" x14ac:dyDescent="0.35">
      <c r="A1496" s="146"/>
      <c r="B1496" s="143"/>
      <c r="C1496" s="133"/>
      <c r="D1496" s="133"/>
      <c r="E1496" s="145" t="s">
        <v>1342</v>
      </c>
      <c r="F1496" s="145">
        <v>624</v>
      </c>
      <c r="G1496" s="133" t="s">
        <v>1034</v>
      </c>
      <c r="H1496" s="144" t="s">
        <v>1341</v>
      </c>
      <c r="I1496" s="133" t="s">
        <v>1092</v>
      </c>
      <c r="J1496" s="133" t="s">
        <v>1810</v>
      </c>
      <c r="K1496" s="143">
        <v>45474</v>
      </c>
      <c r="L1496" s="133" t="s">
        <v>1241</v>
      </c>
      <c r="M1496" s="133">
        <v>161</v>
      </c>
      <c r="N1496" s="147"/>
      <c r="O1496" s="192"/>
      <c r="P1496" s="191"/>
    </row>
    <row r="1497" spans="1:16" hidden="1" x14ac:dyDescent="0.35">
      <c r="A1497" s="146"/>
      <c r="B1497" s="143"/>
      <c r="C1497" s="133"/>
      <c r="D1497" s="133"/>
      <c r="E1497" s="145" t="s">
        <v>1075</v>
      </c>
      <c r="F1497" s="145">
        <v>6568.3</v>
      </c>
      <c r="G1497" s="133"/>
      <c r="H1497" s="144"/>
      <c r="I1497" s="133"/>
      <c r="J1497" s="133"/>
      <c r="K1497" s="143"/>
      <c r="L1497" s="133"/>
      <c r="M1497" s="133"/>
      <c r="N1497" s="147"/>
      <c r="O1497" s="192"/>
      <c r="P1497" s="191"/>
    </row>
    <row r="1498" spans="1:16" hidden="1" x14ac:dyDescent="0.35">
      <c r="A1498" s="146"/>
      <c r="B1498" s="143"/>
      <c r="C1498" s="133"/>
      <c r="D1498" s="133"/>
      <c r="E1498" s="145"/>
      <c r="F1498" s="145"/>
      <c r="G1498" s="133"/>
      <c r="H1498" s="144"/>
      <c r="I1498" s="133"/>
      <c r="J1498" s="133"/>
      <c r="K1498" s="133"/>
      <c r="L1498" s="133"/>
      <c r="M1498" s="133"/>
      <c r="N1498" s="147"/>
      <c r="O1498" s="192"/>
      <c r="P1498" s="191"/>
    </row>
    <row r="1499" spans="1:16" hidden="1" x14ac:dyDescent="0.35">
      <c r="A1499" s="146">
        <v>57</v>
      </c>
      <c r="B1499" s="143">
        <v>45444</v>
      </c>
      <c r="C1499" s="133" t="s">
        <v>1823</v>
      </c>
      <c r="D1499" s="133" t="s">
        <v>1317</v>
      </c>
      <c r="E1499" s="145" t="s">
        <v>1075</v>
      </c>
      <c r="F1499" s="145">
        <v>273</v>
      </c>
      <c r="G1499" s="133" t="s">
        <v>1034</v>
      </c>
      <c r="H1499" s="144" t="s">
        <v>1341</v>
      </c>
      <c r="I1499" s="133" t="s">
        <v>1092</v>
      </c>
      <c r="J1499" s="133" t="s">
        <v>1811</v>
      </c>
      <c r="K1499" s="143">
        <v>45474</v>
      </c>
      <c r="L1499" s="133" t="s">
        <v>1092</v>
      </c>
      <c r="M1499" s="133">
        <v>3893.7</v>
      </c>
      <c r="N1499" s="147">
        <f>+F1499+F1500+F1501-M1499-M1500</f>
        <v>0</v>
      </c>
      <c r="O1499" s="192"/>
      <c r="P1499" s="191"/>
    </row>
    <row r="1500" spans="1:16" hidden="1" x14ac:dyDescent="0.35">
      <c r="A1500" s="146"/>
      <c r="B1500" s="143"/>
      <c r="C1500" s="133"/>
      <c r="D1500" s="133"/>
      <c r="E1500" s="145" t="s">
        <v>1067</v>
      </c>
      <c r="F1500" s="145">
        <v>1499.8</v>
      </c>
      <c r="G1500" s="133" t="s">
        <v>1034</v>
      </c>
      <c r="H1500" s="144" t="s">
        <v>1341</v>
      </c>
      <c r="I1500" s="133" t="s">
        <v>1092</v>
      </c>
      <c r="J1500" s="133" t="s">
        <v>1810</v>
      </c>
      <c r="K1500" s="143">
        <v>45474</v>
      </c>
      <c r="L1500" s="133" t="s">
        <v>1241</v>
      </c>
      <c r="M1500" s="133">
        <v>82</v>
      </c>
      <c r="N1500" s="147"/>
      <c r="O1500" s="192"/>
      <c r="P1500" s="191"/>
    </row>
    <row r="1501" spans="1:16" hidden="1" x14ac:dyDescent="0.35">
      <c r="A1501" s="146"/>
      <c r="B1501" s="143"/>
      <c r="C1501" s="133"/>
      <c r="D1501" s="133"/>
      <c r="E1501" s="145" t="s">
        <v>1071</v>
      </c>
      <c r="F1501" s="145">
        <v>2202.9</v>
      </c>
      <c r="G1501" s="133"/>
      <c r="H1501" s="144"/>
      <c r="I1501" s="133"/>
      <c r="J1501" s="133"/>
      <c r="K1501" s="133"/>
      <c r="L1501" s="133"/>
      <c r="M1501" s="133"/>
      <c r="N1501" s="147"/>
      <c r="O1501" s="192"/>
      <c r="P1501" s="191"/>
    </row>
    <row r="1502" spans="1:16" hidden="1" x14ac:dyDescent="0.35">
      <c r="A1502" s="146"/>
      <c r="B1502" s="143"/>
      <c r="C1502" s="133"/>
      <c r="D1502" s="133"/>
      <c r="E1502" s="145"/>
      <c r="F1502" s="145"/>
      <c r="G1502" s="133"/>
      <c r="H1502" s="144"/>
      <c r="I1502" s="133"/>
      <c r="J1502" s="133"/>
      <c r="K1502" s="133"/>
      <c r="L1502" s="133"/>
      <c r="M1502" s="133"/>
      <c r="N1502" s="147"/>
      <c r="O1502" s="192"/>
      <c r="P1502" s="191"/>
    </row>
    <row r="1503" spans="1:16" hidden="1" x14ac:dyDescent="0.35">
      <c r="A1503" s="146">
        <v>58</v>
      </c>
      <c r="B1503" s="143">
        <v>45444</v>
      </c>
      <c r="C1503" s="133" t="s">
        <v>1822</v>
      </c>
      <c r="D1503" s="133" t="s">
        <v>1821</v>
      </c>
      <c r="E1503" s="145" t="s">
        <v>1075</v>
      </c>
      <c r="F1503" s="145">
        <v>4288.3</v>
      </c>
      <c r="G1503" s="133" t="s">
        <v>1034</v>
      </c>
      <c r="H1503" s="144" t="s">
        <v>1341</v>
      </c>
      <c r="I1503" s="133" t="s">
        <v>1092</v>
      </c>
      <c r="J1503" s="133" t="s">
        <v>1811</v>
      </c>
      <c r="K1503" s="143">
        <v>45474</v>
      </c>
      <c r="L1503" s="133" t="s">
        <v>1092</v>
      </c>
      <c r="M1503" s="133">
        <v>11562.099999999999</v>
      </c>
      <c r="N1503" s="147">
        <f>+F1503+F1504+F1505+F1506-M1503-M1504</f>
        <v>0</v>
      </c>
      <c r="O1503" s="192"/>
      <c r="P1503" s="191"/>
    </row>
    <row r="1504" spans="1:16" hidden="1" x14ac:dyDescent="0.35">
      <c r="A1504" s="146"/>
      <c r="B1504" s="143"/>
      <c r="C1504" s="133"/>
      <c r="D1504" s="133"/>
      <c r="E1504" s="145" t="s">
        <v>1342</v>
      </c>
      <c r="F1504" s="145">
        <v>4945</v>
      </c>
      <c r="G1504" s="133" t="s">
        <v>1034</v>
      </c>
      <c r="H1504" s="144" t="s">
        <v>1341</v>
      </c>
      <c r="I1504" s="133" t="s">
        <v>1092</v>
      </c>
      <c r="J1504" s="133" t="s">
        <v>1810</v>
      </c>
      <c r="K1504" s="143">
        <v>45474</v>
      </c>
      <c r="L1504" s="133" t="s">
        <v>1241</v>
      </c>
      <c r="M1504" s="133">
        <v>236</v>
      </c>
      <c r="N1504" s="147"/>
      <c r="O1504" s="192"/>
      <c r="P1504" s="191"/>
    </row>
    <row r="1505" spans="1:16" hidden="1" x14ac:dyDescent="0.35">
      <c r="A1505" s="146"/>
      <c r="B1505" s="143"/>
      <c r="C1505" s="133"/>
      <c r="D1505" s="133"/>
      <c r="E1505" s="145" t="s">
        <v>1067</v>
      </c>
      <c r="F1505" s="145">
        <v>1607</v>
      </c>
      <c r="G1505" s="133"/>
      <c r="H1505" s="144"/>
      <c r="I1505" s="133"/>
      <c r="J1505" s="133"/>
      <c r="K1505" s="133"/>
      <c r="L1505" s="133"/>
      <c r="M1505" s="133"/>
      <c r="N1505" s="147"/>
      <c r="O1505" s="192"/>
      <c r="P1505" s="191"/>
    </row>
    <row r="1506" spans="1:16" hidden="1" x14ac:dyDescent="0.35">
      <c r="A1506" s="146"/>
      <c r="B1506" s="143"/>
      <c r="C1506" s="133"/>
      <c r="D1506" s="133"/>
      <c r="E1506" s="145" t="s">
        <v>1064</v>
      </c>
      <c r="F1506" s="145">
        <v>957.8</v>
      </c>
      <c r="G1506" s="133"/>
      <c r="H1506" s="144"/>
      <c r="I1506" s="133"/>
      <c r="J1506" s="133"/>
      <c r="K1506" s="133"/>
      <c r="L1506" s="133"/>
      <c r="M1506" s="133"/>
      <c r="N1506" s="147"/>
      <c r="O1506" s="192"/>
      <c r="P1506" s="191"/>
    </row>
    <row r="1507" spans="1:16" hidden="1" x14ac:dyDescent="0.35">
      <c r="A1507" s="146"/>
      <c r="B1507" s="143"/>
      <c r="C1507" s="133"/>
      <c r="D1507" s="133"/>
      <c r="E1507" s="145"/>
      <c r="F1507" s="145"/>
      <c r="G1507" s="133"/>
      <c r="H1507" s="144"/>
      <c r="I1507" s="133"/>
      <c r="J1507" s="133"/>
      <c r="K1507" s="133"/>
      <c r="L1507" s="133"/>
      <c r="M1507" s="133"/>
      <c r="N1507" s="147"/>
      <c r="O1507" s="192"/>
      <c r="P1507" s="191"/>
    </row>
    <row r="1508" spans="1:16" hidden="1" x14ac:dyDescent="0.35">
      <c r="A1508" s="146">
        <v>59</v>
      </c>
      <c r="B1508" s="143">
        <v>45444</v>
      </c>
      <c r="C1508" s="133" t="s">
        <v>1820</v>
      </c>
      <c r="D1508" s="133" t="s">
        <v>1313</v>
      </c>
      <c r="E1508" s="145" t="s">
        <v>1067</v>
      </c>
      <c r="F1508" s="145">
        <v>918.1</v>
      </c>
      <c r="G1508" s="133" t="s">
        <v>1034</v>
      </c>
      <c r="H1508" s="144" t="s">
        <v>1341</v>
      </c>
      <c r="I1508" s="133" t="s">
        <v>1092</v>
      </c>
      <c r="J1508" s="133" t="s">
        <v>1811</v>
      </c>
      <c r="K1508" s="143">
        <v>45474</v>
      </c>
      <c r="L1508" s="133" t="s">
        <v>1092</v>
      </c>
      <c r="M1508" s="133">
        <v>903.1</v>
      </c>
      <c r="N1508" s="147">
        <f>+F1508-M1508-M1509</f>
        <v>0</v>
      </c>
      <c r="O1508" s="192"/>
      <c r="P1508" s="191"/>
    </row>
    <row r="1509" spans="1:16" hidden="1" x14ac:dyDescent="0.35">
      <c r="A1509" s="146"/>
      <c r="B1509" s="143"/>
      <c r="C1509" s="133"/>
      <c r="D1509" s="133"/>
      <c r="E1509" s="145"/>
      <c r="F1509" s="145"/>
      <c r="G1509" s="133" t="s">
        <v>1034</v>
      </c>
      <c r="H1509" s="144" t="s">
        <v>1341</v>
      </c>
      <c r="I1509" s="133" t="s">
        <v>1092</v>
      </c>
      <c r="J1509" s="133" t="s">
        <v>1810</v>
      </c>
      <c r="K1509" s="143">
        <v>45474</v>
      </c>
      <c r="L1509" s="133" t="s">
        <v>1241</v>
      </c>
      <c r="M1509" s="133">
        <v>15</v>
      </c>
      <c r="N1509" s="147"/>
      <c r="O1509" s="192"/>
      <c r="P1509" s="191"/>
    </row>
    <row r="1510" spans="1:16" hidden="1" x14ac:dyDescent="0.35">
      <c r="A1510" s="146"/>
      <c r="B1510" s="143"/>
      <c r="C1510" s="133"/>
      <c r="D1510" s="133"/>
      <c r="E1510" s="145"/>
      <c r="F1510" s="145"/>
      <c r="G1510" s="133"/>
      <c r="H1510" s="144"/>
      <c r="I1510" s="133"/>
      <c r="J1510" s="133"/>
      <c r="K1510" s="143"/>
      <c r="L1510" s="133"/>
      <c r="M1510" s="133"/>
      <c r="N1510" s="147"/>
      <c r="O1510" s="192"/>
      <c r="P1510" s="191"/>
    </row>
    <row r="1511" spans="1:16" hidden="1" x14ac:dyDescent="0.35">
      <c r="A1511" s="146">
        <v>60</v>
      </c>
      <c r="B1511" s="143">
        <v>45444</v>
      </c>
      <c r="C1511" s="133" t="s">
        <v>1819</v>
      </c>
      <c r="D1511" s="133" t="s">
        <v>1818</v>
      </c>
      <c r="E1511" s="145" t="s">
        <v>1075</v>
      </c>
      <c r="F1511" s="145">
        <v>5184</v>
      </c>
      <c r="G1511" s="133" t="s">
        <v>1034</v>
      </c>
      <c r="H1511" s="144" t="s">
        <v>1341</v>
      </c>
      <c r="I1511" s="133" t="s">
        <v>1092</v>
      </c>
      <c r="J1511" s="133" t="s">
        <v>1811</v>
      </c>
      <c r="K1511" s="143">
        <v>45474</v>
      </c>
      <c r="L1511" s="133" t="s">
        <v>1092</v>
      </c>
      <c r="M1511" s="133">
        <v>15300.4</v>
      </c>
      <c r="N1511" s="147">
        <f>+F1511+F1512+F1513+F1514-M1511-M1512</f>
        <v>0</v>
      </c>
      <c r="O1511" s="192"/>
      <c r="P1511" s="191"/>
    </row>
    <row r="1512" spans="1:16" hidden="1" x14ac:dyDescent="0.35">
      <c r="A1512" s="146"/>
      <c r="B1512" s="143"/>
      <c r="C1512" s="133"/>
      <c r="D1512" s="133"/>
      <c r="E1512" s="145" t="s">
        <v>1342</v>
      </c>
      <c r="F1512" s="145">
        <v>6011</v>
      </c>
      <c r="G1512" s="133" t="s">
        <v>1034</v>
      </c>
      <c r="H1512" s="144" t="s">
        <v>1341</v>
      </c>
      <c r="I1512" s="133" t="s">
        <v>1092</v>
      </c>
      <c r="J1512" s="133" t="s">
        <v>1810</v>
      </c>
      <c r="K1512" s="143">
        <v>45474</v>
      </c>
      <c r="L1512" s="133" t="s">
        <v>1241</v>
      </c>
      <c r="M1512" s="133">
        <v>315</v>
      </c>
      <c r="N1512" s="147"/>
      <c r="O1512" s="192"/>
      <c r="P1512" s="191"/>
    </row>
    <row r="1513" spans="1:16" hidden="1" x14ac:dyDescent="0.35">
      <c r="A1513" s="146"/>
      <c r="B1513" s="143"/>
      <c r="C1513" s="133"/>
      <c r="D1513" s="133"/>
      <c r="E1513" s="145" t="s">
        <v>1067</v>
      </c>
      <c r="F1513" s="145">
        <v>970</v>
      </c>
      <c r="G1513" s="133"/>
      <c r="H1513" s="144"/>
      <c r="I1513" s="133"/>
      <c r="J1513" s="133"/>
      <c r="K1513" s="133"/>
      <c r="L1513" s="133"/>
      <c r="M1513" s="133"/>
      <c r="N1513" s="147"/>
      <c r="O1513" s="192"/>
      <c r="P1513" s="191"/>
    </row>
    <row r="1514" spans="1:16" hidden="1" x14ac:dyDescent="0.35">
      <c r="A1514" s="146"/>
      <c r="B1514" s="143"/>
      <c r="C1514" s="133"/>
      <c r="D1514" s="133"/>
      <c r="E1514" s="145" t="s">
        <v>1071</v>
      </c>
      <c r="F1514" s="145">
        <v>3450.4</v>
      </c>
      <c r="G1514" s="133"/>
      <c r="H1514" s="144"/>
      <c r="I1514" s="133"/>
      <c r="J1514" s="133"/>
      <c r="K1514" s="133"/>
      <c r="L1514" s="133"/>
      <c r="M1514" s="133"/>
      <c r="N1514" s="147"/>
      <c r="O1514" s="192"/>
      <c r="P1514" s="191"/>
    </row>
    <row r="1515" spans="1:16" hidden="1" x14ac:dyDescent="0.35">
      <c r="A1515" s="146"/>
      <c r="B1515" s="143"/>
      <c r="C1515" s="133"/>
      <c r="D1515" s="133"/>
      <c r="E1515" s="145"/>
      <c r="F1515" s="145"/>
      <c r="G1515" s="133"/>
      <c r="H1515" s="144"/>
      <c r="I1515" s="133"/>
      <c r="J1515" s="133"/>
      <c r="K1515" s="133"/>
      <c r="L1515" s="133"/>
      <c r="M1515" s="133"/>
      <c r="N1515" s="147"/>
      <c r="O1515" s="192"/>
      <c r="P1515" s="191"/>
    </row>
    <row r="1516" spans="1:16" hidden="1" x14ac:dyDescent="0.35">
      <c r="A1516" s="146">
        <v>61</v>
      </c>
      <c r="B1516" s="143">
        <v>45444</v>
      </c>
      <c r="C1516" s="133" t="s">
        <v>1817</v>
      </c>
      <c r="D1516" s="133" t="s">
        <v>1816</v>
      </c>
      <c r="E1516" s="145" t="s">
        <v>1075</v>
      </c>
      <c r="F1516" s="145">
        <v>5071</v>
      </c>
      <c r="G1516" s="133" t="s">
        <v>1034</v>
      </c>
      <c r="H1516" s="144" t="s">
        <v>1341</v>
      </c>
      <c r="I1516" s="133" t="s">
        <v>1092</v>
      </c>
      <c r="J1516" s="133" t="s">
        <v>1811</v>
      </c>
      <c r="K1516" s="143">
        <v>45474</v>
      </c>
      <c r="L1516" s="133" t="s">
        <v>1092</v>
      </c>
      <c r="M1516" s="133">
        <v>11169.3</v>
      </c>
      <c r="N1516" s="147">
        <f>+F1516+F1517+F1518-M1516-M1517</f>
        <v>0</v>
      </c>
      <c r="O1516" s="192"/>
      <c r="P1516" s="191"/>
    </row>
    <row r="1517" spans="1:16" hidden="1" x14ac:dyDescent="0.35">
      <c r="A1517" s="146"/>
      <c r="B1517" s="143"/>
      <c r="C1517" s="133"/>
      <c r="D1517" s="133"/>
      <c r="E1517" s="145" t="s">
        <v>1342</v>
      </c>
      <c r="F1517" s="145">
        <v>4815</v>
      </c>
      <c r="G1517" s="133" t="s">
        <v>1034</v>
      </c>
      <c r="H1517" s="144" t="s">
        <v>1341</v>
      </c>
      <c r="I1517" s="133" t="s">
        <v>1092</v>
      </c>
      <c r="J1517" s="133" t="s">
        <v>1810</v>
      </c>
      <c r="K1517" s="143">
        <v>45474</v>
      </c>
      <c r="L1517" s="133" t="s">
        <v>1241</v>
      </c>
      <c r="M1517" s="133">
        <v>229</v>
      </c>
      <c r="N1517" s="147"/>
      <c r="O1517" s="192"/>
      <c r="P1517" s="191"/>
    </row>
    <row r="1518" spans="1:16" hidden="1" x14ac:dyDescent="0.35">
      <c r="A1518" s="146"/>
      <c r="B1518" s="143"/>
      <c r="C1518" s="133"/>
      <c r="D1518" s="133"/>
      <c r="E1518" s="145" t="s">
        <v>1067</v>
      </c>
      <c r="F1518" s="145">
        <v>1512.3</v>
      </c>
      <c r="G1518" s="133"/>
      <c r="H1518" s="144"/>
      <c r="I1518" s="133"/>
      <c r="J1518" s="133"/>
      <c r="K1518" s="133"/>
      <c r="L1518" s="133"/>
      <c r="M1518" s="133"/>
      <c r="N1518" s="147"/>
      <c r="O1518" s="192"/>
      <c r="P1518" s="191"/>
    </row>
    <row r="1519" spans="1:16" hidden="1" x14ac:dyDescent="0.35">
      <c r="A1519" s="146"/>
      <c r="B1519" s="143"/>
      <c r="C1519" s="133"/>
      <c r="D1519" s="133"/>
      <c r="E1519" s="145"/>
      <c r="F1519" s="145"/>
      <c r="G1519" s="133"/>
      <c r="H1519" s="144"/>
      <c r="I1519" s="133"/>
      <c r="J1519" s="133"/>
      <c r="K1519" s="133"/>
      <c r="L1519" s="133"/>
      <c r="M1519" s="133"/>
      <c r="N1519" s="147"/>
      <c r="O1519" s="192"/>
      <c r="P1519" s="191"/>
    </row>
    <row r="1520" spans="1:16" hidden="1" x14ac:dyDescent="0.35">
      <c r="A1520" s="146">
        <v>62</v>
      </c>
      <c r="B1520" s="143">
        <v>45444</v>
      </c>
      <c r="C1520" s="133" t="s">
        <v>1815</v>
      </c>
      <c r="D1520" s="133" t="s">
        <v>1814</v>
      </c>
      <c r="E1520" s="145" t="s">
        <v>1078</v>
      </c>
      <c r="F1520" s="145">
        <v>4866.3</v>
      </c>
      <c r="G1520" s="133" t="s">
        <v>1034</v>
      </c>
      <c r="H1520" s="144" t="s">
        <v>1341</v>
      </c>
      <c r="I1520" s="133" t="s">
        <v>1092</v>
      </c>
      <c r="J1520" s="133" t="s">
        <v>1811</v>
      </c>
      <c r="K1520" s="143">
        <v>45474</v>
      </c>
      <c r="L1520" s="133" t="s">
        <v>1092</v>
      </c>
      <c r="M1520" s="133">
        <v>4866.3</v>
      </c>
      <c r="N1520" s="147">
        <f>+F1520-M1520</f>
        <v>0</v>
      </c>
      <c r="O1520" s="192"/>
      <c r="P1520" s="191"/>
    </row>
    <row r="1521" spans="1:16" hidden="1" x14ac:dyDescent="0.35">
      <c r="A1521" s="146"/>
      <c r="B1521" s="143"/>
      <c r="C1521" s="133"/>
      <c r="D1521" s="133"/>
      <c r="E1521" s="145"/>
      <c r="F1521" s="145"/>
      <c r="G1521" s="133"/>
      <c r="H1521" s="144"/>
      <c r="I1521" s="133"/>
      <c r="J1521" s="133"/>
      <c r="K1521" s="143"/>
      <c r="L1521" s="133"/>
      <c r="M1521" s="133"/>
      <c r="N1521" s="147"/>
      <c r="O1521" s="192"/>
      <c r="P1521" s="191"/>
    </row>
    <row r="1522" spans="1:16" hidden="1" x14ac:dyDescent="0.35">
      <c r="A1522" s="146">
        <v>63</v>
      </c>
      <c r="B1522" s="143">
        <v>45444</v>
      </c>
      <c r="C1522" s="133" t="s">
        <v>1813</v>
      </c>
      <c r="D1522" s="133" t="s">
        <v>1812</v>
      </c>
      <c r="E1522" s="145" t="s">
        <v>1075</v>
      </c>
      <c r="F1522" s="145">
        <v>2328.8000000000002</v>
      </c>
      <c r="G1522" s="133" t="s">
        <v>1034</v>
      </c>
      <c r="H1522" s="144" t="s">
        <v>1341</v>
      </c>
      <c r="I1522" s="133" t="s">
        <v>1092</v>
      </c>
      <c r="J1522" s="133" t="s">
        <v>1811</v>
      </c>
      <c r="K1522" s="143">
        <v>45474</v>
      </c>
      <c r="L1522" s="133" t="s">
        <v>1092</v>
      </c>
      <c r="M1522" s="133">
        <v>6004.1</v>
      </c>
      <c r="N1522" s="147">
        <f>+F1522+F1523+F1524+F1525-M1522-M1523</f>
        <v>0</v>
      </c>
      <c r="O1522" s="192"/>
      <c r="P1522" s="191"/>
    </row>
    <row r="1523" spans="1:16" hidden="1" x14ac:dyDescent="0.35">
      <c r="A1523" s="146"/>
      <c r="B1523" s="143"/>
      <c r="C1523" s="133"/>
      <c r="D1523" s="133"/>
      <c r="E1523" s="145" t="s">
        <v>1342</v>
      </c>
      <c r="F1523" s="145">
        <v>23</v>
      </c>
      <c r="G1523" s="133" t="s">
        <v>1034</v>
      </c>
      <c r="H1523" s="144" t="s">
        <v>1341</v>
      </c>
      <c r="I1523" s="133" t="s">
        <v>1092</v>
      </c>
      <c r="J1523" s="133" t="s">
        <v>1810</v>
      </c>
      <c r="K1523" s="143">
        <v>45474</v>
      </c>
      <c r="L1523" s="133" t="s">
        <v>1241</v>
      </c>
      <c r="M1523" s="133">
        <v>125</v>
      </c>
      <c r="N1523" s="147"/>
      <c r="O1523" s="192"/>
      <c r="P1523" s="191"/>
    </row>
    <row r="1524" spans="1:16" hidden="1" x14ac:dyDescent="0.35">
      <c r="A1524" s="146"/>
      <c r="B1524" s="143"/>
      <c r="C1524" s="133"/>
      <c r="D1524" s="133"/>
      <c r="E1524" s="145" t="s">
        <v>1118</v>
      </c>
      <c r="F1524" s="145">
        <v>2909.5</v>
      </c>
      <c r="G1524" s="133"/>
      <c r="H1524" s="144"/>
      <c r="I1524" s="133"/>
      <c r="J1524" s="133"/>
      <c r="K1524" s="133"/>
      <c r="L1524" s="133"/>
      <c r="M1524" s="133"/>
      <c r="N1524" s="147"/>
      <c r="P1524" s="140"/>
    </row>
    <row r="1525" spans="1:16" hidden="1" x14ac:dyDescent="0.35">
      <c r="A1525" s="146"/>
      <c r="B1525" s="143"/>
      <c r="C1525" s="133"/>
      <c r="D1525" s="133"/>
      <c r="E1525" s="145" t="s">
        <v>1064</v>
      </c>
      <c r="F1525" s="145">
        <v>867.8</v>
      </c>
      <c r="G1525" s="133"/>
      <c r="H1525" s="144"/>
      <c r="I1525" s="133"/>
      <c r="J1525" s="133"/>
      <c r="K1525" s="133"/>
      <c r="L1525" s="133"/>
      <c r="M1525" s="133"/>
      <c r="N1525" s="147"/>
      <c r="P1525" s="140"/>
    </row>
    <row r="1526" spans="1:16" hidden="1" x14ac:dyDescent="0.35">
      <c r="A1526" s="146"/>
      <c r="B1526" s="143"/>
      <c r="C1526" s="133"/>
      <c r="D1526" s="133"/>
      <c r="E1526" s="145"/>
      <c r="F1526" s="145"/>
      <c r="G1526" s="133"/>
      <c r="H1526" s="144"/>
      <c r="I1526" s="133"/>
      <c r="J1526" s="133"/>
      <c r="K1526" s="133"/>
      <c r="L1526" s="133"/>
      <c r="M1526" s="133"/>
      <c r="N1526" s="147"/>
      <c r="P1526" s="140"/>
    </row>
    <row r="1527" spans="1:16" hidden="1" x14ac:dyDescent="0.35">
      <c r="A1527" s="146">
        <v>64</v>
      </c>
      <c r="B1527" s="143">
        <v>45444</v>
      </c>
      <c r="C1527" s="133" t="s">
        <v>1809</v>
      </c>
      <c r="D1527" s="133" t="s">
        <v>1808</v>
      </c>
      <c r="E1527" s="145" t="s">
        <v>1075</v>
      </c>
      <c r="F1527" s="145">
        <v>2948.9</v>
      </c>
      <c r="G1527" s="133" t="s">
        <v>1034</v>
      </c>
      <c r="H1527" s="144" t="s">
        <v>1341</v>
      </c>
      <c r="I1527" s="133" t="s">
        <v>1092</v>
      </c>
      <c r="J1527" s="133" t="s">
        <v>1799</v>
      </c>
      <c r="K1527" s="143">
        <v>45474</v>
      </c>
      <c r="L1527" s="133" t="s">
        <v>1092</v>
      </c>
      <c r="M1527" s="133">
        <v>8187.5</v>
      </c>
      <c r="N1527" s="147">
        <f>+F1527+F1528+F1529+F1530+F1531-M1527-M1528</f>
        <v>0</v>
      </c>
      <c r="P1527" s="140"/>
    </row>
    <row r="1528" spans="1:16" hidden="1" x14ac:dyDescent="0.35">
      <c r="A1528" s="146"/>
      <c r="B1528" s="143"/>
      <c r="C1528" s="133"/>
      <c r="D1528" s="133"/>
      <c r="E1528" s="145" t="s">
        <v>1067</v>
      </c>
      <c r="F1528" s="145">
        <v>350.1</v>
      </c>
      <c r="G1528" s="133" t="s">
        <v>1034</v>
      </c>
      <c r="H1528" s="144" t="s">
        <v>1341</v>
      </c>
      <c r="I1528" s="133" t="s">
        <v>1092</v>
      </c>
      <c r="J1528" s="133" t="s">
        <v>1776</v>
      </c>
      <c r="K1528" s="143">
        <v>45505</v>
      </c>
      <c r="L1528" s="133" t="s">
        <v>1241</v>
      </c>
      <c r="M1528" s="133">
        <v>160</v>
      </c>
      <c r="N1528" s="147"/>
      <c r="P1528" s="140"/>
    </row>
    <row r="1529" spans="1:16" hidden="1" x14ac:dyDescent="0.35">
      <c r="A1529" s="146"/>
      <c r="B1529" s="143"/>
      <c r="C1529" s="133"/>
      <c r="D1529" s="133"/>
      <c r="E1529" s="145" t="s">
        <v>1118</v>
      </c>
      <c r="F1529" s="145">
        <v>2127.4</v>
      </c>
      <c r="G1529" s="133"/>
      <c r="H1529" s="144"/>
      <c r="I1529" s="133"/>
      <c r="J1529" s="133"/>
      <c r="K1529" s="133"/>
      <c r="L1529" s="133"/>
      <c r="M1529" s="133"/>
      <c r="N1529" s="147"/>
      <c r="P1529" s="140"/>
    </row>
    <row r="1530" spans="1:16" hidden="1" x14ac:dyDescent="0.35">
      <c r="A1530" s="146"/>
      <c r="B1530" s="143"/>
      <c r="C1530" s="133"/>
      <c r="D1530" s="133"/>
      <c r="E1530" s="145" t="s">
        <v>1064</v>
      </c>
      <c r="F1530" s="145">
        <v>874.5</v>
      </c>
      <c r="G1530" s="133"/>
      <c r="H1530" s="144"/>
      <c r="I1530" s="133"/>
      <c r="J1530" s="133"/>
      <c r="K1530" s="133"/>
      <c r="L1530" s="133"/>
      <c r="M1530" s="133"/>
      <c r="N1530" s="147"/>
      <c r="P1530" s="140"/>
    </row>
    <row r="1531" spans="1:16" hidden="1" x14ac:dyDescent="0.35">
      <c r="A1531" s="146"/>
      <c r="B1531" s="143"/>
      <c r="C1531" s="133"/>
      <c r="D1531" s="133"/>
      <c r="E1531" s="145" t="s">
        <v>1071</v>
      </c>
      <c r="F1531" s="145">
        <v>2046.6</v>
      </c>
      <c r="G1531" s="133"/>
      <c r="H1531" s="144"/>
      <c r="I1531" s="133"/>
      <c r="J1531" s="133"/>
      <c r="K1531" s="133"/>
      <c r="L1531" s="133"/>
      <c r="M1531" s="133"/>
      <c r="N1531" s="147"/>
      <c r="P1531" s="140"/>
    </row>
    <row r="1532" spans="1:16" hidden="1" x14ac:dyDescent="0.35">
      <c r="A1532" s="146"/>
      <c r="B1532" s="143"/>
      <c r="C1532" s="133"/>
      <c r="D1532" s="133"/>
      <c r="E1532" s="145"/>
      <c r="F1532" s="145"/>
      <c r="G1532" s="133"/>
      <c r="H1532" s="144"/>
      <c r="I1532" s="133"/>
      <c r="J1532" s="133"/>
      <c r="K1532" s="133"/>
      <c r="L1532" s="133"/>
      <c r="M1532" s="133"/>
      <c r="N1532" s="147"/>
      <c r="P1532" s="140"/>
    </row>
    <row r="1533" spans="1:16" hidden="1" x14ac:dyDescent="0.35">
      <c r="A1533" s="146">
        <v>65</v>
      </c>
      <c r="B1533" s="143">
        <v>45444</v>
      </c>
      <c r="C1533" s="133" t="s">
        <v>1807</v>
      </c>
      <c r="D1533" s="133" t="s">
        <v>1806</v>
      </c>
      <c r="E1533" s="145" t="s">
        <v>1075</v>
      </c>
      <c r="F1533" s="145">
        <v>156</v>
      </c>
      <c r="G1533" s="133" t="s">
        <v>1034</v>
      </c>
      <c r="H1533" s="144" t="s">
        <v>1341</v>
      </c>
      <c r="I1533" s="133" t="s">
        <v>1092</v>
      </c>
      <c r="J1533" s="133" t="s">
        <v>1799</v>
      </c>
      <c r="K1533" s="143">
        <v>45474</v>
      </c>
      <c r="L1533" s="133" t="s">
        <v>1092</v>
      </c>
      <c r="M1533" s="133">
        <v>1295.4000000000001</v>
      </c>
      <c r="N1533" s="147">
        <f>+F1533+F1534+F1535-M1533-M1534</f>
        <v>0</v>
      </c>
      <c r="P1533" s="140"/>
    </row>
    <row r="1534" spans="1:16" hidden="1" x14ac:dyDescent="0.35">
      <c r="A1534" s="146"/>
      <c r="B1534" s="143"/>
      <c r="C1534" s="133"/>
      <c r="D1534" s="133"/>
      <c r="E1534" s="145" t="s">
        <v>1071</v>
      </c>
      <c r="F1534" s="145">
        <v>241.1</v>
      </c>
      <c r="G1534" s="133" t="s">
        <v>1034</v>
      </c>
      <c r="H1534" s="144" t="s">
        <v>1341</v>
      </c>
      <c r="I1534" s="133" t="s">
        <v>1092</v>
      </c>
      <c r="J1534" s="133" t="s">
        <v>1776</v>
      </c>
      <c r="K1534" s="143">
        <v>45505</v>
      </c>
      <c r="L1534" s="133" t="s">
        <v>1241</v>
      </c>
      <c r="M1534" s="133">
        <v>25</v>
      </c>
      <c r="N1534" s="147"/>
      <c r="P1534" s="140"/>
    </row>
    <row r="1535" spans="1:16" hidden="1" x14ac:dyDescent="0.35">
      <c r="A1535" s="146"/>
      <c r="B1535" s="143"/>
      <c r="C1535" s="133"/>
      <c r="D1535" s="133"/>
      <c r="E1535" s="145" t="s">
        <v>1118</v>
      </c>
      <c r="F1535" s="145">
        <v>923.3</v>
      </c>
      <c r="G1535" s="133"/>
      <c r="H1535" s="144"/>
      <c r="I1535" s="133"/>
      <c r="J1535" s="133"/>
      <c r="K1535" s="133"/>
      <c r="L1535" s="133"/>
      <c r="M1535" s="133"/>
      <c r="N1535" s="147"/>
      <c r="P1535" s="140"/>
    </row>
    <row r="1536" spans="1:16" hidden="1" x14ac:dyDescent="0.35">
      <c r="A1536" s="146"/>
      <c r="B1536" s="143"/>
      <c r="C1536" s="133"/>
      <c r="D1536" s="133"/>
      <c r="E1536" s="145"/>
      <c r="F1536" s="145"/>
      <c r="G1536" s="133"/>
      <c r="H1536" s="144"/>
      <c r="I1536" s="133"/>
      <c r="J1536" s="133"/>
      <c r="K1536" s="133"/>
      <c r="L1536" s="133"/>
      <c r="M1536" s="133"/>
      <c r="N1536" s="147"/>
      <c r="P1536" s="140"/>
    </row>
    <row r="1537" spans="1:16" hidden="1" x14ac:dyDescent="0.35">
      <c r="A1537" s="146">
        <v>66</v>
      </c>
      <c r="B1537" s="143">
        <v>45444</v>
      </c>
      <c r="C1537" s="133" t="s">
        <v>1805</v>
      </c>
      <c r="D1537" s="133" t="s">
        <v>1310</v>
      </c>
      <c r="E1537" s="145" t="s">
        <v>1075</v>
      </c>
      <c r="F1537" s="145">
        <v>7219</v>
      </c>
      <c r="G1537" s="133" t="s">
        <v>1034</v>
      </c>
      <c r="H1537" s="144" t="s">
        <v>1341</v>
      </c>
      <c r="I1537" s="133" t="s">
        <v>1092</v>
      </c>
      <c r="J1537" s="133" t="s">
        <v>1799</v>
      </c>
      <c r="K1537" s="143">
        <v>45474</v>
      </c>
      <c r="L1537" s="133" t="s">
        <v>1092</v>
      </c>
      <c r="M1537" s="133">
        <v>14387.1</v>
      </c>
      <c r="N1537" s="147">
        <f>+F1537+F1538+F1539+F1540+F1541-M1537-M1538</f>
        <v>0</v>
      </c>
      <c r="P1537" s="140"/>
    </row>
    <row r="1538" spans="1:16" hidden="1" x14ac:dyDescent="0.35">
      <c r="A1538" s="146"/>
      <c r="B1538" s="143"/>
      <c r="C1538" s="133"/>
      <c r="D1538" s="133"/>
      <c r="E1538" s="145" t="s">
        <v>1067</v>
      </c>
      <c r="F1538" s="145">
        <v>887.2</v>
      </c>
      <c r="G1538" s="133" t="s">
        <v>1034</v>
      </c>
      <c r="H1538" s="144" t="s">
        <v>1341</v>
      </c>
      <c r="I1538" s="133" t="s">
        <v>1092</v>
      </c>
      <c r="J1538" s="133" t="s">
        <v>1776</v>
      </c>
      <c r="K1538" s="143">
        <v>45505</v>
      </c>
      <c r="L1538" s="133" t="s">
        <v>1241</v>
      </c>
      <c r="M1538" s="133">
        <v>296</v>
      </c>
      <c r="N1538" s="147"/>
      <c r="P1538" s="140"/>
    </row>
    <row r="1539" spans="1:16" hidden="1" x14ac:dyDescent="0.35">
      <c r="A1539" s="146"/>
      <c r="B1539" s="143"/>
      <c r="C1539" s="133"/>
      <c r="D1539" s="133"/>
      <c r="E1539" s="145" t="s">
        <v>1342</v>
      </c>
      <c r="F1539" s="145">
        <v>5921</v>
      </c>
      <c r="G1539" s="133"/>
      <c r="H1539" s="144"/>
      <c r="I1539" s="133"/>
      <c r="J1539" s="133"/>
      <c r="K1539" s="133"/>
      <c r="L1539" s="133"/>
      <c r="M1539" s="133"/>
      <c r="N1539" s="147"/>
      <c r="P1539" s="140"/>
    </row>
    <row r="1540" spans="1:16" hidden="1" x14ac:dyDescent="0.35">
      <c r="A1540" s="146"/>
      <c r="B1540" s="143"/>
      <c r="C1540" s="133"/>
      <c r="D1540" s="133"/>
      <c r="E1540" s="145" t="s">
        <v>1064</v>
      </c>
      <c r="F1540" s="145">
        <v>217.1</v>
      </c>
      <c r="G1540" s="133"/>
      <c r="H1540" s="144"/>
      <c r="I1540" s="133"/>
      <c r="J1540" s="133"/>
      <c r="K1540" s="133"/>
      <c r="L1540" s="133"/>
      <c r="M1540" s="133"/>
      <c r="N1540" s="147"/>
      <c r="P1540" s="140"/>
    </row>
    <row r="1541" spans="1:16" hidden="1" x14ac:dyDescent="0.35">
      <c r="A1541" s="146"/>
      <c r="B1541" s="143"/>
      <c r="C1541" s="133"/>
      <c r="D1541" s="133"/>
      <c r="E1541" s="145" t="s">
        <v>1071</v>
      </c>
      <c r="F1541" s="145">
        <v>438.8</v>
      </c>
      <c r="G1541" s="133"/>
      <c r="H1541" s="144"/>
      <c r="I1541" s="133"/>
      <c r="J1541" s="133"/>
      <c r="K1541" s="133"/>
      <c r="L1541" s="133"/>
      <c r="M1541" s="133"/>
      <c r="N1541" s="147"/>
      <c r="P1541" s="140"/>
    </row>
    <row r="1542" spans="1:16" hidden="1" x14ac:dyDescent="0.35">
      <c r="A1542" s="146"/>
      <c r="B1542" s="143"/>
      <c r="C1542" s="133"/>
      <c r="D1542" s="133"/>
      <c r="E1542" s="145"/>
      <c r="F1542" s="145"/>
      <c r="G1542" s="133"/>
      <c r="H1542" s="144"/>
      <c r="I1542" s="133"/>
      <c r="J1542" s="133"/>
      <c r="K1542" s="133"/>
      <c r="L1542" s="133"/>
      <c r="M1542" s="133"/>
      <c r="N1542" s="147"/>
      <c r="P1542" s="140"/>
    </row>
    <row r="1543" spans="1:16" hidden="1" x14ac:dyDescent="0.35">
      <c r="A1543" s="146">
        <v>67</v>
      </c>
      <c r="B1543" s="143">
        <v>45444</v>
      </c>
      <c r="C1543" s="133" t="s">
        <v>1804</v>
      </c>
      <c r="D1543" s="133" t="s">
        <v>1305</v>
      </c>
      <c r="E1543" s="145" t="s">
        <v>1342</v>
      </c>
      <c r="F1543" s="145">
        <v>3678</v>
      </c>
      <c r="G1543" s="133" t="s">
        <v>1034</v>
      </c>
      <c r="H1543" s="144" t="s">
        <v>1341</v>
      </c>
      <c r="I1543" s="133" t="s">
        <v>1092</v>
      </c>
      <c r="J1543" s="133" t="s">
        <v>1799</v>
      </c>
      <c r="K1543" s="143">
        <v>45474</v>
      </c>
      <c r="L1543" s="133" t="s">
        <v>1092</v>
      </c>
      <c r="M1543" s="133">
        <v>5437.7</v>
      </c>
      <c r="N1543" s="147">
        <f>+F1543+F1544+F1545-M1543-M1544</f>
        <v>0</v>
      </c>
      <c r="P1543" s="140"/>
    </row>
    <row r="1544" spans="1:16" hidden="1" x14ac:dyDescent="0.35">
      <c r="A1544" s="146"/>
      <c r="B1544" s="143"/>
      <c r="C1544" s="133"/>
      <c r="D1544" s="133"/>
      <c r="E1544" s="145" t="s">
        <v>1064</v>
      </c>
      <c r="F1544" s="145">
        <v>1586.2</v>
      </c>
      <c r="G1544" s="133" t="s">
        <v>1034</v>
      </c>
      <c r="H1544" s="144" t="s">
        <v>1341</v>
      </c>
      <c r="I1544" s="133" t="s">
        <v>1092</v>
      </c>
      <c r="J1544" s="133" t="s">
        <v>1776</v>
      </c>
      <c r="K1544" s="143">
        <v>45505</v>
      </c>
      <c r="L1544" s="133" t="s">
        <v>1241</v>
      </c>
      <c r="M1544" s="133">
        <v>108</v>
      </c>
      <c r="N1544" s="147"/>
      <c r="P1544" s="140"/>
    </row>
    <row r="1545" spans="1:16" hidden="1" x14ac:dyDescent="0.35">
      <c r="A1545" s="146"/>
      <c r="B1545" s="143"/>
      <c r="C1545" s="133"/>
      <c r="D1545" s="133"/>
      <c r="E1545" s="145" t="s">
        <v>1067</v>
      </c>
      <c r="F1545" s="145">
        <v>281.5</v>
      </c>
      <c r="G1545" s="133"/>
      <c r="H1545" s="144"/>
      <c r="I1545" s="133"/>
      <c r="J1545" s="133"/>
      <c r="K1545" s="133"/>
      <c r="L1545" s="133"/>
      <c r="M1545" s="133"/>
      <c r="N1545" s="147"/>
      <c r="P1545" s="140"/>
    </row>
    <row r="1546" spans="1:16" hidden="1" x14ac:dyDescent="0.35">
      <c r="A1546" s="146"/>
      <c r="B1546" s="143"/>
      <c r="C1546" s="133"/>
      <c r="D1546" s="133"/>
      <c r="E1546" s="145"/>
      <c r="F1546" s="145"/>
      <c r="G1546" s="133"/>
      <c r="H1546" s="144"/>
      <c r="I1546" s="133"/>
      <c r="J1546" s="133"/>
      <c r="K1546" s="133"/>
      <c r="L1546" s="133"/>
      <c r="M1546" s="133"/>
      <c r="N1546" s="147"/>
      <c r="P1546" s="140"/>
    </row>
    <row r="1547" spans="1:16" hidden="1" x14ac:dyDescent="0.35">
      <c r="A1547" s="146">
        <v>68</v>
      </c>
      <c r="B1547" s="143">
        <v>45444</v>
      </c>
      <c r="C1547" s="133" t="s">
        <v>1803</v>
      </c>
      <c r="D1547" s="133" t="s">
        <v>1303</v>
      </c>
      <c r="E1547" s="145" t="s">
        <v>1075</v>
      </c>
      <c r="F1547" s="145">
        <v>95.7</v>
      </c>
      <c r="G1547" s="133" t="s">
        <v>1034</v>
      </c>
      <c r="H1547" s="144" t="s">
        <v>1341</v>
      </c>
      <c r="I1547" s="133" t="s">
        <v>1092</v>
      </c>
      <c r="J1547" s="133" t="s">
        <v>1799</v>
      </c>
      <c r="K1547" s="143">
        <v>45474</v>
      </c>
      <c r="L1547" s="133" t="s">
        <v>1092</v>
      </c>
      <c r="M1547" s="133">
        <v>4562.7</v>
      </c>
      <c r="N1547" s="147">
        <f>+F1547+F1548+F1549+F1550-M1547-M1548</f>
        <v>0</v>
      </c>
      <c r="P1547" s="140"/>
    </row>
    <row r="1548" spans="1:16" hidden="1" x14ac:dyDescent="0.35">
      <c r="A1548" s="146"/>
      <c r="B1548" s="143"/>
      <c r="C1548" s="133"/>
      <c r="D1548" s="133"/>
      <c r="E1548" s="145" t="s">
        <v>1067</v>
      </c>
      <c r="F1548" s="145">
        <v>37.799999999999997</v>
      </c>
      <c r="G1548" s="133" t="s">
        <v>1034</v>
      </c>
      <c r="H1548" s="144" t="s">
        <v>1341</v>
      </c>
      <c r="I1548" s="133" t="s">
        <v>1092</v>
      </c>
      <c r="J1548" s="133" t="s">
        <v>1776</v>
      </c>
      <c r="K1548" s="143">
        <v>45505</v>
      </c>
      <c r="L1548" s="133" t="s">
        <v>1241</v>
      </c>
      <c r="M1548" s="133">
        <v>96</v>
      </c>
      <c r="N1548" s="147"/>
      <c r="P1548" s="140"/>
    </row>
    <row r="1549" spans="1:16" hidden="1" x14ac:dyDescent="0.35">
      <c r="A1549" s="146"/>
      <c r="B1549" s="143"/>
      <c r="C1549" s="133"/>
      <c r="D1549" s="133"/>
      <c r="E1549" s="145" t="s">
        <v>1342</v>
      </c>
      <c r="F1549" s="145">
        <v>3418</v>
      </c>
      <c r="G1549" s="133"/>
      <c r="H1549" s="144"/>
      <c r="I1549" s="133"/>
      <c r="J1549" s="133"/>
      <c r="K1549" s="133"/>
      <c r="L1549" s="133"/>
      <c r="M1549" s="133"/>
      <c r="N1549" s="147"/>
      <c r="P1549" s="140"/>
    </row>
    <row r="1550" spans="1:16" hidden="1" x14ac:dyDescent="0.35">
      <c r="A1550" s="146"/>
      <c r="B1550" s="143"/>
      <c r="C1550" s="133"/>
      <c r="D1550" s="133"/>
      <c r="E1550" s="145" t="s">
        <v>1118</v>
      </c>
      <c r="F1550" s="145">
        <v>1107.2</v>
      </c>
      <c r="G1550" s="133"/>
      <c r="H1550" s="144"/>
      <c r="I1550" s="133"/>
      <c r="J1550" s="133"/>
      <c r="K1550" s="133"/>
      <c r="L1550" s="133"/>
      <c r="M1550" s="133"/>
      <c r="N1550" s="147"/>
      <c r="P1550" s="140"/>
    </row>
    <row r="1551" spans="1:16" hidden="1" x14ac:dyDescent="0.35">
      <c r="A1551" s="146"/>
      <c r="B1551" s="143"/>
      <c r="C1551" s="133"/>
      <c r="D1551" s="133"/>
      <c r="E1551" s="145"/>
      <c r="F1551" s="145"/>
      <c r="G1551" s="133"/>
      <c r="H1551" s="144"/>
      <c r="I1551" s="133"/>
      <c r="J1551" s="133"/>
      <c r="K1551" s="133"/>
      <c r="L1551" s="133"/>
      <c r="M1551" s="133"/>
      <c r="N1551" s="147"/>
      <c r="P1551" s="140"/>
    </row>
    <row r="1552" spans="1:16" hidden="1" x14ac:dyDescent="0.35">
      <c r="A1552" s="146">
        <v>69</v>
      </c>
      <c r="B1552" s="143">
        <v>45444</v>
      </c>
      <c r="C1552" s="133" t="s">
        <v>1802</v>
      </c>
      <c r="D1552" s="133" t="s">
        <v>1801</v>
      </c>
      <c r="E1552" s="145" t="s">
        <v>1342</v>
      </c>
      <c r="F1552" s="145">
        <v>5083</v>
      </c>
      <c r="G1552" s="133" t="s">
        <v>1034</v>
      </c>
      <c r="H1552" s="144" t="s">
        <v>1341</v>
      </c>
      <c r="I1552" s="133" t="s">
        <v>1092</v>
      </c>
      <c r="J1552" s="133" t="s">
        <v>1799</v>
      </c>
      <c r="K1552" s="143">
        <v>45474</v>
      </c>
      <c r="L1552" s="133" t="s">
        <v>1092</v>
      </c>
      <c r="M1552" s="133">
        <v>15668.400000000001</v>
      </c>
      <c r="N1552" s="147">
        <f>+F1552+F1553+F1554-M1552-M1553</f>
        <v>0</v>
      </c>
      <c r="P1552" s="140"/>
    </row>
    <row r="1553" spans="1:16" hidden="1" x14ac:dyDescent="0.35">
      <c r="A1553" s="146"/>
      <c r="B1553" s="143"/>
      <c r="C1553" s="133"/>
      <c r="D1553" s="133"/>
      <c r="E1553" s="145" t="s">
        <v>1075</v>
      </c>
      <c r="F1553" s="145">
        <v>9705.2000000000007</v>
      </c>
      <c r="G1553" s="133" t="s">
        <v>1034</v>
      </c>
      <c r="H1553" s="144" t="s">
        <v>1341</v>
      </c>
      <c r="I1553" s="133" t="s">
        <v>1092</v>
      </c>
      <c r="J1553" s="133" t="s">
        <v>1776</v>
      </c>
      <c r="K1553" s="143">
        <v>45505</v>
      </c>
      <c r="L1553" s="133" t="s">
        <v>1241</v>
      </c>
      <c r="M1553" s="133">
        <v>321</v>
      </c>
      <c r="N1553" s="147"/>
      <c r="P1553" s="140"/>
    </row>
    <row r="1554" spans="1:16" hidden="1" x14ac:dyDescent="0.35">
      <c r="A1554" s="146"/>
      <c r="B1554" s="143"/>
      <c r="C1554" s="133"/>
      <c r="D1554" s="133"/>
      <c r="E1554" s="145" t="s">
        <v>1064</v>
      </c>
      <c r="F1554" s="145">
        <v>1201.2</v>
      </c>
      <c r="G1554" s="133"/>
      <c r="H1554" s="144"/>
      <c r="I1554" s="133"/>
      <c r="J1554" s="133"/>
      <c r="K1554" s="133"/>
      <c r="L1554" s="133"/>
      <c r="M1554" s="133"/>
      <c r="N1554" s="147"/>
      <c r="P1554" s="140"/>
    </row>
    <row r="1555" spans="1:16" hidden="1" x14ac:dyDescent="0.35">
      <c r="A1555" s="146"/>
      <c r="B1555" s="143"/>
      <c r="C1555" s="133"/>
      <c r="D1555" s="133"/>
      <c r="E1555" s="145"/>
      <c r="F1555" s="145"/>
      <c r="G1555" s="133"/>
      <c r="H1555" s="144"/>
      <c r="I1555" s="133"/>
      <c r="J1555" s="133"/>
      <c r="K1555" s="133"/>
      <c r="L1555" s="133"/>
      <c r="M1555" s="133"/>
      <c r="N1555" s="147"/>
      <c r="P1555" s="140"/>
    </row>
    <row r="1556" spans="1:16" hidden="1" x14ac:dyDescent="0.35">
      <c r="A1556" s="146">
        <v>70</v>
      </c>
      <c r="B1556" s="143">
        <v>45444</v>
      </c>
      <c r="C1556" s="133" t="s">
        <v>1800</v>
      </c>
      <c r="D1556" s="133" t="s">
        <v>1301</v>
      </c>
      <c r="E1556" s="145" t="s">
        <v>1342</v>
      </c>
      <c r="F1556" s="145">
        <v>2198</v>
      </c>
      <c r="G1556" s="133" t="s">
        <v>1034</v>
      </c>
      <c r="H1556" s="144" t="s">
        <v>1341</v>
      </c>
      <c r="I1556" s="133" t="s">
        <v>1092</v>
      </c>
      <c r="J1556" s="133" t="s">
        <v>1799</v>
      </c>
      <c r="K1556" s="143">
        <v>45474</v>
      </c>
      <c r="L1556" s="133" t="s">
        <v>1092</v>
      </c>
      <c r="M1556" s="133">
        <v>3671.7</v>
      </c>
      <c r="N1556" s="147">
        <f>+F1556+F1557-M1556-M1557</f>
        <v>0</v>
      </c>
      <c r="P1556" s="140"/>
    </row>
    <row r="1557" spans="1:16" hidden="1" x14ac:dyDescent="0.35">
      <c r="A1557" s="146"/>
      <c r="B1557" s="143"/>
      <c r="C1557" s="133"/>
      <c r="D1557" s="133"/>
      <c r="E1557" s="145" t="s">
        <v>1071</v>
      </c>
      <c r="F1557" s="145">
        <v>1552.7</v>
      </c>
      <c r="G1557" s="133" t="s">
        <v>1034</v>
      </c>
      <c r="H1557" s="144" t="s">
        <v>1341</v>
      </c>
      <c r="I1557" s="133" t="s">
        <v>1092</v>
      </c>
      <c r="J1557" s="133" t="s">
        <v>1776</v>
      </c>
      <c r="K1557" s="143">
        <v>45505</v>
      </c>
      <c r="L1557" s="133" t="s">
        <v>1241</v>
      </c>
      <c r="M1557" s="133">
        <v>79</v>
      </c>
      <c r="N1557" s="147"/>
      <c r="P1557" s="140"/>
    </row>
    <row r="1558" spans="1:16" hidden="1" x14ac:dyDescent="0.35">
      <c r="A1558" s="146"/>
      <c r="B1558" s="143"/>
      <c r="C1558" s="133"/>
      <c r="D1558" s="133"/>
      <c r="E1558" s="145"/>
      <c r="F1558" s="145"/>
      <c r="G1558" s="133"/>
      <c r="H1558" s="144"/>
      <c r="I1558" s="133"/>
      <c r="J1558" s="133"/>
      <c r="K1558" s="133"/>
      <c r="L1558" s="133"/>
      <c r="M1558" s="133"/>
      <c r="N1558" s="147"/>
      <c r="P1558" s="140"/>
    </row>
    <row r="1559" spans="1:16" hidden="1" x14ac:dyDescent="0.35">
      <c r="A1559" s="156"/>
      <c r="B1559" s="152"/>
      <c r="C1559" s="151"/>
      <c r="D1559" s="151"/>
      <c r="E1559" s="154"/>
      <c r="F1559" s="154"/>
      <c r="G1559" s="151"/>
      <c r="H1559" s="153"/>
      <c r="I1559" s="151"/>
      <c r="J1559" s="151"/>
      <c r="K1559" s="151"/>
      <c r="L1559" s="151"/>
      <c r="M1559" s="151"/>
      <c r="N1559" s="151"/>
      <c r="P1559" s="140"/>
    </row>
    <row r="1560" spans="1:16" hidden="1" x14ac:dyDescent="0.35">
      <c r="A1560" s="146"/>
      <c r="B1560" s="143"/>
      <c r="C1560" s="133"/>
      <c r="D1560" s="133"/>
      <c r="E1560" s="145"/>
      <c r="F1560" s="145"/>
      <c r="G1560" s="133"/>
      <c r="H1560" s="144"/>
      <c r="I1560" s="133"/>
      <c r="J1560" s="133"/>
      <c r="K1560" s="133"/>
      <c r="L1560" s="133"/>
      <c r="M1560" s="133"/>
      <c r="N1560" s="147"/>
      <c r="P1560" s="140"/>
    </row>
    <row r="1561" spans="1:16" hidden="1" x14ac:dyDescent="0.35">
      <c r="A1561" s="146">
        <v>71</v>
      </c>
      <c r="B1561" s="143">
        <v>45474</v>
      </c>
      <c r="C1561" s="133" t="s">
        <v>1798</v>
      </c>
      <c r="D1561" s="133" t="s">
        <v>1296</v>
      </c>
      <c r="E1561" s="145" t="s">
        <v>1342</v>
      </c>
      <c r="F1561" s="145">
        <v>9338</v>
      </c>
      <c r="G1561" s="133" t="s">
        <v>1034</v>
      </c>
      <c r="H1561" s="144" t="s">
        <v>1341</v>
      </c>
      <c r="I1561" s="133" t="s">
        <v>1092</v>
      </c>
      <c r="J1561" s="133" t="s">
        <v>1789</v>
      </c>
      <c r="K1561" s="143">
        <v>45474</v>
      </c>
      <c r="L1561" s="133" t="s">
        <v>1092</v>
      </c>
      <c r="M1561" s="133">
        <v>16445.300000000003</v>
      </c>
      <c r="N1561" s="147">
        <f>+F1561+F1562+F1563+F1564-M1561-M1562</f>
        <v>0</v>
      </c>
      <c r="P1561" s="159"/>
    </row>
    <row r="1562" spans="1:16" hidden="1" x14ac:dyDescent="0.35">
      <c r="A1562" s="146"/>
      <c r="B1562" s="143"/>
      <c r="C1562" s="133"/>
      <c r="D1562" s="133"/>
      <c r="E1562" s="145" t="s">
        <v>1075</v>
      </c>
      <c r="F1562" s="145">
        <v>4018.7</v>
      </c>
      <c r="G1562" s="133" t="s">
        <v>1034</v>
      </c>
      <c r="H1562" s="144" t="s">
        <v>1341</v>
      </c>
      <c r="I1562" s="133" t="s">
        <v>1092</v>
      </c>
      <c r="J1562" s="133" t="s">
        <v>1776</v>
      </c>
      <c r="K1562" s="143">
        <v>45505</v>
      </c>
      <c r="L1562" s="133" t="s">
        <v>1241</v>
      </c>
      <c r="M1562" s="133">
        <v>337</v>
      </c>
      <c r="N1562" s="147"/>
      <c r="P1562" s="159"/>
    </row>
    <row r="1563" spans="1:16" hidden="1" x14ac:dyDescent="0.35">
      <c r="A1563" s="146"/>
      <c r="B1563" s="143"/>
      <c r="C1563" s="133"/>
      <c r="D1563" s="133"/>
      <c r="E1563" s="145" t="s">
        <v>1064</v>
      </c>
      <c r="F1563" s="145">
        <v>756.1</v>
      </c>
      <c r="G1563" s="133"/>
      <c r="H1563" s="144"/>
      <c r="I1563" s="133"/>
      <c r="J1563" s="133"/>
      <c r="K1563" s="133"/>
      <c r="L1563" s="133"/>
      <c r="M1563" s="133"/>
      <c r="N1563" s="147"/>
      <c r="P1563" s="159"/>
    </row>
    <row r="1564" spans="1:16" hidden="1" x14ac:dyDescent="0.35">
      <c r="A1564" s="146"/>
      <c r="B1564" s="143"/>
      <c r="C1564" s="133"/>
      <c r="D1564" s="133"/>
      <c r="E1564" s="145" t="s">
        <v>1067</v>
      </c>
      <c r="F1564" s="145">
        <v>2669.5</v>
      </c>
      <c r="G1564" s="133"/>
      <c r="H1564" s="144"/>
      <c r="I1564" s="133"/>
      <c r="J1564" s="133"/>
      <c r="K1564" s="133"/>
      <c r="L1564" s="133"/>
      <c r="M1564" s="133"/>
      <c r="N1564" s="147"/>
      <c r="P1564" s="159"/>
    </row>
    <row r="1565" spans="1:16" hidden="1" x14ac:dyDescent="0.35">
      <c r="A1565" s="146"/>
      <c r="B1565" s="143"/>
      <c r="C1565" s="133"/>
      <c r="D1565" s="133"/>
      <c r="E1565" s="145"/>
      <c r="F1565" s="145"/>
      <c r="G1565" s="133"/>
      <c r="H1565" s="144"/>
      <c r="I1565" s="133"/>
      <c r="J1565" s="133"/>
      <c r="K1565" s="133"/>
      <c r="L1565" s="133"/>
      <c r="M1565" s="133"/>
      <c r="N1565" s="147"/>
      <c r="P1565" s="159"/>
    </row>
    <row r="1566" spans="1:16" hidden="1" x14ac:dyDescent="0.35">
      <c r="A1566" s="146">
        <v>72</v>
      </c>
      <c r="B1566" s="143">
        <v>45474</v>
      </c>
      <c r="C1566" s="133" t="s">
        <v>1797</v>
      </c>
      <c r="D1566" s="133" t="s">
        <v>1796</v>
      </c>
      <c r="E1566" s="145" t="s">
        <v>1342</v>
      </c>
      <c r="F1566" s="145">
        <v>1631</v>
      </c>
      <c r="G1566" s="133" t="s">
        <v>1034</v>
      </c>
      <c r="H1566" s="144" t="s">
        <v>1341</v>
      </c>
      <c r="I1566" s="133" t="s">
        <v>1092</v>
      </c>
      <c r="J1566" s="133" t="s">
        <v>1789</v>
      </c>
      <c r="K1566" s="143">
        <v>45474</v>
      </c>
      <c r="L1566" s="133" t="s">
        <v>1092</v>
      </c>
      <c r="M1566" s="133">
        <v>13616.6</v>
      </c>
      <c r="N1566" s="147">
        <f>+F1566+F1567+F1568+F1569+F1570+F1571+F1572-M1566-M1567</f>
        <v>0</v>
      </c>
      <c r="P1566" s="159"/>
    </row>
    <row r="1567" spans="1:16" hidden="1" x14ac:dyDescent="0.35">
      <c r="A1567" s="146"/>
      <c r="B1567" s="143"/>
      <c r="C1567" s="133"/>
      <c r="D1567" s="133"/>
      <c r="E1567" s="145" t="s">
        <v>1075</v>
      </c>
      <c r="F1567" s="145">
        <v>3402.7</v>
      </c>
      <c r="G1567" s="133" t="s">
        <v>1034</v>
      </c>
      <c r="H1567" s="144" t="s">
        <v>1341</v>
      </c>
      <c r="I1567" s="133" t="s">
        <v>1092</v>
      </c>
      <c r="J1567" s="133" t="s">
        <v>1776</v>
      </c>
      <c r="K1567" s="143">
        <v>45505</v>
      </c>
      <c r="L1567" s="133" t="s">
        <v>1241</v>
      </c>
      <c r="M1567" s="133">
        <v>275</v>
      </c>
      <c r="N1567" s="147"/>
      <c r="P1567" s="159"/>
    </row>
    <row r="1568" spans="1:16" hidden="1" x14ac:dyDescent="0.35">
      <c r="A1568" s="146"/>
      <c r="B1568" s="143"/>
      <c r="C1568" s="133"/>
      <c r="D1568" s="133"/>
      <c r="E1568" s="145" t="s">
        <v>1064</v>
      </c>
      <c r="F1568" s="145">
        <v>603.79999999999995</v>
      </c>
      <c r="G1568" s="133"/>
      <c r="H1568" s="144"/>
      <c r="I1568" s="133"/>
      <c r="J1568" s="133"/>
      <c r="K1568" s="133"/>
      <c r="L1568" s="133"/>
      <c r="M1568" s="133"/>
      <c r="N1568" s="147"/>
      <c r="P1568" s="159"/>
    </row>
    <row r="1569" spans="1:16" hidden="1" x14ac:dyDescent="0.35">
      <c r="A1569" s="146"/>
      <c r="B1569" s="143"/>
      <c r="C1569" s="133"/>
      <c r="D1569" s="133"/>
      <c r="E1569" s="145" t="s">
        <v>1067</v>
      </c>
      <c r="F1569" s="145">
        <v>18.399999999999999</v>
      </c>
      <c r="G1569" s="133"/>
      <c r="H1569" s="144"/>
      <c r="I1569" s="133"/>
      <c r="J1569" s="133"/>
      <c r="K1569" s="133"/>
      <c r="L1569" s="133"/>
      <c r="M1569" s="133"/>
      <c r="N1569" s="147"/>
      <c r="P1569" s="159"/>
    </row>
    <row r="1570" spans="1:16" hidden="1" x14ac:dyDescent="0.35">
      <c r="A1570" s="146"/>
      <c r="B1570" s="143"/>
      <c r="C1570" s="133"/>
      <c r="D1570" s="133"/>
      <c r="E1570" s="145" t="s">
        <v>1071</v>
      </c>
      <c r="F1570" s="145">
        <v>3744.3</v>
      </c>
      <c r="G1570" s="133"/>
      <c r="H1570" s="144"/>
      <c r="I1570" s="133"/>
      <c r="J1570" s="133"/>
      <c r="K1570" s="133"/>
      <c r="L1570" s="133"/>
      <c r="M1570" s="133"/>
      <c r="N1570" s="147"/>
      <c r="P1570" s="159"/>
    </row>
    <row r="1571" spans="1:16" hidden="1" x14ac:dyDescent="0.35">
      <c r="A1571" s="146"/>
      <c r="B1571" s="143"/>
      <c r="C1571" s="133"/>
      <c r="D1571" s="133"/>
      <c r="E1571" s="145" t="s">
        <v>1118</v>
      </c>
      <c r="F1571" s="145">
        <v>2491.4</v>
      </c>
      <c r="G1571" s="133"/>
      <c r="H1571" s="144"/>
      <c r="I1571" s="133"/>
      <c r="J1571" s="133"/>
      <c r="K1571" s="133"/>
      <c r="L1571" s="133"/>
      <c r="M1571" s="133"/>
      <c r="N1571" s="147"/>
      <c r="P1571" s="159"/>
    </row>
    <row r="1572" spans="1:16" hidden="1" x14ac:dyDescent="0.35">
      <c r="A1572" s="146"/>
      <c r="B1572" s="143"/>
      <c r="C1572" s="133"/>
      <c r="D1572" s="133"/>
      <c r="E1572" s="145" t="s">
        <v>55</v>
      </c>
      <c r="F1572" s="145">
        <v>2000</v>
      </c>
      <c r="G1572" s="133"/>
      <c r="H1572" s="144"/>
      <c r="I1572" s="133"/>
      <c r="J1572" s="133"/>
      <c r="K1572" s="133"/>
      <c r="L1572" s="133"/>
      <c r="M1572" s="133"/>
      <c r="N1572" s="147"/>
      <c r="P1572" s="159"/>
    </row>
    <row r="1573" spans="1:16" hidden="1" x14ac:dyDescent="0.35">
      <c r="A1573" s="146"/>
      <c r="B1573" s="143"/>
      <c r="C1573" s="133"/>
      <c r="D1573" s="133"/>
      <c r="E1573" s="145"/>
      <c r="F1573" s="145"/>
      <c r="G1573" s="133"/>
      <c r="H1573" s="144"/>
      <c r="I1573" s="133"/>
      <c r="J1573" s="133"/>
      <c r="K1573" s="133"/>
      <c r="L1573" s="133"/>
      <c r="M1573" s="133"/>
      <c r="N1573" s="147"/>
      <c r="P1573" s="159"/>
    </row>
    <row r="1574" spans="1:16" hidden="1" x14ac:dyDescent="0.35">
      <c r="A1574" s="146">
        <v>73</v>
      </c>
      <c r="B1574" s="143">
        <v>45474</v>
      </c>
      <c r="C1574" s="133" t="s">
        <v>1795</v>
      </c>
      <c r="D1574" s="133" t="s">
        <v>1794</v>
      </c>
      <c r="E1574" s="145" t="s">
        <v>1342</v>
      </c>
      <c r="F1574" s="145">
        <v>4581</v>
      </c>
      <c r="G1574" s="133" t="s">
        <v>1034</v>
      </c>
      <c r="H1574" s="144" t="s">
        <v>1341</v>
      </c>
      <c r="I1574" s="133" t="s">
        <v>1092</v>
      </c>
      <c r="J1574" s="133" t="s">
        <v>1789</v>
      </c>
      <c r="K1574" s="143">
        <v>45474</v>
      </c>
      <c r="L1574" s="133" t="s">
        <v>1092</v>
      </c>
      <c r="M1574" s="133">
        <v>13073.5</v>
      </c>
      <c r="N1574" s="147">
        <f>+F1574+F1575+F1576-M1574-M1575</f>
        <v>0</v>
      </c>
      <c r="P1574" s="159"/>
    </row>
    <row r="1575" spans="1:16" hidden="1" x14ac:dyDescent="0.35">
      <c r="A1575" s="146"/>
      <c r="B1575" s="143"/>
      <c r="C1575" s="133"/>
      <c r="D1575" s="133"/>
      <c r="E1575" s="145" t="s">
        <v>1075</v>
      </c>
      <c r="F1575" s="145">
        <v>8041</v>
      </c>
      <c r="G1575" s="133" t="s">
        <v>1034</v>
      </c>
      <c r="H1575" s="144" t="s">
        <v>1341</v>
      </c>
      <c r="I1575" s="133" t="s">
        <v>1092</v>
      </c>
      <c r="J1575" s="133" t="s">
        <v>1776</v>
      </c>
      <c r="K1575" s="143">
        <v>45505</v>
      </c>
      <c r="L1575" s="133" t="s">
        <v>1241</v>
      </c>
      <c r="M1575" s="133">
        <v>269</v>
      </c>
      <c r="N1575" s="147"/>
      <c r="P1575" s="140"/>
    </row>
    <row r="1576" spans="1:16" hidden="1" x14ac:dyDescent="0.35">
      <c r="A1576" s="146"/>
      <c r="B1576" s="143"/>
      <c r="C1576" s="133"/>
      <c r="D1576" s="133"/>
      <c r="E1576" s="145" t="s">
        <v>1067</v>
      </c>
      <c r="F1576" s="145">
        <v>720.5</v>
      </c>
      <c r="G1576" s="133"/>
      <c r="H1576" s="144"/>
      <c r="I1576" s="133"/>
      <c r="J1576" s="133"/>
      <c r="K1576" s="133"/>
      <c r="L1576" s="133"/>
      <c r="M1576" s="133"/>
      <c r="N1576" s="147"/>
      <c r="P1576" s="140"/>
    </row>
    <row r="1577" spans="1:16" hidden="1" x14ac:dyDescent="0.35">
      <c r="A1577" s="146"/>
      <c r="B1577" s="143"/>
      <c r="C1577" s="133"/>
      <c r="D1577" s="133"/>
      <c r="E1577" s="145"/>
      <c r="F1577" s="145"/>
      <c r="G1577" s="133"/>
      <c r="H1577" s="144"/>
      <c r="I1577" s="133"/>
      <c r="J1577" s="133"/>
      <c r="K1577" s="133"/>
      <c r="L1577" s="133"/>
      <c r="M1577" s="133"/>
      <c r="N1577" s="147"/>
      <c r="P1577" s="140"/>
    </row>
    <row r="1578" spans="1:16" hidden="1" x14ac:dyDescent="0.35">
      <c r="A1578" s="146">
        <v>74</v>
      </c>
      <c r="B1578" s="143">
        <v>45474</v>
      </c>
      <c r="C1578" s="133" t="s">
        <v>1793</v>
      </c>
      <c r="D1578" s="133" t="s">
        <v>1792</v>
      </c>
      <c r="E1578" s="145" t="s">
        <v>1078</v>
      </c>
      <c r="F1578" s="145">
        <v>5021.9799999999996</v>
      </c>
      <c r="G1578" s="133" t="s">
        <v>1034</v>
      </c>
      <c r="H1578" s="144" t="s">
        <v>1341</v>
      </c>
      <c r="I1578" s="133" t="s">
        <v>1092</v>
      </c>
      <c r="J1578" s="133" t="s">
        <v>1789</v>
      </c>
      <c r="K1578" s="143">
        <v>45474</v>
      </c>
      <c r="L1578" s="133" t="s">
        <v>1092</v>
      </c>
      <c r="M1578" s="133">
        <v>8754.2800000000007</v>
      </c>
      <c r="N1578" s="147">
        <f>+F1578+F1579+F1580+F1581-M1578-M1579</f>
        <v>0</v>
      </c>
      <c r="P1578" s="159"/>
    </row>
    <row r="1579" spans="1:16" hidden="1" x14ac:dyDescent="0.35">
      <c r="A1579" s="146"/>
      <c r="B1579" s="143"/>
      <c r="C1579" s="133"/>
      <c r="D1579" s="133"/>
      <c r="E1579" s="145" t="s">
        <v>1075</v>
      </c>
      <c r="F1579" s="145">
        <v>2777.3</v>
      </c>
      <c r="G1579" s="133" t="s">
        <v>1034</v>
      </c>
      <c r="H1579" s="144" t="s">
        <v>1341</v>
      </c>
      <c r="I1579" s="133" t="s">
        <v>1092</v>
      </c>
      <c r="J1579" s="133" t="s">
        <v>1776</v>
      </c>
      <c r="K1579" s="143">
        <v>45505</v>
      </c>
      <c r="L1579" s="133" t="s">
        <v>1241</v>
      </c>
      <c r="M1579" s="133">
        <v>171</v>
      </c>
      <c r="N1579" s="147"/>
      <c r="P1579" s="140"/>
    </row>
    <row r="1580" spans="1:16" hidden="1" x14ac:dyDescent="0.35">
      <c r="A1580" s="146"/>
      <c r="B1580" s="143"/>
      <c r="C1580" s="133"/>
      <c r="D1580" s="133"/>
      <c r="E1580" s="145" t="s">
        <v>1071</v>
      </c>
      <c r="F1580" s="145">
        <v>707.4</v>
      </c>
      <c r="G1580" s="133"/>
      <c r="H1580" s="144"/>
      <c r="I1580" s="133"/>
      <c r="J1580" s="133"/>
      <c r="K1580" s="133"/>
      <c r="L1580" s="133"/>
      <c r="M1580" s="133"/>
      <c r="N1580" s="147"/>
      <c r="P1580" s="140"/>
    </row>
    <row r="1581" spans="1:16" hidden="1" x14ac:dyDescent="0.35">
      <c r="A1581" s="146"/>
      <c r="B1581" s="143"/>
      <c r="C1581" s="133"/>
      <c r="D1581" s="133"/>
      <c r="E1581" s="145" t="s">
        <v>1064</v>
      </c>
      <c r="F1581" s="145">
        <v>418.6</v>
      </c>
      <c r="G1581" s="133"/>
      <c r="H1581" s="144"/>
      <c r="I1581" s="133"/>
      <c r="J1581" s="133"/>
      <c r="K1581" s="133"/>
      <c r="L1581" s="133"/>
      <c r="M1581" s="133"/>
      <c r="N1581" s="147"/>
      <c r="P1581" s="140"/>
    </row>
    <row r="1582" spans="1:16" hidden="1" x14ac:dyDescent="0.35">
      <c r="A1582" s="146"/>
      <c r="B1582" s="143"/>
      <c r="C1582" s="133"/>
      <c r="D1582" s="133"/>
      <c r="E1582" s="145"/>
      <c r="F1582" s="145"/>
      <c r="G1582" s="133"/>
      <c r="H1582" s="144"/>
      <c r="I1582" s="133"/>
      <c r="J1582" s="133"/>
      <c r="K1582" s="133"/>
      <c r="L1582" s="133"/>
      <c r="M1582" s="133"/>
      <c r="N1582" s="147"/>
      <c r="P1582" s="140"/>
    </row>
    <row r="1583" spans="1:16" hidden="1" x14ac:dyDescent="0.35">
      <c r="A1583" s="146">
        <v>75</v>
      </c>
      <c r="B1583" s="143">
        <v>45474</v>
      </c>
      <c r="C1583" s="133" t="s">
        <v>1791</v>
      </c>
      <c r="D1583" s="133" t="s">
        <v>1790</v>
      </c>
      <c r="E1583" s="145" t="s">
        <v>1067</v>
      </c>
      <c r="F1583" s="145">
        <v>3077</v>
      </c>
      <c r="G1583" s="133" t="s">
        <v>1034</v>
      </c>
      <c r="H1583" s="144" t="s">
        <v>1341</v>
      </c>
      <c r="I1583" s="133" t="s">
        <v>1092</v>
      </c>
      <c r="J1583" s="133" t="s">
        <v>1789</v>
      </c>
      <c r="K1583" s="143">
        <v>45474</v>
      </c>
      <c r="L1583" s="133" t="s">
        <v>1092</v>
      </c>
      <c r="M1583" s="133">
        <v>3919.3</v>
      </c>
      <c r="N1583" s="147">
        <f>+F1583+F1584-M1583-M1584</f>
        <v>0</v>
      </c>
      <c r="P1583" s="159"/>
    </row>
    <row r="1584" spans="1:16" hidden="1" x14ac:dyDescent="0.35">
      <c r="A1584" s="146"/>
      <c r="B1584" s="143"/>
      <c r="C1584" s="133"/>
      <c r="D1584" s="133"/>
      <c r="E1584" s="145" t="s">
        <v>1118</v>
      </c>
      <c r="F1584" s="145">
        <v>922.3</v>
      </c>
      <c r="G1584" s="133" t="s">
        <v>1034</v>
      </c>
      <c r="H1584" s="144" t="s">
        <v>1341</v>
      </c>
      <c r="I1584" s="133" t="s">
        <v>1092</v>
      </c>
      <c r="J1584" s="133" t="s">
        <v>1776</v>
      </c>
      <c r="K1584" s="143">
        <v>45505</v>
      </c>
      <c r="L1584" s="133" t="s">
        <v>1241</v>
      </c>
      <c r="M1584" s="133">
        <v>80</v>
      </c>
      <c r="N1584" s="147"/>
      <c r="P1584" s="140"/>
    </row>
    <row r="1585" spans="1:16" hidden="1" x14ac:dyDescent="0.35">
      <c r="A1585" s="146"/>
      <c r="B1585" s="143"/>
      <c r="C1585" s="133"/>
      <c r="D1585" s="133"/>
      <c r="E1585" s="145"/>
      <c r="F1585" s="145"/>
      <c r="G1585" s="133"/>
      <c r="H1585" s="144"/>
      <c r="I1585" s="133"/>
      <c r="J1585" s="133"/>
      <c r="K1585" s="133"/>
      <c r="L1585" s="133"/>
      <c r="M1585" s="133"/>
      <c r="N1585" s="147"/>
      <c r="P1585" s="140"/>
    </row>
    <row r="1586" spans="1:16" hidden="1" x14ac:dyDescent="0.35">
      <c r="A1586" s="146">
        <v>76</v>
      </c>
      <c r="B1586" s="143">
        <v>45474</v>
      </c>
      <c r="C1586" s="133" t="s">
        <v>1788</v>
      </c>
      <c r="D1586" s="133" t="s">
        <v>1294</v>
      </c>
      <c r="E1586" s="145" t="s">
        <v>1342</v>
      </c>
      <c r="F1586" s="145">
        <v>5954</v>
      </c>
      <c r="G1586" s="133" t="s">
        <v>1034</v>
      </c>
      <c r="H1586" s="144" t="s">
        <v>1341</v>
      </c>
      <c r="I1586" s="133" t="s">
        <v>1092</v>
      </c>
      <c r="J1586" s="133" t="s">
        <v>1779</v>
      </c>
      <c r="K1586" s="143">
        <v>45505</v>
      </c>
      <c r="L1586" s="133" t="s">
        <v>1092</v>
      </c>
      <c r="M1586" s="133">
        <v>13431</v>
      </c>
      <c r="N1586" s="147">
        <f>+F1586+F1587+F1588-M1586-M1587</f>
        <v>0</v>
      </c>
      <c r="P1586" s="140"/>
    </row>
    <row r="1587" spans="1:16" hidden="1" x14ac:dyDescent="0.35">
      <c r="A1587" s="146"/>
      <c r="B1587" s="143"/>
      <c r="C1587" s="133"/>
      <c r="D1587" s="133"/>
      <c r="E1587" s="145" t="s">
        <v>1075</v>
      </c>
      <c r="F1587" s="145">
        <v>6122</v>
      </c>
      <c r="G1587" s="133" t="s">
        <v>1034</v>
      </c>
      <c r="H1587" s="144" t="s">
        <v>1341</v>
      </c>
      <c r="I1587" s="133" t="s">
        <v>1092</v>
      </c>
      <c r="J1587" s="133" t="s">
        <v>1776</v>
      </c>
      <c r="K1587" s="143">
        <v>45505</v>
      </c>
      <c r="L1587" s="133" t="s">
        <v>1241</v>
      </c>
      <c r="M1587" s="133">
        <v>272</v>
      </c>
      <c r="N1587" s="147"/>
      <c r="P1587" s="140"/>
    </row>
    <row r="1588" spans="1:16" hidden="1" x14ac:dyDescent="0.35">
      <c r="A1588" s="146"/>
      <c r="B1588" s="143"/>
      <c r="C1588" s="133"/>
      <c r="D1588" s="133"/>
      <c r="E1588" s="145" t="s">
        <v>1067</v>
      </c>
      <c r="F1588" s="145">
        <v>1627</v>
      </c>
      <c r="G1588" s="133"/>
      <c r="H1588" s="144"/>
      <c r="I1588" s="133"/>
      <c r="J1588" s="133"/>
      <c r="K1588" s="133"/>
      <c r="L1588" s="133"/>
      <c r="M1588" s="133"/>
      <c r="N1588" s="147"/>
      <c r="P1588" s="140"/>
    </row>
    <row r="1589" spans="1:16" hidden="1" x14ac:dyDescent="0.35">
      <c r="A1589" s="146"/>
      <c r="B1589" s="143"/>
      <c r="C1589" s="133"/>
      <c r="D1589" s="133"/>
      <c r="E1589" s="145"/>
      <c r="F1589" s="145"/>
      <c r="G1589" s="133"/>
      <c r="H1589" s="144"/>
      <c r="I1589" s="133"/>
      <c r="J1589" s="133"/>
      <c r="K1589" s="133"/>
      <c r="L1589" s="133"/>
      <c r="M1589" s="133"/>
      <c r="N1589" s="147"/>
      <c r="P1589" s="140"/>
    </row>
    <row r="1590" spans="1:16" hidden="1" x14ac:dyDescent="0.35">
      <c r="A1590" s="146">
        <v>77</v>
      </c>
      <c r="B1590" s="143">
        <v>45474</v>
      </c>
      <c r="C1590" s="133" t="s">
        <v>1787</v>
      </c>
      <c r="D1590" s="133" t="s">
        <v>1785</v>
      </c>
      <c r="E1590" s="145" t="s">
        <v>1071</v>
      </c>
      <c r="F1590" s="145">
        <v>2792.9</v>
      </c>
      <c r="G1590" s="133" t="s">
        <v>1034</v>
      </c>
      <c r="H1590" s="144" t="s">
        <v>1341</v>
      </c>
      <c r="I1590" s="133" t="s">
        <v>1092</v>
      </c>
      <c r="J1590" s="133" t="s">
        <v>1779</v>
      </c>
      <c r="K1590" s="143">
        <v>45505</v>
      </c>
      <c r="L1590" s="133" t="s">
        <v>1092</v>
      </c>
      <c r="M1590" s="133">
        <v>6881.4</v>
      </c>
      <c r="N1590" s="147">
        <f>+F1590+F1591+F1592-M1590-M1591</f>
        <v>0</v>
      </c>
      <c r="P1590" s="140"/>
    </row>
    <row r="1591" spans="1:16" hidden="1" x14ac:dyDescent="0.35">
      <c r="A1591" s="146"/>
      <c r="B1591" s="143"/>
      <c r="C1591" s="133"/>
      <c r="D1591" s="133"/>
      <c r="E1591" s="145" t="s">
        <v>1075</v>
      </c>
      <c r="F1591" s="145">
        <v>3663.1</v>
      </c>
      <c r="G1591" s="133" t="s">
        <v>1034</v>
      </c>
      <c r="H1591" s="144" t="s">
        <v>1341</v>
      </c>
      <c r="I1591" s="133" t="s">
        <v>1092</v>
      </c>
      <c r="J1591" s="133" t="s">
        <v>1776</v>
      </c>
      <c r="K1591" s="143">
        <v>45505</v>
      </c>
      <c r="L1591" s="133" t="s">
        <v>1241</v>
      </c>
      <c r="M1591" s="133">
        <v>143</v>
      </c>
      <c r="N1591" s="147"/>
      <c r="P1591" s="140"/>
    </row>
    <row r="1592" spans="1:16" hidden="1" x14ac:dyDescent="0.35">
      <c r="A1592" s="146"/>
      <c r="B1592" s="143"/>
      <c r="C1592" s="133"/>
      <c r="D1592" s="133"/>
      <c r="E1592" s="145" t="s">
        <v>1064</v>
      </c>
      <c r="F1592" s="145">
        <v>568.4</v>
      </c>
      <c r="G1592" s="133"/>
      <c r="H1592" s="144"/>
      <c r="I1592" s="133"/>
      <c r="J1592" s="133"/>
      <c r="K1592" s="133"/>
      <c r="L1592" s="133"/>
      <c r="M1592" s="133"/>
      <c r="N1592" s="147"/>
      <c r="P1592" s="140"/>
    </row>
    <row r="1593" spans="1:16" hidden="1" x14ac:dyDescent="0.35">
      <c r="A1593" s="146"/>
      <c r="B1593" s="143"/>
      <c r="C1593" s="133"/>
      <c r="D1593" s="133"/>
      <c r="E1593" s="145"/>
      <c r="F1593" s="145"/>
      <c r="G1593" s="133"/>
      <c r="H1593" s="144"/>
      <c r="I1593" s="133"/>
      <c r="J1593" s="133"/>
      <c r="K1593" s="133"/>
      <c r="L1593" s="133"/>
      <c r="M1593" s="133"/>
      <c r="N1593" s="147"/>
      <c r="P1593" s="140"/>
    </row>
    <row r="1594" spans="1:16" hidden="1" x14ac:dyDescent="0.35">
      <c r="A1594" s="146">
        <v>78</v>
      </c>
      <c r="B1594" s="143">
        <v>45474</v>
      </c>
      <c r="C1594" s="133" t="s">
        <v>1786</v>
      </c>
      <c r="D1594" s="133" t="s">
        <v>1785</v>
      </c>
      <c r="E1594" s="148" t="s">
        <v>1059</v>
      </c>
      <c r="F1594" s="145">
        <v>49500</v>
      </c>
      <c r="G1594" s="133" t="s">
        <v>1034</v>
      </c>
      <c r="H1594" s="144" t="s">
        <v>1341</v>
      </c>
      <c r="I1594" s="133" t="s">
        <v>1092</v>
      </c>
      <c r="J1594" s="133" t="s">
        <v>1779</v>
      </c>
      <c r="K1594" s="143">
        <v>45505</v>
      </c>
      <c r="L1594" s="133" t="s">
        <v>1092</v>
      </c>
      <c r="M1594" s="133">
        <v>18565</v>
      </c>
      <c r="N1594" s="147">
        <f>+F1594-M1594-M1595-M1596-M1597-M1598</f>
        <v>0</v>
      </c>
      <c r="P1594" s="140"/>
    </row>
    <row r="1595" spans="1:16" hidden="1" x14ac:dyDescent="0.35">
      <c r="A1595" s="146"/>
      <c r="B1595" s="143"/>
      <c r="C1595" s="133"/>
      <c r="D1595" s="133"/>
      <c r="E1595" s="148"/>
      <c r="F1595" s="145"/>
      <c r="G1595" s="133" t="s">
        <v>1034</v>
      </c>
      <c r="H1595" s="144" t="s">
        <v>1341</v>
      </c>
      <c r="I1595" s="133" t="s">
        <v>1092</v>
      </c>
      <c r="J1595" s="133" t="s">
        <v>1773</v>
      </c>
      <c r="K1595" s="143">
        <v>45505</v>
      </c>
      <c r="L1595" s="133" t="s">
        <v>1092</v>
      </c>
      <c r="M1595" s="133">
        <v>11247.1</v>
      </c>
      <c r="N1595" s="147"/>
      <c r="P1595" s="140"/>
    </row>
    <row r="1596" spans="1:16" hidden="1" x14ac:dyDescent="0.35">
      <c r="A1596" s="146"/>
      <c r="B1596" s="143"/>
      <c r="C1596" s="133"/>
      <c r="D1596" s="133"/>
      <c r="E1596" s="148"/>
      <c r="F1596" s="145"/>
      <c r="G1596" s="133" t="s">
        <v>1034</v>
      </c>
      <c r="H1596" s="144" t="s">
        <v>1341</v>
      </c>
      <c r="I1596" s="133" t="s">
        <v>1092</v>
      </c>
      <c r="J1596" s="133" t="s">
        <v>1776</v>
      </c>
      <c r="K1596" s="143">
        <v>45505</v>
      </c>
      <c r="L1596" s="133" t="s">
        <v>1241</v>
      </c>
      <c r="M1596" s="133">
        <v>935</v>
      </c>
      <c r="N1596" s="147"/>
      <c r="P1596" s="140"/>
    </row>
    <row r="1597" spans="1:16" hidden="1" x14ac:dyDescent="0.35">
      <c r="A1597" s="146"/>
      <c r="B1597" s="143"/>
      <c r="C1597" s="133"/>
      <c r="D1597" s="133"/>
      <c r="E1597" s="145"/>
      <c r="F1597" s="145"/>
      <c r="G1597" s="133" t="s">
        <v>1034</v>
      </c>
      <c r="H1597" s="144" t="s">
        <v>1341</v>
      </c>
      <c r="I1597" s="133" t="s">
        <v>1092</v>
      </c>
      <c r="J1597" s="133" t="s">
        <v>1762</v>
      </c>
      <c r="K1597" s="143">
        <v>45505</v>
      </c>
      <c r="L1597" s="133" t="s">
        <v>1092</v>
      </c>
      <c r="M1597" s="133">
        <v>17817.900000000001</v>
      </c>
      <c r="N1597" s="147"/>
      <c r="P1597" s="140"/>
    </row>
    <row r="1598" spans="1:16" hidden="1" x14ac:dyDescent="0.35">
      <c r="A1598" s="146"/>
      <c r="B1598" s="143"/>
      <c r="C1598" s="133"/>
      <c r="D1598" s="133"/>
      <c r="E1598" s="145"/>
      <c r="F1598" s="145"/>
      <c r="G1598" s="133" t="s">
        <v>1034</v>
      </c>
      <c r="H1598" s="144" t="s">
        <v>1341</v>
      </c>
      <c r="I1598" s="133" t="s">
        <v>1092</v>
      </c>
      <c r="J1598" s="133" t="s">
        <v>1753</v>
      </c>
      <c r="K1598" s="143">
        <v>45505</v>
      </c>
      <c r="L1598" s="133" t="s">
        <v>1092</v>
      </c>
      <c r="M1598" s="133">
        <v>935</v>
      </c>
      <c r="N1598" s="147"/>
      <c r="P1598" s="140"/>
    </row>
    <row r="1599" spans="1:16" hidden="1" x14ac:dyDescent="0.35">
      <c r="A1599" s="146"/>
      <c r="B1599" s="143"/>
      <c r="C1599" s="133"/>
      <c r="D1599" s="133"/>
      <c r="E1599" s="145"/>
      <c r="F1599" s="145"/>
      <c r="G1599" s="133"/>
      <c r="H1599" s="144"/>
      <c r="I1599" s="133"/>
      <c r="J1599" s="133"/>
      <c r="K1599" s="143"/>
      <c r="L1599" s="133"/>
      <c r="M1599" s="133"/>
      <c r="N1599" s="147"/>
      <c r="P1599" s="140"/>
    </row>
    <row r="1600" spans="1:16" hidden="1" x14ac:dyDescent="0.35">
      <c r="A1600" s="146">
        <v>79</v>
      </c>
      <c r="B1600" s="143">
        <v>45474</v>
      </c>
      <c r="C1600" s="133" t="s">
        <v>1784</v>
      </c>
      <c r="D1600" s="133" t="s">
        <v>1291</v>
      </c>
      <c r="E1600" s="145" t="s">
        <v>1067</v>
      </c>
      <c r="F1600" s="145">
        <v>828</v>
      </c>
      <c r="G1600" s="133" t="s">
        <v>1034</v>
      </c>
      <c r="H1600" s="144" t="s">
        <v>1341</v>
      </c>
      <c r="I1600" s="133" t="s">
        <v>1092</v>
      </c>
      <c r="J1600" s="133" t="s">
        <v>1779</v>
      </c>
      <c r="K1600" s="143">
        <v>45505</v>
      </c>
      <c r="L1600" s="133" t="s">
        <v>1092</v>
      </c>
      <c r="M1600" s="133">
        <v>7948.2000000000007</v>
      </c>
      <c r="N1600" s="147">
        <f>+F1600+F1601+F1602-M1600-M1601</f>
        <v>0</v>
      </c>
      <c r="P1600" s="140"/>
    </row>
    <row r="1601" spans="1:16" hidden="1" x14ac:dyDescent="0.35">
      <c r="A1601" s="146"/>
      <c r="B1601" s="143"/>
      <c r="C1601" s="133"/>
      <c r="D1601" s="133"/>
      <c r="E1601" s="145" t="s">
        <v>1075</v>
      </c>
      <c r="F1601" s="145">
        <v>4495.3</v>
      </c>
      <c r="G1601" s="133" t="s">
        <v>1034</v>
      </c>
      <c r="H1601" s="144" t="s">
        <v>1341</v>
      </c>
      <c r="I1601" s="133" t="s">
        <v>1092</v>
      </c>
      <c r="J1601" s="133" t="s">
        <v>1776</v>
      </c>
      <c r="K1601" s="143">
        <v>45505</v>
      </c>
      <c r="L1601" s="133" t="s">
        <v>1241</v>
      </c>
      <c r="M1601" s="133">
        <v>163</v>
      </c>
      <c r="N1601" s="147"/>
      <c r="P1601" s="140"/>
    </row>
    <row r="1602" spans="1:16" hidden="1" x14ac:dyDescent="0.35">
      <c r="A1602" s="146"/>
      <c r="B1602" s="143"/>
      <c r="C1602" s="133"/>
      <c r="D1602" s="133"/>
      <c r="E1602" s="145" t="s">
        <v>1064</v>
      </c>
      <c r="F1602" s="145">
        <v>2787.9</v>
      </c>
      <c r="G1602" s="133"/>
      <c r="H1602" s="144"/>
      <c r="I1602" s="133"/>
      <c r="J1602" s="133"/>
      <c r="K1602" s="133"/>
      <c r="L1602" s="133"/>
      <c r="M1602" s="133"/>
      <c r="N1602" s="147"/>
      <c r="P1602" s="140"/>
    </row>
    <row r="1603" spans="1:16" hidden="1" x14ac:dyDescent="0.35">
      <c r="A1603" s="146"/>
      <c r="B1603" s="143"/>
      <c r="C1603" s="133"/>
      <c r="D1603" s="133"/>
      <c r="E1603" s="145"/>
      <c r="F1603" s="145"/>
      <c r="G1603" s="133"/>
      <c r="H1603" s="144"/>
      <c r="I1603" s="133"/>
      <c r="J1603" s="133"/>
      <c r="K1603" s="133"/>
      <c r="L1603" s="133"/>
      <c r="M1603" s="133"/>
      <c r="N1603" s="147"/>
      <c r="P1603" s="140"/>
    </row>
    <row r="1604" spans="1:16" hidden="1" x14ac:dyDescent="0.35">
      <c r="A1604" s="146">
        <v>80</v>
      </c>
      <c r="B1604" s="143">
        <v>45474</v>
      </c>
      <c r="C1604" s="133" t="s">
        <v>1783</v>
      </c>
      <c r="D1604" s="133" t="s">
        <v>1782</v>
      </c>
      <c r="E1604" s="145" t="s">
        <v>1342</v>
      </c>
      <c r="F1604" s="145">
        <v>5360</v>
      </c>
      <c r="G1604" s="133" t="s">
        <v>1034</v>
      </c>
      <c r="H1604" s="144" t="s">
        <v>1341</v>
      </c>
      <c r="I1604" s="133" t="s">
        <v>1092</v>
      </c>
      <c r="J1604" s="133" t="s">
        <v>1779</v>
      </c>
      <c r="K1604" s="143">
        <v>45505</v>
      </c>
      <c r="L1604" s="133" t="s">
        <v>1092</v>
      </c>
      <c r="M1604" s="133">
        <v>5252</v>
      </c>
      <c r="N1604" s="147">
        <f>+F1604-M1604-M1605</f>
        <v>0</v>
      </c>
      <c r="P1604" s="140"/>
    </row>
    <row r="1605" spans="1:16" hidden="1" x14ac:dyDescent="0.35">
      <c r="A1605" s="146"/>
      <c r="B1605" s="143"/>
      <c r="C1605" s="133"/>
      <c r="D1605" s="133"/>
      <c r="E1605" s="145"/>
      <c r="F1605" s="145"/>
      <c r="G1605" s="133" t="s">
        <v>1034</v>
      </c>
      <c r="H1605" s="144" t="s">
        <v>1341</v>
      </c>
      <c r="I1605" s="133" t="s">
        <v>1092</v>
      </c>
      <c r="J1605" s="133" t="s">
        <v>1776</v>
      </c>
      <c r="K1605" s="143">
        <v>45505</v>
      </c>
      <c r="L1605" s="133" t="s">
        <v>1241</v>
      </c>
      <c r="M1605" s="133">
        <v>108</v>
      </c>
      <c r="N1605" s="147"/>
      <c r="P1605" s="140"/>
    </row>
    <row r="1606" spans="1:16" hidden="1" x14ac:dyDescent="0.35">
      <c r="A1606" s="146"/>
      <c r="B1606" s="143"/>
      <c r="C1606" s="133"/>
      <c r="D1606" s="133"/>
      <c r="E1606" s="145"/>
      <c r="F1606" s="145"/>
      <c r="G1606" s="133"/>
      <c r="H1606" s="144"/>
      <c r="I1606" s="133"/>
      <c r="J1606" s="133"/>
      <c r="K1606" s="133"/>
      <c r="L1606" s="133"/>
      <c r="M1606" s="133"/>
      <c r="N1606" s="147"/>
      <c r="P1606" s="140"/>
    </row>
    <row r="1607" spans="1:16" hidden="1" x14ac:dyDescent="0.35">
      <c r="A1607" s="146">
        <v>81</v>
      </c>
      <c r="B1607" s="143">
        <v>45474</v>
      </c>
      <c r="C1607" s="133" t="s">
        <v>1781</v>
      </c>
      <c r="D1607" s="133" t="s">
        <v>1780</v>
      </c>
      <c r="E1607" s="145" t="s">
        <v>1078</v>
      </c>
      <c r="F1607" s="145">
        <v>5054.59</v>
      </c>
      <c r="G1607" s="133" t="s">
        <v>1034</v>
      </c>
      <c r="H1607" s="144" t="s">
        <v>1341</v>
      </c>
      <c r="I1607" s="133" t="s">
        <v>1092</v>
      </c>
      <c r="J1607" s="133" t="s">
        <v>1779</v>
      </c>
      <c r="K1607" s="143">
        <v>45505</v>
      </c>
      <c r="L1607" s="133" t="s">
        <v>1092</v>
      </c>
      <c r="M1607" s="133">
        <v>2054.59</v>
      </c>
      <c r="N1607" s="147">
        <f>+F1607+F1608+F1609+F1610-M1607-M1608-M1609</f>
        <v>0</v>
      </c>
      <c r="P1607" s="140"/>
    </row>
    <row r="1608" spans="1:16" hidden="1" x14ac:dyDescent="0.35">
      <c r="A1608" s="146"/>
      <c r="B1608" s="143"/>
      <c r="C1608" s="133"/>
      <c r="D1608" s="133"/>
      <c r="E1608" s="145" t="s">
        <v>1075</v>
      </c>
      <c r="F1608" s="145">
        <v>6389.5</v>
      </c>
      <c r="G1608" s="133" t="s">
        <v>1034</v>
      </c>
      <c r="H1608" s="144" t="s">
        <v>1341</v>
      </c>
      <c r="I1608" s="133" t="s">
        <v>1092</v>
      </c>
      <c r="J1608" s="133" t="s">
        <v>1773</v>
      </c>
      <c r="K1608" s="143">
        <v>45505</v>
      </c>
      <c r="L1608" s="133" t="s">
        <v>1092</v>
      </c>
      <c r="M1608" s="133">
        <v>12860.2</v>
      </c>
      <c r="N1608" s="147"/>
      <c r="P1608" s="140"/>
    </row>
    <row r="1609" spans="1:16" hidden="1" x14ac:dyDescent="0.35">
      <c r="A1609" s="146"/>
      <c r="B1609" s="143"/>
      <c r="C1609" s="133"/>
      <c r="D1609" s="133"/>
      <c r="E1609" s="145" t="s">
        <v>1342</v>
      </c>
      <c r="F1609" s="145">
        <v>2348</v>
      </c>
      <c r="G1609" s="133" t="s">
        <v>1034</v>
      </c>
      <c r="H1609" s="144" t="s">
        <v>1341</v>
      </c>
      <c r="I1609" s="133" t="s">
        <v>1092</v>
      </c>
      <c r="J1609" s="133" t="s">
        <v>1776</v>
      </c>
      <c r="K1609" s="143">
        <v>45505</v>
      </c>
      <c r="L1609" s="133" t="s">
        <v>1241</v>
      </c>
      <c r="M1609" s="133">
        <v>311</v>
      </c>
      <c r="N1609" s="147"/>
      <c r="P1609" s="140"/>
    </row>
    <row r="1610" spans="1:16" hidden="1" x14ac:dyDescent="0.35">
      <c r="A1610" s="146"/>
      <c r="B1610" s="143"/>
      <c r="C1610" s="133"/>
      <c r="D1610" s="133"/>
      <c r="E1610" s="145" t="s">
        <v>1064</v>
      </c>
      <c r="F1610" s="145">
        <v>1433.7</v>
      </c>
      <c r="G1610" s="133"/>
      <c r="H1610" s="144"/>
      <c r="I1610" s="133"/>
      <c r="J1610" s="133"/>
      <c r="K1610" s="133"/>
      <c r="L1610" s="133"/>
      <c r="M1610" s="133"/>
      <c r="N1610" s="147"/>
      <c r="P1610" s="140"/>
    </row>
    <row r="1611" spans="1:16" hidden="1" x14ac:dyDescent="0.35">
      <c r="A1611" s="146"/>
      <c r="B1611" s="143"/>
      <c r="C1611" s="133"/>
      <c r="D1611" s="133"/>
      <c r="E1611" s="145"/>
      <c r="F1611" s="145"/>
      <c r="G1611" s="133"/>
      <c r="H1611" s="144"/>
      <c r="I1611" s="133"/>
      <c r="J1611" s="133"/>
      <c r="K1611" s="133"/>
      <c r="L1611" s="133"/>
      <c r="M1611" s="133"/>
      <c r="N1611" s="147"/>
      <c r="P1611" s="140"/>
    </row>
    <row r="1612" spans="1:16" hidden="1" x14ac:dyDescent="0.35">
      <c r="A1612" s="146">
        <v>82</v>
      </c>
      <c r="B1612" s="143">
        <v>45474</v>
      </c>
      <c r="C1612" s="133" t="s">
        <v>1778</v>
      </c>
      <c r="D1612" s="133" t="s">
        <v>1285</v>
      </c>
      <c r="E1612" s="145" t="s">
        <v>1067</v>
      </c>
      <c r="F1612" s="145">
        <v>2261.4</v>
      </c>
      <c r="G1612" s="133" t="s">
        <v>1034</v>
      </c>
      <c r="H1612" s="144" t="s">
        <v>1341</v>
      </c>
      <c r="I1612" s="133" t="s">
        <v>1092</v>
      </c>
      <c r="J1612" s="133" t="s">
        <v>1773</v>
      </c>
      <c r="K1612" s="143">
        <v>45505</v>
      </c>
      <c r="L1612" s="133" t="s">
        <v>1092</v>
      </c>
      <c r="M1612" s="133">
        <v>8559.4</v>
      </c>
      <c r="N1612" s="147">
        <f>+F1612+F1613-M1612-M1613</f>
        <v>0</v>
      </c>
      <c r="P1612" s="140"/>
    </row>
    <row r="1613" spans="1:16" hidden="1" x14ac:dyDescent="0.35">
      <c r="A1613" s="146"/>
      <c r="B1613" s="143"/>
      <c r="C1613" s="133"/>
      <c r="D1613" s="133"/>
      <c r="E1613" s="145" t="s">
        <v>1342</v>
      </c>
      <c r="F1613" s="145">
        <v>6470</v>
      </c>
      <c r="G1613" s="133" t="s">
        <v>1034</v>
      </c>
      <c r="H1613" s="144" t="s">
        <v>1341</v>
      </c>
      <c r="I1613" s="133" t="s">
        <v>1092</v>
      </c>
      <c r="J1613" s="133" t="s">
        <v>1776</v>
      </c>
      <c r="K1613" s="143">
        <v>45505</v>
      </c>
      <c r="L1613" s="133" t="s">
        <v>1241</v>
      </c>
      <c r="M1613" s="133">
        <v>172</v>
      </c>
      <c r="N1613" s="147"/>
      <c r="P1613" s="140"/>
    </row>
    <row r="1614" spans="1:16" hidden="1" x14ac:dyDescent="0.35">
      <c r="A1614" s="146"/>
      <c r="B1614" s="143"/>
      <c r="C1614" s="133"/>
      <c r="D1614" s="133"/>
      <c r="E1614" s="145"/>
      <c r="F1614" s="145"/>
      <c r="G1614" s="133"/>
      <c r="H1614" s="144"/>
      <c r="I1614" s="133"/>
      <c r="J1614" s="133"/>
      <c r="K1614" s="133"/>
      <c r="L1614" s="133"/>
      <c r="M1614" s="133"/>
      <c r="N1614" s="147"/>
      <c r="P1614" s="140"/>
    </row>
    <row r="1615" spans="1:16" hidden="1" x14ac:dyDescent="0.35">
      <c r="A1615" s="146">
        <v>83</v>
      </c>
      <c r="B1615" s="143">
        <v>45474</v>
      </c>
      <c r="C1615" s="133" t="s">
        <v>1777</v>
      </c>
      <c r="D1615" s="133" t="s">
        <v>1282</v>
      </c>
      <c r="E1615" s="145" t="s">
        <v>1067</v>
      </c>
      <c r="F1615" s="145">
        <v>2283</v>
      </c>
      <c r="G1615" s="133" t="s">
        <v>1034</v>
      </c>
      <c r="H1615" s="144" t="s">
        <v>1341</v>
      </c>
      <c r="I1615" s="133" t="s">
        <v>1092</v>
      </c>
      <c r="J1615" s="133" t="s">
        <v>1773</v>
      </c>
      <c r="K1615" s="143">
        <v>45505</v>
      </c>
      <c r="L1615" s="133" t="s">
        <v>1092</v>
      </c>
      <c r="M1615" s="133">
        <f>1858+3709.2+706.4</f>
        <v>6273.5999999999995</v>
      </c>
      <c r="N1615" s="147">
        <f>+F1615+F1616+F1617+F1618+F1619-M1616-M1615-M1617</f>
        <v>0</v>
      </c>
      <c r="P1615" s="140"/>
    </row>
    <row r="1616" spans="1:16" hidden="1" x14ac:dyDescent="0.35">
      <c r="A1616" s="146"/>
      <c r="B1616" s="143"/>
      <c r="C1616" s="133"/>
      <c r="D1616" s="133"/>
      <c r="E1616" s="145" t="s">
        <v>1342</v>
      </c>
      <c r="F1616" s="145">
        <v>3709.2</v>
      </c>
      <c r="G1616" s="133" t="s">
        <v>1034</v>
      </c>
      <c r="H1616" s="144" t="s">
        <v>1341</v>
      </c>
      <c r="I1616" s="133" t="s">
        <v>1092</v>
      </c>
      <c r="J1616" s="133" t="s">
        <v>1776</v>
      </c>
      <c r="K1616" s="143">
        <v>45505</v>
      </c>
      <c r="L1616" s="133" t="s">
        <v>1241</v>
      </c>
      <c r="M1616" s="133">
        <v>425</v>
      </c>
      <c r="N1616" s="147"/>
      <c r="P1616" s="140"/>
    </row>
    <row r="1617" spans="1:16" hidden="1" x14ac:dyDescent="0.35">
      <c r="A1617" s="146"/>
      <c r="B1617" s="143"/>
      <c r="C1617" s="133"/>
      <c r="D1617" s="133"/>
      <c r="E1617" s="145" t="s">
        <v>1075</v>
      </c>
      <c r="F1617" s="145">
        <v>10543.6</v>
      </c>
      <c r="G1617" s="133" t="s">
        <v>1034</v>
      </c>
      <c r="H1617" s="144" t="s">
        <v>1341</v>
      </c>
      <c r="I1617" s="133" t="s">
        <v>1092</v>
      </c>
      <c r="J1617" s="133" t="s">
        <v>1762</v>
      </c>
      <c r="K1617" s="143">
        <v>45505</v>
      </c>
      <c r="L1617" s="133" t="s">
        <v>1092</v>
      </c>
      <c r="M1617" s="133">
        <v>14418.800000000003</v>
      </c>
      <c r="N1617" s="147"/>
      <c r="P1617" s="140"/>
    </row>
    <row r="1618" spans="1:16" hidden="1" x14ac:dyDescent="0.35">
      <c r="A1618" s="146"/>
      <c r="B1618" s="143"/>
      <c r="C1618" s="133"/>
      <c r="D1618" s="133"/>
      <c r="E1618" s="145" t="s">
        <v>1064</v>
      </c>
      <c r="F1618" s="145">
        <v>706.4</v>
      </c>
      <c r="G1618" s="133"/>
      <c r="H1618" s="144"/>
      <c r="I1618" s="133"/>
      <c r="J1618" s="133"/>
      <c r="K1618" s="133"/>
      <c r="L1618" s="133"/>
      <c r="M1618" s="133"/>
      <c r="N1618" s="147"/>
      <c r="P1618" s="140"/>
    </row>
    <row r="1619" spans="1:16" hidden="1" x14ac:dyDescent="0.35">
      <c r="A1619" s="146"/>
      <c r="B1619" s="143"/>
      <c r="C1619" s="133"/>
      <c r="D1619" s="133"/>
      <c r="E1619" s="145" t="s">
        <v>1118</v>
      </c>
      <c r="F1619" s="145">
        <v>3875.2</v>
      </c>
      <c r="G1619" s="133"/>
      <c r="H1619" s="144"/>
      <c r="I1619" s="133"/>
      <c r="J1619" s="133"/>
      <c r="K1619" s="133"/>
      <c r="L1619" s="133"/>
      <c r="M1619" s="133"/>
      <c r="N1619" s="147"/>
      <c r="P1619" s="140"/>
    </row>
    <row r="1620" spans="1:16" hidden="1" x14ac:dyDescent="0.35">
      <c r="A1620" s="146"/>
      <c r="B1620" s="143"/>
      <c r="C1620" s="133"/>
      <c r="D1620" s="133"/>
      <c r="E1620" s="145"/>
      <c r="F1620" s="145"/>
      <c r="G1620" s="133"/>
      <c r="H1620" s="144"/>
      <c r="I1620" s="133"/>
      <c r="J1620" s="133"/>
      <c r="K1620" s="133"/>
      <c r="L1620" s="133"/>
      <c r="M1620" s="133"/>
      <c r="N1620" s="147"/>
      <c r="P1620" s="140"/>
    </row>
    <row r="1621" spans="1:16" hidden="1" x14ac:dyDescent="0.35">
      <c r="A1621" s="146">
        <v>84</v>
      </c>
      <c r="B1621" s="143">
        <v>45474</v>
      </c>
      <c r="C1621" s="133" t="s">
        <v>1775</v>
      </c>
      <c r="D1621" s="133" t="s">
        <v>1774</v>
      </c>
      <c r="E1621" s="145" t="s">
        <v>1075</v>
      </c>
      <c r="F1621" s="145">
        <v>85</v>
      </c>
      <c r="G1621" s="133" t="s">
        <v>1034</v>
      </c>
      <c r="H1621" s="144" t="s">
        <v>1341</v>
      </c>
      <c r="I1621" s="133" t="s">
        <v>1092</v>
      </c>
      <c r="J1621" s="133" t="s">
        <v>1773</v>
      </c>
      <c r="K1621" s="143">
        <v>45505</v>
      </c>
      <c r="L1621" s="133" t="s">
        <v>1092</v>
      </c>
      <c r="M1621" s="133">
        <v>85</v>
      </c>
      <c r="N1621" s="147">
        <f>+F1621-M1621</f>
        <v>0</v>
      </c>
      <c r="P1621" s="140"/>
    </row>
    <row r="1622" spans="1:16" hidden="1" x14ac:dyDescent="0.35">
      <c r="A1622" s="146"/>
      <c r="B1622" s="143"/>
      <c r="C1622" s="133"/>
      <c r="D1622" s="133"/>
      <c r="E1622" s="145"/>
      <c r="F1622" s="145"/>
      <c r="G1622" s="133"/>
      <c r="H1622" s="144"/>
      <c r="I1622" s="133"/>
      <c r="J1622" s="133"/>
      <c r="K1622" s="133"/>
      <c r="L1622" s="133"/>
      <c r="M1622" s="133"/>
      <c r="N1622" s="147"/>
      <c r="P1622" s="140"/>
    </row>
    <row r="1623" spans="1:16" hidden="1" x14ac:dyDescent="0.35">
      <c r="A1623" s="146">
        <v>85</v>
      </c>
      <c r="B1623" s="143">
        <v>45474</v>
      </c>
      <c r="C1623" s="133" t="s">
        <v>1772</v>
      </c>
      <c r="D1623" s="133" t="s">
        <v>1280</v>
      </c>
      <c r="E1623" s="145" t="s">
        <v>1067</v>
      </c>
      <c r="F1623" s="145">
        <v>4598</v>
      </c>
      <c r="G1623" s="133" t="s">
        <v>1034</v>
      </c>
      <c r="H1623" s="144" t="s">
        <v>1341</v>
      </c>
      <c r="I1623" s="133" t="s">
        <v>1092</v>
      </c>
      <c r="J1623" s="133" t="s">
        <v>1762</v>
      </c>
      <c r="K1623" s="143">
        <v>45505</v>
      </c>
      <c r="L1623" s="133" t="s">
        <v>1092</v>
      </c>
      <c r="M1623" s="133">
        <f>10553.9-2218.1</f>
        <v>8335.7999999999993</v>
      </c>
      <c r="N1623" s="147">
        <f>+F1623+F1624+F1625-M1623-M1624-M1625</f>
        <v>0</v>
      </c>
      <c r="P1623" s="140"/>
    </row>
    <row r="1624" spans="1:16" hidden="1" x14ac:dyDescent="0.35">
      <c r="A1624" s="146"/>
      <c r="B1624" s="143"/>
      <c r="C1624" s="133"/>
      <c r="D1624" s="133"/>
      <c r="E1624" s="145" t="s">
        <v>1342</v>
      </c>
      <c r="F1624" s="145">
        <v>4087</v>
      </c>
      <c r="G1624" s="133" t="s">
        <v>1034</v>
      </c>
      <c r="H1624" s="144" t="s">
        <v>1341</v>
      </c>
      <c r="I1624" s="133" t="s">
        <v>1092</v>
      </c>
      <c r="J1624" s="133" t="s">
        <v>1753</v>
      </c>
      <c r="K1624" s="143">
        <v>45505</v>
      </c>
      <c r="L1624" s="133" t="s">
        <v>1092</v>
      </c>
      <c r="M1624" s="133">
        <v>2218.1000000000004</v>
      </c>
      <c r="N1624" s="147"/>
      <c r="P1624" s="140"/>
    </row>
    <row r="1625" spans="1:16" hidden="1" x14ac:dyDescent="0.35">
      <c r="A1625" s="146"/>
      <c r="B1625" s="143"/>
      <c r="C1625" s="133"/>
      <c r="D1625" s="133"/>
      <c r="E1625" s="145" t="s">
        <v>1071</v>
      </c>
      <c r="F1625" s="145">
        <v>2078.9</v>
      </c>
      <c r="G1625" s="133" t="s">
        <v>1034</v>
      </c>
      <c r="H1625" s="144" t="s">
        <v>1341</v>
      </c>
      <c r="I1625" s="133" t="s">
        <v>1092</v>
      </c>
      <c r="J1625" s="133" t="s">
        <v>1709</v>
      </c>
      <c r="K1625" s="143">
        <v>45536</v>
      </c>
      <c r="L1625" s="133" t="s">
        <v>1241</v>
      </c>
      <c r="M1625" s="133">
        <v>210</v>
      </c>
      <c r="N1625" s="147"/>
      <c r="P1625" s="140"/>
    </row>
    <row r="1626" spans="1:16" hidden="1" x14ac:dyDescent="0.35">
      <c r="A1626" s="146"/>
      <c r="B1626" s="143"/>
      <c r="C1626" s="133"/>
      <c r="D1626" s="133"/>
      <c r="E1626" s="145"/>
      <c r="F1626" s="145"/>
      <c r="G1626" s="133"/>
      <c r="H1626" s="144"/>
      <c r="I1626" s="133"/>
      <c r="J1626" s="133"/>
      <c r="K1626" s="133"/>
      <c r="L1626" s="133"/>
      <c r="M1626" s="133"/>
      <c r="N1626" s="147"/>
      <c r="P1626" s="140"/>
    </row>
    <row r="1627" spans="1:16" hidden="1" x14ac:dyDescent="0.35">
      <c r="A1627" s="146">
        <v>86</v>
      </c>
      <c r="B1627" s="143">
        <v>45474</v>
      </c>
      <c r="C1627" s="133" t="s">
        <v>1771</v>
      </c>
      <c r="D1627" s="133" t="s">
        <v>1770</v>
      </c>
      <c r="E1627" s="145" t="s">
        <v>1064</v>
      </c>
      <c r="F1627" s="145">
        <v>348.8</v>
      </c>
      <c r="G1627" s="133" t="s">
        <v>1034</v>
      </c>
      <c r="H1627" s="144" t="s">
        <v>1341</v>
      </c>
      <c r="I1627" s="133" t="s">
        <v>1092</v>
      </c>
      <c r="J1627" s="133" t="s">
        <v>1762</v>
      </c>
      <c r="K1627" s="143">
        <v>45505</v>
      </c>
      <c r="L1627" s="133" t="s">
        <v>1092</v>
      </c>
      <c r="M1627" s="133">
        <v>348.8</v>
      </c>
      <c r="N1627" s="147">
        <f>+F1627-M1627</f>
        <v>0</v>
      </c>
      <c r="P1627" s="140"/>
    </row>
    <row r="1628" spans="1:16" hidden="1" x14ac:dyDescent="0.35">
      <c r="A1628" s="146"/>
      <c r="B1628" s="143"/>
      <c r="C1628" s="133"/>
      <c r="D1628" s="133"/>
      <c r="E1628" s="145"/>
      <c r="F1628" s="145"/>
      <c r="G1628" s="133"/>
      <c r="H1628" s="144"/>
      <c r="I1628" s="133"/>
      <c r="J1628" s="133"/>
      <c r="K1628" s="133"/>
      <c r="L1628" s="133"/>
      <c r="M1628" s="133"/>
      <c r="N1628" s="147"/>
      <c r="P1628" s="140"/>
    </row>
    <row r="1629" spans="1:16" hidden="1" x14ac:dyDescent="0.35">
      <c r="A1629" s="146">
        <v>87</v>
      </c>
      <c r="B1629" s="143">
        <v>45474</v>
      </c>
      <c r="C1629" s="133" t="s">
        <v>1769</v>
      </c>
      <c r="D1629" s="133" t="s">
        <v>1768</v>
      </c>
      <c r="E1629" s="145" t="s">
        <v>1071</v>
      </c>
      <c r="F1629" s="145">
        <v>1097.0999999999999</v>
      </c>
      <c r="G1629" s="133" t="s">
        <v>1034</v>
      </c>
      <c r="H1629" s="144" t="s">
        <v>1341</v>
      </c>
      <c r="I1629" s="133" t="s">
        <v>1092</v>
      </c>
      <c r="J1629" s="133" t="s">
        <v>1762</v>
      </c>
      <c r="K1629" s="143">
        <v>45505</v>
      </c>
      <c r="L1629" s="133" t="s">
        <v>1092</v>
      </c>
      <c r="M1629" s="133">
        <v>15488.400000000001</v>
      </c>
      <c r="N1629" s="147">
        <f>+F1629+F1630+F1631+F1632+F1633-M1629-M1630</f>
        <v>0</v>
      </c>
      <c r="P1629" s="140"/>
    </row>
    <row r="1630" spans="1:16" hidden="1" x14ac:dyDescent="0.35">
      <c r="A1630" s="146"/>
      <c r="B1630" s="143"/>
      <c r="C1630" s="133"/>
      <c r="D1630" s="133"/>
      <c r="E1630" s="145" t="s">
        <v>1342</v>
      </c>
      <c r="F1630" s="145">
        <v>1292</v>
      </c>
      <c r="G1630" s="133" t="s">
        <v>1034</v>
      </c>
      <c r="H1630" s="144" t="s">
        <v>1341</v>
      </c>
      <c r="I1630" s="133" t="s">
        <v>1092</v>
      </c>
      <c r="J1630" s="133" t="s">
        <v>1709</v>
      </c>
      <c r="K1630" s="143">
        <v>45536</v>
      </c>
      <c r="L1630" s="133" t="s">
        <v>1241</v>
      </c>
      <c r="M1630" s="133">
        <v>310</v>
      </c>
      <c r="N1630" s="147"/>
      <c r="P1630" s="140"/>
    </row>
    <row r="1631" spans="1:16" hidden="1" x14ac:dyDescent="0.35">
      <c r="A1631" s="146"/>
      <c r="B1631" s="143"/>
      <c r="C1631" s="133"/>
      <c r="D1631" s="133"/>
      <c r="E1631" s="145" t="s">
        <v>1075</v>
      </c>
      <c r="F1631" s="145">
        <v>10317.200000000001</v>
      </c>
      <c r="G1631" s="133"/>
      <c r="H1631" s="144"/>
      <c r="I1631" s="133"/>
      <c r="J1631" s="133"/>
      <c r="K1631" s="133"/>
      <c r="L1631" s="133"/>
      <c r="M1631" s="133"/>
      <c r="N1631" s="147"/>
      <c r="P1631" s="140"/>
    </row>
    <row r="1632" spans="1:16" hidden="1" x14ac:dyDescent="0.35">
      <c r="A1632" s="146"/>
      <c r="B1632" s="143"/>
      <c r="C1632" s="133"/>
      <c r="D1632" s="133"/>
      <c r="E1632" s="145" t="s">
        <v>1064</v>
      </c>
      <c r="F1632" s="145">
        <v>1246</v>
      </c>
      <c r="G1632" s="133"/>
      <c r="H1632" s="144"/>
      <c r="I1632" s="133"/>
      <c r="J1632" s="133"/>
      <c r="K1632" s="133"/>
      <c r="L1632" s="133"/>
      <c r="M1632" s="133"/>
      <c r="N1632" s="147"/>
      <c r="P1632" s="140"/>
    </row>
    <row r="1633" spans="1:16" hidden="1" x14ac:dyDescent="0.35">
      <c r="A1633" s="146"/>
      <c r="B1633" s="143"/>
      <c r="C1633" s="133"/>
      <c r="D1633" s="133"/>
      <c r="E1633" s="145" t="s">
        <v>1118</v>
      </c>
      <c r="F1633" s="145">
        <v>1846.1</v>
      </c>
      <c r="G1633" s="133"/>
      <c r="H1633" s="144"/>
      <c r="I1633" s="133"/>
      <c r="J1633" s="133"/>
      <c r="K1633" s="133"/>
      <c r="L1633" s="133"/>
      <c r="M1633" s="133"/>
      <c r="N1633" s="147"/>
      <c r="P1633" s="140"/>
    </row>
    <row r="1634" spans="1:16" hidden="1" x14ac:dyDescent="0.35">
      <c r="A1634" s="146"/>
      <c r="B1634" s="143"/>
      <c r="C1634" s="133"/>
      <c r="D1634" s="133"/>
      <c r="E1634" s="145"/>
      <c r="F1634" s="145"/>
      <c r="G1634" s="133"/>
      <c r="H1634" s="144"/>
      <c r="I1634" s="133"/>
      <c r="J1634" s="133"/>
      <c r="K1634" s="133"/>
      <c r="L1634" s="133"/>
      <c r="M1634" s="133"/>
      <c r="N1634" s="147"/>
      <c r="P1634" s="140"/>
    </row>
    <row r="1635" spans="1:16" hidden="1" x14ac:dyDescent="0.35">
      <c r="A1635" s="146">
        <v>88</v>
      </c>
      <c r="B1635" s="143">
        <v>45474</v>
      </c>
      <c r="C1635" s="133" t="s">
        <v>1767</v>
      </c>
      <c r="D1635" s="133" t="s">
        <v>1278</v>
      </c>
      <c r="E1635" s="145" t="s">
        <v>1067</v>
      </c>
      <c r="F1635" s="145">
        <v>3054.5</v>
      </c>
      <c r="G1635" s="133" t="s">
        <v>1034</v>
      </c>
      <c r="H1635" s="144" t="s">
        <v>1341</v>
      </c>
      <c r="I1635" s="133" t="s">
        <v>1092</v>
      </c>
      <c r="J1635" s="133" t="s">
        <v>1762</v>
      </c>
      <c r="K1635" s="143">
        <v>45505</v>
      </c>
      <c r="L1635" s="133" t="s">
        <v>1092</v>
      </c>
      <c r="M1635" s="133">
        <v>10359.5</v>
      </c>
      <c r="N1635" s="147">
        <f>+F1635+F1636-M1635-M1636</f>
        <v>0</v>
      </c>
      <c r="P1635" s="140"/>
    </row>
    <row r="1636" spans="1:16" hidden="1" x14ac:dyDescent="0.35">
      <c r="A1636" s="146"/>
      <c r="B1636" s="143"/>
      <c r="C1636" s="133"/>
      <c r="D1636" s="133"/>
      <c r="E1636" s="145" t="s">
        <v>1342</v>
      </c>
      <c r="F1636" s="145">
        <v>7520</v>
      </c>
      <c r="G1636" s="133" t="s">
        <v>1034</v>
      </c>
      <c r="H1636" s="144" t="s">
        <v>1341</v>
      </c>
      <c r="I1636" s="133" t="s">
        <v>1092</v>
      </c>
      <c r="J1636" s="133" t="s">
        <v>1709</v>
      </c>
      <c r="K1636" s="143">
        <v>45536</v>
      </c>
      <c r="L1636" s="133" t="s">
        <v>1241</v>
      </c>
      <c r="M1636" s="133">
        <v>215</v>
      </c>
      <c r="N1636" s="147"/>
      <c r="P1636" s="140"/>
    </row>
    <row r="1637" spans="1:16" hidden="1" x14ac:dyDescent="0.35">
      <c r="A1637" s="146"/>
      <c r="B1637" s="143"/>
      <c r="C1637" s="133"/>
      <c r="D1637" s="133"/>
      <c r="E1637" s="145"/>
      <c r="F1637" s="145"/>
      <c r="G1637" s="133"/>
      <c r="H1637" s="144"/>
      <c r="I1637" s="133"/>
      <c r="J1637" s="133"/>
      <c r="K1637" s="133"/>
      <c r="L1637" s="133"/>
      <c r="M1637" s="133"/>
      <c r="N1637" s="147"/>
      <c r="P1637" s="140"/>
    </row>
    <row r="1638" spans="1:16" hidden="1" x14ac:dyDescent="0.35">
      <c r="A1638" s="146">
        <v>89</v>
      </c>
      <c r="B1638" s="143">
        <v>45474</v>
      </c>
      <c r="C1638" s="133" t="s">
        <v>1766</v>
      </c>
      <c r="D1638" s="133" t="s">
        <v>1275</v>
      </c>
      <c r="E1638" s="145" t="s">
        <v>1067</v>
      </c>
      <c r="F1638" s="145">
        <v>1042.5999999999999</v>
      </c>
      <c r="G1638" s="133" t="s">
        <v>1034</v>
      </c>
      <c r="H1638" s="144" t="s">
        <v>1341</v>
      </c>
      <c r="I1638" s="133" t="s">
        <v>1092</v>
      </c>
      <c r="J1638" s="133" t="s">
        <v>1762</v>
      </c>
      <c r="K1638" s="143">
        <v>45505</v>
      </c>
      <c r="L1638" s="133" t="s">
        <v>1092</v>
      </c>
      <c r="M1638" s="133">
        <v>5470.6</v>
      </c>
      <c r="N1638" s="147">
        <f>+F1638+F1639-M1638-M1639</f>
        <v>0</v>
      </c>
      <c r="P1638" s="140"/>
    </row>
    <row r="1639" spans="1:16" hidden="1" x14ac:dyDescent="0.35">
      <c r="A1639" s="146"/>
      <c r="B1639" s="143"/>
      <c r="C1639" s="133"/>
      <c r="D1639" s="133"/>
      <c r="E1639" s="145" t="s">
        <v>1342</v>
      </c>
      <c r="F1639" s="145">
        <v>4542</v>
      </c>
      <c r="G1639" s="133" t="s">
        <v>1034</v>
      </c>
      <c r="H1639" s="144" t="s">
        <v>1341</v>
      </c>
      <c r="I1639" s="133" t="s">
        <v>1092</v>
      </c>
      <c r="J1639" s="133" t="s">
        <v>1709</v>
      </c>
      <c r="K1639" s="143">
        <v>45536</v>
      </c>
      <c r="L1639" s="133" t="s">
        <v>1241</v>
      </c>
      <c r="M1639" s="133">
        <v>114</v>
      </c>
      <c r="N1639" s="147"/>
      <c r="P1639" s="140"/>
    </row>
    <row r="1640" spans="1:16" hidden="1" x14ac:dyDescent="0.35">
      <c r="A1640" s="146"/>
      <c r="B1640" s="143"/>
      <c r="C1640" s="133"/>
      <c r="D1640" s="133"/>
      <c r="E1640" s="145"/>
      <c r="F1640" s="145"/>
      <c r="G1640" s="133"/>
      <c r="H1640" s="144"/>
      <c r="I1640" s="133"/>
      <c r="J1640" s="133"/>
      <c r="K1640" s="133"/>
      <c r="L1640" s="133"/>
      <c r="M1640" s="133"/>
      <c r="N1640" s="147"/>
      <c r="P1640" s="140"/>
    </row>
    <row r="1641" spans="1:16" hidden="1" x14ac:dyDescent="0.35">
      <c r="A1641" s="146">
        <v>90</v>
      </c>
      <c r="B1641" s="143">
        <v>45474</v>
      </c>
      <c r="C1641" s="133" t="s">
        <v>1765</v>
      </c>
      <c r="D1641" s="133" t="s">
        <v>1764</v>
      </c>
      <c r="E1641" s="145" t="s">
        <v>1075</v>
      </c>
      <c r="F1641" s="145">
        <v>4028</v>
      </c>
      <c r="G1641" s="133" t="s">
        <v>1034</v>
      </c>
      <c r="H1641" s="144" t="s">
        <v>1341</v>
      </c>
      <c r="I1641" s="133" t="s">
        <v>1092</v>
      </c>
      <c r="J1641" s="133" t="s">
        <v>1762</v>
      </c>
      <c r="K1641" s="143">
        <v>45505</v>
      </c>
      <c r="L1641" s="133" t="s">
        <v>1092</v>
      </c>
      <c r="M1641" s="133">
        <v>5394.6</v>
      </c>
      <c r="N1641" s="147">
        <f>+F1641+F1642-M1641-M1642</f>
        <v>0</v>
      </c>
      <c r="P1641" s="140"/>
    </row>
    <row r="1642" spans="1:16" hidden="1" x14ac:dyDescent="0.35">
      <c r="A1642" s="146"/>
      <c r="B1642" s="143"/>
      <c r="C1642" s="133"/>
      <c r="D1642" s="133"/>
      <c r="E1642" s="145" t="s">
        <v>1064</v>
      </c>
      <c r="F1642" s="145">
        <v>1472.6</v>
      </c>
      <c r="G1642" s="133" t="s">
        <v>1034</v>
      </c>
      <c r="H1642" s="144" t="s">
        <v>1341</v>
      </c>
      <c r="I1642" s="133" t="s">
        <v>1092</v>
      </c>
      <c r="J1642" s="133" t="s">
        <v>1709</v>
      </c>
      <c r="K1642" s="143">
        <v>45536</v>
      </c>
      <c r="L1642" s="133" t="s">
        <v>1241</v>
      </c>
      <c r="M1642" s="133">
        <v>106</v>
      </c>
      <c r="N1642" s="147"/>
      <c r="P1642" s="140"/>
    </row>
    <row r="1643" spans="1:16" hidden="1" x14ac:dyDescent="0.35">
      <c r="A1643" s="146"/>
      <c r="B1643" s="143"/>
      <c r="C1643" s="133"/>
      <c r="D1643" s="133"/>
      <c r="E1643" s="145"/>
      <c r="F1643" s="145"/>
      <c r="G1643" s="133"/>
      <c r="H1643" s="144"/>
      <c r="I1643" s="133"/>
      <c r="J1643" s="133"/>
      <c r="K1643" s="133"/>
      <c r="L1643" s="133"/>
      <c r="M1643" s="133"/>
      <c r="N1643" s="147"/>
      <c r="P1643" s="140"/>
    </row>
    <row r="1644" spans="1:16" hidden="1" x14ac:dyDescent="0.35">
      <c r="A1644" s="146">
        <v>91</v>
      </c>
      <c r="B1644" s="143">
        <v>45474</v>
      </c>
      <c r="C1644" s="133" t="s">
        <v>1763</v>
      </c>
      <c r="D1644" s="133" t="s">
        <v>1273</v>
      </c>
      <c r="E1644" s="145" t="s">
        <v>1067</v>
      </c>
      <c r="F1644" s="145">
        <v>3549.2</v>
      </c>
      <c r="G1644" s="133" t="s">
        <v>1034</v>
      </c>
      <c r="H1644" s="144" t="s">
        <v>1341</v>
      </c>
      <c r="I1644" s="133" t="s">
        <v>1092</v>
      </c>
      <c r="J1644" s="133" t="s">
        <v>1762</v>
      </c>
      <c r="K1644" s="143">
        <v>45505</v>
      </c>
      <c r="L1644" s="133" t="s">
        <v>1092</v>
      </c>
      <c r="M1644" s="133">
        <v>13308.2</v>
      </c>
      <c r="N1644" s="147">
        <f>+F1644+F1645+F1646-M1644-M1645</f>
        <v>0</v>
      </c>
      <c r="P1644" s="140"/>
    </row>
    <row r="1645" spans="1:16" hidden="1" x14ac:dyDescent="0.35">
      <c r="A1645" s="146"/>
      <c r="B1645" s="143"/>
      <c r="C1645" s="133"/>
      <c r="D1645" s="133"/>
      <c r="E1645" s="145" t="s">
        <v>1342</v>
      </c>
      <c r="F1645" s="145">
        <v>3557</v>
      </c>
      <c r="G1645" s="133" t="s">
        <v>1034</v>
      </c>
      <c r="H1645" s="144" t="s">
        <v>1341</v>
      </c>
      <c r="I1645" s="133" t="s">
        <v>1092</v>
      </c>
      <c r="J1645" s="133" t="s">
        <v>1709</v>
      </c>
      <c r="K1645" s="143">
        <v>45536</v>
      </c>
      <c r="L1645" s="133" t="s">
        <v>1241</v>
      </c>
      <c r="M1645" s="133">
        <v>265</v>
      </c>
      <c r="N1645" s="147"/>
      <c r="P1645" s="140"/>
    </row>
    <row r="1646" spans="1:16" hidden="1" x14ac:dyDescent="0.35">
      <c r="A1646" s="146"/>
      <c r="B1646" s="143"/>
      <c r="C1646" s="133"/>
      <c r="D1646" s="133"/>
      <c r="E1646" s="145" t="s">
        <v>1075</v>
      </c>
      <c r="F1646" s="145">
        <v>6467</v>
      </c>
      <c r="G1646" s="133"/>
      <c r="H1646" s="144"/>
      <c r="I1646" s="133"/>
      <c r="J1646" s="133"/>
      <c r="K1646" s="133"/>
      <c r="L1646" s="133"/>
      <c r="M1646" s="133"/>
      <c r="N1646" s="147"/>
      <c r="P1646" s="140"/>
    </row>
    <row r="1647" spans="1:16" hidden="1" x14ac:dyDescent="0.35">
      <c r="A1647" s="146"/>
      <c r="B1647" s="143"/>
      <c r="C1647" s="133"/>
      <c r="D1647" s="133"/>
      <c r="E1647" s="145"/>
      <c r="F1647" s="145"/>
      <c r="G1647" s="133"/>
      <c r="H1647" s="144"/>
      <c r="I1647" s="133"/>
      <c r="J1647" s="133"/>
      <c r="K1647" s="133"/>
      <c r="L1647" s="133"/>
      <c r="M1647" s="133"/>
      <c r="N1647" s="147"/>
      <c r="P1647" s="140"/>
    </row>
    <row r="1648" spans="1:16" hidden="1" x14ac:dyDescent="0.35">
      <c r="A1648" s="146">
        <v>92</v>
      </c>
      <c r="B1648" s="143">
        <v>45474</v>
      </c>
      <c r="C1648" s="133" t="s">
        <v>1761</v>
      </c>
      <c r="D1648" s="133" t="s">
        <v>1760</v>
      </c>
      <c r="E1648" s="145" t="s">
        <v>1067</v>
      </c>
      <c r="F1648" s="145">
        <v>2972.1</v>
      </c>
      <c r="G1648" s="133" t="s">
        <v>1034</v>
      </c>
      <c r="H1648" s="144" t="s">
        <v>1341</v>
      </c>
      <c r="I1648" s="133" t="s">
        <v>1092</v>
      </c>
      <c r="J1648" s="133" t="s">
        <v>1753</v>
      </c>
      <c r="K1648" s="143">
        <v>45505</v>
      </c>
      <c r="L1648" s="133" t="s">
        <v>1092</v>
      </c>
      <c r="M1648" s="133">
        <v>6518.8</v>
      </c>
      <c r="N1648" s="147">
        <f>+F1648+F1649+F1650-M1648-M1649</f>
        <v>0</v>
      </c>
      <c r="P1648" s="140"/>
    </row>
    <row r="1649" spans="1:16" hidden="1" x14ac:dyDescent="0.35">
      <c r="A1649" s="146"/>
      <c r="B1649" s="143"/>
      <c r="C1649" s="133"/>
      <c r="D1649" s="133"/>
      <c r="E1649" s="145" t="s">
        <v>1342</v>
      </c>
      <c r="F1649" s="145">
        <v>2522</v>
      </c>
      <c r="G1649" s="133" t="s">
        <v>1034</v>
      </c>
      <c r="H1649" s="144" t="s">
        <v>1341</v>
      </c>
      <c r="I1649" s="133" t="s">
        <v>1092</v>
      </c>
      <c r="J1649" s="133" t="s">
        <v>1709</v>
      </c>
      <c r="K1649" s="143">
        <v>45536</v>
      </c>
      <c r="L1649" s="133" t="s">
        <v>1241</v>
      </c>
      <c r="M1649" s="133">
        <v>140</v>
      </c>
      <c r="N1649" s="147"/>
      <c r="P1649" s="140"/>
    </row>
    <row r="1650" spans="1:16" hidden="1" x14ac:dyDescent="0.35">
      <c r="A1650" s="146"/>
      <c r="B1650" s="143"/>
      <c r="C1650" s="133"/>
      <c r="D1650" s="133"/>
      <c r="E1650" s="145" t="s">
        <v>1071</v>
      </c>
      <c r="F1650" s="145">
        <v>1164.7</v>
      </c>
      <c r="G1650" s="133"/>
      <c r="H1650" s="144"/>
      <c r="I1650" s="133"/>
      <c r="J1650" s="133"/>
      <c r="K1650" s="133"/>
      <c r="L1650" s="133"/>
      <c r="M1650" s="133"/>
      <c r="N1650" s="147"/>
      <c r="P1650" s="140"/>
    </row>
    <row r="1651" spans="1:16" hidden="1" x14ac:dyDescent="0.35">
      <c r="A1651" s="146"/>
      <c r="B1651" s="143"/>
      <c r="C1651" s="133"/>
      <c r="D1651" s="133"/>
      <c r="E1651" s="145"/>
      <c r="F1651" s="145"/>
      <c r="G1651" s="133"/>
      <c r="H1651" s="144"/>
      <c r="I1651" s="133"/>
      <c r="J1651" s="133"/>
      <c r="K1651" s="133"/>
      <c r="L1651" s="133"/>
      <c r="M1651" s="133"/>
      <c r="N1651" s="147"/>
      <c r="P1651" s="140"/>
    </row>
    <row r="1652" spans="1:16" hidden="1" x14ac:dyDescent="0.35">
      <c r="A1652" s="146">
        <v>93</v>
      </c>
      <c r="B1652" s="143">
        <v>45474</v>
      </c>
      <c r="C1652" s="133" t="s">
        <v>1759</v>
      </c>
      <c r="D1652" s="133" t="s">
        <v>1271</v>
      </c>
      <c r="E1652" s="145" t="s">
        <v>1067</v>
      </c>
      <c r="F1652" s="145">
        <v>209</v>
      </c>
      <c r="G1652" s="133" t="s">
        <v>1034</v>
      </c>
      <c r="H1652" s="144" t="s">
        <v>1341</v>
      </c>
      <c r="I1652" s="133" t="s">
        <v>1092</v>
      </c>
      <c r="J1652" s="133" t="s">
        <v>1753</v>
      </c>
      <c r="K1652" s="143">
        <v>45505</v>
      </c>
      <c r="L1652" s="133" t="s">
        <v>1092</v>
      </c>
      <c r="M1652" s="133">
        <v>21289.600000000002</v>
      </c>
      <c r="N1652" s="147">
        <f>+F1652+F1653+F1654+F1655+F1656+F1657-M1652-M1653</f>
        <v>0</v>
      </c>
      <c r="P1652" s="140"/>
    </row>
    <row r="1653" spans="1:16" hidden="1" x14ac:dyDescent="0.35">
      <c r="A1653" s="146"/>
      <c r="B1653" s="143"/>
      <c r="C1653" s="133"/>
      <c r="D1653" s="133"/>
      <c r="E1653" s="145" t="s">
        <v>1342</v>
      </c>
      <c r="F1653" s="145">
        <v>7775</v>
      </c>
      <c r="G1653" s="133" t="s">
        <v>1034</v>
      </c>
      <c r="H1653" s="144" t="s">
        <v>1341</v>
      </c>
      <c r="I1653" s="133" t="s">
        <v>1092</v>
      </c>
      <c r="J1653" s="133" t="s">
        <v>1709</v>
      </c>
      <c r="K1653" s="143">
        <v>45536</v>
      </c>
      <c r="L1653" s="133" t="s">
        <v>1241</v>
      </c>
      <c r="M1653" s="133">
        <v>430</v>
      </c>
      <c r="N1653" s="147"/>
      <c r="P1653" s="140"/>
    </row>
    <row r="1654" spans="1:16" hidden="1" x14ac:dyDescent="0.35">
      <c r="A1654" s="146"/>
      <c r="B1654" s="143"/>
      <c r="C1654" s="133"/>
      <c r="D1654" s="133"/>
      <c r="E1654" s="145" t="s">
        <v>1071</v>
      </c>
      <c r="F1654" s="145">
        <v>275.39999999999998</v>
      </c>
      <c r="G1654" s="133"/>
      <c r="H1654" s="144"/>
      <c r="I1654" s="133"/>
      <c r="J1654" s="133"/>
      <c r="K1654" s="133"/>
      <c r="L1654" s="133"/>
      <c r="M1654" s="133"/>
      <c r="N1654" s="147"/>
      <c r="P1654" s="140"/>
    </row>
    <row r="1655" spans="1:16" hidden="1" x14ac:dyDescent="0.35">
      <c r="A1655" s="146"/>
      <c r="B1655" s="143"/>
      <c r="C1655" s="133"/>
      <c r="D1655" s="133"/>
      <c r="E1655" s="145" t="s">
        <v>1075</v>
      </c>
      <c r="F1655" s="145">
        <v>8902.5</v>
      </c>
      <c r="G1655" s="133"/>
      <c r="H1655" s="144"/>
      <c r="I1655" s="133"/>
      <c r="J1655" s="133"/>
      <c r="K1655" s="133"/>
      <c r="L1655" s="133"/>
      <c r="M1655" s="133"/>
      <c r="N1655" s="147"/>
      <c r="P1655" s="140"/>
    </row>
    <row r="1656" spans="1:16" hidden="1" x14ac:dyDescent="0.35">
      <c r="A1656" s="146"/>
      <c r="B1656" s="143"/>
      <c r="C1656" s="133"/>
      <c r="D1656" s="133"/>
      <c r="E1656" s="145" t="s">
        <v>1064</v>
      </c>
      <c r="F1656" s="145">
        <v>1909</v>
      </c>
      <c r="G1656" s="133"/>
      <c r="H1656" s="144"/>
      <c r="I1656" s="133"/>
      <c r="J1656" s="133"/>
      <c r="K1656" s="133"/>
      <c r="L1656" s="133"/>
      <c r="M1656" s="133"/>
      <c r="N1656" s="147"/>
      <c r="P1656" s="140"/>
    </row>
    <row r="1657" spans="1:16" hidden="1" x14ac:dyDescent="0.35">
      <c r="A1657" s="146"/>
      <c r="B1657" s="143"/>
      <c r="C1657" s="133"/>
      <c r="D1657" s="133"/>
      <c r="E1657" s="145" t="s">
        <v>1118</v>
      </c>
      <c r="F1657" s="145">
        <v>2648.7</v>
      </c>
      <c r="G1657" s="133"/>
      <c r="H1657" s="144"/>
      <c r="I1657" s="133"/>
      <c r="J1657" s="133"/>
      <c r="K1657" s="133"/>
      <c r="L1657" s="133"/>
      <c r="M1657" s="133"/>
      <c r="N1657" s="147"/>
      <c r="P1657" s="140"/>
    </row>
    <row r="1658" spans="1:16" hidden="1" x14ac:dyDescent="0.35">
      <c r="A1658" s="146"/>
      <c r="B1658" s="143"/>
      <c r="C1658" s="133"/>
      <c r="D1658" s="133"/>
      <c r="E1658" s="145"/>
      <c r="F1658" s="145"/>
      <c r="G1658" s="133"/>
      <c r="H1658" s="144"/>
      <c r="I1658" s="133"/>
      <c r="J1658" s="133"/>
      <c r="K1658" s="133"/>
      <c r="L1658" s="133"/>
      <c r="M1658" s="133"/>
      <c r="N1658" s="147"/>
      <c r="P1658" s="140"/>
    </row>
    <row r="1659" spans="1:16" hidden="1" x14ac:dyDescent="0.35">
      <c r="A1659" s="146">
        <v>94</v>
      </c>
      <c r="B1659" s="143">
        <v>45474</v>
      </c>
      <c r="C1659" s="133" t="s">
        <v>1758</v>
      </c>
      <c r="D1659" s="133" t="s">
        <v>1757</v>
      </c>
      <c r="E1659" s="145" t="s">
        <v>1067</v>
      </c>
      <c r="F1659" s="145">
        <v>301.89999999999998</v>
      </c>
      <c r="G1659" s="133" t="s">
        <v>1034</v>
      </c>
      <c r="H1659" s="144" t="s">
        <v>1341</v>
      </c>
      <c r="I1659" s="133" t="s">
        <v>1092</v>
      </c>
      <c r="J1659" s="133" t="s">
        <v>1753</v>
      </c>
      <c r="K1659" s="143">
        <v>45505</v>
      </c>
      <c r="L1659" s="133" t="s">
        <v>1092</v>
      </c>
      <c r="M1659" s="133">
        <v>14657.599999999999</v>
      </c>
      <c r="N1659" s="147">
        <f>+F1659+F1660+F1661+F1662+F1663-M1659-M1660</f>
        <v>0</v>
      </c>
      <c r="P1659" s="140"/>
    </row>
    <row r="1660" spans="1:16" hidden="1" x14ac:dyDescent="0.35">
      <c r="A1660" s="146"/>
      <c r="B1660" s="143"/>
      <c r="C1660" s="133"/>
      <c r="D1660" s="133"/>
      <c r="E1660" s="145" t="s">
        <v>1342</v>
      </c>
      <c r="F1660" s="145">
        <v>4783</v>
      </c>
      <c r="G1660" s="133" t="s">
        <v>1034</v>
      </c>
      <c r="H1660" s="144" t="s">
        <v>1341</v>
      </c>
      <c r="I1660" s="133" t="s">
        <v>1092</v>
      </c>
      <c r="J1660" s="133" t="s">
        <v>1709</v>
      </c>
      <c r="K1660" s="143">
        <v>45536</v>
      </c>
      <c r="L1660" s="133" t="s">
        <v>1241</v>
      </c>
      <c r="M1660" s="133">
        <v>301</v>
      </c>
      <c r="N1660" s="147"/>
      <c r="P1660" s="140"/>
    </row>
    <row r="1661" spans="1:16" hidden="1" x14ac:dyDescent="0.35">
      <c r="A1661" s="146"/>
      <c r="B1661" s="143"/>
      <c r="C1661" s="133"/>
      <c r="D1661" s="133"/>
      <c r="E1661" s="145" t="s">
        <v>1071</v>
      </c>
      <c r="F1661" s="145">
        <v>1928.5</v>
      </c>
      <c r="G1661" s="133"/>
      <c r="H1661" s="144"/>
      <c r="I1661" s="133"/>
      <c r="J1661" s="133"/>
      <c r="K1661" s="133"/>
      <c r="L1661" s="133"/>
      <c r="M1661" s="133"/>
      <c r="N1661" s="147"/>
      <c r="P1661" s="140"/>
    </row>
    <row r="1662" spans="1:16" hidden="1" x14ac:dyDescent="0.35">
      <c r="A1662" s="146"/>
      <c r="B1662" s="143"/>
      <c r="C1662" s="133"/>
      <c r="D1662" s="133"/>
      <c r="E1662" s="145" t="s">
        <v>1075</v>
      </c>
      <c r="F1662" s="145">
        <v>6139.4</v>
      </c>
      <c r="G1662" s="133"/>
      <c r="H1662" s="144"/>
      <c r="I1662" s="133"/>
      <c r="J1662" s="133"/>
      <c r="K1662" s="133"/>
      <c r="L1662" s="133"/>
      <c r="M1662" s="133"/>
      <c r="N1662" s="147"/>
      <c r="P1662" s="140"/>
    </row>
    <row r="1663" spans="1:16" hidden="1" x14ac:dyDescent="0.35">
      <c r="A1663" s="146"/>
      <c r="B1663" s="143"/>
      <c r="C1663" s="133"/>
      <c r="D1663" s="133"/>
      <c r="E1663" s="145" t="s">
        <v>1064</v>
      </c>
      <c r="F1663" s="145">
        <v>1805.8</v>
      </c>
      <c r="G1663" s="133"/>
      <c r="H1663" s="144"/>
      <c r="I1663" s="133"/>
      <c r="J1663" s="133"/>
      <c r="K1663" s="133"/>
      <c r="L1663" s="133"/>
      <c r="M1663" s="133"/>
      <c r="N1663" s="147"/>
      <c r="P1663" s="140"/>
    </row>
    <row r="1664" spans="1:16" hidden="1" x14ac:dyDescent="0.35">
      <c r="A1664" s="146"/>
      <c r="B1664" s="143"/>
      <c r="C1664" s="133"/>
      <c r="D1664" s="133"/>
      <c r="E1664" s="145"/>
      <c r="F1664" s="145"/>
      <c r="G1664" s="133"/>
      <c r="H1664" s="144"/>
      <c r="I1664" s="133"/>
      <c r="J1664" s="133"/>
      <c r="K1664" s="133"/>
      <c r="L1664" s="133"/>
      <c r="M1664" s="133"/>
      <c r="N1664" s="147"/>
      <c r="P1664" s="140"/>
    </row>
    <row r="1665" spans="1:16" hidden="1" x14ac:dyDescent="0.35">
      <c r="A1665" s="146">
        <v>95</v>
      </c>
      <c r="B1665" s="143">
        <v>45474</v>
      </c>
      <c r="C1665" s="133" t="s">
        <v>1756</v>
      </c>
      <c r="D1665" s="133" t="s">
        <v>1266</v>
      </c>
      <c r="E1665" s="145" t="s">
        <v>1067</v>
      </c>
      <c r="F1665" s="145">
        <v>5819.5</v>
      </c>
      <c r="G1665" s="133" t="s">
        <v>1034</v>
      </c>
      <c r="H1665" s="144" t="s">
        <v>1341</v>
      </c>
      <c r="I1665" s="133" t="s">
        <v>1092</v>
      </c>
      <c r="J1665" s="133" t="s">
        <v>1753</v>
      </c>
      <c r="K1665" s="143">
        <v>45505</v>
      </c>
      <c r="L1665" s="133" t="s">
        <v>1092</v>
      </c>
      <c r="M1665" s="133">
        <v>5709.5</v>
      </c>
      <c r="N1665" s="147">
        <f>+F1665-M1665-M1666</f>
        <v>0</v>
      </c>
      <c r="P1665" s="140"/>
    </row>
    <row r="1666" spans="1:16" hidden="1" x14ac:dyDescent="0.35">
      <c r="A1666" s="146"/>
      <c r="B1666" s="143"/>
      <c r="C1666" s="133"/>
      <c r="D1666" s="133"/>
      <c r="E1666" s="145"/>
      <c r="F1666" s="145"/>
      <c r="G1666" s="133" t="s">
        <v>1034</v>
      </c>
      <c r="H1666" s="144" t="s">
        <v>1341</v>
      </c>
      <c r="I1666" s="133" t="s">
        <v>1092</v>
      </c>
      <c r="J1666" s="133" t="s">
        <v>1709</v>
      </c>
      <c r="K1666" s="143">
        <v>45536</v>
      </c>
      <c r="L1666" s="133" t="s">
        <v>1241</v>
      </c>
      <c r="M1666" s="133">
        <v>110</v>
      </c>
      <c r="N1666" s="147"/>
      <c r="P1666" s="140"/>
    </row>
    <row r="1667" spans="1:16" hidden="1" x14ac:dyDescent="0.35">
      <c r="A1667" s="146"/>
      <c r="B1667" s="143"/>
      <c r="C1667" s="133"/>
      <c r="D1667" s="133"/>
      <c r="E1667" s="145"/>
      <c r="F1667" s="145"/>
      <c r="G1667" s="133"/>
      <c r="H1667" s="144"/>
      <c r="I1667" s="133"/>
      <c r="J1667" s="133"/>
      <c r="K1667" s="133"/>
      <c r="L1667" s="133"/>
      <c r="M1667" s="133"/>
      <c r="N1667" s="147"/>
      <c r="P1667" s="140"/>
    </row>
    <row r="1668" spans="1:16" hidden="1" x14ac:dyDescent="0.35">
      <c r="A1668" s="146">
        <v>96</v>
      </c>
      <c r="B1668" s="143">
        <v>45474</v>
      </c>
      <c r="C1668" s="133" t="s">
        <v>1755</v>
      </c>
      <c r="D1668" s="133" t="s">
        <v>1754</v>
      </c>
      <c r="E1668" s="145" t="s">
        <v>1067</v>
      </c>
      <c r="F1668" s="145">
        <v>2194.5</v>
      </c>
      <c r="G1668" s="133" t="s">
        <v>1034</v>
      </c>
      <c r="H1668" s="144" t="s">
        <v>1341</v>
      </c>
      <c r="I1668" s="133" t="s">
        <v>1092</v>
      </c>
      <c r="J1668" s="133" t="s">
        <v>1753</v>
      </c>
      <c r="K1668" s="143">
        <v>45505</v>
      </c>
      <c r="L1668" s="133" t="s">
        <v>1092</v>
      </c>
      <c r="M1668" s="133">
        <v>10489.5</v>
      </c>
      <c r="N1668" s="147">
        <f>+F1668+F1669+F1670-M1668-M1669</f>
        <v>0</v>
      </c>
      <c r="P1668" s="140"/>
    </row>
    <row r="1669" spans="1:16" hidden="1" x14ac:dyDescent="0.35">
      <c r="A1669" s="146"/>
      <c r="B1669" s="143"/>
      <c r="C1669" s="133"/>
      <c r="D1669" s="133"/>
      <c r="E1669" s="145" t="s">
        <v>1342</v>
      </c>
      <c r="F1669" s="145">
        <v>5271</v>
      </c>
      <c r="G1669" s="133" t="s">
        <v>1034</v>
      </c>
      <c r="H1669" s="144" t="s">
        <v>1341</v>
      </c>
      <c r="I1669" s="133" t="s">
        <v>1092</v>
      </c>
      <c r="J1669" s="133" t="s">
        <v>1709</v>
      </c>
      <c r="K1669" s="143">
        <v>45536</v>
      </c>
      <c r="L1669" s="133" t="s">
        <v>1241</v>
      </c>
      <c r="M1669" s="133">
        <v>215</v>
      </c>
      <c r="N1669" s="147"/>
      <c r="P1669" s="140"/>
    </row>
    <row r="1670" spans="1:16" hidden="1" x14ac:dyDescent="0.35">
      <c r="A1670" s="146"/>
      <c r="B1670" s="143"/>
      <c r="C1670" s="133"/>
      <c r="D1670" s="133"/>
      <c r="E1670" s="145" t="s">
        <v>1075</v>
      </c>
      <c r="F1670" s="145">
        <v>3239</v>
      </c>
      <c r="G1670" s="133"/>
      <c r="H1670" s="144"/>
      <c r="I1670" s="133"/>
      <c r="J1670" s="133"/>
      <c r="K1670" s="133"/>
      <c r="L1670" s="133"/>
      <c r="M1670" s="133"/>
      <c r="N1670" s="147"/>
      <c r="P1670" s="140"/>
    </row>
    <row r="1671" spans="1:16" hidden="1" x14ac:dyDescent="0.35">
      <c r="A1671" s="146"/>
      <c r="B1671" s="143"/>
      <c r="C1671" s="133"/>
      <c r="D1671" s="133"/>
      <c r="E1671" s="145"/>
      <c r="F1671" s="145"/>
      <c r="G1671" s="133"/>
      <c r="H1671" s="144"/>
      <c r="I1671" s="133"/>
      <c r="J1671" s="133"/>
      <c r="K1671" s="133"/>
      <c r="L1671" s="133"/>
      <c r="M1671" s="133"/>
      <c r="N1671" s="147"/>
      <c r="P1671" s="140"/>
    </row>
    <row r="1672" spans="1:16" hidden="1" x14ac:dyDescent="0.35">
      <c r="A1672" s="156"/>
      <c r="B1672" s="152"/>
      <c r="C1672" s="151"/>
      <c r="D1672" s="151"/>
      <c r="E1672" s="154"/>
      <c r="F1672" s="154"/>
      <c r="G1672" s="151"/>
      <c r="H1672" s="153"/>
      <c r="I1672" s="151"/>
      <c r="J1672" s="151"/>
      <c r="K1672" s="151"/>
      <c r="L1672" s="151"/>
      <c r="M1672" s="151"/>
      <c r="N1672" s="151"/>
      <c r="P1672" s="140"/>
    </row>
    <row r="1673" spans="1:16" hidden="1" x14ac:dyDescent="0.35">
      <c r="A1673" s="146"/>
      <c r="B1673" s="143"/>
      <c r="C1673" s="133"/>
      <c r="D1673" s="133"/>
      <c r="E1673" s="145"/>
      <c r="F1673" s="145"/>
      <c r="G1673" s="133"/>
      <c r="H1673" s="144"/>
      <c r="I1673" s="133"/>
      <c r="J1673" s="133"/>
      <c r="K1673" s="133"/>
      <c r="L1673" s="133"/>
      <c r="M1673" s="133"/>
      <c r="N1673" s="133"/>
      <c r="P1673" s="140"/>
    </row>
    <row r="1674" spans="1:16" hidden="1" x14ac:dyDescent="0.35">
      <c r="A1674" s="146">
        <v>97</v>
      </c>
      <c r="B1674" s="143">
        <v>45505</v>
      </c>
      <c r="C1674" s="133" t="s">
        <v>1752</v>
      </c>
      <c r="D1674" s="133" t="s">
        <v>1262</v>
      </c>
      <c r="E1674" s="145" t="s">
        <v>1067</v>
      </c>
      <c r="F1674" s="145">
        <v>1937.9</v>
      </c>
      <c r="G1674" s="133" t="s">
        <v>1034</v>
      </c>
      <c r="H1674" s="144" t="s">
        <v>1341</v>
      </c>
      <c r="I1674" s="133" t="s">
        <v>1092</v>
      </c>
      <c r="J1674" s="133" t="s">
        <v>1739</v>
      </c>
      <c r="K1674" s="143">
        <v>45536</v>
      </c>
      <c r="L1674" s="133" t="s">
        <v>1092</v>
      </c>
      <c r="M1674" s="133">
        <v>12386.099999999999</v>
      </c>
      <c r="N1674" s="147">
        <f>+F1674+F1675+F1676+F1677-M1674-M1675</f>
        <v>0</v>
      </c>
      <c r="P1674" s="159"/>
    </row>
    <row r="1675" spans="1:16" hidden="1" x14ac:dyDescent="0.35">
      <c r="A1675" s="146"/>
      <c r="B1675" s="143"/>
      <c r="C1675" s="133"/>
      <c r="D1675" s="133"/>
      <c r="E1675" s="145" t="s">
        <v>1342</v>
      </c>
      <c r="F1675" s="145">
        <v>5666</v>
      </c>
      <c r="G1675" s="133" t="s">
        <v>1034</v>
      </c>
      <c r="H1675" s="144" t="s">
        <v>1341</v>
      </c>
      <c r="I1675" s="133" t="s">
        <v>1092</v>
      </c>
      <c r="J1675" s="133" t="s">
        <v>1709</v>
      </c>
      <c r="K1675" s="143">
        <v>45536</v>
      </c>
      <c r="L1675" s="133" t="s">
        <v>1241</v>
      </c>
      <c r="M1675" s="133">
        <v>253</v>
      </c>
      <c r="N1675" s="147"/>
      <c r="P1675" s="159"/>
    </row>
    <row r="1676" spans="1:16" hidden="1" x14ac:dyDescent="0.35">
      <c r="A1676" s="146"/>
      <c r="B1676" s="143"/>
      <c r="C1676" s="133"/>
      <c r="D1676" s="133"/>
      <c r="E1676" s="145" t="s">
        <v>1075</v>
      </c>
      <c r="F1676" s="145">
        <v>4423.2</v>
      </c>
      <c r="G1676" s="133"/>
      <c r="H1676" s="144"/>
      <c r="I1676" s="133"/>
      <c r="J1676" s="133"/>
      <c r="K1676" s="133"/>
      <c r="L1676" s="133"/>
      <c r="M1676" s="133"/>
      <c r="N1676" s="147"/>
      <c r="P1676" s="159"/>
    </row>
    <row r="1677" spans="1:16" hidden="1" x14ac:dyDescent="0.35">
      <c r="A1677" s="146"/>
      <c r="B1677" s="143"/>
      <c r="C1677" s="133"/>
      <c r="D1677" s="133"/>
      <c r="E1677" s="145" t="s">
        <v>1064</v>
      </c>
      <c r="F1677" s="145">
        <v>612</v>
      </c>
      <c r="G1677" s="133"/>
      <c r="H1677" s="144"/>
      <c r="I1677" s="133"/>
      <c r="J1677" s="133"/>
      <c r="K1677" s="133"/>
      <c r="L1677" s="133"/>
      <c r="M1677" s="133"/>
      <c r="N1677" s="147"/>
      <c r="P1677" s="159"/>
    </row>
    <row r="1678" spans="1:16" hidden="1" x14ac:dyDescent="0.35">
      <c r="A1678" s="146"/>
      <c r="B1678" s="143"/>
      <c r="C1678" s="133"/>
      <c r="D1678" s="133"/>
      <c r="E1678" s="145"/>
      <c r="F1678" s="145"/>
      <c r="G1678" s="133"/>
      <c r="H1678" s="144"/>
      <c r="I1678" s="133"/>
      <c r="J1678" s="133"/>
      <c r="K1678" s="133"/>
      <c r="L1678" s="133"/>
      <c r="M1678" s="133"/>
      <c r="N1678" s="147"/>
      <c r="P1678" s="159"/>
    </row>
    <row r="1679" spans="1:16" hidden="1" x14ac:dyDescent="0.35">
      <c r="A1679" s="146">
        <v>98</v>
      </c>
      <c r="B1679" s="143">
        <v>45505</v>
      </c>
      <c r="C1679" s="133" t="s">
        <v>1751</v>
      </c>
      <c r="D1679" s="133" t="s">
        <v>1750</v>
      </c>
      <c r="E1679" s="145" t="s">
        <v>1075</v>
      </c>
      <c r="F1679" s="145">
        <v>4861</v>
      </c>
      <c r="G1679" s="133" t="s">
        <v>1034</v>
      </c>
      <c r="H1679" s="144" t="s">
        <v>1341</v>
      </c>
      <c r="I1679" s="133" t="s">
        <v>1092</v>
      </c>
      <c r="J1679" s="133" t="s">
        <v>1739</v>
      </c>
      <c r="K1679" s="143">
        <v>45536</v>
      </c>
      <c r="L1679" s="133" t="s">
        <v>1092</v>
      </c>
      <c r="M1679" s="133">
        <v>4766</v>
      </c>
      <c r="N1679" s="147">
        <f>+F1679-M1679-M1680</f>
        <v>0</v>
      </c>
      <c r="P1679" s="159"/>
    </row>
    <row r="1680" spans="1:16" hidden="1" x14ac:dyDescent="0.35">
      <c r="A1680" s="146"/>
      <c r="B1680" s="143"/>
      <c r="C1680" s="133"/>
      <c r="D1680" s="133"/>
      <c r="E1680" s="145"/>
      <c r="F1680" s="145"/>
      <c r="G1680" s="133" t="s">
        <v>1034</v>
      </c>
      <c r="H1680" s="144" t="s">
        <v>1341</v>
      </c>
      <c r="I1680" s="133" t="s">
        <v>1092</v>
      </c>
      <c r="J1680" s="133" t="s">
        <v>1709</v>
      </c>
      <c r="K1680" s="143">
        <v>45536</v>
      </c>
      <c r="L1680" s="133" t="s">
        <v>1241</v>
      </c>
      <c r="M1680" s="133">
        <v>95</v>
      </c>
      <c r="N1680" s="147"/>
      <c r="P1680" s="159"/>
    </row>
    <row r="1681" spans="1:16" hidden="1" x14ac:dyDescent="0.35">
      <c r="A1681" s="146"/>
      <c r="B1681" s="143"/>
      <c r="C1681" s="133"/>
      <c r="D1681" s="133"/>
      <c r="E1681" s="145"/>
      <c r="F1681" s="145"/>
      <c r="G1681" s="133"/>
      <c r="H1681" s="144"/>
      <c r="I1681" s="133"/>
      <c r="J1681" s="133"/>
      <c r="K1681" s="143"/>
      <c r="L1681" s="133"/>
      <c r="M1681" s="133"/>
      <c r="N1681" s="147"/>
      <c r="P1681" s="159"/>
    </row>
    <row r="1682" spans="1:16" hidden="1" x14ac:dyDescent="0.35">
      <c r="A1682" s="146">
        <v>99</v>
      </c>
      <c r="B1682" s="143">
        <v>45505</v>
      </c>
      <c r="C1682" s="133" t="s">
        <v>1749</v>
      </c>
      <c r="D1682" s="133" t="s">
        <v>1259</v>
      </c>
      <c r="E1682" s="145" t="s">
        <v>1067</v>
      </c>
      <c r="F1682" s="145">
        <v>689.3</v>
      </c>
      <c r="G1682" s="133" t="s">
        <v>1034</v>
      </c>
      <c r="H1682" s="144" t="s">
        <v>1341</v>
      </c>
      <c r="I1682" s="133" t="s">
        <v>1092</v>
      </c>
      <c r="J1682" s="133" t="s">
        <v>1739</v>
      </c>
      <c r="K1682" s="143">
        <v>45536</v>
      </c>
      <c r="L1682" s="133" t="s">
        <v>1092</v>
      </c>
      <c r="M1682" s="133">
        <v>15213.2</v>
      </c>
      <c r="N1682" s="147">
        <f>+F1682+F1683+F1684+F1685+F1686+F1687-M1682-M1683</f>
        <v>0</v>
      </c>
      <c r="P1682" s="159"/>
    </row>
    <row r="1683" spans="1:16" hidden="1" x14ac:dyDescent="0.35">
      <c r="A1683" s="146"/>
      <c r="B1683" s="143"/>
      <c r="C1683" s="133"/>
      <c r="D1683" s="133"/>
      <c r="E1683" s="145" t="s">
        <v>1342</v>
      </c>
      <c r="F1683" s="145">
        <v>7726</v>
      </c>
      <c r="G1683" s="133" t="s">
        <v>1034</v>
      </c>
      <c r="H1683" s="144" t="s">
        <v>1341</v>
      </c>
      <c r="I1683" s="133" t="s">
        <v>1092</v>
      </c>
      <c r="J1683" s="133" t="s">
        <v>1709</v>
      </c>
      <c r="K1683" s="143">
        <v>45536</v>
      </c>
      <c r="L1683" s="133" t="s">
        <v>1241</v>
      </c>
      <c r="M1683" s="133">
        <v>301</v>
      </c>
      <c r="N1683" s="147"/>
      <c r="P1683" s="159"/>
    </row>
    <row r="1684" spans="1:16" hidden="1" x14ac:dyDescent="0.35">
      <c r="A1684" s="146"/>
      <c r="B1684" s="143"/>
      <c r="C1684" s="133"/>
      <c r="D1684" s="133"/>
      <c r="E1684" s="145" t="s">
        <v>1118</v>
      </c>
      <c r="F1684" s="145">
        <v>1026.2</v>
      </c>
      <c r="G1684" s="133"/>
      <c r="H1684" s="144"/>
      <c r="I1684" s="133"/>
      <c r="J1684" s="133"/>
      <c r="K1684" s="133"/>
      <c r="L1684" s="133"/>
      <c r="M1684" s="133"/>
      <c r="N1684" s="147"/>
      <c r="P1684" s="159"/>
    </row>
    <row r="1685" spans="1:16" hidden="1" x14ac:dyDescent="0.35">
      <c r="A1685" s="146"/>
      <c r="B1685" s="143"/>
      <c r="C1685" s="133"/>
      <c r="D1685" s="133"/>
      <c r="E1685" s="145" t="s">
        <v>1075</v>
      </c>
      <c r="F1685" s="145">
        <v>4802.1000000000004</v>
      </c>
      <c r="G1685" s="133"/>
      <c r="H1685" s="144"/>
      <c r="I1685" s="133"/>
      <c r="J1685" s="133"/>
      <c r="K1685" s="133"/>
      <c r="L1685" s="133"/>
      <c r="M1685" s="133"/>
      <c r="N1685" s="147"/>
      <c r="P1685" s="159"/>
    </row>
    <row r="1686" spans="1:16" hidden="1" x14ac:dyDescent="0.35">
      <c r="A1686" s="146"/>
      <c r="B1686" s="143"/>
      <c r="C1686" s="133"/>
      <c r="D1686" s="133"/>
      <c r="E1686" s="145" t="s">
        <v>1064</v>
      </c>
      <c r="F1686" s="145">
        <v>836.1</v>
      </c>
      <c r="G1686" s="133"/>
      <c r="H1686" s="144"/>
      <c r="I1686" s="133"/>
      <c r="J1686" s="133"/>
      <c r="K1686" s="133"/>
      <c r="L1686" s="133"/>
      <c r="M1686" s="133"/>
      <c r="N1686" s="147"/>
      <c r="P1686" s="159"/>
    </row>
    <row r="1687" spans="1:16" hidden="1" x14ac:dyDescent="0.35">
      <c r="A1687" s="146"/>
      <c r="B1687" s="143"/>
      <c r="C1687" s="133"/>
      <c r="D1687" s="133"/>
      <c r="E1687" s="145" t="s">
        <v>1064</v>
      </c>
      <c r="F1687" s="145">
        <v>434.5</v>
      </c>
      <c r="G1687" s="133"/>
      <c r="H1687" s="144"/>
      <c r="I1687" s="133"/>
      <c r="J1687" s="133"/>
      <c r="K1687" s="133"/>
      <c r="L1687" s="133"/>
      <c r="M1687" s="133"/>
      <c r="N1687" s="147"/>
      <c r="P1687" s="159"/>
    </row>
    <row r="1688" spans="1:16" hidden="1" x14ac:dyDescent="0.35">
      <c r="A1688" s="146"/>
      <c r="B1688" s="143"/>
      <c r="C1688" s="133"/>
      <c r="D1688" s="133"/>
      <c r="E1688" s="145"/>
      <c r="F1688" s="145"/>
      <c r="G1688" s="133"/>
      <c r="H1688" s="144"/>
      <c r="I1688" s="133"/>
      <c r="J1688" s="133"/>
      <c r="K1688" s="133"/>
      <c r="L1688" s="133"/>
      <c r="M1688" s="133"/>
      <c r="N1688" s="147"/>
      <c r="P1688" s="159"/>
    </row>
    <row r="1689" spans="1:16" hidden="1" x14ac:dyDescent="0.35">
      <c r="A1689" s="146">
        <v>100</v>
      </c>
      <c r="B1689" s="143">
        <v>45505</v>
      </c>
      <c r="C1689" s="133" t="s">
        <v>1748</v>
      </c>
      <c r="D1689" s="133" t="s">
        <v>1747</v>
      </c>
      <c r="E1689" s="145" t="s">
        <v>1078</v>
      </c>
      <c r="F1689" s="145">
        <v>3124.75</v>
      </c>
      <c r="G1689" s="133" t="s">
        <v>1034</v>
      </c>
      <c r="H1689" s="144" t="s">
        <v>1341</v>
      </c>
      <c r="I1689" s="133" t="s">
        <v>1092</v>
      </c>
      <c r="J1689" s="133" t="s">
        <v>1739</v>
      </c>
      <c r="K1689" s="143">
        <v>45536</v>
      </c>
      <c r="L1689" s="133" t="s">
        <v>1092</v>
      </c>
      <c r="M1689" s="133">
        <v>4191.3500000000004</v>
      </c>
      <c r="N1689" s="147">
        <f>+F1689+F1690-M1689-M1690</f>
        <v>0</v>
      </c>
      <c r="P1689" s="159"/>
    </row>
    <row r="1690" spans="1:16" hidden="1" x14ac:dyDescent="0.35">
      <c r="A1690" s="146"/>
      <c r="B1690" s="143"/>
      <c r="C1690" s="133"/>
      <c r="D1690" s="133"/>
      <c r="E1690" s="145" t="s">
        <v>1071</v>
      </c>
      <c r="F1690" s="145">
        <v>1154.5999999999999</v>
      </c>
      <c r="G1690" s="133" t="s">
        <v>1034</v>
      </c>
      <c r="H1690" s="144" t="s">
        <v>1341</v>
      </c>
      <c r="I1690" s="133" t="s">
        <v>1092</v>
      </c>
      <c r="J1690" s="133" t="s">
        <v>1709</v>
      </c>
      <c r="K1690" s="143">
        <v>45536</v>
      </c>
      <c r="L1690" s="133" t="s">
        <v>1241</v>
      </c>
      <c r="M1690" s="133">
        <v>88</v>
      </c>
      <c r="N1690" s="147"/>
      <c r="P1690" s="159"/>
    </row>
    <row r="1691" spans="1:16" hidden="1" x14ac:dyDescent="0.35">
      <c r="A1691" s="146"/>
      <c r="B1691" s="143"/>
      <c r="C1691" s="133"/>
      <c r="D1691" s="133"/>
      <c r="E1691" s="145"/>
      <c r="F1691" s="145"/>
      <c r="G1691" s="133"/>
      <c r="H1691" s="144"/>
      <c r="I1691" s="133"/>
      <c r="J1691" s="133"/>
      <c r="K1691" s="133"/>
      <c r="L1691" s="133"/>
      <c r="M1691" s="133"/>
      <c r="N1691" s="147"/>
      <c r="P1691" s="159"/>
    </row>
    <row r="1692" spans="1:16" hidden="1" x14ac:dyDescent="0.35">
      <c r="A1692" s="146"/>
      <c r="B1692" s="143"/>
      <c r="C1692" s="133"/>
      <c r="D1692" s="133"/>
      <c r="E1692" s="145"/>
      <c r="F1692" s="145"/>
      <c r="G1692" s="133"/>
      <c r="H1692" s="144"/>
      <c r="I1692" s="133"/>
      <c r="J1692" s="133"/>
      <c r="K1692" s="133"/>
      <c r="L1692" s="133"/>
      <c r="M1692" s="133"/>
      <c r="N1692" s="147"/>
      <c r="P1692" s="159"/>
    </row>
    <row r="1693" spans="1:16" hidden="1" x14ac:dyDescent="0.35">
      <c r="A1693" s="146">
        <v>101</v>
      </c>
      <c r="B1693" s="143">
        <v>45505</v>
      </c>
      <c r="C1693" s="133" t="s">
        <v>1746</v>
      </c>
      <c r="D1693" s="133" t="s">
        <v>1255</v>
      </c>
      <c r="E1693" s="145" t="s">
        <v>1075</v>
      </c>
      <c r="F1693" s="145">
        <v>67</v>
      </c>
      <c r="G1693" s="133" t="s">
        <v>1034</v>
      </c>
      <c r="H1693" s="144" t="s">
        <v>1341</v>
      </c>
      <c r="I1693" s="133" t="s">
        <v>1092</v>
      </c>
      <c r="J1693" s="133" t="s">
        <v>1739</v>
      </c>
      <c r="K1693" s="143">
        <v>45536</v>
      </c>
      <c r="L1693" s="133" t="s">
        <v>1092</v>
      </c>
      <c r="M1693" s="133">
        <v>835.6</v>
      </c>
      <c r="N1693" s="147">
        <f>+F1693+F1694-M1693-M1694</f>
        <v>0</v>
      </c>
      <c r="P1693" s="159"/>
    </row>
    <row r="1694" spans="1:16" hidden="1" x14ac:dyDescent="0.35">
      <c r="A1694" s="146"/>
      <c r="B1694" s="143"/>
      <c r="C1694" s="133"/>
      <c r="D1694" s="133"/>
      <c r="E1694" s="145" t="s">
        <v>1067</v>
      </c>
      <c r="F1694" s="145">
        <v>783.6</v>
      </c>
      <c r="G1694" s="133" t="s">
        <v>1034</v>
      </c>
      <c r="H1694" s="144" t="s">
        <v>1341</v>
      </c>
      <c r="I1694" s="133" t="s">
        <v>1092</v>
      </c>
      <c r="J1694" s="133" t="s">
        <v>1709</v>
      </c>
      <c r="K1694" s="143">
        <v>45536</v>
      </c>
      <c r="L1694" s="133" t="s">
        <v>1241</v>
      </c>
      <c r="M1694" s="133">
        <v>15</v>
      </c>
      <c r="N1694" s="147"/>
      <c r="P1694" s="159"/>
    </row>
    <row r="1695" spans="1:16" hidden="1" x14ac:dyDescent="0.35">
      <c r="A1695" s="146"/>
      <c r="B1695" s="143"/>
      <c r="C1695" s="133"/>
      <c r="D1695" s="133"/>
      <c r="E1695" s="145"/>
      <c r="F1695" s="145"/>
      <c r="G1695" s="133"/>
      <c r="H1695" s="144"/>
      <c r="I1695" s="133"/>
      <c r="J1695" s="133"/>
      <c r="K1695" s="133"/>
      <c r="L1695" s="133"/>
      <c r="M1695" s="133"/>
      <c r="N1695" s="147"/>
      <c r="P1695" s="159"/>
    </row>
    <row r="1696" spans="1:16" hidden="1" x14ac:dyDescent="0.35">
      <c r="A1696" s="146">
        <v>102</v>
      </c>
      <c r="B1696" s="143">
        <v>45505</v>
      </c>
      <c r="C1696" s="133" t="s">
        <v>1745</v>
      </c>
      <c r="D1696" s="133" t="s">
        <v>1253</v>
      </c>
      <c r="E1696" s="145" t="s">
        <v>1067</v>
      </c>
      <c r="F1696" s="145">
        <v>708.5</v>
      </c>
      <c r="G1696" s="133" t="s">
        <v>1034</v>
      </c>
      <c r="H1696" s="144" t="s">
        <v>1341</v>
      </c>
      <c r="I1696" s="133" t="s">
        <v>1092</v>
      </c>
      <c r="J1696" s="133" t="s">
        <v>1739</v>
      </c>
      <c r="K1696" s="143">
        <v>45536</v>
      </c>
      <c r="L1696" s="133" t="s">
        <v>1092</v>
      </c>
      <c r="M1696" s="133">
        <v>12822.7</v>
      </c>
      <c r="N1696" s="147">
        <f>+F1696+F1697+F1698+F1699-M1696-M1697</f>
        <v>0</v>
      </c>
      <c r="P1696" s="159"/>
    </row>
    <row r="1697" spans="1:16" hidden="1" x14ac:dyDescent="0.35">
      <c r="A1697" s="146"/>
      <c r="B1697" s="143"/>
      <c r="C1697" s="133"/>
      <c r="D1697" s="133"/>
      <c r="E1697" s="145" t="s">
        <v>1342</v>
      </c>
      <c r="F1697" s="145">
        <v>7053</v>
      </c>
      <c r="G1697" s="133" t="s">
        <v>1034</v>
      </c>
      <c r="H1697" s="144" t="s">
        <v>1341</v>
      </c>
      <c r="I1697" s="133" t="s">
        <v>1092</v>
      </c>
      <c r="J1697" s="133" t="s">
        <v>1709</v>
      </c>
      <c r="K1697" s="143">
        <v>45536</v>
      </c>
      <c r="L1697" s="133" t="s">
        <v>1241</v>
      </c>
      <c r="M1697" s="133">
        <v>259</v>
      </c>
      <c r="N1697" s="147"/>
      <c r="P1697" s="159"/>
    </row>
    <row r="1698" spans="1:16" hidden="1" x14ac:dyDescent="0.35">
      <c r="A1698" s="146"/>
      <c r="B1698" s="143"/>
      <c r="C1698" s="133"/>
      <c r="D1698" s="133"/>
      <c r="E1698" s="145" t="s">
        <v>1075</v>
      </c>
      <c r="F1698" s="145">
        <v>4928</v>
      </c>
      <c r="G1698" s="133"/>
      <c r="H1698" s="144"/>
      <c r="I1698" s="133"/>
      <c r="J1698" s="133"/>
      <c r="K1698" s="133"/>
      <c r="L1698" s="133"/>
      <c r="M1698" s="133"/>
      <c r="N1698" s="147"/>
      <c r="P1698" s="159"/>
    </row>
    <row r="1699" spans="1:16" hidden="1" x14ac:dyDescent="0.35">
      <c r="A1699" s="146"/>
      <c r="B1699" s="143"/>
      <c r="C1699" s="133"/>
      <c r="D1699" s="133"/>
      <c r="E1699" s="145" t="s">
        <v>1064</v>
      </c>
      <c r="F1699" s="145">
        <v>392.2</v>
      </c>
      <c r="G1699" s="133"/>
      <c r="H1699" s="144"/>
      <c r="I1699" s="133"/>
      <c r="J1699" s="133"/>
      <c r="K1699" s="133"/>
      <c r="L1699" s="133"/>
      <c r="M1699" s="133"/>
      <c r="N1699" s="147"/>
      <c r="P1699" s="159"/>
    </row>
    <row r="1700" spans="1:16" hidden="1" x14ac:dyDescent="0.35">
      <c r="A1700" s="146"/>
      <c r="B1700" s="143"/>
      <c r="C1700" s="133"/>
      <c r="D1700" s="133"/>
      <c r="E1700" s="145"/>
      <c r="F1700" s="145"/>
      <c r="G1700" s="133"/>
      <c r="H1700" s="144"/>
      <c r="I1700" s="133"/>
      <c r="J1700" s="133"/>
      <c r="K1700" s="133"/>
      <c r="L1700" s="133"/>
      <c r="M1700" s="133"/>
      <c r="N1700" s="147"/>
      <c r="P1700" s="159"/>
    </row>
    <row r="1701" spans="1:16" hidden="1" x14ac:dyDescent="0.35">
      <c r="A1701" s="146">
        <v>103</v>
      </c>
      <c r="B1701" s="143">
        <v>45505</v>
      </c>
      <c r="C1701" s="133" t="s">
        <v>1744</v>
      </c>
      <c r="D1701" s="133" t="s">
        <v>1250</v>
      </c>
      <c r="E1701" s="145" t="s">
        <v>1067</v>
      </c>
      <c r="F1701" s="145">
        <v>3505.4</v>
      </c>
      <c r="G1701" s="133" t="s">
        <v>1034</v>
      </c>
      <c r="H1701" s="144" t="s">
        <v>1341</v>
      </c>
      <c r="I1701" s="133" t="s">
        <v>1092</v>
      </c>
      <c r="J1701" s="133" t="s">
        <v>1739</v>
      </c>
      <c r="K1701" s="143">
        <v>45536</v>
      </c>
      <c r="L1701" s="133" t="s">
        <v>1092</v>
      </c>
      <c r="M1701" s="133">
        <v>7836.5</v>
      </c>
      <c r="N1701" s="147">
        <f>+F1701+F1702+F1703-M1701-M1702</f>
        <v>0</v>
      </c>
      <c r="P1701" s="159"/>
    </row>
    <row r="1702" spans="1:16" hidden="1" x14ac:dyDescent="0.35">
      <c r="A1702" s="146"/>
      <c r="B1702" s="143"/>
      <c r="C1702" s="133"/>
      <c r="D1702" s="133"/>
      <c r="E1702" s="145" t="s">
        <v>1342</v>
      </c>
      <c r="F1702" s="145">
        <v>3277</v>
      </c>
      <c r="G1702" s="133" t="s">
        <v>1034</v>
      </c>
      <c r="H1702" s="144" t="s">
        <v>1341</v>
      </c>
      <c r="I1702" s="133" t="s">
        <v>1092</v>
      </c>
      <c r="J1702" s="133" t="s">
        <v>1709</v>
      </c>
      <c r="K1702" s="143">
        <v>45536</v>
      </c>
      <c r="L1702" s="133" t="s">
        <v>1241</v>
      </c>
      <c r="M1702" s="133">
        <v>162</v>
      </c>
      <c r="N1702" s="147"/>
      <c r="P1702" s="159"/>
    </row>
    <row r="1703" spans="1:16" hidden="1" x14ac:dyDescent="0.35">
      <c r="A1703" s="146"/>
      <c r="B1703" s="143"/>
      <c r="C1703" s="133"/>
      <c r="D1703" s="133"/>
      <c r="E1703" s="145" t="s">
        <v>1064</v>
      </c>
      <c r="F1703" s="145">
        <v>1216.0999999999999</v>
      </c>
      <c r="G1703" s="133"/>
      <c r="H1703" s="144"/>
      <c r="I1703" s="133"/>
      <c r="J1703" s="133"/>
      <c r="K1703" s="133"/>
      <c r="L1703" s="133"/>
      <c r="M1703" s="133"/>
      <c r="N1703" s="147"/>
      <c r="P1703" s="159"/>
    </row>
    <row r="1704" spans="1:16" hidden="1" x14ac:dyDescent="0.35">
      <c r="A1704" s="146"/>
      <c r="B1704" s="143"/>
      <c r="C1704" s="133"/>
      <c r="D1704" s="133"/>
      <c r="E1704" s="145"/>
      <c r="F1704" s="145"/>
      <c r="G1704" s="133"/>
      <c r="H1704" s="144"/>
      <c r="I1704" s="133"/>
      <c r="J1704" s="133"/>
      <c r="K1704" s="133"/>
      <c r="L1704" s="133"/>
      <c r="M1704" s="133"/>
      <c r="N1704" s="147"/>
      <c r="P1704" s="159"/>
    </row>
    <row r="1705" spans="1:16" hidden="1" x14ac:dyDescent="0.35">
      <c r="A1705" s="146">
        <v>104</v>
      </c>
      <c r="B1705" s="143">
        <v>45505</v>
      </c>
      <c r="C1705" s="133" t="s">
        <v>1743</v>
      </c>
      <c r="D1705" s="133" t="s">
        <v>1248</v>
      </c>
      <c r="E1705" s="145" t="s">
        <v>1067</v>
      </c>
      <c r="F1705" s="145">
        <v>14.5</v>
      </c>
      <c r="G1705" s="133" t="s">
        <v>1034</v>
      </c>
      <c r="H1705" s="144" t="s">
        <v>1341</v>
      </c>
      <c r="I1705" s="133" t="s">
        <v>1092</v>
      </c>
      <c r="J1705" s="133" t="s">
        <v>1739</v>
      </c>
      <c r="K1705" s="143">
        <v>45536</v>
      </c>
      <c r="L1705" s="133" t="s">
        <v>1092</v>
      </c>
      <c r="M1705" s="133">
        <v>4785.5</v>
      </c>
      <c r="N1705" s="147">
        <f>+F1705+F1706+F1707-M1705-M1706</f>
        <v>0</v>
      </c>
      <c r="P1705" s="159"/>
    </row>
    <row r="1706" spans="1:16" hidden="1" x14ac:dyDescent="0.35">
      <c r="A1706" s="146"/>
      <c r="B1706" s="143"/>
      <c r="C1706" s="133"/>
      <c r="D1706" s="133"/>
      <c r="E1706" s="145" t="s">
        <v>1075</v>
      </c>
      <c r="F1706" s="145">
        <v>2655.7</v>
      </c>
      <c r="G1706" s="133" t="s">
        <v>1034</v>
      </c>
      <c r="H1706" s="144" t="s">
        <v>1341</v>
      </c>
      <c r="I1706" s="133" t="s">
        <v>1092</v>
      </c>
      <c r="J1706" s="133" t="s">
        <v>1709</v>
      </c>
      <c r="K1706" s="143">
        <v>45536</v>
      </c>
      <c r="L1706" s="133" t="s">
        <v>1241</v>
      </c>
      <c r="M1706" s="133">
        <v>101</v>
      </c>
      <c r="N1706" s="147"/>
      <c r="P1706" s="159"/>
    </row>
    <row r="1707" spans="1:16" hidden="1" x14ac:dyDescent="0.35">
      <c r="A1707" s="146"/>
      <c r="B1707" s="143"/>
      <c r="C1707" s="133"/>
      <c r="D1707" s="133"/>
      <c r="E1707" s="145" t="s">
        <v>1064</v>
      </c>
      <c r="F1707" s="145">
        <v>2216.3000000000002</v>
      </c>
      <c r="G1707" s="133"/>
      <c r="H1707" s="144"/>
      <c r="I1707" s="133"/>
      <c r="J1707" s="133"/>
      <c r="K1707" s="133"/>
      <c r="L1707" s="133"/>
      <c r="M1707" s="133"/>
      <c r="N1707" s="147"/>
      <c r="P1707" s="159"/>
    </row>
    <row r="1708" spans="1:16" hidden="1" x14ac:dyDescent="0.35">
      <c r="A1708" s="146"/>
      <c r="B1708" s="143"/>
      <c r="C1708" s="133"/>
      <c r="D1708" s="133"/>
      <c r="E1708" s="145"/>
      <c r="F1708" s="145"/>
      <c r="G1708" s="133"/>
      <c r="H1708" s="144"/>
      <c r="I1708" s="133"/>
      <c r="J1708" s="133"/>
      <c r="K1708" s="133"/>
      <c r="L1708" s="133"/>
      <c r="M1708" s="133"/>
      <c r="N1708" s="147"/>
      <c r="P1708" s="159"/>
    </row>
    <row r="1709" spans="1:16" hidden="1" x14ac:dyDescent="0.35">
      <c r="A1709" s="146">
        <v>105</v>
      </c>
      <c r="B1709" s="143">
        <v>45505</v>
      </c>
      <c r="C1709" s="133" t="s">
        <v>1742</v>
      </c>
      <c r="D1709" s="133" t="s">
        <v>1741</v>
      </c>
      <c r="E1709" s="145" t="s">
        <v>1075</v>
      </c>
      <c r="F1709" s="145">
        <v>8347</v>
      </c>
      <c r="G1709" s="133" t="s">
        <v>1034</v>
      </c>
      <c r="H1709" s="144" t="s">
        <v>1341</v>
      </c>
      <c r="I1709" s="133" t="s">
        <v>1092</v>
      </c>
      <c r="J1709" s="133" t="s">
        <v>1739</v>
      </c>
      <c r="K1709" s="143">
        <v>45536</v>
      </c>
      <c r="L1709" s="133" t="s">
        <v>1092</v>
      </c>
      <c r="M1709" s="133">
        <v>8177</v>
      </c>
      <c r="N1709" s="147">
        <f>+F1709-M1709-M1710</f>
        <v>0</v>
      </c>
      <c r="P1709" s="159"/>
    </row>
    <row r="1710" spans="1:16" hidden="1" x14ac:dyDescent="0.35">
      <c r="A1710" s="146"/>
      <c r="B1710" s="143"/>
      <c r="C1710" s="133"/>
      <c r="D1710" s="133"/>
      <c r="E1710" s="145"/>
      <c r="F1710" s="145"/>
      <c r="G1710" s="133" t="s">
        <v>1034</v>
      </c>
      <c r="H1710" s="144" t="s">
        <v>1341</v>
      </c>
      <c r="I1710" s="133" t="s">
        <v>1092</v>
      </c>
      <c r="J1710" s="133" t="s">
        <v>1709</v>
      </c>
      <c r="K1710" s="143">
        <v>45536</v>
      </c>
      <c r="L1710" s="133" t="s">
        <v>1241</v>
      </c>
      <c r="M1710" s="133">
        <v>170</v>
      </c>
      <c r="N1710" s="147"/>
      <c r="P1710" s="159"/>
    </row>
    <row r="1711" spans="1:16" hidden="1" x14ac:dyDescent="0.35">
      <c r="A1711" s="146"/>
      <c r="B1711" s="143"/>
      <c r="C1711" s="133"/>
      <c r="D1711" s="133"/>
      <c r="E1711" s="145"/>
      <c r="F1711" s="145"/>
      <c r="G1711" s="133"/>
      <c r="H1711" s="144"/>
      <c r="I1711" s="133"/>
      <c r="J1711" s="133"/>
      <c r="K1711" s="143"/>
      <c r="L1711" s="133"/>
      <c r="M1711" s="133"/>
      <c r="N1711" s="147"/>
      <c r="P1711" s="159"/>
    </row>
    <row r="1712" spans="1:16" hidden="1" x14ac:dyDescent="0.35">
      <c r="A1712" s="146">
        <v>106</v>
      </c>
      <c r="B1712" s="143">
        <v>45505</v>
      </c>
      <c r="C1712" s="133" t="s">
        <v>1740</v>
      </c>
      <c r="D1712" s="133" t="s">
        <v>1246</v>
      </c>
      <c r="E1712" s="145" t="s">
        <v>1067</v>
      </c>
      <c r="F1712" s="145">
        <v>2535.1999999999998</v>
      </c>
      <c r="G1712" s="133" t="s">
        <v>1034</v>
      </c>
      <c r="H1712" s="144" t="s">
        <v>1341</v>
      </c>
      <c r="I1712" s="133" t="s">
        <v>1092</v>
      </c>
      <c r="J1712" s="133" t="s">
        <v>1739</v>
      </c>
      <c r="K1712" s="143">
        <v>45536</v>
      </c>
      <c r="L1712" s="133" t="s">
        <v>1092</v>
      </c>
      <c r="M1712" s="133">
        <f>5072+1988.9</f>
        <v>7060.9</v>
      </c>
      <c r="N1712" s="147">
        <f>+F1712+F1713+F1714+F1715-M1712-M1713-M1714</f>
        <v>0</v>
      </c>
      <c r="P1712" s="190"/>
    </row>
    <row r="1713" spans="1:16" hidden="1" x14ac:dyDescent="0.35">
      <c r="A1713" s="146"/>
      <c r="B1713" s="143"/>
      <c r="C1713" s="133"/>
      <c r="D1713" s="133"/>
      <c r="E1713" s="145" t="s">
        <v>1075</v>
      </c>
      <c r="F1713" s="145">
        <v>4015.9</v>
      </c>
      <c r="G1713" s="133" t="s">
        <v>1034</v>
      </c>
      <c r="H1713" s="144" t="s">
        <v>1341</v>
      </c>
      <c r="I1713" s="133" t="s">
        <v>1092</v>
      </c>
      <c r="J1713" s="133" t="s">
        <v>1718</v>
      </c>
      <c r="K1713" s="143">
        <v>45536</v>
      </c>
      <c r="L1713" s="133" t="s">
        <v>1092</v>
      </c>
      <c r="M1713" s="133">
        <v>6282.1</v>
      </c>
      <c r="N1713" s="147"/>
      <c r="P1713" s="140"/>
    </row>
    <row r="1714" spans="1:16" hidden="1" x14ac:dyDescent="0.35">
      <c r="A1714" s="146"/>
      <c r="B1714" s="143"/>
      <c r="C1714" s="133"/>
      <c r="D1714" s="133"/>
      <c r="E1714" s="145" t="s">
        <v>1064</v>
      </c>
      <c r="F1714" s="145">
        <v>1988.9</v>
      </c>
      <c r="G1714" s="133" t="s">
        <v>1034</v>
      </c>
      <c r="H1714" s="144" t="s">
        <v>1341</v>
      </c>
      <c r="I1714" s="133" t="s">
        <v>1092</v>
      </c>
      <c r="J1714" s="133" t="s">
        <v>1709</v>
      </c>
      <c r="K1714" s="143">
        <v>45536</v>
      </c>
      <c r="L1714" s="133" t="s">
        <v>1241</v>
      </c>
      <c r="M1714" s="133">
        <v>269</v>
      </c>
      <c r="N1714" s="147"/>
      <c r="P1714" s="140"/>
    </row>
    <row r="1715" spans="1:16" hidden="1" x14ac:dyDescent="0.35">
      <c r="A1715" s="146"/>
      <c r="B1715" s="143"/>
      <c r="C1715" s="133"/>
      <c r="D1715" s="133"/>
      <c r="E1715" s="145" t="s">
        <v>1342</v>
      </c>
      <c r="F1715" s="145">
        <v>5072</v>
      </c>
      <c r="G1715" s="133"/>
      <c r="H1715" s="144"/>
      <c r="I1715" s="133"/>
      <c r="J1715" s="133"/>
      <c r="K1715" s="133"/>
      <c r="L1715" s="133"/>
      <c r="M1715" s="133"/>
      <c r="N1715" s="147"/>
      <c r="P1715" s="140"/>
    </row>
    <row r="1716" spans="1:16" hidden="1" x14ac:dyDescent="0.35">
      <c r="A1716" s="146"/>
      <c r="B1716" s="143"/>
      <c r="C1716" s="133"/>
      <c r="D1716" s="133"/>
      <c r="E1716" s="145"/>
      <c r="F1716" s="145"/>
      <c r="G1716" s="133"/>
      <c r="H1716" s="144"/>
      <c r="I1716" s="133"/>
      <c r="J1716" s="133"/>
      <c r="K1716" s="133"/>
      <c r="L1716" s="133"/>
      <c r="M1716" s="133"/>
      <c r="N1716" s="147"/>
      <c r="P1716" s="140"/>
    </row>
    <row r="1717" spans="1:16" hidden="1" x14ac:dyDescent="0.35">
      <c r="A1717" s="146">
        <v>107</v>
      </c>
      <c r="B1717" s="143">
        <v>45505</v>
      </c>
      <c r="C1717" s="133" t="s">
        <v>1738</v>
      </c>
      <c r="D1717" s="133" t="s">
        <v>1737</v>
      </c>
      <c r="E1717" s="145" t="s">
        <v>1067</v>
      </c>
      <c r="F1717" s="145">
        <v>4921.7</v>
      </c>
      <c r="G1717" s="133" t="s">
        <v>1034</v>
      </c>
      <c r="H1717" s="144" t="s">
        <v>1341</v>
      </c>
      <c r="I1717" s="133" t="s">
        <v>1092</v>
      </c>
      <c r="J1717" s="133" t="s">
        <v>1718</v>
      </c>
      <c r="K1717" s="143">
        <v>45536</v>
      </c>
      <c r="L1717" s="133" t="s">
        <v>1092</v>
      </c>
      <c r="M1717" s="133">
        <v>4826.7</v>
      </c>
      <c r="N1717" s="147">
        <f>+F1717-M1717-M1718</f>
        <v>0</v>
      </c>
      <c r="P1717" s="140"/>
    </row>
    <row r="1718" spans="1:16" hidden="1" x14ac:dyDescent="0.35">
      <c r="A1718" s="146"/>
      <c r="B1718" s="143"/>
      <c r="C1718" s="133"/>
      <c r="D1718" s="133"/>
      <c r="E1718" s="145"/>
      <c r="F1718" s="145"/>
      <c r="G1718" s="133" t="s">
        <v>1034</v>
      </c>
      <c r="H1718" s="144" t="s">
        <v>1341</v>
      </c>
      <c r="I1718" s="133" t="s">
        <v>1092</v>
      </c>
      <c r="J1718" s="133" t="s">
        <v>1709</v>
      </c>
      <c r="K1718" s="143">
        <v>45536</v>
      </c>
      <c r="L1718" s="133" t="s">
        <v>1241</v>
      </c>
      <c r="M1718" s="133">
        <v>95</v>
      </c>
      <c r="N1718" s="147"/>
      <c r="P1718" s="140"/>
    </row>
    <row r="1719" spans="1:16" hidden="1" x14ac:dyDescent="0.35">
      <c r="A1719" s="146"/>
      <c r="B1719" s="143"/>
      <c r="C1719" s="133"/>
      <c r="D1719" s="133"/>
      <c r="E1719" s="145"/>
      <c r="F1719" s="145"/>
      <c r="G1719" s="133"/>
      <c r="H1719" s="144"/>
      <c r="I1719" s="133"/>
      <c r="J1719" s="133"/>
      <c r="K1719" s="143"/>
      <c r="L1719" s="133"/>
      <c r="M1719" s="133"/>
      <c r="N1719" s="147"/>
      <c r="P1719" s="140"/>
    </row>
    <row r="1720" spans="1:16" hidden="1" x14ac:dyDescent="0.35">
      <c r="A1720" s="146">
        <v>108</v>
      </c>
      <c r="B1720" s="143">
        <v>45505</v>
      </c>
      <c r="C1720" s="133" t="s">
        <v>1736</v>
      </c>
      <c r="D1720" s="133" t="s">
        <v>1244</v>
      </c>
      <c r="E1720" s="145" t="s">
        <v>1067</v>
      </c>
      <c r="F1720" s="145">
        <v>2300</v>
      </c>
      <c r="G1720" s="133" t="s">
        <v>1034</v>
      </c>
      <c r="H1720" s="144" t="s">
        <v>1341</v>
      </c>
      <c r="I1720" s="133" t="s">
        <v>1092</v>
      </c>
      <c r="J1720" s="133" t="s">
        <v>1718</v>
      </c>
      <c r="K1720" s="143">
        <v>45536</v>
      </c>
      <c r="L1720" s="133" t="s">
        <v>1092</v>
      </c>
      <c r="M1720" s="133">
        <v>8336</v>
      </c>
      <c r="N1720" s="147">
        <f>+F1720+F1721+F1722-M1720-M1721</f>
        <v>0</v>
      </c>
      <c r="P1720" s="140"/>
    </row>
    <row r="1721" spans="1:16" hidden="1" x14ac:dyDescent="0.35">
      <c r="A1721" s="146"/>
      <c r="B1721" s="143"/>
      <c r="C1721" s="133"/>
      <c r="D1721" s="133"/>
      <c r="E1721" s="145" t="s">
        <v>1075</v>
      </c>
      <c r="F1721" s="145">
        <v>6113</v>
      </c>
      <c r="G1721" s="133" t="s">
        <v>1034</v>
      </c>
      <c r="H1721" s="144" t="s">
        <v>1341</v>
      </c>
      <c r="I1721" s="133" t="s">
        <v>1092</v>
      </c>
      <c r="J1721" s="133" t="s">
        <v>1709</v>
      </c>
      <c r="K1721" s="143">
        <v>45536</v>
      </c>
      <c r="L1721" s="133" t="s">
        <v>1241</v>
      </c>
      <c r="M1721" s="133">
        <v>171</v>
      </c>
      <c r="N1721" s="147"/>
      <c r="P1721" s="140"/>
    </row>
    <row r="1722" spans="1:16" hidden="1" x14ac:dyDescent="0.35">
      <c r="A1722" s="146"/>
      <c r="B1722" s="143"/>
      <c r="C1722" s="133"/>
      <c r="D1722" s="133"/>
      <c r="E1722" s="145" t="s">
        <v>1118</v>
      </c>
      <c r="F1722" s="145">
        <v>94</v>
      </c>
      <c r="G1722" s="133"/>
      <c r="H1722" s="144"/>
      <c r="I1722" s="133"/>
      <c r="J1722" s="133"/>
      <c r="K1722" s="133"/>
      <c r="L1722" s="133"/>
      <c r="M1722" s="133"/>
      <c r="N1722" s="147"/>
      <c r="P1722" s="140"/>
    </row>
    <row r="1723" spans="1:16" hidden="1" x14ac:dyDescent="0.35">
      <c r="A1723" s="146"/>
      <c r="B1723" s="143"/>
      <c r="C1723" s="133"/>
      <c r="D1723" s="133"/>
      <c r="E1723" s="145"/>
      <c r="F1723" s="145"/>
      <c r="G1723" s="133"/>
      <c r="H1723" s="144"/>
      <c r="I1723" s="133"/>
      <c r="J1723" s="133"/>
      <c r="K1723" s="133"/>
      <c r="L1723" s="133"/>
      <c r="M1723" s="133"/>
      <c r="N1723" s="147"/>
      <c r="P1723" s="140"/>
    </row>
    <row r="1724" spans="1:16" hidden="1" x14ac:dyDescent="0.35">
      <c r="A1724" s="146">
        <v>109</v>
      </c>
      <c r="B1724" s="143">
        <v>45505</v>
      </c>
      <c r="C1724" s="133" t="s">
        <v>1735</v>
      </c>
      <c r="D1724" s="133" t="s">
        <v>1734</v>
      </c>
      <c r="E1724" s="145" t="s">
        <v>1064</v>
      </c>
      <c r="F1724" s="145">
        <v>2030.4</v>
      </c>
      <c r="G1724" s="133" t="s">
        <v>1034</v>
      </c>
      <c r="H1724" s="144" t="s">
        <v>1341</v>
      </c>
      <c r="I1724" s="133" t="s">
        <v>1092</v>
      </c>
      <c r="J1724" s="133" t="s">
        <v>1718</v>
      </c>
      <c r="K1724" s="143">
        <v>45536</v>
      </c>
      <c r="L1724" s="133" t="s">
        <v>1092</v>
      </c>
      <c r="M1724" s="133">
        <v>11163.6</v>
      </c>
      <c r="N1724" s="147">
        <f>+F1724+F1725+F1726-M1724-M1725</f>
        <v>0</v>
      </c>
      <c r="P1724" s="140"/>
    </row>
    <row r="1725" spans="1:16" hidden="1" x14ac:dyDescent="0.35">
      <c r="A1725" s="146"/>
      <c r="B1725" s="143"/>
      <c r="C1725" s="133"/>
      <c r="D1725" s="133"/>
      <c r="E1725" s="145" t="s">
        <v>1075</v>
      </c>
      <c r="F1725" s="145">
        <v>4362.2</v>
      </c>
      <c r="G1725" s="133" t="s">
        <v>1034</v>
      </c>
      <c r="H1725" s="144" t="s">
        <v>1341</v>
      </c>
      <c r="I1725" s="133" t="s">
        <v>1092</v>
      </c>
      <c r="J1725" s="133" t="s">
        <v>1709</v>
      </c>
      <c r="K1725" s="143">
        <v>45536</v>
      </c>
      <c r="L1725" s="133" t="s">
        <v>1241</v>
      </c>
      <c r="M1725" s="133">
        <v>229</v>
      </c>
      <c r="N1725" s="147"/>
      <c r="P1725" s="140"/>
    </row>
    <row r="1726" spans="1:16" hidden="1" x14ac:dyDescent="0.35">
      <c r="A1726" s="146"/>
      <c r="B1726" s="143"/>
      <c r="C1726" s="133"/>
      <c r="D1726" s="133"/>
      <c r="E1726" s="145" t="s">
        <v>1078</v>
      </c>
      <c r="F1726" s="145">
        <v>5000</v>
      </c>
      <c r="G1726" s="133"/>
      <c r="H1726" s="144"/>
      <c r="I1726" s="133"/>
      <c r="J1726" s="133"/>
      <c r="K1726" s="133"/>
      <c r="L1726" s="133"/>
      <c r="M1726" s="133"/>
      <c r="N1726" s="147"/>
      <c r="P1726" s="140"/>
    </row>
    <row r="1727" spans="1:16" hidden="1" x14ac:dyDescent="0.35">
      <c r="A1727" s="146"/>
      <c r="B1727" s="143"/>
      <c r="C1727" s="133"/>
      <c r="D1727" s="133"/>
      <c r="E1727" s="145"/>
      <c r="F1727" s="145"/>
      <c r="G1727" s="133"/>
      <c r="H1727" s="144"/>
      <c r="I1727" s="133"/>
      <c r="J1727" s="133"/>
      <c r="K1727" s="133"/>
      <c r="L1727" s="133"/>
      <c r="M1727" s="133"/>
      <c r="N1727" s="147"/>
      <c r="P1727" s="140"/>
    </row>
    <row r="1728" spans="1:16" hidden="1" x14ac:dyDescent="0.35">
      <c r="A1728" s="146">
        <v>110</v>
      </c>
      <c r="B1728" s="143">
        <v>45505</v>
      </c>
      <c r="C1728" s="133" t="s">
        <v>1733</v>
      </c>
      <c r="D1728" s="133" t="s">
        <v>1732</v>
      </c>
      <c r="E1728" s="145" t="s">
        <v>1342</v>
      </c>
      <c r="F1728" s="145">
        <v>1063</v>
      </c>
      <c r="G1728" s="133" t="s">
        <v>1034</v>
      </c>
      <c r="H1728" s="144" t="s">
        <v>1341</v>
      </c>
      <c r="I1728" s="133" t="s">
        <v>1092</v>
      </c>
      <c r="J1728" s="133" t="s">
        <v>1718</v>
      </c>
      <c r="K1728" s="143">
        <v>45536</v>
      </c>
      <c r="L1728" s="133" t="s">
        <v>1092</v>
      </c>
      <c r="M1728" s="133">
        <v>9599</v>
      </c>
      <c r="N1728" s="147">
        <f>+F1728+F1729+F1730-M1728-M1729</f>
        <v>0</v>
      </c>
      <c r="P1728" s="140"/>
    </row>
    <row r="1729" spans="1:16" hidden="1" x14ac:dyDescent="0.35">
      <c r="A1729" s="146"/>
      <c r="B1729" s="143"/>
      <c r="C1729" s="133"/>
      <c r="D1729" s="133"/>
      <c r="E1729" s="145" t="s">
        <v>1075</v>
      </c>
      <c r="F1729" s="145">
        <v>4569</v>
      </c>
      <c r="G1729" s="133" t="s">
        <v>1034</v>
      </c>
      <c r="H1729" s="144" t="s">
        <v>1341</v>
      </c>
      <c r="I1729" s="133" t="s">
        <v>1092</v>
      </c>
      <c r="J1729" s="133" t="s">
        <v>1709</v>
      </c>
      <c r="K1729" s="143">
        <v>45536</v>
      </c>
      <c r="L1729" s="133" t="s">
        <v>1241</v>
      </c>
      <c r="M1729" s="133">
        <v>198</v>
      </c>
      <c r="N1729" s="147"/>
      <c r="P1729" s="140"/>
    </row>
    <row r="1730" spans="1:16" hidden="1" x14ac:dyDescent="0.35">
      <c r="A1730" s="146"/>
      <c r="B1730" s="143"/>
      <c r="C1730" s="133"/>
      <c r="D1730" s="133"/>
      <c r="E1730" s="145" t="s">
        <v>1067</v>
      </c>
      <c r="F1730" s="145">
        <v>4165</v>
      </c>
      <c r="G1730" s="133"/>
      <c r="H1730" s="144"/>
      <c r="I1730" s="133"/>
      <c r="J1730" s="133"/>
      <c r="K1730" s="133"/>
      <c r="L1730" s="133"/>
      <c r="M1730" s="133"/>
      <c r="N1730" s="147"/>
      <c r="P1730" s="140"/>
    </row>
    <row r="1731" spans="1:16" hidden="1" x14ac:dyDescent="0.35">
      <c r="A1731" s="146"/>
      <c r="B1731" s="143"/>
      <c r="C1731" s="133"/>
      <c r="D1731" s="133"/>
      <c r="E1731" s="145"/>
      <c r="F1731" s="145"/>
      <c r="G1731" s="133"/>
      <c r="H1731" s="144"/>
      <c r="I1731" s="133"/>
      <c r="J1731" s="133"/>
      <c r="K1731" s="133"/>
      <c r="L1731" s="133"/>
      <c r="M1731" s="133"/>
      <c r="N1731" s="147"/>
      <c r="P1731" s="140"/>
    </row>
    <row r="1732" spans="1:16" hidden="1" x14ac:dyDescent="0.35">
      <c r="A1732" s="146">
        <v>111</v>
      </c>
      <c r="B1732" s="143">
        <v>45505</v>
      </c>
      <c r="C1732" s="133" t="s">
        <v>1731</v>
      </c>
      <c r="D1732" s="133" t="s">
        <v>1730</v>
      </c>
      <c r="E1732" s="145" t="s">
        <v>1342</v>
      </c>
      <c r="F1732" s="145">
        <v>6014</v>
      </c>
      <c r="G1732" s="133" t="s">
        <v>1034</v>
      </c>
      <c r="H1732" s="144" t="s">
        <v>1341</v>
      </c>
      <c r="I1732" s="133" t="s">
        <v>1092</v>
      </c>
      <c r="J1732" s="133" t="s">
        <v>1724</v>
      </c>
      <c r="K1732" s="143">
        <v>45536</v>
      </c>
      <c r="L1732" s="133" t="s">
        <v>1723</v>
      </c>
      <c r="M1732" s="133">
        <v>542.9</v>
      </c>
      <c r="N1732" s="147">
        <f>+F1732+F1733+F1734+F1735-M1732-M1733-M1734</f>
        <v>0</v>
      </c>
      <c r="P1732" s="159"/>
    </row>
    <row r="1733" spans="1:16" hidden="1" x14ac:dyDescent="0.35">
      <c r="A1733" s="146"/>
      <c r="B1733" s="143"/>
      <c r="C1733" s="133"/>
      <c r="D1733" s="133"/>
      <c r="E1733" s="145" t="s">
        <v>1075</v>
      </c>
      <c r="F1733" s="145">
        <v>12732.5</v>
      </c>
      <c r="G1733" s="133" t="s">
        <v>1034</v>
      </c>
      <c r="H1733" s="144" t="s">
        <v>1341</v>
      </c>
      <c r="I1733" s="133" t="s">
        <v>1092</v>
      </c>
      <c r="J1733" s="133" t="s">
        <v>1717</v>
      </c>
      <c r="K1733" s="143">
        <v>45536</v>
      </c>
      <c r="L1733" s="133" t="s">
        <v>1092</v>
      </c>
      <c r="M1733" s="133">
        <v>20057</v>
      </c>
      <c r="N1733" s="147"/>
      <c r="P1733" s="159"/>
    </row>
    <row r="1734" spans="1:16" hidden="1" x14ac:dyDescent="0.35">
      <c r="A1734" s="146"/>
      <c r="B1734" s="143"/>
      <c r="C1734" s="133"/>
      <c r="D1734" s="133"/>
      <c r="E1734" s="145" t="s">
        <v>1067</v>
      </c>
      <c r="F1734" s="145">
        <v>542.9</v>
      </c>
      <c r="G1734" s="133" t="s">
        <v>1034</v>
      </c>
      <c r="H1734" s="144" t="s">
        <v>1341</v>
      </c>
      <c r="I1734" s="133" t="s">
        <v>1092</v>
      </c>
      <c r="J1734" s="133" t="s">
        <v>1709</v>
      </c>
      <c r="K1734" s="143">
        <v>45536</v>
      </c>
      <c r="L1734" s="133" t="s">
        <v>1241</v>
      </c>
      <c r="M1734" s="133">
        <v>410</v>
      </c>
      <c r="N1734" s="147"/>
      <c r="P1734" s="159"/>
    </row>
    <row r="1735" spans="1:16" hidden="1" x14ac:dyDescent="0.35">
      <c r="A1735" s="146"/>
      <c r="B1735" s="143"/>
      <c r="C1735" s="133"/>
      <c r="D1735" s="133"/>
      <c r="E1735" s="145" t="s">
        <v>1071</v>
      </c>
      <c r="F1735" s="145">
        <v>1720.5</v>
      </c>
      <c r="G1735" s="133"/>
      <c r="H1735" s="144"/>
      <c r="I1735" s="133"/>
      <c r="J1735" s="133"/>
      <c r="K1735" s="133"/>
      <c r="L1735" s="133"/>
      <c r="M1735" s="133"/>
      <c r="N1735" s="147"/>
      <c r="P1735" s="159"/>
    </row>
    <row r="1736" spans="1:16" hidden="1" x14ac:dyDescent="0.35">
      <c r="A1736" s="146"/>
      <c r="B1736" s="143"/>
      <c r="C1736" s="133"/>
      <c r="D1736" s="133"/>
      <c r="E1736" s="145"/>
      <c r="F1736" s="145"/>
      <c r="G1736" s="133"/>
      <c r="H1736" s="144"/>
      <c r="I1736" s="133"/>
      <c r="J1736" s="133"/>
      <c r="K1736" s="133"/>
      <c r="L1736" s="133"/>
      <c r="M1736" s="133"/>
      <c r="N1736" s="147"/>
      <c r="P1736" s="159"/>
    </row>
    <row r="1737" spans="1:16" hidden="1" x14ac:dyDescent="0.35">
      <c r="A1737" s="146">
        <v>112</v>
      </c>
      <c r="B1737" s="143">
        <v>45505</v>
      </c>
      <c r="C1737" s="133" t="s">
        <v>1729</v>
      </c>
      <c r="D1737" s="133" t="s">
        <v>1237</v>
      </c>
      <c r="E1737" s="145" t="s">
        <v>1342</v>
      </c>
      <c r="F1737" s="145">
        <v>1455</v>
      </c>
      <c r="G1737" s="133" t="s">
        <v>1034</v>
      </c>
      <c r="H1737" s="144" t="s">
        <v>1341</v>
      </c>
      <c r="I1737" s="133" t="s">
        <v>1092</v>
      </c>
      <c r="J1737" s="133" t="s">
        <v>1724</v>
      </c>
      <c r="K1737" s="143">
        <v>45536</v>
      </c>
      <c r="L1737" s="133" t="s">
        <v>1723</v>
      </c>
      <c r="M1737" s="133">
        <v>353</v>
      </c>
      <c r="N1737" s="147">
        <f>+F1737+F1738-M1737-M1738-M1739</f>
        <v>0</v>
      </c>
      <c r="P1737" s="159"/>
    </row>
    <row r="1738" spans="1:16" hidden="1" x14ac:dyDescent="0.35">
      <c r="A1738" s="146"/>
      <c r="B1738" s="143"/>
      <c r="C1738" s="133"/>
      <c r="D1738" s="133"/>
      <c r="E1738" s="145" t="s">
        <v>1067</v>
      </c>
      <c r="F1738" s="145">
        <v>353</v>
      </c>
      <c r="G1738" s="133" t="s">
        <v>1034</v>
      </c>
      <c r="H1738" s="144" t="s">
        <v>1341</v>
      </c>
      <c r="I1738" s="133" t="s">
        <v>1092</v>
      </c>
      <c r="J1738" s="133" t="s">
        <v>1717</v>
      </c>
      <c r="K1738" s="143">
        <v>45536</v>
      </c>
      <c r="L1738" s="133" t="s">
        <v>1092</v>
      </c>
      <c r="M1738" s="133">
        <v>1420</v>
      </c>
      <c r="N1738" s="147"/>
      <c r="P1738" s="159"/>
    </row>
    <row r="1739" spans="1:16" hidden="1" x14ac:dyDescent="0.35">
      <c r="A1739" s="146"/>
      <c r="B1739" s="143"/>
      <c r="C1739" s="133"/>
      <c r="D1739" s="133"/>
      <c r="E1739" s="145"/>
      <c r="F1739" s="145"/>
      <c r="G1739" s="133" t="s">
        <v>1034</v>
      </c>
      <c r="H1739" s="144" t="s">
        <v>1341</v>
      </c>
      <c r="I1739" s="133" t="s">
        <v>1092</v>
      </c>
      <c r="J1739" s="133" t="s">
        <v>1709</v>
      </c>
      <c r="K1739" s="143">
        <v>45536</v>
      </c>
      <c r="L1739" s="133" t="s">
        <v>1241</v>
      </c>
      <c r="M1739" s="133">
        <v>35</v>
      </c>
      <c r="N1739" s="147"/>
      <c r="P1739" s="159"/>
    </row>
    <row r="1740" spans="1:16" hidden="1" x14ac:dyDescent="0.35">
      <c r="A1740" s="146"/>
      <c r="B1740" s="143"/>
      <c r="C1740" s="133"/>
      <c r="D1740" s="133"/>
      <c r="E1740" s="145"/>
      <c r="F1740" s="145"/>
      <c r="G1740" s="133"/>
      <c r="H1740" s="144"/>
      <c r="I1740" s="133"/>
      <c r="J1740" s="133"/>
      <c r="K1740" s="143"/>
      <c r="L1740" s="133"/>
      <c r="M1740" s="133"/>
      <c r="N1740" s="147"/>
      <c r="P1740" s="159"/>
    </row>
    <row r="1741" spans="1:16" hidden="1" x14ac:dyDescent="0.35">
      <c r="A1741" s="146">
        <v>113</v>
      </c>
      <c r="B1741" s="143">
        <v>45505</v>
      </c>
      <c r="C1741" s="133" t="s">
        <v>1728</v>
      </c>
      <c r="D1741" s="133" t="s">
        <v>1234</v>
      </c>
      <c r="E1741" s="145" t="s">
        <v>1342</v>
      </c>
      <c r="F1741" s="145">
        <v>8524</v>
      </c>
      <c r="G1741" s="133" t="s">
        <v>1034</v>
      </c>
      <c r="H1741" s="144" t="s">
        <v>1341</v>
      </c>
      <c r="I1741" s="133" t="s">
        <v>1092</v>
      </c>
      <c r="J1741" s="133" t="s">
        <v>1724</v>
      </c>
      <c r="K1741" s="143">
        <v>45536</v>
      </c>
      <c r="L1741" s="133" t="s">
        <v>1723</v>
      </c>
      <c r="M1741" s="133">
        <v>521</v>
      </c>
      <c r="N1741" s="147">
        <f>+F1741+F1742+F1743-M1741-M1742-M1743</f>
        <v>0</v>
      </c>
      <c r="P1741" s="159"/>
    </row>
    <row r="1742" spans="1:16" hidden="1" x14ac:dyDescent="0.35">
      <c r="A1742" s="146"/>
      <c r="B1742" s="143"/>
      <c r="C1742" s="133"/>
      <c r="D1742" s="133"/>
      <c r="E1742" s="145" t="s">
        <v>1075</v>
      </c>
      <c r="F1742" s="145">
        <v>1271</v>
      </c>
      <c r="G1742" s="133" t="s">
        <v>1034</v>
      </c>
      <c r="H1742" s="144" t="s">
        <v>1341</v>
      </c>
      <c r="I1742" s="133" t="s">
        <v>1092</v>
      </c>
      <c r="J1742" s="133" t="s">
        <v>1717</v>
      </c>
      <c r="K1742" s="143">
        <v>45536</v>
      </c>
      <c r="L1742" s="133" t="s">
        <v>1092</v>
      </c>
      <c r="M1742" s="133">
        <v>9586</v>
      </c>
      <c r="N1742" s="147"/>
      <c r="P1742" s="159"/>
    </row>
    <row r="1743" spans="1:16" hidden="1" x14ac:dyDescent="0.35">
      <c r="A1743" s="146"/>
      <c r="B1743" s="143"/>
      <c r="C1743" s="133"/>
      <c r="D1743" s="133"/>
      <c r="E1743" s="145" t="s">
        <v>1067</v>
      </c>
      <c r="F1743" s="145">
        <v>521</v>
      </c>
      <c r="G1743" s="133" t="s">
        <v>1034</v>
      </c>
      <c r="H1743" s="144" t="s">
        <v>1341</v>
      </c>
      <c r="I1743" s="133" t="s">
        <v>1092</v>
      </c>
      <c r="J1743" s="133" t="s">
        <v>1709</v>
      </c>
      <c r="K1743" s="143">
        <v>45536</v>
      </c>
      <c r="L1743" s="133" t="s">
        <v>1241</v>
      </c>
      <c r="M1743" s="133">
        <v>209</v>
      </c>
      <c r="N1743" s="147"/>
      <c r="P1743" s="159"/>
    </row>
    <row r="1744" spans="1:16" hidden="1" x14ac:dyDescent="0.35">
      <c r="A1744" s="146"/>
      <c r="B1744" s="143"/>
      <c r="C1744" s="133"/>
      <c r="D1744" s="133"/>
      <c r="E1744" s="145"/>
      <c r="F1744" s="145"/>
      <c r="G1744" s="133"/>
      <c r="H1744" s="144"/>
      <c r="I1744" s="133"/>
      <c r="J1744" s="133"/>
      <c r="K1744" s="133"/>
      <c r="L1744" s="133"/>
      <c r="M1744" s="133"/>
      <c r="N1744" s="147"/>
      <c r="P1744" s="159"/>
    </row>
    <row r="1745" spans="1:16" hidden="1" x14ac:dyDescent="0.35">
      <c r="A1745" s="146">
        <v>114</v>
      </c>
      <c r="B1745" s="143">
        <v>45505</v>
      </c>
      <c r="C1745" s="133" t="s">
        <v>1727</v>
      </c>
      <c r="D1745" s="133" t="s">
        <v>1232</v>
      </c>
      <c r="E1745" s="145" t="s">
        <v>1342</v>
      </c>
      <c r="F1745" s="145">
        <v>630</v>
      </c>
      <c r="G1745" s="133" t="s">
        <v>1034</v>
      </c>
      <c r="H1745" s="144" t="s">
        <v>1341</v>
      </c>
      <c r="I1745" s="133" t="s">
        <v>1092</v>
      </c>
      <c r="J1745" s="133" t="s">
        <v>1724</v>
      </c>
      <c r="K1745" s="143">
        <v>45536</v>
      </c>
      <c r="L1745" s="133" t="s">
        <v>1723</v>
      </c>
      <c r="M1745" s="133">
        <v>4093.5</v>
      </c>
      <c r="N1745" s="147">
        <f>+F1745+F1746+F1747+F1748-M1745-M1746-M1747</f>
        <v>-1.8189894035458565E-12</v>
      </c>
      <c r="P1745" s="159"/>
    </row>
    <row r="1746" spans="1:16" hidden="1" x14ac:dyDescent="0.35">
      <c r="A1746" s="146"/>
      <c r="B1746" s="143"/>
      <c r="C1746" s="133"/>
      <c r="D1746" s="133"/>
      <c r="E1746" s="145" t="s">
        <v>1075</v>
      </c>
      <c r="F1746" s="145">
        <v>8769.1</v>
      </c>
      <c r="G1746" s="133" t="s">
        <v>1034</v>
      </c>
      <c r="H1746" s="144" t="s">
        <v>1341</v>
      </c>
      <c r="I1746" s="133" t="s">
        <v>1092</v>
      </c>
      <c r="J1746" s="133" t="s">
        <v>1717</v>
      </c>
      <c r="K1746" s="143">
        <v>45536</v>
      </c>
      <c r="L1746" s="133" t="s">
        <v>1092</v>
      </c>
      <c r="M1746" s="133">
        <v>12986.1</v>
      </c>
      <c r="N1746" s="147"/>
      <c r="P1746" s="159"/>
    </row>
    <row r="1747" spans="1:16" hidden="1" x14ac:dyDescent="0.35">
      <c r="A1747" s="146"/>
      <c r="B1747" s="143"/>
      <c r="C1747" s="133"/>
      <c r="D1747" s="133"/>
      <c r="E1747" s="145" t="s">
        <v>1067</v>
      </c>
      <c r="F1747" s="145">
        <v>4117.8999999999996</v>
      </c>
      <c r="G1747" s="133" t="s">
        <v>1034</v>
      </c>
      <c r="H1747" s="144" t="s">
        <v>1341</v>
      </c>
      <c r="I1747" s="133" t="s">
        <v>1092</v>
      </c>
      <c r="J1747" s="133" t="s">
        <v>1709</v>
      </c>
      <c r="K1747" s="143">
        <v>45536</v>
      </c>
      <c r="L1747" s="133" t="s">
        <v>1241</v>
      </c>
      <c r="M1747" s="133">
        <v>345</v>
      </c>
      <c r="N1747" s="147"/>
      <c r="P1747" s="159"/>
    </row>
    <row r="1748" spans="1:16" hidden="1" x14ac:dyDescent="0.35">
      <c r="A1748" s="146"/>
      <c r="B1748" s="143"/>
      <c r="C1748" s="133"/>
      <c r="D1748" s="133"/>
      <c r="E1748" s="145" t="s">
        <v>1071</v>
      </c>
      <c r="F1748" s="145">
        <v>3907.6</v>
      </c>
      <c r="G1748" s="133"/>
      <c r="H1748" s="144"/>
      <c r="I1748" s="133"/>
      <c r="J1748" s="133"/>
      <c r="K1748" s="133"/>
      <c r="L1748" s="133"/>
      <c r="M1748" s="133"/>
      <c r="N1748" s="147"/>
      <c r="P1748" s="159"/>
    </row>
    <row r="1749" spans="1:16" hidden="1" x14ac:dyDescent="0.35">
      <c r="A1749" s="146"/>
      <c r="B1749" s="143"/>
      <c r="C1749" s="133"/>
      <c r="D1749" s="133"/>
      <c r="E1749" s="145"/>
      <c r="F1749" s="145"/>
      <c r="G1749" s="133"/>
      <c r="H1749" s="144"/>
      <c r="I1749" s="133"/>
      <c r="J1749" s="133"/>
      <c r="K1749" s="133"/>
      <c r="L1749" s="133"/>
      <c r="M1749" s="133"/>
      <c r="N1749" s="147"/>
      <c r="P1749" s="159"/>
    </row>
    <row r="1750" spans="1:16" hidden="1" x14ac:dyDescent="0.35">
      <c r="A1750" s="146">
        <v>115</v>
      </c>
      <c r="B1750" s="143">
        <v>45505</v>
      </c>
      <c r="C1750" s="133" t="s">
        <v>1726</v>
      </c>
      <c r="D1750" s="133" t="s">
        <v>1725</v>
      </c>
      <c r="E1750" s="145" t="s">
        <v>1064</v>
      </c>
      <c r="F1750" s="145">
        <v>263.2</v>
      </c>
      <c r="G1750" s="133" t="s">
        <v>1034</v>
      </c>
      <c r="H1750" s="144" t="s">
        <v>1341</v>
      </c>
      <c r="I1750" s="133" t="s">
        <v>1092</v>
      </c>
      <c r="J1750" s="133" t="s">
        <v>1724</v>
      </c>
      <c r="K1750" s="143">
        <v>45536</v>
      </c>
      <c r="L1750" s="133" t="s">
        <v>1723</v>
      </c>
      <c r="M1750" s="133">
        <v>467</v>
      </c>
      <c r="N1750" s="147">
        <f>+F1750+F1751-M1750-M1751-M1752</f>
        <v>0</v>
      </c>
      <c r="P1750" s="159"/>
    </row>
    <row r="1751" spans="1:16" hidden="1" x14ac:dyDescent="0.35">
      <c r="A1751" s="146"/>
      <c r="B1751" s="143"/>
      <c r="C1751" s="133"/>
      <c r="D1751" s="133"/>
      <c r="E1751" s="145" t="s">
        <v>1067</v>
      </c>
      <c r="F1751" s="145">
        <v>467</v>
      </c>
      <c r="G1751" s="133" t="s">
        <v>1034</v>
      </c>
      <c r="H1751" s="144" t="s">
        <v>1341</v>
      </c>
      <c r="I1751" s="133" t="s">
        <v>1092</v>
      </c>
      <c r="J1751" s="133" t="s">
        <v>1717</v>
      </c>
      <c r="K1751" s="143">
        <v>45536</v>
      </c>
      <c r="L1751" s="133" t="s">
        <v>1092</v>
      </c>
      <c r="M1751" s="133">
        <v>247.20000000000005</v>
      </c>
      <c r="N1751" s="147"/>
      <c r="P1751" s="140"/>
    </row>
    <row r="1752" spans="1:16" hidden="1" x14ac:dyDescent="0.35">
      <c r="A1752" s="146"/>
      <c r="B1752" s="143"/>
      <c r="C1752" s="133"/>
      <c r="D1752" s="133"/>
      <c r="E1752" s="145"/>
      <c r="F1752" s="145"/>
      <c r="G1752" s="133" t="s">
        <v>1034</v>
      </c>
      <c r="H1752" s="144" t="s">
        <v>1341</v>
      </c>
      <c r="I1752" s="133" t="s">
        <v>1092</v>
      </c>
      <c r="J1752" s="133" t="s">
        <v>1709</v>
      </c>
      <c r="K1752" s="143">
        <v>45536</v>
      </c>
      <c r="L1752" s="133" t="s">
        <v>1241</v>
      </c>
      <c r="M1752" s="133">
        <v>16</v>
      </c>
      <c r="N1752" s="147"/>
      <c r="P1752" s="140"/>
    </row>
    <row r="1753" spans="1:16" hidden="1" x14ac:dyDescent="0.35">
      <c r="A1753" s="146"/>
      <c r="B1753" s="143"/>
      <c r="C1753" s="133"/>
      <c r="D1753" s="133"/>
      <c r="E1753" s="145"/>
      <c r="F1753" s="145"/>
      <c r="G1753" s="133"/>
      <c r="H1753" s="144"/>
      <c r="I1753" s="133"/>
      <c r="J1753" s="133"/>
      <c r="K1753" s="133"/>
      <c r="L1753" s="133"/>
      <c r="M1753" s="133"/>
      <c r="N1753" s="147"/>
      <c r="P1753" s="140"/>
    </row>
    <row r="1754" spans="1:16" hidden="1" x14ac:dyDescent="0.35">
      <c r="A1754" s="146">
        <v>116</v>
      </c>
      <c r="B1754" s="143">
        <v>45505</v>
      </c>
      <c r="C1754" s="133" t="s">
        <v>1722</v>
      </c>
      <c r="D1754" s="133" t="s">
        <v>1721</v>
      </c>
      <c r="E1754" s="145" t="s">
        <v>1064</v>
      </c>
      <c r="F1754" s="145">
        <v>1485.4</v>
      </c>
      <c r="G1754" s="133" t="s">
        <v>1034</v>
      </c>
      <c r="H1754" s="144" t="s">
        <v>1341</v>
      </c>
      <c r="I1754" s="133" t="s">
        <v>1092</v>
      </c>
      <c r="J1754" s="133" t="s">
        <v>1717</v>
      </c>
      <c r="K1754" s="143">
        <v>45536</v>
      </c>
      <c r="L1754" s="133" t="s">
        <v>1092</v>
      </c>
      <c r="M1754" s="133">
        <v>4001.3</v>
      </c>
      <c r="N1754" s="147">
        <f>+F1754+F1755+F1756+F1757+F1758+F1759+F1760-M1754-M1755-M1756</f>
        <v>0</v>
      </c>
      <c r="P1754" s="140"/>
    </row>
    <row r="1755" spans="1:16" hidden="1" x14ac:dyDescent="0.35">
      <c r="A1755" s="146"/>
      <c r="B1755" s="143"/>
      <c r="C1755" s="133"/>
      <c r="D1755" s="133"/>
      <c r="E1755" s="145" t="s">
        <v>1067</v>
      </c>
      <c r="F1755" s="145">
        <v>5298.3</v>
      </c>
      <c r="G1755" s="133" t="s">
        <v>1034</v>
      </c>
      <c r="H1755" s="144" t="s">
        <v>1341</v>
      </c>
      <c r="I1755" s="133" t="s">
        <v>1092</v>
      </c>
      <c r="J1755" s="133" t="s">
        <v>1710</v>
      </c>
      <c r="K1755" s="143">
        <v>45536</v>
      </c>
      <c r="L1755" s="133" t="s">
        <v>1092</v>
      </c>
      <c r="M1755" s="133">
        <v>30162.560000000001</v>
      </c>
      <c r="N1755" s="147"/>
      <c r="P1755" s="140"/>
    </row>
    <row r="1756" spans="1:16" hidden="1" x14ac:dyDescent="0.35">
      <c r="A1756" s="146"/>
      <c r="B1756" s="143"/>
      <c r="C1756" s="133"/>
      <c r="D1756" s="133"/>
      <c r="E1756" s="145" t="s">
        <v>1342</v>
      </c>
      <c r="F1756" s="145">
        <v>451</v>
      </c>
      <c r="G1756" s="133" t="s">
        <v>1034</v>
      </c>
      <c r="H1756" s="144" t="s">
        <v>1341</v>
      </c>
      <c r="I1756" s="133" t="s">
        <v>1092</v>
      </c>
      <c r="J1756" s="133" t="s">
        <v>1709</v>
      </c>
      <c r="K1756" s="143">
        <v>45536</v>
      </c>
      <c r="L1756" s="133" t="s">
        <v>1241</v>
      </c>
      <c r="M1756" s="133">
        <v>491</v>
      </c>
      <c r="N1756" s="147"/>
      <c r="P1756" s="140"/>
    </row>
    <row r="1757" spans="1:16" hidden="1" x14ac:dyDescent="0.35">
      <c r="A1757" s="146"/>
      <c r="B1757" s="143"/>
      <c r="C1757" s="133"/>
      <c r="D1757" s="133"/>
      <c r="E1757" s="145" t="s">
        <v>1075</v>
      </c>
      <c r="F1757" s="145">
        <v>10541.9</v>
      </c>
      <c r="G1757" s="133"/>
      <c r="H1757" s="144"/>
      <c r="I1757" s="133"/>
      <c r="J1757" s="133"/>
      <c r="K1757" s="133"/>
      <c r="L1757" s="133"/>
      <c r="M1757" s="133"/>
      <c r="N1757" s="147"/>
      <c r="P1757" s="140"/>
    </row>
    <row r="1758" spans="1:16" hidden="1" x14ac:dyDescent="0.35">
      <c r="A1758" s="146"/>
      <c r="B1758" s="143"/>
      <c r="C1758" s="133"/>
      <c r="D1758" s="133"/>
      <c r="E1758" s="145" t="s">
        <v>1078</v>
      </c>
      <c r="F1758" s="145">
        <v>2876.96</v>
      </c>
      <c r="G1758" s="133"/>
      <c r="H1758" s="144"/>
      <c r="I1758" s="133"/>
      <c r="J1758" s="133"/>
      <c r="K1758" s="133"/>
      <c r="L1758" s="133"/>
      <c r="M1758" s="133"/>
      <c r="N1758" s="147"/>
      <c r="P1758" s="140"/>
    </row>
    <row r="1759" spans="1:16" hidden="1" x14ac:dyDescent="0.35">
      <c r="A1759" s="146"/>
      <c r="B1759" s="143"/>
      <c r="C1759" s="133"/>
      <c r="D1759" s="133"/>
      <c r="E1759" s="145" t="s">
        <v>1118</v>
      </c>
      <c r="F1759" s="145">
        <v>4001.3</v>
      </c>
      <c r="G1759" s="133"/>
      <c r="H1759" s="144"/>
      <c r="I1759" s="133"/>
      <c r="J1759" s="133"/>
      <c r="K1759" s="133"/>
      <c r="L1759" s="133"/>
      <c r="M1759" s="133"/>
      <c r="N1759" s="147"/>
      <c r="P1759" s="140"/>
    </row>
    <row r="1760" spans="1:16" hidden="1" x14ac:dyDescent="0.35">
      <c r="A1760" s="146"/>
      <c r="B1760" s="143"/>
      <c r="C1760" s="133"/>
      <c r="D1760" s="133"/>
      <c r="E1760" s="145" t="s">
        <v>1184</v>
      </c>
      <c r="F1760" s="145">
        <v>10000</v>
      </c>
      <c r="G1760" s="133"/>
      <c r="H1760" s="144"/>
      <c r="I1760" s="133"/>
      <c r="J1760" s="133"/>
      <c r="K1760" s="133"/>
      <c r="L1760" s="133"/>
      <c r="M1760" s="133"/>
      <c r="N1760" s="147"/>
      <c r="P1760" s="140"/>
    </row>
    <row r="1761" spans="1:16" hidden="1" x14ac:dyDescent="0.35">
      <c r="A1761" s="146"/>
      <c r="B1761" s="143"/>
      <c r="C1761" s="133"/>
      <c r="D1761" s="133"/>
      <c r="E1761" s="145"/>
      <c r="F1761" s="145"/>
      <c r="G1761" s="133"/>
      <c r="H1761" s="144"/>
      <c r="I1761" s="133"/>
      <c r="J1761" s="133"/>
      <c r="K1761" s="133"/>
      <c r="L1761" s="133"/>
      <c r="M1761" s="133"/>
      <c r="N1761" s="147"/>
      <c r="P1761" s="140"/>
    </row>
    <row r="1762" spans="1:16" hidden="1" x14ac:dyDescent="0.35">
      <c r="A1762" s="146">
        <v>117</v>
      </c>
      <c r="B1762" s="143">
        <v>45505</v>
      </c>
      <c r="C1762" s="133" t="s">
        <v>1720</v>
      </c>
      <c r="D1762" s="133" t="s">
        <v>1719</v>
      </c>
      <c r="E1762" s="148" t="s">
        <v>1059</v>
      </c>
      <c r="F1762" s="145">
        <v>24750</v>
      </c>
      <c r="G1762" s="133" t="s">
        <v>1034</v>
      </c>
      <c r="H1762" s="144" t="s">
        <v>1341</v>
      </c>
      <c r="I1762" s="133" t="s">
        <v>1092</v>
      </c>
      <c r="J1762" s="133" t="s">
        <v>1718</v>
      </c>
      <c r="K1762" s="143">
        <v>45536</v>
      </c>
      <c r="L1762" s="133" t="s">
        <v>1092</v>
      </c>
      <c r="M1762" s="133">
        <v>17662.099999999999</v>
      </c>
      <c r="N1762" s="147">
        <f>+F1762-M1762-M1763-M1764</f>
        <v>0</v>
      </c>
      <c r="P1762" s="140"/>
    </row>
    <row r="1763" spans="1:16" hidden="1" x14ac:dyDescent="0.35">
      <c r="A1763" s="146"/>
      <c r="B1763" s="143"/>
      <c r="C1763" s="133"/>
      <c r="D1763" s="133"/>
      <c r="E1763" s="145"/>
      <c r="F1763" s="145"/>
      <c r="G1763" s="133" t="s">
        <v>1034</v>
      </c>
      <c r="H1763" s="144" t="s">
        <v>1341</v>
      </c>
      <c r="I1763" s="133" t="s">
        <v>1092</v>
      </c>
      <c r="J1763" s="133" t="s">
        <v>1717</v>
      </c>
      <c r="K1763" s="143">
        <v>45536</v>
      </c>
      <c r="L1763" s="133" t="s">
        <v>1092</v>
      </c>
      <c r="M1763" s="133">
        <v>6595.9000000000015</v>
      </c>
      <c r="N1763" s="142"/>
      <c r="P1763" s="140"/>
    </row>
    <row r="1764" spans="1:16" hidden="1" x14ac:dyDescent="0.35">
      <c r="A1764" s="146"/>
      <c r="B1764" s="143"/>
      <c r="C1764" s="133"/>
      <c r="D1764" s="133"/>
      <c r="E1764" s="145"/>
      <c r="F1764" s="145"/>
      <c r="G1764" s="133" t="s">
        <v>1034</v>
      </c>
      <c r="H1764" s="144" t="s">
        <v>1341</v>
      </c>
      <c r="I1764" s="133" t="s">
        <v>1092</v>
      </c>
      <c r="J1764" s="133" t="s">
        <v>1709</v>
      </c>
      <c r="K1764" s="143">
        <v>45536</v>
      </c>
      <c r="L1764" s="133" t="s">
        <v>1241</v>
      </c>
      <c r="M1764" s="133">
        <v>492</v>
      </c>
      <c r="N1764" s="142"/>
      <c r="P1764" s="140"/>
    </row>
    <row r="1765" spans="1:16" hidden="1" x14ac:dyDescent="0.35">
      <c r="A1765" s="146"/>
      <c r="B1765" s="143"/>
      <c r="C1765" s="133"/>
      <c r="D1765" s="133"/>
      <c r="E1765" s="145"/>
      <c r="F1765" s="145"/>
      <c r="G1765" s="133"/>
      <c r="H1765" s="144"/>
      <c r="I1765" s="133"/>
      <c r="J1765" s="133"/>
      <c r="K1765" s="133"/>
      <c r="L1765" s="133"/>
      <c r="M1765" s="133"/>
      <c r="N1765" s="142"/>
      <c r="P1765" s="140"/>
    </row>
    <row r="1766" spans="1:16" hidden="1" x14ac:dyDescent="0.35">
      <c r="A1766" s="146">
        <v>118</v>
      </c>
      <c r="B1766" s="143">
        <v>45505</v>
      </c>
      <c r="C1766" s="133" t="s">
        <v>1716</v>
      </c>
      <c r="D1766" s="133" t="s">
        <v>1714</v>
      </c>
      <c r="E1766" s="148" t="s">
        <v>1059</v>
      </c>
      <c r="F1766" s="145">
        <v>49500</v>
      </c>
      <c r="G1766" s="133" t="s">
        <v>1034</v>
      </c>
      <c r="H1766" s="144" t="s">
        <v>1341</v>
      </c>
      <c r="I1766" s="133" t="s">
        <v>1092</v>
      </c>
      <c r="J1766" s="133" t="s">
        <v>1710</v>
      </c>
      <c r="K1766" s="143">
        <v>45536</v>
      </c>
      <c r="L1766" s="133" t="s">
        <v>1092</v>
      </c>
      <c r="M1766" s="133">
        <v>21458.04</v>
      </c>
      <c r="N1766" s="147">
        <f>+F1766-M1766-M1767-M1768</f>
        <v>0</v>
      </c>
      <c r="P1766" s="159"/>
    </row>
    <row r="1767" spans="1:16" hidden="1" x14ac:dyDescent="0.35">
      <c r="A1767" s="146"/>
      <c r="B1767" s="143"/>
      <c r="C1767" s="133"/>
      <c r="D1767" s="133"/>
      <c r="E1767" s="145"/>
      <c r="F1767" s="145"/>
      <c r="G1767" s="133" t="s">
        <v>1034</v>
      </c>
      <c r="H1767" s="144" t="s">
        <v>1341</v>
      </c>
      <c r="I1767" s="133" t="s">
        <v>1092</v>
      </c>
      <c r="J1767" s="133" t="s">
        <v>1709</v>
      </c>
      <c r="K1767" s="143">
        <v>45536</v>
      </c>
      <c r="L1767" s="133" t="s">
        <v>1241</v>
      </c>
      <c r="M1767" s="133">
        <v>993</v>
      </c>
      <c r="N1767" s="142"/>
      <c r="P1767" s="159"/>
    </row>
    <row r="1768" spans="1:16" hidden="1" x14ac:dyDescent="0.35">
      <c r="A1768" s="146"/>
      <c r="B1768" s="143"/>
      <c r="C1768" s="133"/>
      <c r="D1768" s="133"/>
      <c r="E1768" s="145"/>
      <c r="F1768" s="145"/>
      <c r="G1768" s="133" t="s">
        <v>1034</v>
      </c>
      <c r="H1768" s="144" t="s">
        <v>1341</v>
      </c>
      <c r="I1768" s="133" t="s">
        <v>1092</v>
      </c>
      <c r="J1768" s="133" t="s">
        <v>1699</v>
      </c>
      <c r="K1768" s="143">
        <v>45536</v>
      </c>
      <c r="L1768" s="133" t="s">
        <v>1092</v>
      </c>
      <c r="M1768" s="133">
        <v>27048.959999999999</v>
      </c>
      <c r="N1768" s="142"/>
      <c r="P1768" s="159"/>
    </row>
    <row r="1769" spans="1:16" hidden="1" x14ac:dyDescent="0.35">
      <c r="A1769" s="146"/>
      <c r="B1769" s="143"/>
      <c r="C1769" s="133"/>
      <c r="D1769" s="133"/>
      <c r="E1769" s="145"/>
      <c r="F1769" s="145"/>
      <c r="G1769" s="133"/>
      <c r="H1769" s="144"/>
      <c r="I1769" s="133"/>
      <c r="J1769" s="133"/>
      <c r="K1769" s="143"/>
      <c r="L1769" s="133"/>
      <c r="M1769" s="133"/>
      <c r="N1769" s="142"/>
      <c r="P1769" s="159"/>
    </row>
    <row r="1770" spans="1:16" hidden="1" x14ac:dyDescent="0.35">
      <c r="A1770" s="146">
        <v>119</v>
      </c>
      <c r="B1770" s="143">
        <v>45505</v>
      </c>
      <c r="C1770" s="133" t="s">
        <v>1715</v>
      </c>
      <c r="D1770" s="133" t="s">
        <v>1714</v>
      </c>
      <c r="E1770" s="145" t="s">
        <v>1342</v>
      </c>
      <c r="F1770" s="145">
        <v>4304</v>
      </c>
      <c r="G1770" s="133" t="s">
        <v>1034</v>
      </c>
      <c r="H1770" s="144" t="s">
        <v>1341</v>
      </c>
      <c r="I1770" s="133" t="s">
        <v>1092</v>
      </c>
      <c r="J1770" s="133" t="s">
        <v>1710</v>
      </c>
      <c r="K1770" s="143">
        <v>45536</v>
      </c>
      <c r="L1770" s="133" t="s">
        <v>1092</v>
      </c>
      <c r="M1770" s="133">
        <v>5268.5</v>
      </c>
      <c r="N1770" s="147">
        <f>+F1770+F1771-M1770-M1771</f>
        <v>0</v>
      </c>
      <c r="P1770" s="159"/>
    </row>
    <row r="1771" spans="1:16" hidden="1" x14ac:dyDescent="0.35">
      <c r="A1771" s="146"/>
      <c r="B1771" s="143"/>
      <c r="C1771" s="133"/>
      <c r="D1771" s="133"/>
      <c r="E1771" s="145" t="s">
        <v>1067</v>
      </c>
      <c r="F1771" s="145">
        <v>1073.5</v>
      </c>
      <c r="G1771" s="133" t="s">
        <v>1034</v>
      </c>
      <c r="H1771" s="144" t="s">
        <v>1341</v>
      </c>
      <c r="I1771" s="133" t="s">
        <v>1092</v>
      </c>
      <c r="J1771" s="133" t="s">
        <v>1709</v>
      </c>
      <c r="K1771" s="143">
        <v>45536</v>
      </c>
      <c r="L1771" s="133" t="s">
        <v>1241</v>
      </c>
      <c r="M1771" s="133">
        <v>109</v>
      </c>
      <c r="N1771" s="142"/>
      <c r="P1771" s="159"/>
    </row>
    <row r="1772" spans="1:16" hidden="1" x14ac:dyDescent="0.35">
      <c r="A1772" s="146"/>
      <c r="B1772" s="143"/>
      <c r="C1772" s="133"/>
      <c r="D1772" s="133"/>
      <c r="E1772" s="145"/>
      <c r="F1772" s="145"/>
      <c r="G1772" s="133"/>
      <c r="H1772" s="144"/>
      <c r="I1772" s="133"/>
      <c r="J1772" s="133"/>
      <c r="K1772" s="133"/>
      <c r="L1772" s="133"/>
      <c r="M1772" s="133"/>
      <c r="N1772" s="142"/>
      <c r="P1772" s="159"/>
    </row>
    <row r="1773" spans="1:16" hidden="1" x14ac:dyDescent="0.35">
      <c r="A1773" s="146">
        <v>120</v>
      </c>
      <c r="B1773" s="143">
        <v>45505</v>
      </c>
      <c r="C1773" s="133" t="s">
        <v>1713</v>
      </c>
      <c r="D1773" s="133" t="s">
        <v>1230</v>
      </c>
      <c r="E1773" s="145" t="s">
        <v>1118</v>
      </c>
      <c r="F1773" s="145">
        <v>3016.4</v>
      </c>
      <c r="G1773" s="133" t="s">
        <v>1034</v>
      </c>
      <c r="H1773" s="144" t="s">
        <v>1341</v>
      </c>
      <c r="I1773" s="133" t="s">
        <v>1092</v>
      </c>
      <c r="J1773" s="133" t="s">
        <v>1710</v>
      </c>
      <c r="K1773" s="143">
        <v>45536</v>
      </c>
      <c r="L1773" s="133" t="s">
        <v>1092</v>
      </c>
      <c r="M1773" s="133">
        <v>3538.7</v>
      </c>
      <c r="N1773" s="147">
        <f>+F1773+F1774-M1773-M1774</f>
        <v>0</v>
      </c>
      <c r="P1773" s="159"/>
    </row>
    <row r="1774" spans="1:16" hidden="1" x14ac:dyDescent="0.35">
      <c r="A1774" s="146"/>
      <c r="B1774" s="143"/>
      <c r="C1774" s="133"/>
      <c r="D1774" s="133"/>
      <c r="E1774" s="145" t="s">
        <v>1067</v>
      </c>
      <c r="F1774" s="145">
        <v>592.29999999999995</v>
      </c>
      <c r="G1774" s="133" t="s">
        <v>1034</v>
      </c>
      <c r="H1774" s="144" t="s">
        <v>1341</v>
      </c>
      <c r="I1774" s="133" t="s">
        <v>1092</v>
      </c>
      <c r="J1774" s="133" t="s">
        <v>1709</v>
      </c>
      <c r="K1774" s="143">
        <v>45536</v>
      </c>
      <c r="L1774" s="133" t="s">
        <v>1241</v>
      </c>
      <c r="M1774" s="133">
        <v>70</v>
      </c>
      <c r="N1774" s="142"/>
      <c r="P1774" s="159"/>
    </row>
    <row r="1775" spans="1:16" hidden="1" x14ac:dyDescent="0.35">
      <c r="A1775" s="146"/>
      <c r="B1775" s="143"/>
      <c r="C1775" s="133"/>
      <c r="D1775" s="133"/>
      <c r="E1775" s="145"/>
      <c r="F1775" s="145"/>
      <c r="G1775" s="133"/>
      <c r="H1775" s="144"/>
      <c r="I1775" s="133"/>
      <c r="J1775" s="133"/>
      <c r="K1775" s="133"/>
      <c r="L1775" s="133"/>
      <c r="M1775" s="133"/>
      <c r="N1775" s="142"/>
      <c r="P1775" s="159"/>
    </row>
    <row r="1776" spans="1:16" hidden="1" x14ac:dyDescent="0.35">
      <c r="A1776" s="146">
        <v>121</v>
      </c>
      <c r="B1776" s="143">
        <v>45505</v>
      </c>
      <c r="C1776" s="133" t="s">
        <v>1712</v>
      </c>
      <c r="D1776" s="133" t="s">
        <v>1230</v>
      </c>
      <c r="E1776" s="148" t="s">
        <v>1059</v>
      </c>
      <c r="F1776" s="145">
        <v>24750</v>
      </c>
      <c r="G1776" s="133" t="s">
        <v>1034</v>
      </c>
      <c r="H1776" s="144" t="s">
        <v>1341</v>
      </c>
      <c r="I1776" s="133" t="s">
        <v>1092</v>
      </c>
      <c r="J1776" s="133" t="s">
        <v>1709</v>
      </c>
      <c r="K1776" s="143">
        <v>45536</v>
      </c>
      <c r="L1776" s="133" t="s">
        <v>1241</v>
      </c>
      <c r="M1776" s="133">
        <v>491</v>
      </c>
      <c r="N1776" s="147">
        <f>+F1776-M1776-M1777</f>
        <v>0</v>
      </c>
      <c r="P1776" s="159"/>
    </row>
    <row r="1777" spans="1:16" hidden="1" x14ac:dyDescent="0.35">
      <c r="A1777" s="146"/>
      <c r="B1777" s="143"/>
      <c r="C1777" s="133"/>
      <c r="D1777" s="133"/>
      <c r="E1777" s="148"/>
      <c r="F1777" s="145"/>
      <c r="G1777" s="133" t="s">
        <v>1034</v>
      </c>
      <c r="H1777" s="144" t="s">
        <v>1341</v>
      </c>
      <c r="I1777" s="133" t="s">
        <v>1092</v>
      </c>
      <c r="J1777" s="133" t="s">
        <v>1699</v>
      </c>
      <c r="K1777" s="143">
        <v>45536</v>
      </c>
      <c r="L1777" s="133" t="s">
        <v>1092</v>
      </c>
      <c r="M1777" s="133">
        <v>24259</v>
      </c>
      <c r="N1777" s="142"/>
      <c r="P1777" s="159"/>
    </row>
    <row r="1778" spans="1:16" hidden="1" x14ac:dyDescent="0.35">
      <c r="A1778" s="146"/>
      <c r="B1778" s="143"/>
      <c r="C1778" s="133"/>
      <c r="D1778" s="133"/>
      <c r="E1778" s="145"/>
      <c r="F1778" s="145"/>
      <c r="G1778" s="133"/>
      <c r="H1778" s="144"/>
      <c r="I1778" s="133"/>
      <c r="J1778" s="133"/>
      <c r="K1778" s="133"/>
      <c r="L1778" s="133"/>
      <c r="M1778" s="133"/>
      <c r="N1778" s="142"/>
      <c r="P1778" s="140"/>
    </row>
    <row r="1779" spans="1:16" hidden="1" x14ac:dyDescent="0.35">
      <c r="A1779" s="146">
        <v>122</v>
      </c>
      <c r="B1779" s="143">
        <v>45505</v>
      </c>
      <c r="C1779" s="133" t="s">
        <v>1711</v>
      </c>
      <c r="D1779" s="133" t="s">
        <v>1228</v>
      </c>
      <c r="E1779" s="145" t="s">
        <v>1064</v>
      </c>
      <c r="F1779" s="145">
        <v>897.6</v>
      </c>
      <c r="G1779" s="133" t="s">
        <v>1034</v>
      </c>
      <c r="H1779" s="144" t="s">
        <v>1341</v>
      </c>
      <c r="I1779" s="133" t="s">
        <v>1092</v>
      </c>
      <c r="J1779" s="133" t="s">
        <v>1710</v>
      </c>
      <c r="K1779" s="143">
        <v>45536</v>
      </c>
      <c r="L1779" s="133" t="s">
        <v>1092</v>
      </c>
      <c r="M1779" s="133">
        <v>10207.299999999999</v>
      </c>
      <c r="N1779" s="147">
        <f>+F1779+F1780+F1781+F1782-M1779-M1780</f>
        <v>0</v>
      </c>
      <c r="P1779" s="159"/>
    </row>
    <row r="1780" spans="1:16" hidden="1" x14ac:dyDescent="0.35">
      <c r="A1780" s="146"/>
      <c r="B1780" s="143"/>
      <c r="C1780" s="133"/>
      <c r="D1780" s="133"/>
      <c r="E1780" s="145" t="s">
        <v>1067</v>
      </c>
      <c r="F1780" s="145">
        <v>1043</v>
      </c>
      <c r="G1780" s="133" t="s">
        <v>1034</v>
      </c>
      <c r="H1780" s="144" t="s">
        <v>1341</v>
      </c>
      <c r="I1780" s="133" t="s">
        <v>1092</v>
      </c>
      <c r="J1780" s="133" t="s">
        <v>1709</v>
      </c>
      <c r="K1780" s="143">
        <v>45536</v>
      </c>
      <c r="L1780" s="133" t="s">
        <v>1241</v>
      </c>
      <c r="M1780" s="133">
        <v>209</v>
      </c>
      <c r="N1780" s="142"/>
      <c r="P1780" s="140"/>
    </row>
    <row r="1781" spans="1:16" hidden="1" x14ac:dyDescent="0.35">
      <c r="A1781" s="146"/>
      <c r="B1781" s="143"/>
      <c r="C1781" s="133"/>
      <c r="D1781" s="133"/>
      <c r="E1781" s="145" t="s">
        <v>1075</v>
      </c>
      <c r="F1781" s="145">
        <v>7475.7</v>
      </c>
      <c r="G1781" s="133"/>
      <c r="H1781" s="144"/>
      <c r="I1781" s="133"/>
      <c r="J1781" s="133"/>
      <c r="K1781" s="133"/>
      <c r="L1781" s="133"/>
      <c r="M1781" s="133"/>
      <c r="N1781" s="142"/>
      <c r="P1781" s="140"/>
    </row>
    <row r="1782" spans="1:16" hidden="1" x14ac:dyDescent="0.35">
      <c r="A1782" s="146"/>
      <c r="B1782" s="143"/>
      <c r="C1782" s="133"/>
      <c r="D1782" s="133"/>
      <c r="E1782" s="148" t="s">
        <v>1074</v>
      </c>
      <c r="F1782" s="145">
        <v>1000</v>
      </c>
      <c r="G1782" s="133"/>
      <c r="H1782" s="144"/>
      <c r="I1782" s="133"/>
      <c r="J1782" s="133"/>
      <c r="K1782" s="133"/>
      <c r="L1782" s="133"/>
      <c r="M1782" s="133"/>
      <c r="N1782" s="142"/>
      <c r="P1782" s="140"/>
    </row>
    <row r="1783" spans="1:16" hidden="1" x14ac:dyDescent="0.35">
      <c r="A1783" s="146"/>
      <c r="B1783" s="143"/>
      <c r="C1783" s="133"/>
      <c r="D1783" s="133"/>
      <c r="E1783" s="145"/>
      <c r="F1783" s="145"/>
      <c r="G1783" s="133"/>
      <c r="H1783" s="144"/>
      <c r="I1783" s="133"/>
      <c r="J1783" s="133"/>
      <c r="K1783" s="133"/>
      <c r="L1783" s="133"/>
      <c r="M1783" s="133"/>
      <c r="N1783" s="142"/>
      <c r="P1783" s="140"/>
    </row>
    <row r="1784" spans="1:16" hidden="1" x14ac:dyDescent="0.35">
      <c r="A1784" s="146">
        <v>123</v>
      </c>
      <c r="B1784" s="143">
        <v>45505</v>
      </c>
      <c r="C1784" s="133" t="s">
        <v>1708</v>
      </c>
      <c r="D1784" s="133" t="s">
        <v>1226</v>
      </c>
      <c r="E1784" s="145" t="s">
        <v>1064</v>
      </c>
      <c r="F1784" s="145">
        <v>676.5</v>
      </c>
      <c r="G1784" s="133" t="s">
        <v>1034</v>
      </c>
      <c r="H1784" s="144" t="s">
        <v>1341</v>
      </c>
      <c r="I1784" s="133" t="s">
        <v>1092</v>
      </c>
      <c r="J1784" s="133" t="s">
        <v>1699</v>
      </c>
      <c r="K1784" s="143">
        <v>45536</v>
      </c>
      <c r="L1784" s="133" t="s">
        <v>1092</v>
      </c>
      <c r="M1784" s="133">
        <v>16661.8</v>
      </c>
      <c r="N1784" s="142">
        <f>+F1784+F1785+F1786+F1787+F1788-M1784</f>
        <v>0</v>
      </c>
      <c r="P1784" s="140"/>
    </row>
    <row r="1785" spans="1:16" hidden="1" x14ac:dyDescent="0.35">
      <c r="A1785" s="146"/>
      <c r="B1785" s="143"/>
      <c r="C1785" s="133"/>
      <c r="D1785" s="133"/>
      <c r="E1785" s="145" t="s">
        <v>1067</v>
      </c>
      <c r="F1785" s="145">
        <v>1356</v>
      </c>
      <c r="G1785" s="133"/>
      <c r="H1785" s="144"/>
      <c r="I1785" s="133"/>
      <c r="J1785" s="133"/>
      <c r="K1785" s="133"/>
      <c r="L1785" s="133"/>
      <c r="M1785" s="133"/>
      <c r="N1785" s="142"/>
      <c r="P1785" s="140"/>
    </row>
    <row r="1786" spans="1:16" hidden="1" x14ac:dyDescent="0.35">
      <c r="A1786" s="146"/>
      <c r="B1786" s="143"/>
      <c r="C1786" s="133"/>
      <c r="D1786" s="133"/>
      <c r="E1786" s="145" t="s">
        <v>1075</v>
      </c>
      <c r="F1786" s="145">
        <v>9620.2999999999993</v>
      </c>
      <c r="G1786" s="133"/>
      <c r="H1786" s="144"/>
      <c r="I1786" s="133"/>
      <c r="J1786" s="133"/>
      <c r="K1786" s="133"/>
      <c r="L1786" s="133"/>
      <c r="M1786" s="133"/>
      <c r="N1786" s="142"/>
      <c r="P1786" s="140"/>
    </row>
    <row r="1787" spans="1:16" hidden="1" x14ac:dyDescent="0.35">
      <c r="A1787" s="146"/>
      <c r="B1787" s="143"/>
      <c r="C1787" s="133"/>
      <c r="D1787" s="133"/>
      <c r="E1787" s="145" t="s">
        <v>1064</v>
      </c>
      <c r="F1787" s="145">
        <v>435</v>
      </c>
      <c r="G1787" s="133"/>
      <c r="H1787" s="144"/>
      <c r="I1787" s="133"/>
      <c r="J1787" s="133"/>
      <c r="K1787" s="133"/>
      <c r="L1787" s="133"/>
      <c r="M1787" s="133"/>
      <c r="N1787" s="142"/>
      <c r="P1787" s="140"/>
    </row>
    <row r="1788" spans="1:16" hidden="1" x14ac:dyDescent="0.35">
      <c r="A1788" s="146"/>
      <c r="B1788" s="143"/>
      <c r="C1788" s="133"/>
      <c r="D1788" s="133"/>
      <c r="E1788" s="145" t="s">
        <v>1342</v>
      </c>
      <c r="F1788" s="145">
        <v>4574</v>
      </c>
      <c r="G1788" s="133"/>
      <c r="H1788" s="144"/>
      <c r="I1788" s="133"/>
      <c r="J1788" s="133"/>
      <c r="K1788" s="133"/>
      <c r="L1788" s="133"/>
      <c r="M1788" s="133"/>
      <c r="N1788" s="142"/>
      <c r="P1788" s="140"/>
    </row>
    <row r="1789" spans="1:16" hidden="1" x14ac:dyDescent="0.35">
      <c r="A1789" s="146"/>
      <c r="B1789" s="143"/>
      <c r="C1789" s="133"/>
      <c r="D1789" s="133"/>
      <c r="E1789" s="145"/>
      <c r="F1789" s="145"/>
      <c r="G1789" s="133"/>
      <c r="H1789" s="144"/>
      <c r="I1789" s="133"/>
      <c r="J1789" s="133"/>
      <c r="K1789" s="133"/>
      <c r="L1789" s="133"/>
      <c r="M1789" s="133"/>
      <c r="N1789" s="142"/>
      <c r="P1789" s="140"/>
    </row>
    <row r="1790" spans="1:16" hidden="1" x14ac:dyDescent="0.35">
      <c r="A1790" s="156"/>
      <c r="B1790" s="152"/>
      <c r="C1790" s="151"/>
      <c r="D1790" s="151"/>
      <c r="E1790" s="154"/>
      <c r="F1790" s="154"/>
      <c r="G1790" s="151"/>
      <c r="H1790" s="153"/>
      <c r="I1790" s="151"/>
      <c r="J1790" s="151"/>
      <c r="K1790" s="151"/>
      <c r="L1790" s="151"/>
      <c r="M1790" s="151"/>
      <c r="N1790" s="150"/>
      <c r="P1790" s="140"/>
    </row>
    <row r="1791" spans="1:16" hidden="1" x14ac:dyDescent="0.35">
      <c r="A1791" s="146"/>
      <c r="B1791" s="143"/>
      <c r="C1791" s="133"/>
      <c r="D1791" s="133"/>
      <c r="E1791" s="145"/>
      <c r="F1791" s="145"/>
      <c r="G1791" s="133"/>
      <c r="H1791" s="144"/>
      <c r="I1791" s="133"/>
      <c r="J1791" s="133"/>
      <c r="K1791" s="133"/>
      <c r="L1791" s="133"/>
      <c r="M1791" s="133"/>
      <c r="N1791" s="142"/>
      <c r="P1791" s="140"/>
    </row>
    <row r="1792" spans="1:16" hidden="1" x14ac:dyDescent="0.35">
      <c r="A1792" s="146">
        <v>124</v>
      </c>
      <c r="B1792" s="143">
        <v>45536</v>
      </c>
      <c r="C1792" s="133" t="s">
        <v>1707</v>
      </c>
      <c r="D1792" s="133" t="s">
        <v>1222</v>
      </c>
      <c r="E1792" s="145" t="s">
        <v>1342</v>
      </c>
      <c r="F1792" s="145">
        <v>4775</v>
      </c>
      <c r="G1792" s="133" t="s">
        <v>1034</v>
      </c>
      <c r="H1792" s="144" t="s">
        <v>1341</v>
      </c>
      <c r="I1792" s="133" t="s">
        <v>1092</v>
      </c>
      <c r="J1792" s="133" t="s">
        <v>1690</v>
      </c>
      <c r="K1792" s="143">
        <v>45536</v>
      </c>
      <c r="L1792" s="133" t="s">
        <v>1092</v>
      </c>
      <c r="M1792" s="133">
        <f>4775+6179.5</f>
        <v>10954.5</v>
      </c>
      <c r="N1792" s="147">
        <f>+F1792+F1793+F1794-M1792-M1793-M1794</f>
        <v>0</v>
      </c>
      <c r="P1792" s="140"/>
    </row>
    <row r="1793" spans="1:16" hidden="1" x14ac:dyDescent="0.35">
      <c r="A1793" s="146"/>
      <c r="B1793" s="143"/>
      <c r="C1793" s="133"/>
      <c r="D1793" s="133"/>
      <c r="E1793" s="145" t="s">
        <v>1067</v>
      </c>
      <c r="F1793" s="145">
        <v>6489.5</v>
      </c>
      <c r="G1793" s="133" t="s">
        <v>1034</v>
      </c>
      <c r="H1793" s="144" t="s">
        <v>1341</v>
      </c>
      <c r="I1793" s="133" t="s">
        <v>1092</v>
      </c>
      <c r="J1793" s="133" t="s">
        <v>1689</v>
      </c>
      <c r="K1793" s="143">
        <v>45566</v>
      </c>
      <c r="L1793" s="133" t="s">
        <v>1092</v>
      </c>
      <c r="M1793" s="133">
        <v>4341</v>
      </c>
      <c r="N1793" s="147"/>
      <c r="P1793" s="140"/>
    </row>
    <row r="1794" spans="1:16" hidden="1" x14ac:dyDescent="0.35">
      <c r="A1794" s="146"/>
      <c r="B1794" s="143"/>
      <c r="C1794" s="133"/>
      <c r="D1794" s="133"/>
      <c r="E1794" s="145" t="s">
        <v>1075</v>
      </c>
      <c r="F1794" s="145">
        <v>4341</v>
      </c>
      <c r="G1794" s="133" t="s">
        <v>1034</v>
      </c>
      <c r="H1794" s="144" t="s">
        <v>1341</v>
      </c>
      <c r="I1794" s="133" t="s">
        <v>1092</v>
      </c>
      <c r="J1794" s="133" t="s">
        <v>1667</v>
      </c>
      <c r="K1794" s="143">
        <v>45566</v>
      </c>
      <c r="L1794" s="133" t="s">
        <v>1241</v>
      </c>
      <c r="M1794" s="133">
        <v>310</v>
      </c>
      <c r="N1794" s="147"/>
      <c r="P1794" s="140"/>
    </row>
    <row r="1795" spans="1:16" hidden="1" x14ac:dyDescent="0.35">
      <c r="A1795" s="146"/>
      <c r="B1795" s="143"/>
      <c r="C1795" s="133"/>
      <c r="D1795" s="133"/>
      <c r="E1795" s="145"/>
      <c r="F1795" s="145"/>
      <c r="G1795" s="133"/>
      <c r="H1795" s="144"/>
      <c r="I1795" s="133"/>
      <c r="J1795" s="133"/>
      <c r="K1795" s="133"/>
      <c r="L1795" s="133"/>
      <c r="M1795" s="133"/>
      <c r="N1795" s="147"/>
      <c r="P1795" s="140"/>
    </row>
    <row r="1796" spans="1:16" hidden="1" x14ac:dyDescent="0.35">
      <c r="A1796" s="146">
        <v>125</v>
      </c>
      <c r="B1796" s="143">
        <v>45536</v>
      </c>
      <c r="C1796" s="133" t="s">
        <v>1706</v>
      </c>
      <c r="D1796" s="133" t="s">
        <v>1705</v>
      </c>
      <c r="E1796" s="145" t="s">
        <v>1064</v>
      </c>
      <c r="F1796" s="145">
        <v>692.5</v>
      </c>
      <c r="G1796" s="133" t="s">
        <v>1034</v>
      </c>
      <c r="H1796" s="144" t="s">
        <v>1341</v>
      </c>
      <c r="I1796" s="133" t="s">
        <v>1092</v>
      </c>
      <c r="J1796" s="133" t="s">
        <v>1699</v>
      </c>
      <c r="K1796" s="143">
        <v>45536</v>
      </c>
      <c r="L1796" s="133" t="s">
        <v>1092</v>
      </c>
      <c r="M1796" s="133">
        <v>692.5</v>
      </c>
      <c r="N1796" s="147">
        <f>+F1796+F1797+F1798+F1799+F1800-M1796-M1797-M1798</f>
        <v>0</v>
      </c>
      <c r="P1796" s="140"/>
    </row>
    <row r="1797" spans="1:16" hidden="1" x14ac:dyDescent="0.35">
      <c r="A1797" s="146"/>
      <c r="B1797" s="143"/>
      <c r="C1797" s="133"/>
      <c r="D1797" s="133"/>
      <c r="E1797" s="145" t="s">
        <v>1067</v>
      </c>
      <c r="F1797" s="145">
        <v>5257.4</v>
      </c>
      <c r="G1797" s="133" t="s">
        <v>1034</v>
      </c>
      <c r="H1797" s="144" t="s">
        <v>1341</v>
      </c>
      <c r="I1797" s="133" t="s">
        <v>1092</v>
      </c>
      <c r="J1797" s="133" t="s">
        <v>1689</v>
      </c>
      <c r="K1797" s="143">
        <v>45566</v>
      </c>
      <c r="L1797" s="133" t="s">
        <v>1092</v>
      </c>
      <c r="M1797" s="133">
        <v>13629.5</v>
      </c>
      <c r="N1797" s="147"/>
      <c r="P1797" s="140"/>
    </row>
    <row r="1798" spans="1:16" hidden="1" x14ac:dyDescent="0.35">
      <c r="A1798" s="146"/>
      <c r="B1798" s="143"/>
      <c r="C1798" s="133"/>
      <c r="D1798" s="133"/>
      <c r="E1798" s="145" t="s">
        <v>1075</v>
      </c>
      <c r="F1798" s="145">
        <v>4057.1</v>
      </c>
      <c r="G1798" s="133" t="s">
        <v>1034</v>
      </c>
      <c r="H1798" s="144" t="s">
        <v>1341</v>
      </c>
      <c r="I1798" s="133" t="s">
        <v>1092</v>
      </c>
      <c r="J1798" s="133" t="s">
        <v>1667</v>
      </c>
      <c r="K1798" s="143">
        <v>45566</v>
      </c>
      <c r="L1798" s="133" t="s">
        <v>1241</v>
      </c>
      <c r="M1798" s="133">
        <v>291</v>
      </c>
      <c r="N1798" s="147"/>
      <c r="P1798" s="140"/>
    </row>
    <row r="1799" spans="1:16" hidden="1" x14ac:dyDescent="0.35">
      <c r="A1799" s="146"/>
      <c r="B1799" s="143"/>
      <c r="C1799" s="133"/>
      <c r="D1799" s="133"/>
      <c r="E1799" s="148" t="s">
        <v>1074</v>
      </c>
      <c r="F1799" s="145">
        <v>500</v>
      </c>
      <c r="G1799" s="133"/>
      <c r="H1799" s="144"/>
      <c r="I1799" s="133"/>
      <c r="J1799" s="133"/>
      <c r="K1799" s="133"/>
      <c r="L1799" s="133"/>
      <c r="M1799" s="133"/>
      <c r="N1799" s="147"/>
      <c r="P1799" s="140"/>
    </row>
    <row r="1800" spans="1:16" hidden="1" x14ac:dyDescent="0.35">
      <c r="A1800" s="146"/>
      <c r="B1800" s="143"/>
      <c r="C1800" s="133"/>
      <c r="D1800" s="133"/>
      <c r="E1800" s="145" t="s">
        <v>1342</v>
      </c>
      <c r="F1800" s="145">
        <v>4106</v>
      </c>
      <c r="G1800" s="133"/>
      <c r="H1800" s="144"/>
      <c r="I1800" s="133"/>
      <c r="J1800" s="133"/>
      <c r="K1800" s="133"/>
      <c r="L1800" s="133"/>
      <c r="M1800" s="133"/>
      <c r="N1800" s="147"/>
      <c r="P1800" s="140"/>
    </row>
    <row r="1801" spans="1:16" hidden="1" x14ac:dyDescent="0.35">
      <c r="A1801" s="146"/>
      <c r="B1801" s="143"/>
      <c r="C1801" s="133"/>
      <c r="D1801" s="133"/>
      <c r="E1801" s="145"/>
      <c r="F1801" s="145"/>
      <c r="G1801" s="133"/>
      <c r="H1801" s="144"/>
      <c r="I1801" s="133"/>
      <c r="J1801" s="133"/>
      <c r="K1801" s="133"/>
      <c r="L1801" s="133"/>
      <c r="M1801" s="133"/>
      <c r="N1801" s="147"/>
      <c r="P1801" s="140"/>
    </row>
    <row r="1802" spans="1:16" hidden="1" x14ac:dyDescent="0.35">
      <c r="A1802" s="146">
        <v>126</v>
      </c>
      <c r="B1802" s="143">
        <v>45536</v>
      </c>
      <c r="C1802" s="133" t="s">
        <v>1704</v>
      </c>
      <c r="D1802" s="133" t="s">
        <v>1703</v>
      </c>
      <c r="E1802" s="145" t="s">
        <v>1118</v>
      </c>
      <c r="F1802" s="145">
        <v>1017.9</v>
      </c>
      <c r="G1802" s="133" t="s">
        <v>1034</v>
      </c>
      <c r="H1802" s="144" t="s">
        <v>1341</v>
      </c>
      <c r="I1802" s="133" t="s">
        <v>1092</v>
      </c>
      <c r="J1802" s="133" t="s">
        <v>1699</v>
      </c>
      <c r="K1802" s="143">
        <v>45536</v>
      </c>
      <c r="L1802" s="133" t="s">
        <v>1092</v>
      </c>
      <c r="M1802" s="133">
        <v>1017.9</v>
      </c>
      <c r="N1802" s="147">
        <f>+F1802+F1803+F1804+F1805+F1806-M1802-M1803-M1804-M1805-M1806</f>
        <v>-3.637978807091713E-12</v>
      </c>
      <c r="P1802" s="140"/>
    </row>
    <row r="1803" spans="1:16" hidden="1" x14ac:dyDescent="0.35">
      <c r="A1803" s="146"/>
      <c r="B1803" s="143"/>
      <c r="C1803" s="133"/>
      <c r="D1803" s="133"/>
      <c r="E1803" s="145" t="s">
        <v>1067</v>
      </c>
      <c r="F1803" s="145">
        <v>758</v>
      </c>
      <c r="G1803" s="133" t="s">
        <v>1034</v>
      </c>
      <c r="H1803" s="144" t="s">
        <v>1341</v>
      </c>
      <c r="I1803" s="133" t="s">
        <v>1092</v>
      </c>
      <c r="J1803" s="133" t="s">
        <v>1690</v>
      </c>
      <c r="K1803" s="143">
        <v>45536</v>
      </c>
      <c r="L1803" s="133" t="s">
        <v>1092</v>
      </c>
      <c r="M1803" s="133">
        <v>1348.7</v>
      </c>
      <c r="N1803" s="147"/>
      <c r="P1803" s="140"/>
    </row>
    <row r="1804" spans="1:16" hidden="1" x14ac:dyDescent="0.35">
      <c r="A1804" s="146"/>
      <c r="B1804" s="143"/>
      <c r="C1804" s="133"/>
      <c r="D1804" s="133"/>
      <c r="E1804" s="145" t="s">
        <v>1075</v>
      </c>
      <c r="F1804" s="145">
        <v>7224</v>
      </c>
      <c r="G1804" s="133" t="s">
        <v>1034</v>
      </c>
      <c r="H1804" s="144" t="s">
        <v>1341</v>
      </c>
      <c r="I1804" s="133" t="s">
        <v>1092</v>
      </c>
      <c r="J1804" s="133" t="s">
        <v>1689</v>
      </c>
      <c r="K1804" s="143">
        <v>45566</v>
      </c>
      <c r="L1804" s="133" t="s">
        <v>1092</v>
      </c>
      <c r="M1804" s="133">
        <f>6854+6854+758</f>
        <v>14466</v>
      </c>
      <c r="N1804" s="147"/>
      <c r="P1804" s="140"/>
    </row>
    <row r="1805" spans="1:16" hidden="1" x14ac:dyDescent="0.35">
      <c r="A1805" s="146"/>
      <c r="B1805" s="143"/>
      <c r="C1805" s="133"/>
      <c r="D1805" s="133"/>
      <c r="E1805" s="145" t="s">
        <v>1071</v>
      </c>
      <c r="F1805" s="145">
        <v>1348.7</v>
      </c>
      <c r="G1805" s="133" t="s">
        <v>1034</v>
      </c>
      <c r="H1805" s="144" t="s">
        <v>1341</v>
      </c>
      <c r="I1805" s="133" t="s">
        <v>1092</v>
      </c>
      <c r="J1805" s="133" t="s">
        <v>1679</v>
      </c>
      <c r="K1805" s="143">
        <v>45566</v>
      </c>
      <c r="L1805" s="133" t="s">
        <v>1092</v>
      </c>
      <c r="M1805" s="133">
        <v>1660</v>
      </c>
      <c r="N1805" s="147"/>
      <c r="P1805" s="140"/>
    </row>
    <row r="1806" spans="1:16" hidden="1" x14ac:dyDescent="0.35">
      <c r="A1806" s="146"/>
      <c r="B1806" s="143"/>
      <c r="C1806" s="133"/>
      <c r="D1806" s="133"/>
      <c r="E1806" s="145" t="s">
        <v>1342</v>
      </c>
      <c r="F1806" s="145">
        <v>8514</v>
      </c>
      <c r="G1806" s="133" t="s">
        <v>1034</v>
      </c>
      <c r="H1806" s="144" t="s">
        <v>1341</v>
      </c>
      <c r="I1806" s="133" t="s">
        <v>1092</v>
      </c>
      <c r="J1806" s="133" t="s">
        <v>1667</v>
      </c>
      <c r="K1806" s="143">
        <v>45566</v>
      </c>
      <c r="L1806" s="133" t="s">
        <v>1241</v>
      </c>
      <c r="M1806" s="133">
        <v>370</v>
      </c>
      <c r="N1806" s="147"/>
      <c r="P1806" s="140"/>
    </row>
    <row r="1807" spans="1:16" hidden="1" x14ac:dyDescent="0.35">
      <c r="A1807" s="146"/>
      <c r="B1807" s="143"/>
      <c r="C1807" s="133"/>
      <c r="D1807" s="133"/>
      <c r="E1807" s="145"/>
      <c r="F1807" s="145"/>
      <c r="G1807" s="133"/>
      <c r="H1807" s="144"/>
      <c r="I1807" s="133"/>
      <c r="J1807" s="133"/>
      <c r="K1807" s="133"/>
      <c r="L1807" s="133"/>
      <c r="M1807" s="133"/>
      <c r="N1807" s="147"/>
      <c r="P1807" s="140"/>
    </row>
    <row r="1808" spans="1:16" hidden="1" x14ac:dyDescent="0.35">
      <c r="A1808" s="146">
        <v>127</v>
      </c>
      <c r="B1808" s="143">
        <v>45536</v>
      </c>
      <c r="C1808" s="133" t="s">
        <v>1702</v>
      </c>
      <c r="D1808" s="133" t="s">
        <v>1220</v>
      </c>
      <c r="E1808" s="148" t="s">
        <v>1074</v>
      </c>
      <c r="F1808" s="145">
        <v>500</v>
      </c>
      <c r="G1808" s="133" t="s">
        <v>1034</v>
      </c>
      <c r="H1808" s="144" t="s">
        <v>1341</v>
      </c>
      <c r="I1808" s="133" t="s">
        <v>1092</v>
      </c>
      <c r="J1808" s="133" t="s">
        <v>1699</v>
      </c>
      <c r="K1808" s="143">
        <v>45536</v>
      </c>
      <c r="L1808" s="133" t="s">
        <v>1092</v>
      </c>
      <c r="M1808" s="133">
        <v>879.6</v>
      </c>
      <c r="N1808" s="147">
        <f>+F1808+F1809+F1810+F1811+F1812-M1808-M1809-M1810-M1811</f>
        <v>0</v>
      </c>
      <c r="P1808" s="140"/>
    </row>
    <row r="1809" spans="1:16" hidden="1" x14ac:dyDescent="0.35">
      <c r="A1809" s="146"/>
      <c r="B1809" s="143"/>
      <c r="C1809" s="133"/>
      <c r="D1809" s="133"/>
      <c r="E1809" s="145" t="s">
        <v>1067</v>
      </c>
      <c r="F1809" s="145">
        <v>366.3</v>
      </c>
      <c r="G1809" s="133" t="s">
        <v>1034</v>
      </c>
      <c r="H1809" s="144" t="s">
        <v>1341</v>
      </c>
      <c r="I1809" s="133" t="s">
        <v>1092</v>
      </c>
      <c r="J1809" s="133" t="s">
        <v>1690</v>
      </c>
      <c r="K1809" s="143">
        <v>45536</v>
      </c>
      <c r="L1809" s="133" t="s">
        <v>1092</v>
      </c>
      <c r="M1809" s="133">
        <v>2116</v>
      </c>
      <c r="N1809" s="147"/>
      <c r="P1809" s="140"/>
    </row>
    <row r="1810" spans="1:16" hidden="1" x14ac:dyDescent="0.35">
      <c r="A1810" s="146"/>
      <c r="B1810" s="143"/>
      <c r="C1810" s="133"/>
      <c r="D1810" s="133"/>
      <c r="E1810" s="145" t="s">
        <v>1064</v>
      </c>
      <c r="F1810" s="145">
        <v>879.6</v>
      </c>
      <c r="G1810" s="133" t="s">
        <v>1034</v>
      </c>
      <c r="H1810" s="144" t="s">
        <v>1341</v>
      </c>
      <c r="I1810" s="133" t="s">
        <v>1092</v>
      </c>
      <c r="J1810" s="133" t="s">
        <v>1687</v>
      </c>
      <c r="K1810" s="143">
        <v>45566</v>
      </c>
      <c r="L1810" s="133" t="s">
        <v>1092</v>
      </c>
      <c r="M1810" s="133">
        <v>5644.2999999999993</v>
      </c>
      <c r="N1810" s="147"/>
      <c r="P1810" s="140"/>
    </row>
    <row r="1811" spans="1:16" hidden="1" x14ac:dyDescent="0.35">
      <c r="A1811" s="146"/>
      <c r="B1811" s="143"/>
      <c r="C1811" s="133"/>
      <c r="D1811" s="133"/>
      <c r="E1811" s="145" t="s">
        <v>1075</v>
      </c>
      <c r="F1811" s="145">
        <v>5078</v>
      </c>
      <c r="G1811" s="133" t="s">
        <v>1034</v>
      </c>
      <c r="H1811" s="144" t="s">
        <v>1341</v>
      </c>
      <c r="I1811" s="133" t="s">
        <v>1092</v>
      </c>
      <c r="J1811" s="133" t="s">
        <v>1667</v>
      </c>
      <c r="K1811" s="143">
        <v>45566</v>
      </c>
      <c r="L1811" s="133" t="s">
        <v>1241</v>
      </c>
      <c r="M1811" s="133">
        <v>300</v>
      </c>
      <c r="N1811" s="147"/>
      <c r="P1811" s="140"/>
    </row>
    <row r="1812" spans="1:16" hidden="1" x14ac:dyDescent="0.35">
      <c r="A1812" s="146"/>
      <c r="B1812" s="143"/>
      <c r="C1812" s="133"/>
      <c r="D1812" s="133"/>
      <c r="E1812" s="145" t="s">
        <v>1118</v>
      </c>
      <c r="F1812" s="145">
        <v>2116</v>
      </c>
      <c r="G1812" s="133"/>
      <c r="H1812" s="144"/>
      <c r="I1812" s="133"/>
      <c r="J1812" s="133"/>
      <c r="K1812" s="133"/>
      <c r="L1812" s="133"/>
      <c r="M1812" s="133"/>
      <c r="N1812" s="147"/>
      <c r="P1812" s="140"/>
    </row>
    <row r="1813" spans="1:16" hidden="1" x14ac:dyDescent="0.35">
      <c r="A1813" s="146"/>
      <c r="B1813" s="143"/>
      <c r="C1813" s="133"/>
      <c r="D1813" s="133"/>
      <c r="E1813" s="145"/>
      <c r="F1813" s="145"/>
      <c r="G1813" s="133"/>
      <c r="H1813" s="144"/>
      <c r="I1813" s="133"/>
      <c r="J1813" s="133"/>
      <c r="K1813" s="133"/>
      <c r="L1813" s="133"/>
      <c r="M1813" s="133"/>
      <c r="N1813" s="147"/>
      <c r="P1813" s="140"/>
    </row>
    <row r="1814" spans="1:16" hidden="1" x14ac:dyDescent="0.35">
      <c r="A1814" s="146">
        <v>128</v>
      </c>
      <c r="B1814" s="143">
        <v>45536</v>
      </c>
      <c r="C1814" s="133" t="s">
        <v>1701</v>
      </c>
      <c r="D1814" s="133" t="s">
        <v>1217</v>
      </c>
      <c r="E1814" s="145" t="s">
        <v>1075</v>
      </c>
      <c r="F1814" s="145">
        <v>1269</v>
      </c>
      <c r="G1814" s="133" t="s">
        <v>1034</v>
      </c>
      <c r="H1814" s="144" t="s">
        <v>1341</v>
      </c>
      <c r="I1814" s="133" t="s">
        <v>1092</v>
      </c>
      <c r="J1814" s="133" t="s">
        <v>1687</v>
      </c>
      <c r="K1814" s="143">
        <v>45566</v>
      </c>
      <c r="L1814" s="133" t="s">
        <v>1092</v>
      </c>
      <c r="M1814" s="133">
        <v>5409</v>
      </c>
      <c r="N1814" s="147">
        <f>+F1814+F1815-M1814-M1815</f>
        <v>0</v>
      </c>
      <c r="P1814" s="140"/>
    </row>
    <row r="1815" spans="1:16" hidden="1" x14ac:dyDescent="0.35">
      <c r="A1815" s="146"/>
      <c r="B1815" s="143"/>
      <c r="C1815" s="133"/>
      <c r="D1815" s="133"/>
      <c r="E1815" s="145" t="s">
        <v>1342</v>
      </c>
      <c r="F1815" s="145">
        <v>4424</v>
      </c>
      <c r="G1815" s="133" t="s">
        <v>1034</v>
      </c>
      <c r="H1815" s="144" t="s">
        <v>1341</v>
      </c>
      <c r="I1815" s="133" t="s">
        <v>1092</v>
      </c>
      <c r="J1815" s="133" t="s">
        <v>1667</v>
      </c>
      <c r="K1815" s="143">
        <v>45566</v>
      </c>
      <c r="L1815" s="133" t="s">
        <v>1241</v>
      </c>
      <c r="M1815" s="133">
        <v>284</v>
      </c>
      <c r="N1815" s="147"/>
      <c r="P1815" s="140"/>
    </row>
    <row r="1816" spans="1:16" hidden="1" x14ac:dyDescent="0.35">
      <c r="A1816" s="146"/>
      <c r="B1816" s="143"/>
      <c r="C1816" s="133"/>
      <c r="D1816" s="133"/>
      <c r="E1816" s="145"/>
      <c r="F1816" s="145"/>
      <c r="G1816" s="133"/>
      <c r="H1816" s="144"/>
      <c r="I1816" s="133"/>
      <c r="J1816" s="133"/>
      <c r="K1816" s="133"/>
      <c r="L1816" s="133"/>
      <c r="M1816" s="133"/>
      <c r="N1816" s="147"/>
      <c r="P1816" s="140"/>
    </row>
    <row r="1817" spans="1:16" hidden="1" x14ac:dyDescent="0.35">
      <c r="A1817" s="146">
        <v>129</v>
      </c>
      <c r="B1817" s="143">
        <v>45536</v>
      </c>
      <c r="C1817" s="133" t="s">
        <v>1700</v>
      </c>
      <c r="D1817" s="133" t="s">
        <v>1212</v>
      </c>
      <c r="E1817" s="145" t="s">
        <v>1064</v>
      </c>
      <c r="F1817" s="145">
        <v>1198.2</v>
      </c>
      <c r="G1817" s="133" t="s">
        <v>1034</v>
      </c>
      <c r="H1817" s="144" t="s">
        <v>1341</v>
      </c>
      <c r="I1817" s="133" t="s">
        <v>1092</v>
      </c>
      <c r="J1817" s="133" t="s">
        <v>1699</v>
      </c>
      <c r="K1817" s="143">
        <v>45536</v>
      </c>
      <c r="L1817" s="133" t="s">
        <v>1092</v>
      </c>
      <c r="M1817" s="133">
        <v>1198.2</v>
      </c>
      <c r="N1817" s="147">
        <f>+F1817+F1818+F1819+F1820+F1821-M1817-M1818-M1819-M1820</f>
        <v>3.637978807091713E-12</v>
      </c>
      <c r="P1817" s="140"/>
    </row>
    <row r="1818" spans="1:16" hidden="1" x14ac:dyDescent="0.35">
      <c r="A1818" s="146"/>
      <c r="B1818" s="143"/>
      <c r="C1818" s="133"/>
      <c r="D1818" s="133"/>
      <c r="E1818" s="145" t="s">
        <v>1067</v>
      </c>
      <c r="F1818" s="145">
        <v>1852</v>
      </c>
      <c r="G1818" s="133" t="s">
        <v>1034</v>
      </c>
      <c r="H1818" s="144" t="s">
        <v>1341</v>
      </c>
      <c r="I1818" s="133" t="s">
        <v>1092</v>
      </c>
      <c r="J1818" s="133" t="s">
        <v>1690</v>
      </c>
      <c r="K1818" s="143">
        <v>45536</v>
      </c>
      <c r="L1818" s="133" t="s">
        <v>1092</v>
      </c>
      <c r="M1818" s="133">
        <f>2514.9+8555.1</f>
        <v>11070</v>
      </c>
      <c r="N1818" s="147"/>
      <c r="P1818" s="140"/>
    </row>
    <row r="1819" spans="1:16" hidden="1" x14ac:dyDescent="0.35">
      <c r="A1819" s="146"/>
      <c r="B1819" s="143"/>
      <c r="C1819" s="133"/>
      <c r="D1819" s="133"/>
      <c r="E1819" s="145" t="s">
        <v>1342</v>
      </c>
      <c r="F1819" s="145">
        <v>7585</v>
      </c>
      <c r="G1819" s="133" t="s">
        <v>1034</v>
      </c>
      <c r="H1819" s="144" t="s">
        <v>1341</v>
      </c>
      <c r="I1819" s="133" t="s">
        <v>1092</v>
      </c>
      <c r="J1819" s="133" t="s">
        <v>1687</v>
      </c>
      <c r="K1819" s="143">
        <v>45566</v>
      </c>
      <c r="L1819" s="133" t="s">
        <v>1092</v>
      </c>
      <c r="M1819" s="133">
        <v>8964</v>
      </c>
      <c r="N1819" s="147"/>
      <c r="P1819" s="140"/>
    </row>
    <row r="1820" spans="1:16" hidden="1" x14ac:dyDescent="0.35">
      <c r="A1820" s="146"/>
      <c r="B1820" s="143"/>
      <c r="C1820" s="133"/>
      <c r="D1820" s="133"/>
      <c r="E1820" s="145" t="s">
        <v>1075</v>
      </c>
      <c r="F1820" s="145">
        <v>8555.1</v>
      </c>
      <c r="G1820" s="133" t="s">
        <v>1034</v>
      </c>
      <c r="H1820" s="144" t="s">
        <v>1341</v>
      </c>
      <c r="I1820" s="133" t="s">
        <v>1092</v>
      </c>
      <c r="J1820" s="133" t="s">
        <v>1667</v>
      </c>
      <c r="K1820" s="143">
        <v>45566</v>
      </c>
      <c r="L1820" s="133" t="s">
        <v>1241</v>
      </c>
      <c r="M1820" s="133">
        <v>473</v>
      </c>
      <c r="N1820" s="147"/>
      <c r="P1820" s="140"/>
    </row>
    <row r="1821" spans="1:16" hidden="1" x14ac:dyDescent="0.35">
      <c r="A1821" s="146"/>
      <c r="B1821" s="143"/>
      <c r="C1821" s="133"/>
      <c r="D1821" s="133"/>
      <c r="E1821" s="145" t="s">
        <v>1118</v>
      </c>
      <c r="F1821" s="145">
        <v>2514.9</v>
      </c>
      <c r="G1821" s="133"/>
      <c r="H1821" s="144"/>
      <c r="I1821" s="133"/>
      <c r="J1821" s="133"/>
      <c r="K1821" s="133"/>
      <c r="L1821" s="133"/>
      <c r="M1821" s="133"/>
      <c r="N1821" s="147"/>
      <c r="P1821" s="140"/>
    </row>
    <row r="1822" spans="1:16" hidden="1" x14ac:dyDescent="0.35">
      <c r="A1822" s="146"/>
      <c r="B1822" s="143"/>
      <c r="C1822" s="133"/>
      <c r="D1822" s="133"/>
      <c r="E1822" s="145"/>
      <c r="F1822" s="145"/>
      <c r="G1822" s="133"/>
      <c r="H1822" s="144"/>
      <c r="I1822" s="133"/>
      <c r="J1822" s="133"/>
      <c r="K1822" s="133"/>
      <c r="L1822" s="133"/>
      <c r="M1822" s="133"/>
      <c r="N1822" s="147"/>
      <c r="P1822" s="140"/>
    </row>
    <row r="1823" spans="1:16" hidden="1" x14ac:dyDescent="0.35">
      <c r="A1823" s="146">
        <v>130</v>
      </c>
      <c r="B1823" s="143">
        <v>45536</v>
      </c>
      <c r="C1823" s="133" t="s">
        <v>1698</v>
      </c>
      <c r="D1823" s="133" t="s">
        <v>1210</v>
      </c>
      <c r="E1823" s="145" t="s">
        <v>1075</v>
      </c>
      <c r="F1823" s="145">
        <v>3644</v>
      </c>
      <c r="G1823" s="133" t="s">
        <v>1034</v>
      </c>
      <c r="H1823" s="144" t="s">
        <v>1341</v>
      </c>
      <c r="I1823" s="133" t="s">
        <v>1092</v>
      </c>
      <c r="J1823" s="133" t="s">
        <v>1690</v>
      </c>
      <c r="K1823" s="143">
        <v>45536</v>
      </c>
      <c r="L1823" s="133" t="s">
        <v>1092</v>
      </c>
      <c r="M1823" s="133">
        <v>622.79999999999995</v>
      </c>
      <c r="N1823" s="147">
        <f>+F1823+F1824+F1825-M1823-M1824-M1825</f>
        <v>0</v>
      </c>
      <c r="P1823" s="140"/>
    </row>
    <row r="1824" spans="1:16" hidden="1" x14ac:dyDescent="0.35">
      <c r="A1824" s="146"/>
      <c r="B1824" s="143"/>
      <c r="C1824" s="133"/>
      <c r="D1824" s="133"/>
      <c r="E1824" s="145" t="s">
        <v>1067</v>
      </c>
      <c r="F1824" s="145">
        <v>3213.9</v>
      </c>
      <c r="G1824" s="133" t="s">
        <v>1034</v>
      </c>
      <c r="H1824" s="144" t="s">
        <v>1341</v>
      </c>
      <c r="I1824" s="133" t="s">
        <v>1092</v>
      </c>
      <c r="J1824" s="133" t="s">
        <v>1687</v>
      </c>
      <c r="K1824" s="143">
        <v>45566</v>
      </c>
      <c r="L1824" s="133" t="s">
        <v>1092</v>
      </c>
      <c r="M1824" s="133">
        <v>6516.9</v>
      </c>
      <c r="N1824" s="147"/>
      <c r="P1824" s="140"/>
    </row>
    <row r="1825" spans="1:16" hidden="1" x14ac:dyDescent="0.35">
      <c r="A1825" s="146"/>
      <c r="B1825" s="143"/>
      <c r="C1825" s="133"/>
      <c r="D1825" s="133"/>
      <c r="E1825" s="145" t="s">
        <v>1064</v>
      </c>
      <c r="F1825" s="145">
        <v>622.79999999999995</v>
      </c>
      <c r="G1825" s="133" t="s">
        <v>1034</v>
      </c>
      <c r="H1825" s="144" t="s">
        <v>1341</v>
      </c>
      <c r="I1825" s="133" t="s">
        <v>1092</v>
      </c>
      <c r="J1825" s="133" t="s">
        <v>1667</v>
      </c>
      <c r="K1825" s="143">
        <v>45566</v>
      </c>
      <c r="L1825" s="133" t="s">
        <v>1241</v>
      </c>
      <c r="M1825" s="133">
        <v>341</v>
      </c>
      <c r="N1825" s="147"/>
      <c r="P1825" s="140"/>
    </row>
    <row r="1826" spans="1:16" hidden="1" x14ac:dyDescent="0.35">
      <c r="A1826" s="146"/>
      <c r="B1826" s="143"/>
      <c r="C1826" s="133"/>
      <c r="D1826" s="133"/>
      <c r="E1826" s="145"/>
      <c r="F1826" s="145"/>
      <c r="G1826" s="133"/>
      <c r="H1826" s="144"/>
      <c r="I1826" s="133"/>
      <c r="J1826" s="133"/>
      <c r="K1826" s="133"/>
      <c r="L1826" s="133"/>
      <c r="M1826" s="133"/>
      <c r="N1826" s="147"/>
      <c r="P1826" s="140"/>
    </row>
    <row r="1827" spans="1:16" hidden="1" x14ac:dyDescent="0.35">
      <c r="A1827" s="146">
        <v>131</v>
      </c>
      <c r="B1827" s="143">
        <v>45536</v>
      </c>
      <c r="C1827" s="133" t="s">
        <v>1697</v>
      </c>
      <c r="D1827" s="133" t="s">
        <v>1696</v>
      </c>
      <c r="E1827" s="145" t="s">
        <v>1342</v>
      </c>
      <c r="F1827" s="145">
        <v>1541</v>
      </c>
      <c r="G1827" s="133" t="s">
        <v>1034</v>
      </c>
      <c r="H1827" s="144" t="s">
        <v>1341</v>
      </c>
      <c r="I1827" s="133" t="s">
        <v>1092</v>
      </c>
      <c r="J1827" s="133" t="s">
        <v>1689</v>
      </c>
      <c r="K1827" s="143">
        <v>45566</v>
      </c>
      <c r="L1827" s="133" t="s">
        <v>1092</v>
      </c>
      <c r="M1827" s="133">
        <v>1021.7</v>
      </c>
      <c r="N1827" s="147">
        <f>+F1827+F1828+F1829-M1827-M1828-M1829</f>
        <v>0</v>
      </c>
      <c r="P1827" s="140"/>
    </row>
    <row r="1828" spans="1:16" hidden="1" x14ac:dyDescent="0.35">
      <c r="A1828" s="146"/>
      <c r="B1828" s="143"/>
      <c r="C1828" s="133"/>
      <c r="D1828" s="133"/>
      <c r="E1828" s="145" t="s">
        <v>1067</v>
      </c>
      <c r="F1828" s="145">
        <v>2302</v>
      </c>
      <c r="G1828" s="133" t="s">
        <v>1034</v>
      </c>
      <c r="H1828" s="144" t="s">
        <v>1341</v>
      </c>
      <c r="I1828" s="133" t="s">
        <v>1092</v>
      </c>
      <c r="J1828" s="133" t="s">
        <v>1687</v>
      </c>
      <c r="K1828" s="143">
        <v>45566</v>
      </c>
      <c r="L1828" s="133" t="s">
        <v>1092</v>
      </c>
      <c r="M1828" s="133">
        <v>3653</v>
      </c>
      <c r="N1828" s="147"/>
      <c r="P1828" s="140"/>
    </row>
    <row r="1829" spans="1:16" hidden="1" x14ac:dyDescent="0.35">
      <c r="A1829" s="146"/>
      <c r="B1829" s="143"/>
      <c r="C1829" s="133"/>
      <c r="D1829" s="133"/>
      <c r="E1829" s="145" t="s">
        <v>1118</v>
      </c>
      <c r="F1829" s="145">
        <v>1021.7</v>
      </c>
      <c r="G1829" s="133" t="s">
        <v>1034</v>
      </c>
      <c r="H1829" s="144" t="s">
        <v>1341</v>
      </c>
      <c r="I1829" s="133" t="s">
        <v>1092</v>
      </c>
      <c r="J1829" s="133" t="s">
        <v>1667</v>
      </c>
      <c r="K1829" s="143">
        <v>45566</v>
      </c>
      <c r="L1829" s="133" t="s">
        <v>1241</v>
      </c>
      <c r="M1829" s="133">
        <v>190</v>
      </c>
      <c r="N1829" s="147"/>
      <c r="P1829" s="140"/>
    </row>
    <row r="1830" spans="1:16" hidden="1" x14ac:dyDescent="0.35">
      <c r="A1830" s="146"/>
      <c r="B1830" s="143"/>
      <c r="C1830" s="133"/>
      <c r="D1830" s="133"/>
      <c r="E1830" s="145"/>
      <c r="F1830" s="145"/>
      <c r="G1830" s="133"/>
      <c r="H1830" s="144"/>
      <c r="I1830" s="133"/>
      <c r="J1830" s="133"/>
      <c r="K1830" s="133"/>
      <c r="L1830" s="133"/>
      <c r="M1830" s="133"/>
      <c r="N1830" s="147"/>
      <c r="P1830" s="140"/>
    </row>
    <row r="1831" spans="1:16" hidden="1" x14ac:dyDescent="0.35">
      <c r="A1831" s="146">
        <v>132</v>
      </c>
      <c r="B1831" s="143">
        <v>45536</v>
      </c>
      <c r="C1831" s="133" t="s">
        <v>1695</v>
      </c>
      <c r="D1831" s="133" t="s">
        <v>1694</v>
      </c>
      <c r="E1831" s="145" t="s">
        <v>1067</v>
      </c>
      <c r="F1831" s="145">
        <v>2053</v>
      </c>
      <c r="G1831" s="133" t="s">
        <v>1034</v>
      </c>
      <c r="H1831" s="144" t="s">
        <v>1341</v>
      </c>
      <c r="I1831" s="133" t="s">
        <v>1092</v>
      </c>
      <c r="J1831" s="133" t="s">
        <v>1689</v>
      </c>
      <c r="K1831" s="143">
        <v>45566</v>
      </c>
      <c r="L1831" s="133" t="s">
        <v>1092</v>
      </c>
      <c r="M1831" s="133">
        <v>2008</v>
      </c>
      <c r="N1831" s="147">
        <f>+F1831-M1831-M1832</f>
        <v>0</v>
      </c>
      <c r="P1831" s="140"/>
    </row>
    <row r="1832" spans="1:16" hidden="1" x14ac:dyDescent="0.35">
      <c r="A1832" s="146"/>
      <c r="B1832" s="143"/>
      <c r="C1832" s="133"/>
      <c r="D1832" s="133"/>
      <c r="E1832" s="145"/>
      <c r="F1832" s="145"/>
      <c r="G1832" s="133" t="s">
        <v>1034</v>
      </c>
      <c r="H1832" s="144" t="s">
        <v>1341</v>
      </c>
      <c r="I1832" s="133" t="s">
        <v>1092</v>
      </c>
      <c r="J1832" s="133" t="s">
        <v>1667</v>
      </c>
      <c r="K1832" s="143">
        <v>45566</v>
      </c>
      <c r="L1832" s="133" t="s">
        <v>1241</v>
      </c>
      <c r="M1832" s="133">
        <v>45</v>
      </c>
      <c r="N1832" s="147"/>
      <c r="P1832" s="140"/>
    </row>
    <row r="1833" spans="1:16" hidden="1" x14ac:dyDescent="0.35">
      <c r="A1833" s="146"/>
      <c r="B1833" s="143"/>
      <c r="C1833" s="133"/>
      <c r="D1833" s="133"/>
      <c r="E1833" s="145"/>
      <c r="F1833" s="145"/>
      <c r="G1833" s="133"/>
      <c r="H1833" s="144"/>
      <c r="I1833" s="133"/>
      <c r="J1833" s="133"/>
      <c r="K1833" s="143"/>
      <c r="L1833" s="133"/>
      <c r="M1833" s="133"/>
      <c r="N1833" s="147"/>
      <c r="P1833" s="140"/>
    </row>
    <row r="1834" spans="1:16" hidden="1" x14ac:dyDescent="0.35">
      <c r="A1834" s="146">
        <v>133</v>
      </c>
      <c r="B1834" s="143">
        <v>45536</v>
      </c>
      <c r="C1834" s="133" t="s">
        <v>1693</v>
      </c>
      <c r="D1834" s="133" t="s">
        <v>1691</v>
      </c>
      <c r="E1834" s="145" t="s">
        <v>1067</v>
      </c>
      <c r="F1834" s="145">
        <v>3656.5</v>
      </c>
      <c r="G1834" s="133" t="s">
        <v>1034</v>
      </c>
      <c r="H1834" s="144" t="s">
        <v>1341</v>
      </c>
      <c r="I1834" s="133" t="s">
        <v>1092</v>
      </c>
      <c r="J1834" s="133" t="s">
        <v>1690</v>
      </c>
      <c r="K1834" s="143">
        <v>45536</v>
      </c>
      <c r="L1834" s="133" t="s">
        <v>1092</v>
      </c>
      <c r="M1834" s="133">
        <v>742.5</v>
      </c>
      <c r="N1834" s="147">
        <f>+F1834+F1835+F1837+F1836-M1834-M1835-M1836</f>
        <v>0</v>
      </c>
      <c r="P1834" s="140"/>
    </row>
    <row r="1835" spans="1:16" hidden="1" x14ac:dyDescent="0.35">
      <c r="A1835" s="146"/>
      <c r="B1835" s="143"/>
      <c r="C1835" s="133"/>
      <c r="D1835" s="133"/>
      <c r="E1835" s="145" t="s">
        <v>1342</v>
      </c>
      <c r="F1835" s="145">
        <v>2263</v>
      </c>
      <c r="G1835" s="133"/>
      <c r="H1835" s="144" t="s">
        <v>1341</v>
      </c>
      <c r="I1835" s="133" t="s">
        <v>1092</v>
      </c>
      <c r="J1835" s="133" t="s">
        <v>1687</v>
      </c>
      <c r="K1835" s="143">
        <v>45566</v>
      </c>
      <c r="L1835" s="133" t="s">
        <v>1092</v>
      </c>
      <c r="M1835" s="133">
        <v>8778</v>
      </c>
      <c r="N1835" s="147"/>
      <c r="P1835" s="140"/>
    </row>
    <row r="1836" spans="1:16" hidden="1" x14ac:dyDescent="0.35">
      <c r="A1836" s="146"/>
      <c r="B1836" s="143"/>
      <c r="C1836" s="133"/>
      <c r="D1836" s="133"/>
      <c r="E1836" s="145" t="s">
        <v>1064</v>
      </c>
      <c r="F1836" s="145">
        <v>742.5</v>
      </c>
      <c r="G1836" s="133" t="s">
        <v>1034</v>
      </c>
      <c r="H1836" s="144" t="s">
        <v>1341</v>
      </c>
      <c r="I1836" s="133" t="s">
        <v>1092</v>
      </c>
      <c r="J1836" s="133" t="s">
        <v>1667</v>
      </c>
      <c r="K1836" s="143">
        <v>45566</v>
      </c>
      <c r="L1836" s="133" t="s">
        <v>1241</v>
      </c>
      <c r="M1836" s="133">
        <v>464</v>
      </c>
      <c r="N1836" s="147"/>
      <c r="P1836" s="140"/>
    </row>
    <row r="1837" spans="1:16" hidden="1" x14ac:dyDescent="0.35">
      <c r="A1837" s="146"/>
      <c r="B1837" s="143"/>
      <c r="C1837" s="133"/>
      <c r="D1837" s="133"/>
      <c r="E1837" s="145" t="s">
        <v>1075</v>
      </c>
      <c r="F1837" s="145">
        <v>3322.5</v>
      </c>
      <c r="G1837" s="133"/>
      <c r="H1837" s="144"/>
      <c r="I1837" s="133"/>
      <c r="J1837" s="133"/>
      <c r="K1837" s="133"/>
      <c r="L1837" s="133"/>
      <c r="M1837" s="133"/>
      <c r="N1837" s="147"/>
      <c r="P1837" s="140"/>
    </row>
    <row r="1838" spans="1:16" hidden="1" x14ac:dyDescent="0.35">
      <c r="A1838" s="146"/>
      <c r="B1838" s="143"/>
      <c r="C1838" s="133"/>
      <c r="D1838" s="133"/>
      <c r="E1838" s="145"/>
      <c r="F1838" s="145"/>
      <c r="G1838" s="133"/>
      <c r="H1838" s="144"/>
      <c r="I1838" s="133"/>
      <c r="J1838" s="133"/>
      <c r="K1838" s="133"/>
      <c r="L1838" s="133"/>
      <c r="M1838" s="133"/>
      <c r="N1838" s="147"/>
      <c r="P1838" s="140"/>
    </row>
    <row r="1839" spans="1:16" hidden="1" x14ac:dyDescent="0.35">
      <c r="A1839" s="146">
        <v>134</v>
      </c>
      <c r="B1839" s="143">
        <v>45536</v>
      </c>
      <c r="C1839" s="133" t="s">
        <v>1692</v>
      </c>
      <c r="D1839" s="133" t="s">
        <v>1691</v>
      </c>
      <c r="E1839" s="148" t="s">
        <v>1059</v>
      </c>
      <c r="F1839" s="145">
        <v>75000</v>
      </c>
      <c r="G1839" s="133" t="s">
        <v>1034</v>
      </c>
      <c r="H1839" s="144" t="s">
        <v>1341</v>
      </c>
      <c r="I1839" s="133" t="s">
        <v>1092</v>
      </c>
      <c r="J1839" s="133" t="s">
        <v>1690</v>
      </c>
      <c r="K1839" s="143">
        <v>45536</v>
      </c>
      <c r="L1839" s="133" t="s">
        <v>1092</v>
      </c>
      <c r="M1839" s="133">
        <v>17715.189999999999</v>
      </c>
      <c r="N1839" s="147">
        <f>+F1839-M1839-M1840-M1841-M1842-M1843</f>
        <v>0</v>
      </c>
      <c r="P1839" s="159"/>
    </row>
    <row r="1840" spans="1:16" hidden="1" x14ac:dyDescent="0.35">
      <c r="A1840" s="146"/>
      <c r="B1840" s="143"/>
      <c r="C1840" s="133"/>
      <c r="D1840" s="133"/>
      <c r="E1840" s="148"/>
      <c r="F1840" s="145"/>
      <c r="G1840" s="133" t="s">
        <v>1034</v>
      </c>
      <c r="H1840" s="144" t="s">
        <v>1341</v>
      </c>
      <c r="I1840" s="133" t="s">
        <v>1092</v>
      </c>
      <c r="J1840" s="133" t="s">
        <v>1689</v>
      </c>
      <c r="K1840" s="143">
        <v>45566</v>
      </c>
      <c r="L1840" s="133" t="s">
        <v>1092</v>
      </c>
      <c r="M1840" s="133">
        <v>21133.8</v>
      </c>
      <c r="N1840" s="147"/>
      <c r="P1840" s="159"/>
    </row>
    <row r="1841" spans="1:16" hidden="1" x14ac:dyDescent="0.35">
      <c r="A1841" s="146"/>
      <c r="B1841" s="143"/>
      <c r="C1841" s="133"/>
      <c r="D1841" s="133"/>
      <c r="E1841" s="148"/>
      <c r="F1841" s="145"/>
      <c r="G1841" s="133" t="s">
        <v>1034</v>
      </c>
      <c r="H1841" s="144" t="s">
        <v>1341</v>
      </c>
      <c r="I1841" s="133" t="s">
        <v>1092</v>
      </c>
      <c r="J1841" s="133" t="s">
        <v>1687</v>
      </c>
      <c r="K1841" s="143">
        <v>45566</v>
      </c>
      <c r="L1841" s="133" t="s">
        <v>1092</v>
      </c>
      <c r="M1841" s="133">
        <v>18634.8</v>
      </c>
      <c r="N1841" s="147"/>
      <c r="P1841" s="159"/>
    </row>
    <row r="1842" spans="1:16" hidden="1" x14ac:dyDescent="0.35">
      <c r="A1842" s="146"/>
      <c r="B1842" s="143"/>
      <c r="C1842" s="133"/>
      <c r="D1842" s="133"/>
      <c r="E1842" s="148"/>
      <c r="F1842" s="145"/>
      <c r="G1842" s="133" t="s">
        <v>1034</v>
      </c>
      <c r="H1842" s="144" t="s">
        <v>1341</v>
      </c>
      <c r="I1842" s="133" t="s">
        <v>1092</v>
      </c>
      <c r="J1842" s="133" t="s">
        <v>1679</v>
      </c>
      <c r="K1842" s="143">
        <v>45566</v>
      </c>
      <c r="L1842" s="133" t="s">
        <v>1092</v>
      </c>
      <c r="M1842" s="133">
        <v>15707.209999999995</v>
      </c>
      <c r="N1842" s="147"/>
      <c r="P1842" s="159"/>
    </row>
    <row r="1843" spans="1:16" hidden="1" x14ac:dyDescent="0.35">
      <c r="A1843" s="146"/>
      <c r="B1843" s="143"/>
      <c r="C1843" s="133"/>
      <c r="D1843" s="133"/>
      <c r="E1843" s="145"/>
      <c r="F1843" s="145"/>
      <c r="G1843" s="133" t="s">
        <v>1034</v>
      </c>
      <c r="H1843" s="144" t="s">
        <v>1341</v>
      </c>
      <c r="I1843" s="133" t="s">
        <v>1092</v>
      </c>
      <c r="J1843" s="133" t="s">
        <v>1667</v>
      </c>
      <c r="K1843" s="143">
        <v>45566</v>
      </c>
      <c r="L1843" s="133" t="s">
        <v>1241</v>
      </c>
      <c r="M1843" s="133">
        <v>1809</v>
      </c>
      <c r="N1843" s="147"/>
      <c r="P1843" s="140"/>
    </row>
    <row r="1844" spans="1:16" hidden="1" x14ac:dyDescent="0.35">
      <c r="A1844" s="146"/>
      <c r="B1844" s="143"/>
      <c r="C1844" s="133"/>
      <c r="D1844" s="133"/>
      <c r="E1844" s="145"/>
      <c r="F1844" s="145"/>
      <c r="G1844" s="133"/>
      <c r="H1844" s="144"/>
      <c r="I1844" s="133"/>
      <c r="J1844" s="133"/>
      <c r="K1844" s="143"/>
      <c r="L1844" s="133"/>
      <c r="M1844" s="133"/>
      <c r="N1844" s="147"/>
      <c r="P1844" s="140"/>
    </row>
    <row r="1845" spans="1:16" hidden="1" x14ac:dyDescent="0.35">
      <c r="A1845" s="146">
        <v>135</v>
      </c>
      <c r="B1845" s="143">
        <v>45536</v>
      </c>
      <c r="C1845" s="133" t="s">
        <v>1688</v>
      </c>
      <c r="D1845" s="133" t="s">
        <v>1202</v>
      </c>
      <c r="E1845" s="145" t="s">
        <v>1067</v>
      </c>
      <c r="F1845" s="145">
        <v>263</v>
      </c>
      <c r="G1845" s="133" t="s">
        <v>1034</v>
      </c>
      <c r="H1845" s="144" t="s">
        <v>1341</v>
      </c>
      <c r="I1845" s="133" t="s">
        <v>1092</v>
      </c>
      <c r="J1845" s="133" t="s">
        <v>1687</v>
      </c>
      <c r="K1845" s="143">
        <v>45566</v>
      </c>
      <c r="L1845" s="133" t="s">
        <v>1092</v>
      </c>
      <c r="M1845" s="133">
        <v>1966.1</v>
      </c>
      <c r="N1845" s="147">
        <f>+F1845+F1846+F1848+F1847+F1849-M1845-M1846-M1847</f>
        <v>0</v>
      </c>
      <c r="P1845" s="140"/>
    </row>
    <row r="1846" spans="1:16" hidden="1" x14ac:dyDescent="0.35">
      <c r="A1846" s="146"/>
      <c r="B1846" s="143"/>
      <c r="C1846" s="133"/>
      <c r="D1846" s="133"/>
      <c r="E1846" s="145" t="s">
        <v>1342</v>
      </c>
      <c r="F1846" s="145">
        <v>6554</v>
      </c>
      <c r="G1846" s="133" t="s">
        <v>1034</v>
      </c>
      <c r="H1846" s="144" t="s">
        <v>1341</v>
      </c>
      <c r="I1846" s="133" t="s">
        <v>1092</v>
      </c>
      <c r="J1846" s="133" t="s">
        <v>1679</v>
      </c>
      <c r="K1846" s="143">
        <v>45566</v>
      </c>
      <c r="L1846" s="133" t="s">
        <v>1092</v>
      </c>
      <c r="M1846" s="133">
        <v>17739.099999999999</v>
      </c>
      <c r="N1846" s="147"/>
      <c r="P1846" s="140"/>
    </row>
    <row r="1847" spans="1:16" hidden="1" x14ac:dyDescent="0.35">
      <c r="A1847" s="146"/>
      <c r="B1847" s="143"/>
      <c r="C1847" s="133"/>
      <c r="D1847" s="133"/>
      <c r="E1847" s="145" t="s">
        <v>1064</v>
      </c>
      <c r="F1847" s="145">
        <v>509.2</v>
      </c>
      <c r="G1847" s="133" t="s">
        <v>1034</v>
      </c>
      <c r="H1847" s="144" t="s">
        <v>1341</v>
      </c>
      <c r="I1847" s="133" t="s">
        <v>1092</v>
      </c>
      <c r="J1847" s="133" t="s">
        <v>1667</v>
      </c>
      <c r="K1847" s="143">
        <v>45566</v>
      </c>
      <c r="L1847" s="133" t="s">
        <v>1241</v>
      </c>
      <c r="M1847" s="133">
        <v>1038</v>
      </c>
      <c r="N1847" s="147"/>
      <c r="P1847" s="140"/>
    </row>
    <row r="1848" spans="1:16" hidden="1" x14ac:dyDescent="0.35">
      <c r="A1848" s="146"/>
      <c r="B1848" s="143"/>
      <c r="C1848" s="133"/>
      <c r="D1848" s="133"/>
      <c r="E1848" s="145" t="s">
        <v>1075</v>
      </c>
      <c r="F1848" s="145">
        <v>9450.9</v>
      </c>
      <c r="G1848" s="133"/>
      <c r="H1848" s="144"/>
      <c r="I1848" s="133"/>
      <c r="J1848" s="133"/>
      <c r="K1848" s="133"/>
      <c r="L1848" s="133"/>
      <c r="M1848" s="133"/>
      <c r="N1848" s="147"/>
      <c r="P1848" s="140"/>
    </row>
    <row r="1849" spans="1:16" hidden="1" x14ac:dyDescent="0.35">
      <c r="A1849" s="146"/>
      <c r="B1849" s="143"/>
      <c r="C1849" s="133"/>
      <c r="D1849" s="133"/>
      <c r="E1849" s="145" t="s">
        <v>1118</v>
      </c>
      <c r="F1849" s="145">
        <v>3966.1</v>
      </c>
      <c r="G1849" s="133"/>
      <c r="H1849" s="144"/>
      <c r="I1849" s="133"/>
      <c r="J1849" s="133"/>
      <c r="K1849" s="133"/>
      <c r="L1849" s="133"/>
      <c r="M1849" s="133"/>
      <c r="N1849" s="147"/>
      <c r="P1849" s="140"/>
    </row>
    <row r="1850" spans="1:16" hidden="1" x14ac:dyDescent="0.35">
      <c r="A1850" s="146"/>
      <c r="B1850" s="143"/>
      <c r="C1850" s="133"/>
      <c r="D1850" s="133"/>
      <c r="E1850" s="145"/>
      <c r="F1850" s="145"/>
      <c r="G1850" s="133"/>
      <c r="H1850" s="144"/>
      <c r="I1850" s="133"/>
      <c r="J1850" s="133"/>
      <c r="K1850" s="133"/>
      <c r="L1850" s="133"/>
      <c r="M1850" s="133"/>
      <c r="N1850" s="147"/>
      <c r="P1850" s="140"/>
    </row>
    <row r="1851" spans="1:16" hidden="1" x14ac:dyDescent="0.35">
      <c r="A1851" s="146">
        <v>136</v>
      </c>
      <c r="B1851" s="143">
        <v>45536</v>
      </c>
      <c r="C1851" s="133" t="s">
        <v>1686</v>
      </c>
      <c r="D1851" s="133" t="s">
        <v>1202</v>
      </c>
      <c r="E1851" s="145" t="s">
        <v>1075</v>
      </c>
      <c r="F1851" s="145">
        <v>7041</v>
      </c>
      <c r="G1851" s="133" t="s">
        <v>1034</v>
      </c>
      <c r="H1851" s="144" t="s">
        <v>1341</v>
      </c>
      <c r="I1851" s="133" t="s">
        <v>1092</v>
      </c>
      <c r="J1851" s="133" t="s">
        <v>1667</v>
      </c>
      <c r="K1851" s="143">
        <v>45566</v>
      </c>
      <c r="L1851" s="133" t="s">
        <v>1241</v>
      </c>
      <c r="M1851" s="133">
        <v>683</v>
      </c>
      <c r="N1851" s="147">
        <f>+F1851+F1852+F1853-M1851-M1852</f>
        <v>0</v>
      </c>
      <c r="P1851" s="140"/>
    </row>
    <row r="1852" spans="1:16" hidden="1" x14ac:dyDescent="0.35">
      <c r="A1852" s="146"/>
      <c r="B1852" s="143"/>
      <c r="C1852" s="133"/>
      <c r="D1852" s="133"/>
      <c r="E1852" s="145" t="s">
        <v>1342</v>
      </c>
      <c r="F1852" s="145">
        <v>5236.6000000000004</v>
      </c>
      <c r="G1852" s="133" t="s">
        <v>1034</v>
      </c>
      <c r="H1852" s="144" t="s">
        <v>1341</v>
      </c>
      <c r="I1852" s="133" t="s">
        <v>1092</v>
      </c>
      <c r="J1852" s="133" t="s">
        <v>1671</v>
      </c>
      <c r="K1852" s="143">
        <v>45566</v>
      </c>
      <c r="L1852" s="133" t="s">
        <v>1092</v>
      </c>
      <c r="M1852" s="133">
        <v>13007.800000000001</v>
      </c>
      <c r="N1852" s="147"/>
      <c r="P1852" s="140"/>
    </row>
    <row r="1853" spans="1:16" hidden="1" x14ac:dyDescent="0.35">
      <c r="A1853" s="146"/>
      <c r="B1853" s="143"/>
      <c r="C1853" s="133"/>
      <c r="D1853" s="133"/>
      <c r="E1853" s="145" t="s">
        <v>1064</v>
      </c>
      <c r="F1853" s="145">
        <v>1413.2</v>
      </c>
      <c r="G1853" s="133"/>
      <c r="H1853" s="144"/>
      <c r="I1853" s="133"/>
      <c r="J1853" s="133"/>
      <c r="K1853" s="133"/>
      <c r="L1853" s="133"/>
      <c r="M1853" s="133"/>
      <c r="N1853" s="147"/>
      <c r="P1853" s="140"/>
    </row>
    <row r="1854" spans="1:16" hidden="1" x14ac:dyDescent="0.35">
      <c r="A1854" s="146"/>
      <c r="B1854" s="143"/>
      <c r="C1854" s="133"/>
      <c r="D1854" s="133"/>
      <c r="E1854" s="145"/>
      <c r="F1854" s="145"/>
      <c r="G1854" s="133"/>
      <c r="H1854" s="144"/>
      <c r="I1854" s="133"/>
      <c r="J1854" s="133"/>
      <c r="K1854" s="133"/>
      <c r="L1854" s="133"/>
      <c r="M1854" s="133"/>
      <c r="N1854" s="147"/>
      <c r="P1854" s="140"/>
    </row>
    <row r="1855" spans="1:16" hidden="1" x14ac:dyDescent="0.35">
      <c r="A1855" s="146">
        <v>137</v>
      </c>
      <c r="B1855" s="143">
        <v>45536</v>
      </c>
      <c r="C1855" s="133" t="s">
        <v>1685</v>
      </c>
      <c r="D1855" s="133" t="s">
        <v>1205</v>
      </c>
      <c r="E1855" s="148" t="s">
        <v>1074</v>
      </c>
      <c r="F1855" s="145">
        <v>2000</v>
      </c>
      <c r="G1855" s="133" t="s">
        <v>1034</v>
      </c>
      <c r="H1855" s="144" t="s">
        <v>1341</v>
      </c>
      <c r="I1855" s="133" t="s">
        <v>1092</v>
      </c>
      <c r="J1855" s="133" t="s">
        <v>1668</v>
      </c>
      <c r="K1855" s="143">
        <v>45566</v>
      </c>
      <c r="L1855" s="133" t="s">
        <v>1092</v>
      </c>
      <c r="M1855" s="133">
        <f>1435.2+243.17</f>
        <v>1678.3700000000001</v>
      </c>
      <c r="N1855" s="147">
        <f>+F1855+F1856+F1858+F1857-M1855-M1856-M1857</f>
        <v>0</v>
      </c>
      <c r="P1855" s="140"/>
    </row>
    <row r="1856" spans="1:16" hidden="1" x14ac:dyDescent="0.35">
      <c r="A1856" s="146"/>
      <c r="B1856" s="143"/>
      <c r="C1856" s="133"/>
      <c r="D1856" s="133"/>
      <c r="E1856" s="145" t="s">
        <v>1342</v>
      </c>
      <c r="F1856" s="145">
        <v>7056</v>
      </c>
      <c r="G1856" s="133" t="s">
        <v>1034</v>
      </c>
      <c r="H1856" s="144" t="s">
        <v>1341</v>
      </c>
      <c r="I1856" s="133" t="s">
        <v>1092</v>
      </c>
      <c r="J1856" s="133" t="s">
        <v>1667</v>
      </c>
      <c r="K1856" s="143">
        <v>45566</v>
      </c>
      <c r="L1856" s="133" t="s">
        <v>1241</v>
      </c>
      <c r="M1856" s="133">
        <v>537</v>
      </c>
      <c r="N1856" s="147"/>
      <c r="P1856" s="140"/>
    </row>
    <row r="1857" spans="1:16" hidden="1" x14ac:dyDescent="0.35">
      <c r="A1857" s="146"/>
      <c r="B1857" s="143"/>
      <c r="C1857" s="133"/>
      <c r="D1857" s="133"/>
      <c r="E1857" s="145" t="s">
        <v>1067</v>
      </c>
      <c r="F1857" s="145">
        <v>1435.2</v>
      </c>
      <c r="G1857" s="133" t="s">
        <v>1034</v>
      </c>
      <c r="H1857" s="144" t="s">
        <v>1341</v>
      </c>
      <c r="I1857" s="133" t="s">
        <v>1092</v>
      </c>
      <c r="J1857" s="133" t="s">
        <v>1671</v>
      </c>
      <c r="K1857" s="143">
        <v>45566</v>
      </c>
      <c r="L1857" s="133" t="s">
        <v>1092</v>
      </c>
      <c r="M1857" s="133">
        <v>8519</v>
      </c>
      <c r="N1857" s="147"/>
      <c r="P1857" s="140"/>
    </row>
    <row r="1858" spans="1:16" hidden="1" x14ac:dyDescent="0.35">
      <c r="A1858" s="146"/>
      <c r="B1858" s="143"/>
      <c r="C1858" s="133"/>
      <c r="D1858" s="133"/>
      <c r="E1858" s="145" t="s">
        <v>1078</v>
      </c>
      <c r="F1858" s="145">
        <v>243.17</v>
      </c>
      <c r="G1858" s="133"/>
      <c r="H1858" s="144"/>
      <c r="I1858" s="133"/>
      <c r="J1858" s="133"/>
      <c r="K1858" s="133"/>
      <c r="L1858" s="133"/>
      <c r="M1858" s="133"/>
      <c r="N1858" s="147"/>
      <c r="P1858" s="140"/>
    </row>
    <row r="1859" spans="1:16" hidden="1" x14ac:dyDescent="0.35">
      <c r="A1859" s="146"/>
      <c r="B1859" s="143"/>
      <c r="C1859" s="133"/>
      <c r="D1859" s="133"/>
      <c r="E1859" s="145"/>
      <c r="F1859" s="145"/>
      <c r="G1859" s="133"/>
      <c r="H1859" s="144"/>
      <c r="I1859" s="133"/>
      <c r="J1859" s="133"/>
      <c r="K1859" s="133"/>
      <c r="L1859" s="133"/>
      <c r="M1859" s="133"/>
      <c r="N1859" s="147"/>
      <c r="P1859" s="140"/>
    </row>
    <row r="1860" spans="1:16" hidden="1" x14ac:dyDescent="0.35">
      <c r="A1860" s="146">
        <v>138</v>
      </c>
      <c r="B1860" s="143">
        <v>45536</v>
      </c>
      <c r="C1860" s="133" t="s">
        <v>1684</v>
      </c>
      <c r="D1860" s="133" t="s">
        <v>1683</v>
      </c>
      <c r="E1860" s="145" t="s">
        <v>1078</v>
      </c>
      <c r="F1860" s="145">
        <v>1394.18</v>
      </c>
      <c r="G1860" s="133" t="s">
        <v>1034</v>
      </c>
      <c r="H1860" s="144" t="s">
        <v>1341</v>
      </c>
      <c r="I1860" s="133" t="s">
        <v>1092</v>
      </c>
      <c r="J1860" s="133" t="s">
        <v>1667</v>
      </c>
      <c r="K1860" s="143">
        <v>45566</v>
      </c>
      <c r="L1860" s="133" t="s">
        <v>1241</v>
      </c>
      <c r="M1860" s="133">
        <v>308</v>
      </c>
      <c r="N1860" s="147">
        <f>+F1860+F1861-M1860-M1861</f>
        <v>0</v>
      </c>
      <c r="P1860" s="140"/>
    </row>
    <row r="1861" spans="1:16" hidden="1" x14ac:dyDescent="0.35">
      <c r="A1861" s="146"/>
      <c r="B1861" s="143"/>
      <c r="C1861" s="133"/>
      <c r="D1861" s="133"/>
      <c r="E1861" s="145" t="s">
        <v>1075</v>
      </c>
      <c r="F1861" s="145">
        <v>4759</v>
      </c>
      <c r="G1861" s="133"/>
      <c r="H1861" s="144"/>
      <c r="I1861" s="133"/>
      <c r="J1861" s="133" t="s">
        <v>1671</v>
      </c>
      <c r="K1861" s="143">
        <v>45566</v>
      </c>
      <c r="L1861" s="133" t="s">
        <v>1092</v>
      </c>
      <c r="M1861" s="133">
        <v>5845.18</v>
      </c>
      <c r="N1861" s="147"/>
      <c r="P1861" s="140"/>
    </row>
    <row r="1862" spans="1:16" hidden="1" x14ac:dyDescent="0.35">
      <c r="A1862" s="146"/>
      <c r="B1862" s="143"/>
      <c r="C1862" s="133"/>
      <c r="D1862" s="133"/>
      <c r="E1862" s="145"/>
      <c r="F1862" s="145"/>
      <c r="G1862" s="133"/>
      <c r="H1862" s="144"/>
      <c r="I1862" s="133"/>
      <c r="J1862" s="133"/>
      <c r="K1862" s="133"/>
      <c r="L1862" s="133"/>
      <c r="M1862" s="133"/>
      <c r="N1862" s="147"/>
      <c r="P1862" s="140"/>
    </row>
    <row r="1863" spans="1:16" hidden="1" x14ac:dyDescent="0.35">
      <c r="A1863" s="146">
        <v>139</v>
      </c>
      <c r="B1863" s="143">
        <v>45536</v>
      </c>
      <c r="C1863" s="133" t="s">
        <v>1682</v>
      </c>
      <c r="D1863" s="133" t="s">
        <v>1680</v>
      </c>
      <c r="E1863" s="145" t="s">
        <v>1342</v>
      </c>
      <c r="F1863" s="145">
        <v>4062</v>
      </c>
      <c r="G1863" s="133" t="s">
        <v>1034</v>
      </c>
      <c r="H1863" s="144" t="s">
        <v>1341</v>
      </c>
      <c r="I1863" s="133" t="s">
        <v>1092</v>
      </c>
      <c r="J1863" s="133" t="s">
        <v>1668</v>
      </c>
      <c r="K1863" s="143">
        <v>45566</v>
      </c>
      <c r="L1863" s="133" t="s">
        <v>1092</v>
      </c>
      <c r="M1863" s="133">
        <f>2887.5+1011.2</f>
        <v>3898.7</v>
      </c>
      <c r="N1863" s="147">
        <f>+F1863+F1864+F1865+F1866-M1863-M1864-M1865</f>
        <v>0</v>
      </c>
      <c r="P1863" s="140"/>
    </row>
    <row r="1864" spans="1:16" hidden="1" x14ac:dyDescent="0.35">
      <c r="A1864" s="146"/>
      <c r="B1864" s="143"/>
      <c r="C1864" s="133"/>
      <c r="D1864" s="133"/>
      <c r="E1864" s="145" t="s">
        <v>1067</v>
      </c>
      <c r="F1864" s="145">
        <v>2887.5</v>
      </c>
      <c r="G1864" s="133" t="s">
        <v>1034</v>
      </c>
      <c r="H1864" s="144" t="s">
        <v>1341</v>
      </c>
      <c r="I1864" s="133" t="s">
        <v>1092</v>
      </c>
      <c r="J1864" s="133" t="s">
        <v>1667</v>
      </c>
      <c r="K1864" s="143">
        <v>45566</v>
      </c>
      <c r="L1864" s="133" t="s">
        <v>1241</v>
      </c>
      <c r="M1864" s="133">
        <v>532</v>
      </c>
      <c r="N1864" s="147"/>
      <c r="P1864" s="140"/>
    </row>
    <row r="1865" spans="1:16" hidden="1" x14ac:dyDescent="0.35">
      <c r="A1865" s="146"/>
      <c r="B1865" s="143"/>
      <c r="C1865" s="133"/>
      <c r="D1865" s="133"/>
      <c r="E1865" s="145" t="s">
        <v>1075</v>
      </c>
      <c r="F1865" s="145">
        <v>2640.4</v>
      </c>
      <c r="G1865" s="133" t="s">
        <v>1034</v>
      </c>
      <c r="H1865" s="144" t="s">
        <v>1341</v>
      </c>
      <c r="I1865" s="133" t="s">
        <v>1092</v>
      </c>
      <c r="J1865" s="133" t="s">
        <v>1671</v>
      </c>
      <c r="K1865" s="143">
        <v>45566</v>
      </c>
      <c r="L1865" s="133" t="s">
        <v>1092</v>
      </c>
      <c r="M1865" s="133">
        <v>6170.4</v>
      </c>
      <c r="N1865" s="142"/>
      <c r="P1865" s="140"/>
    </row>
    <row r="1866" spans="1:16" hidden="1" x14ac:dyDescent="0.35">
      <c r="A1866" s="146"/>
      <c r="B1866" s="143"/>
      <c r="C1866" s="133"/>
      <c r="D1866" s="133"/>
      <c r="E1866" s="145" t="s">
        <v>1064</v>
      </c>
      <c r="F1866" s="145">
        <v>1011.2</v>
      </c>
      <c r="G1866" s="133"/>
      <c r="H1866" s="144"/>
      <c r="I1866" s="133"/>
      <c r="J1866" s="133"/>
      <c r="K1866" s="133"/>
      <c r="L1866" s="133"/>
      <c r="M1866" s="133"/>
      <c r="N1866" s="142"/>
      <c r="P1866" s="140"/>
    </row>
    <row r="1867" spans="1:16" hidden="1" x14ac:dyDescent="0.35">
      <c r="A1867" s="146"/>
      <c r="B1867" s="143"/>
      <c r="C1867" s="133"/>
      <c r="D1867" s="133"/>
      <c r="E1867" s="145"/>
      <c r="F1867" s="145"/>
      <c r="G1867" s="133"/>
      <c r="H1867" s="144"/>
      <c r="I1867" s="133"/>
      <c r="J1867" s="133"/>
      <c r="K1867" s="133"/>
      <c r="L1867" s="133"/>
      <c r="M1867" s="133"/>
      <c r="N1867" s="142"/>
      <c r="P1867" s="140"/>
    </row>
    <row r="1868" spans="1:16" hidden="1" x14ac:dyDescent="0.35">
      <c r="A1868" s="146">
        <v>140</v>
      </c>
      <c r="B1868" s="143">
        <v>45536</v>
      </c>
      <c r="C1868" s="133" t="s">
        <v>1681</v>
      </c>
      <c r="D1868" s="133" t="s">
        <v>1680</v>
      </c>
      <c r="E1868" s="148" t="s">
        <v>1059</v>
      </c>
      <c r="F1868" s="145">
        <v>25000</v>
      </c>
      <c r="G1868" s="133" t="s">
        <v>1034</v>
      </c>
      <c r="H1868" s="144" t="s">
        <v>1341</v>
      </c>
      <c r="I1868" s="133" t="s">
        <v>1092</v>
      </c>
      <c r="J1868" s="133" t="s">
        <v>1679</v>
      </c>
      <c r="K1868" s="143">
        <v>45566</v>
      </c>
      <c r="L1868" s="133" t="s">
        <v>1092</v>
      </c>
      <c r="M1868" s="133">
        <v>23749</v>
      </c>
      <c r="N1868" s="147">
        <f>+F1868-M1868-M1869</f>
        <v>0</v>
      </c>
      <c r="P1868" s="159"/>
    </row>
    <row r="1869" spans="1:16" hidden="1" x14ac:dyDescent="0.35">
      <c r="A1869" s="146"/>
      <c r="B1869" s="143"/>
      <c r="C1869" s="133"/>
      <c r="D1869" s="133"/>
      <c r="E1869" s="148"/>
      <c r="F1869" s="145"/>
      <c r="G1869" s="133" t="s">
        <v>1034</v>
      </c>
      <c r="H1869" s="144" t="s">
        <v>1341</v>
      </c>
      <c r="I1869" s="133" t="s">
        <v>1092</v>
      </c>
      <c r="J1869" s="133" t="s">
        <v>1667</v>
      </c>
      <c r="K1869" s="143">
        <v>45566</v>
      </c>
      <c r="L1869" s="133" t="s">
        <v>1241</v>
      </c>
      <c r="M1869" s="133">
        <v>1251</v>
      </c>
      <c r="N1869" s="142"/>
      <c r="P1869" s="159"/>
    </row>
    <row r="1870" spans="1:16" hidden="1" x14ac:dyDescent="0.35">
      <c r="A1870" s="146"/>
      <c r="B1870" s="143"/>
      <c r="C1870" s="133"/>
      <c r="D1870" s="133"/>
      <c r="E1870" s="145"/>
      <c r="F1870" s="145"/>
      <c r="G1870" s="133"/>
      <c r="H1870" s="144"/>
      <c r="I1870" s="133"/>
      <c r="J1870" s="133"/>
      <c r="K1870" s="143"/>
      <c r="L1870" s="133"/>
      <c r="M1870" s="133"/>
      <c r="N1870" s="142"/>
      <c r="P1870" s="140"/>
    </row>
    <row r="1871" spans="1:16" hidden="1" x14ac:dyDescent="0.35">
      <c r="A1871" s="146">
        <v>141</v>
      </c>
      <c r="B1871" s="143">
        <v>45536</v>
      </c>
      <c r="C1871" s="133" t="s">
        <v>1678</v>
      </c>
      <c r="D1871" s="133" t="s">
        <v>1200</v>
      </c>
      <c r="E1871" s="145" t="s">
        <v>1342</v>
      </c>
      <c r="F1871" s="145">
        <v>3470</v>
      </c>
      <c r="G1871" s="133" t="s">
        <v>1034</v>
      </c>
      <c r="H1871" s="144" t="s">
        <v>1341</v>
      </c>
      <c r="I1871" s="133" t="s">
        <v>1092</v>
      </c>
      <c r="J1871" s="133" t="s">
        <v>1668</v>
      </c>
      <c r="K1871" s="143">
        <v>45566</v>
      </c>
      <c r="L1871" s="133" t="s">
        <v>1092</v>
      </c>
      <c r="M1871" s="133">
        <v>96.4</v>
      </c>
      <c r="N1871" s="183">
        <f>+F1871+F1872+F1873-M1871-M1872-M1873</f>
        <v>0</v>
      </c>
      <c r="P1871" s="140"/>
    </row>
    <row r="1872" spans="1:16" hidden="1" x14ac:dyDescent="0.35">
      <c r="A1872" s="146"/>
      <c r="B1872" s="143"/>
      <c r="C1872" s="133"/>
      <c r="D1872" s="133"/>
      <c r="E1872" s="145" t="s">
        <v>1067</v>
      </c>
      <c r="F1872" s="145">
        <v>96.4</v>
      </c>
      <c r="G1872" s="133" t="s">
        <v>1034</v>
      </c>
      <c r="H1872" s="144" t="s">
        <v>1341</v>
      </c>
      <c r="I1872" s="133" t="s">
        <v>1092</v>
      </c>
      <c r="J1872" s="133" t="s">
        <v>1667</v>
      </c>
      <c r="K1872" s="143">
        <v>45566</v>
      </c>
      <c r="L1872" s="133" t="s">
        <v>1241</v>
      </c>
      <c r="M1872" s="133">
        <v>360</v>
      </c>
      <c r="N1872" s="142"/>
      <c r="P1872" s="140"/>
    </row>
    <row r="1873" spans="1:16" hidden="1" x14ac:dyDescent="0.35">
      <c r="A1873" s="146"/>
      <c r="B1873" s="143"/>
      <c r="C1873" s="133"/>
      <c r="D1873" s="133"/>
      <c r="E1873" s="145" t="s">
        <v>1118</v>
      </c>
      <c r="F1873" s="145">
        <v>3624</v>
      </c>
      <c r="G1873" s="133" t="s">
        <v>1034</v>
      </c>
      <c r="H1873" s="144" t="s">
        <v>1341</v>
      </c>
      <c r="I1873" s="133" t="s">
        <v>1092</v>
      </c>
      <c r="J1873" s="133" t="s">
        <v>1660</v>
      </c>
      <c r="K1873" s="143">
        <v>45566</v>
      </c>
      <c r="L1873" s="133" t="s">
        <v>1092</v>
      </c>
      <c r="M1873" s="133">
        <v>6734</v>
      </c>
      <c r="N1873" s="142"/>
      <c r="P1873" s="140"/>
    </row>
    <row r="1874" spans="1:16" hidden="1" x14ac:dyDescent="0.35">
      <c r="A1874" s="146"/>
      <c r="B1874" s="143"/>
      <c r="C1874" s="133"/>
      <c r="D1874" s="133"/>
      <c r="E1874" s="145"/>
      <c r="F1874" s="145"/>
      <c r="G1874" s="133"/>
      <c r="H1874" s="144"/>
      <c r="I1874" s="133"/>
      <c r="J1874" s="133"/>
      <c r="K1874" s="133"/>
      <c r="L1874" s="133"/>
      <c r="M1874" s="133"/>
      <c r="N1874" s="142"/>
      <c r="P1874" s="140"/>
    </row>
    <row r="1875" spans="1:16" hidden="1" x14ac:dyDescent="0.35">
      <c r="A1875" s="146">
        <v>142</v>
      </c>
      <c r="B1875" s="143">
        <v>45536</v>
      </c>
      <c r="C1875" s="133" t="s">
        <v>1677</v>
      </c>
      <c r="D1875" s="133" t="s">
        <v>1200</v>
      </c>
      <c r="E1875" s="148" t="s">
        <v>1059</v>
      </c>
      <c r="F1875" s="145">
        <v>25000</v>
      </c>
      <c r="G1875" s="133" t="s">
        <v>1034</v>
      </c>
      <c r="H1875" s="144" t="s">
        <v>1341</v>
      </c>
      <c r="I1875" s="133" t="s">
        <v>1092</v>
      </c>
      <c r="J1875" s="133" t="s">
        <v>1668</v>
      </c>
      <c r="K1875" s="143">
        <v>45566</v>
      </c>
      <c r="L1875" s="133" t="s">
        <v>1092</v>
      </c>
      <c r="M1875" s="133">
        <v>23746</v>
      </c>
      <c r="N1875" s="147">
        <f>+F1875-M1875-M1876</f>
        <v>0</v>
      </c>
      <c r="P1875" s="140"/>
    </row>
    <row r="1876" spans="1:16" hidden="1" x14ac:dyDescent="0.35">
      <c r="A1876" s="146"/>
      <c r="B1876" s="143"/>
      <c r="C1876" s="133"/>
      <c r="D1876" s="133"/>
      <c r="E1876" s="145"/>
      <c r="F1876" s="145"/>
      <c r="G1876" s="133" t="s">
        <v>1034</v>
      </c>
      <c r="H1876" s="144" t="s">
        <v>1341</v>
      </c>
      <c r="I1876" s="133" t="s">
        <v>1092</v>
      </c>
      <c r="J1876" s="133" t="s">
        <v>1667</v>
      </c>
      <c r="K1876" s="143">
        <v>45566</v>
      </c>
      <c r="L1876" s="133" t="s">
        <v>1241</v>
      </c>
      <c r="M1876" s="133">
        <v>1254</v>
      </c>
      <c r="N1876" s="142"/>
      <c r="P1876" s="140"/>
    </row>
    <row r="1877" spans="1:16" hidden="1" x14ac:dyDescent="0.35">
      <c r="A1877" s="146"/>
      <c r="B1877" s="143"/>
      <c r="C1877" s="133"/>
      <c r="D1877" s="133"/>
      <c r="E1877" s="145"/>
      <c r="F1877" s="145"/>
      <c r="G1877" s="133"/>
      <c r="H1877" s="144"/>
      <c r="I1877" s="133"/>
      <c r="J1877" s="133"/>
      <c r="K1877" s="143"/>
      <c r="L1877" s="133"/>
      <c r="M1877" s="133"/>
      <c r="N1877" s="142"/>
      <c r="P1877" s="140"/>
    </row>
    <row r="1878" spans="1:16" hidden="1" x14ac:dyDescent="0.35">
      <c r="A1878" s="146">
        <v>143</v>
      </c>
      <c r="B1878" s="143">
        <v>45536</v>
      </c>
      <c r="C1878" s="133" t="s">
        <v>1676</v>
      </c>
      <c r="D1878" s="133" t="s">
        <v>1674</v>
      </c>
      <c r="E1878" s="148" t="s">
        <v>1059</v>
      </c>
      <c r="F1878" s="145">
        <v>25000</v>
      </c>
      <c r="G1878" s="133" t="s">
        <v>1034</v>
      </c>
      <c r="H1878" s="144" t="s">
        <v>1341</v>
      </c>
      <c r="I1878" s="133" t="s">
        <v>1092</v>
      </c>
      <c r="J1878" s="133" t="s">
        <v>1668</v>
      </c>
      <c r="K1878" s="143">
        <v>45566</v>
      </c>
      <c r="L1878" s="133" t="s">
        <v>1092</v>
      </c>
      <c r="M1878" s="133">
        <v>23745</v>
      </c>
      <c r="N1878" s="147">
        <f>+F1878-M1878-M1879</f>
        <v>0</v>
      </c>
      <c r="P1878" s="140"/>
    </row>
    <row r="1879" spans="1:16" hidden="1" x14ac:dyDescent="0.35">
      <c r="A1879" s="146"/>
      <c r="B1879" s="143"/>
      <c r="C1879" s="133"/>
      <c r="D1879" s="133"/>
      <c r="E1879" s="145"/>
      <c r="F1879" s="145"/>
      <c r="G1879" s="133" t="s">
        <v>1034</v>
      </c>
      <c r="H1879" s="144" t="s">
        <v>1341</v>
      </c>
      <c r="I1879" s="133" t="s">
        <v>1092</v>
      </c>
      <c r="J1879" s="133" t="s">
        <v>1667</v>
      </c>
      <c r="K1879" s="143">
        <v>45566</v>
      </c>
      <c r="L1879" s="133" t="s">
        <v>1241</v>
      </c>
      <c r="M1879" s="133">
        <v>1255</v>
      </c>
      <c r="N1879" s="142"/>
      <c r="P1879" s="140"/>
    </row>
    <row r="1880" spans="1:16" hidden="1" x14ac:dyDescent="0.35">
      <c r="A1880" s="146"/>
      <c r="B1880" s="143"/>
      <c r="C1880" s="133"/>
      <c r="D1880" s="133"/>
      <c r="E1880" s="145"/>
      <c r="F1880" s="145"/>
      <c r="G1880" s="133"/>
      <c r="H1880" s="144"/>
      <c r="I1880" s="133"/>
      <c r="J1880" s="133"/>
      <c r="K1880" s="143"/>
      <c r="L1880" s="133"/>
      <c r="M1880" s="133"/>
      <c r="N1880" s="142"/>
      <c r="P1880" s="140"/>
    </row>
    <row r="1881" spans="1:16" hidden="1" x14ac:dyDescent="0.35">
      <c r="A1881" s="146">
        <v>144</v>
      </c>
      <c r="B1881" s="143">
        <v>45536</v>
      </c>
      <c r="C1881" s="133" t="s">
        <v>1675</v>
      </c>
      <c r="D1881" s="133" t="s">
        <v>1674</v>
      </c>
      <c r="E1881" s="145" t="s">
        <v>1342</v>
      </c>
      <c r="F1881" s="145">
        <v>1275</v>
      </c>
      <c r="G1881" s="133" t="s">
        <v>1034</v>
      </c>
      <c r="H1881" s="144" t="s">
        <v>1341</v>
      </c>
      <c r="I1881" s="133" t="s">
        <v>1092</v>
      </c>
      <c r="J1881" s="133" t="s">
        <v>1668</v>
      </c>
      <c r="K1881" s="143">
        <v>45566</v>
      </c>
      <c r="L1881" s="133" t="s">
        <v>1092</v>
      </c>
      <c r="M1881" s="133">
        <v>2810.4</v>
      </c>
      <c r="N1881" s="183">
        <f>+F1881+F1882-M1881-M1882-M1883</f>
        <v>0</v>
      </c>
      <c r="P1881" s="140"/>
    </row>
    <row r="1882" spans="1:16" hidden="1" x14ac:dyDescent="0.35">
      <c r="A1882" s="146"/>
      <c r="B1882" s="143"/>
      <c r="C1882" s="133"/>
      <c r="D1882" s="133"/>
      <c r="E1882" s="145" t="s">
        <v>1067</v>
      </c>
      <c r="F1882" s="145">
        <v>2810.4</v>
      </c>
      <c r="G1882" s="133" t="s">
        <v>1034</v>
      </c>
      <c r="H1882" s="144" t="s">
        <v>1341</v>
      </c>
      <c r="I1882" s="133" t="s">
        <v>1092</v>
      </c>
      <c r="J1882" s="133" t="s">
        <v>1667</v>
      </c>
      <c r="K1882" s="143">
        <v>45566</v>
      </c>
      <c r="L1882" s="133" t="s">
        <v>1241</v>
      </c>
      <c r="M1882" s="133">
        <v>205</v>
      </c>
      <c r="N1882" s="142"/>
      <c r="P1882" s="140"/>
    </row>
    <row r="1883" spans="1:16" hidden="1" x14ac:dyDescent="0.35">
      <c r="A1883" s="146"/>
      <c r="B1883" s="143"/>
      <c r="C1883" s="133"/>
      <c r="D1883" s="133"/>
      <c r="E1883" s="145"/>
      <c r="F1883" s="145"/>
      <c r="G1883" s="133" t="s">
        <v>1034</v>
      </c>
      <c r="H1883" s="144" t="s">
        <v>1341</v>
      </c>
      <c r="I1883" s="133" t="s">
        <v>1092</v>
      </c>
      <c r="J1883" s="133" t="s">
        <v>1660</v>
      </c>
      <c r="K1883" s="143">
        <v>45566</v>
      </c>
      <c r="L1883" s="133" t="s">
        <v>1092</v>
      </c>
      <c r="M1883" s="133">
        <v>1070</v>
      </c>
      <c r="N1883" s="142"/>
      <c r="P1883" s="140"/>
    </row>
    <row r="1884" spans="1:16" hidden="1" x14ac:dyDescent="0.35">
      <c r="A1884" s="146"/>
      <c r="B1884" s="143"/>
      <c r="C1884" s="133"/>
      <c r="D1884" s="133"/>
      <c r="E1884" s="145"/>
      <c r="F1884" s="145"/>
      <c r="G1884" s="133"/>
      <c r="H1884" s="144"/>
      <c r="I1884" s="133"/>
      <c r="J1884" s="133"/>
      <c r="K1884" s="133"/>
      <c r="L1884" s="133"/>
      <c r="M1884" s="133"/>
      <c r="N1884" s="142"/>
      <c r="P1884" s="140"/>
    </row>
    <row r="1885" spans="1:16" hidden="1" x14ac:dyDescent="0.35">
      <c r="A1885" s="146">
        <v>145</v>
      </c>
      <c r="B1885" s="143">
        <v>45536</v>
      </c>
      <c r="C1885" s="133" t="s">
        <v>1673</v>
      </c>
      <c r="D1885" s="133" t="s">
        <v>1197</v>
      </c>
      <c r="E1885" s="145" t="s">
        <v>1342</v>
      </c>
      <c r="F1885" s="145">
        <v>279</v>
      </c>
      <c r="G1885" s="133" t="s">
        <v>1034</v>
      </c>
      <c r="H1885" s="144" t="s">
        <v>1341</v>
      </c>
      <c r="I1885" s="133" t="s">
        <v>1092</v>
      </c>
      <c r="J1885" s="133" t="s">
        <v>1668</v>
      </c>
      <c r="K1885" s="143">
        <v>45566</v>
      </c>
      <c r="L1885" s="133" t="s">
        <v>1092</v>
      </c>
      <c r="M1885" s="133">
        <f>2090+721.4+279</f>
        <v>3090.4</v>
      </c>
      <c r="N1885" s="183">
        <f>+F1885+F1886+F1887+F1888-M1885-M1886-M1887</f>
        <v>0</v>
      </c>
      <c r="P1885" s="140"/>
    </row>
    <row r="1886" spans="1:16" hidden="1" x14ac:dyDescent="0.35">
      <c r="A1886" s="146"/>
      <c r="B1886" s="143"/>
      <c r="C1886" s="133"/>
      <c r="D1886" s="133"/>
      <c r="E1886" s="145" t="s">
        <v>1067</v>
      </c>
      <c r="F1886" s="176">
        <v>2090</v>
      </c>
      <c r="G1886" s="133" t="s">
        <v>1034</v>
      </c>
      <c r="H1886" s="144" t="s">
        <v>1341</v>
      </c>
      <c r="I1886" s="133" t="s">
        <v>1092</v>
      </c>
      <c r="J1886" s="133" t="s">
        <v>1667</v>
      </c>
      <c r="K1886" s="143">
        <v>45566</v>
      </c>
      <c r="L1886" s="133" t="s">
        <v>1241</v>
      </c>
      <c r="M1886" s="133">
        <v>650</v>
      </c>
      <c r="N1886" s="142"/>
      <c r="P1886" s="140"/>
    </row>
    <row r="1887" spans="1:16" hidden="1" x14ac:dyDescent="0.35">
      <c r="A1887" s="146"/>
      <c r="B1887" s="143"/>
      <c r="C1887" s="133"/>
      <c r="D1887" s="133"/>
      <c r="E1887" s="145" t="s">
        <v>1064</v>
      </c>
      <c r="F1887" s="145">
        <v>721.4</v>
      </c>
      <c r="G1887" s="133" t="s">
        <v>1034</v>
      </c>
      <c r="H1887" s="144" t="s">
        <v>1341</v>
      </c>
      <c r="I1887" s="133" t="s">
        <v>1092</v>
      </c>
      <c r="J1887" s="133" t="s">
        <v>1624</v>
      </c>
      <c r="K1887" s="143">
        <v>45597</v>
      </c>
      <c r="L1887" s="133" t="s">
        <v>1092</v>
      </c>
      <c r="M1887" s="133">
        <v>9296.7999999999993</v>
      </c>
      <c r="N1887" s="142"/>
      <c r="P1887" s="140"/>
    </row>
    <row r="1888" spans="1:16" hidden="1" x14ac:dyDescent="0.35">
      <c r="A1888" s="146"/>
      <c r="B1888" s="143"/>
      <c r="C1888" s="133"/>
      <c r="D1888" s="133"/>
      <c r="E1888" s="145" t="s">
        <v>1075</v>
      </c>
      <c r="F1888" s="145">
        <v>9946.7999999999993</v>
      </c>
      <c r="G1888" s="133"/>
      <c r="H1888" s="144"/>
      <c r="I1888" s="133"/>
      <c r="J1888" s="133"/>
      <c r="K1888" s="133"/>
      <c r="L1888" s="133"/>
      <c r="M1888" s="133"/>
      <c r="N1888" s="142"/>
      <c r="P1888" s="140"/>
    </row>
    <row r="1889" spans="1:16" hidden="1" x14ac:dyDescent="0.35">
      <c r="A1889" s="146"/>
      <c r="B1889" s="143"/>
      <c r="C1889" s="133"/>
      <c r="D1889" s="133"/>
      <c r="E1889" s="145"/>
      <c r="F1889" s="145"/>
      <c r="G1889" s="133"/>
      <c r="H1889" s="144"/>
      <c r="I1889" s="133"/>
      <c r="J1889" s="133"/>
      <c r="K1889" s="133"/>
      <c r="L1889" s="133"/>
      <c r="M1889" s="133"/>
      <c r="N1889" s="142"/>
      <c r="P1889" s="140"/>
    </row>
    <row r="1890" spans="1:16" hidden="1" x14ac:dyDescent="0.35">
      <c r="A1890" s="146">
        <v>146</v>
      </c>
      <c r="B1890" s="143">
        <v>45536</v>
      </c>
      <c r="C1890" s="133" t="s">
        <v>1672</v>
      </c>
      <c r="D1890" s="133" t="s">
        <v>1669</v>
      </c>
      <c r="E1890" s="148" t="s">
        <v>1059</v>
      </c>
      <c r="F1890" s="145">
        <v>25000</v>
      </c>
      <c r="G1890" s="133" t="s">
        <v>1034</v>
      </c>
      <c r="H1890" s="144" t="s">
        <v>1341</v>
      </c>
      <c r="I1890" s="133" t="s">
        <v>1092</v>
      </c>
      <c r="J1890" s="133" t="s">
        <v>1667</v>
      </c>
      <c r="K1890" s="143">
        <v>45566</v>
      </c>
      <c r="L1890" s="133" t="s">
        <v>1241</v>
      </c>
      <c r="M1890" s="133">
        <v>1249</v>
      </c>
      <c r="N1890" s="147">
        <f>+F1890-M1890-M1891</f>
        <v>0</v>
      </c>
      <c r="P1890" s="140"/>
    </row>
    <row r="1891" spans="1:16" hidden="1" x14ac:dyDescent="0.35">
      <c r="A1891" s="146"/>
      <c r="B1891" s="143"/>
      <c r="C1891" s="133"/>
      <c r="D1891" s="133"/>
      <c r="E1891" s="148"/>
      <c r="F1891" s="145"/>
      <c r="G1891" s="133" t="s">
        <v>1034</v>
      </c>
      <c r="H1891" s="144" t="s">
        <v>1341</v>
      </c>
      <c r="I1891" s="133" t="s">
        <v>1092</v>
      </c>
      <c r="J1891" s="133" t="s">
        <v>1671</v>
      </c>
      <c r="K1891" s="143">
        <v>45566</v>
      </c>
      <c r="L1891" s="133" t="s">
        <v>1092</v>
      </c>
      <c r="M1891" s="133">
        <v>23751</v>
      </c>
      <c r="N1891" s="142"/>
      <c r="P1891" s="140"/>
    </row>
    <row r="1892" spans="1:16" hidden="1" x14ac:dyDescent="0.35">
      <c r="A1892" s="146"/>
      <c r="B1892" s="143"/>
      <c r="C1892" s="133"/>
      <c r="D1892" s="133"/>
      <c r="E1892" s="145"/>
      <c r="F1892" s="145"/>
      <c r="G1892" s="133"/>
      <c r="H1892" s="144"/>
      <c r="I1892" s="133"/>
      <c r="J1892" s="133"/>
      <c r="K1892" s="133"/>
      <c r="L1892" s="133"/>
      <c r="M1892" s="133"/>
      <c r="N1892" s="142"/>
      <c r="P1892" s="140"/>
    </row>
    <row r="1893" spans="1:16" hidden="1" x14ac:dyDescent="0.35">
      <c r="A1893" s="146">
        <v>147</v>
      </c>
      <c r="B1893" s="143">
        <v>45536</v>
      </c>
      <c r="C1893" s="133" t="s">
        <v>1670</v>
      </c>
      <c r="D1893" s="133" t="s">
        <v>1669</v>
      </c>
      <c r="E1893" s="145" t="s">
        <v>1342</v>
      </c>
      <c r="F1893" s="145">
        <v>7302</v>
      </c>
      <c r="G1893" s="133" t="s">
        <v>1034</v>
      </c>
      <c r="H1893" s="144" t="s">
        <v>1341</v>
      </c>
      <c r="I1893" s="133" t="s">
        <v>1092</v>
      </c>
      <c r="J1893" s="133" t="s">
        <v>1668</v>
      </c>
      <c r="K1893" s="143">
        <v>45566</v>
      </c>
      <c r="L1893" s="133" t="s">
        <v>1092</v>
      </c>
      <c r="M1893" s="133">
        <v>1992</v>
      </c>
      <c r="N1893" s="147">
        <f>+F1893+F1894-M1893-M1894-M1895</f>
        <v>0</v>
      </c>
      <c r="P1893" s="140"/>
    </row>
    <row r="1894" spans="1:16" hidden="1" x14ac:dyDescent="0.35">
      <c r="A1894" s="146"/>
      <c r="B1894" s="143"/>
      <c r="C1894" s="133"/>
      <c r="D1894" s="133"/>
      <c r="E1894" s="145" t="s">
        <v>1067</v>
      </c>
      <c r="F1894" s="145">
        <v>2483</v>
      </c>
      <c r="G1894" s="133" t="s">
        <v>1034</v>
      </c>
      <c r="H1894" s="144" t="s">
        <v>1341</v>
      </c>
      <c r="I1894" s="133" t="s">
        <v>1092</v>
      </c>
      <c r="J1894" s="133" t="s">
        <v>1667</v>
      </c>
      <c r="K1894" s="143">
        <v>45566</v>
      </c>
      <c r="L1894" s="133" t="s">
        <v>1241</v>
      </c>
      <c r="M1894" s="133">
        <v>491</v>
      </c>
      <c r="N1894" s="142"/>
      <c r="P1894" s="140"/>
    </row>
    <row r="1895" spans="1:16" hidden="1" x14ac:dyDescent="0.35">
      <c r="A1895" s="146"/>
      <c r="B1895" s="143"/>
      <c r="C1895" s="133"/>
      <c r="D1895" s="133"/>
      <c r="E1895" s="145"/>
      <c r="F1895" s="145"/>
      <c r="G1895" s="133" t="s">
        <v>1034</v>
      </c>
      <c r="H1895" s="144" t="s">
        <v>1341</v>
      </c>
      <c r="I1895" s="133" t="s">
        <v>1092</v>
      </c>
      <c r="J1895" s="133" t="s">
        <v>1553</v>
      </c>
      <c r="K1895" s="143">
        <v>45627</v>
      </c>
      <c r="L1895" s="133" t="s">
        <v>1092</v>
      </c>
      <c r="M1895" s="133">
        <v>7302</v>
      </c>
      <c r="N1895" s="142"/>
      <c r="P1895" s="140"/>
    </row>
    <row r="1896" spans="1:16" hidden="1" x14ac:dyDescent="0.35">
      <c r="A1896" s="146"/>
      <c r="B1896" s="143"/>
      <c r="C1896" s="133"/>
      <c r="D1896" s="133"/>
      <c r="E1896" s="145"/>
      <c r="F1896" s="145"/>
      <c r="G1896" s="133"/>
      <c r="H1896" s="144"/>
      <c r="I1896" s="133"/>
      <c r="J1896" s="133"/>
      <c r="K1896" s="133"/>
      <c r="L1896" s="133"/>
      <c r="M1896" s="133"/>
      <c r="N1896" s="142"/>
      <c r="P1896" s="140"/>
    </row>
    <row r="1897" spans="1:16" hidden="1" x14ac:dyDescent="0.35">
      <c r="A1897" s="146">
        <v>148</v>
      </c>
      <c r="B1897" s="143">
        <v>45536</v>
      </c>
      <c r="C1897" s="133" t="s">
        <v>1666</v>
      </c>
      <c r="D1897" s="133" t="s">
        <v>1195</v>
      </c>
      <c r="E1897" s="145" t="s">
        <v>1342</v>
      </c>
      <c r="F1897" s="145">
        <v>2477.1</v>
      </c>
      <c r="G1897" s="133" t="s">
        <v>1034</v>
      </c>
      <c r="H1897" s="144" t="s">
        <v>1341</v>
      </c>
      <c r="I1897" s="133" t="s">
        <v>1092</v>
      </c>
      <c r="J1897" s="133" t="s">
        <v>1649</v>
      </c>
      <c r="K1897" s="143">
        <v>45597</v>
      </c>
      <c r="L1897" s="133" t="s">
        <v>1092</v>
      </c>
      <c r="M1897" s="133">
        <f>257.3+1318+290</f>
        <v>1865.3</v>
      </c>
      <c r="N1897" s="147">
        <f>+F1897+F1898+F1899+F1900-M1897-M1898-M1899</f>
        <v>0</v>
      </c>
      <c r="P1897" s="140"/>
    </row>
    <row r="1898" spans="1:16" hidden="1" x14ac:dyDescent="0.35">
      <c r="A1898" s="146"/>
      <c r="B1898" s="143"/>
      <c r="C1898" s="133"/>
      <c r="D1898" s="133"/>
      <c r="E1898" s="145" t="s">
        <v>1067</v>
      </c>
      <c r="F1898" s="176">
        <v>257.3</v>
      </c>
      <c r="G1898" s="133" t="s">
        <v>1034</v>
      </c>
      <c r="H1898" s="144" t="s">
        <v>1341</v>
      </c>
      <c r="I1898" s="133" t="s">
        <v>1092</v>
      </c>
      <c r="J1898" s="133" t="s">
        <v>1623</v>
      </c>
      <c r="K1898" s="143">
        <v>45597</v>
      </c>
      <c r="L1898" s="133" t="s">
        <v>1241</v>
      </c>
      <c r="M1898" s="133">
        <v>229</v>
      </c>
      <c r="N1898" s="142"/>
      <c r="P1898" s="140"/>
    </row>
    <row r="1899" spans="1:16" hidden="1" x14ac:dyDescent="0.35">
      <c r="A1899" s="146"/>
      <c r="B1899" s="143"/>
      <c r="C1899" s="133"/>
      <c r="D1899" s="133"/>
      <c r="E1899" s="145" t="s">
        <v>1064</v>
      </c>
      <c r="F1899" s="145">
        <v>1318</v>
      </c>
      <c r="G1899" s="133" t="s">
        <v>1034</v>
      </c>
      <c r="H1899" s="144" t="s">
        <v>1341</v>
      </c>
      <c r="I1899" s="133" t="s">
        <v>1092</v>
      </c>
      <c r="J1899" s="133" t="s">
        <v>1614</v>
      </c>
      <c r="K1899" s="143">
        <v>45597</v>
      </c>
      <c r="L1899" s="133" t="s">
        <v>1092</v>
      </c>
      <c r="M1899" s="133">
        <v>2477.1</v>
      </c>
      <c r="N1899" s="142"/>
      <c r="P1899" s="140"/>
    </row>
    <row r="1900" spans="1:16" hidden="1" x14ac:dyDescent="0.35">
      <c r="A1900" s="146"/>
      <c r="B1900" s="143"/>
      <c r="C1900" s="133"/>
      <c r="D1900" s="133"/>
      <c r="E1900" s="145" t="s">
        <v>1075</v>
      </c>
      <c r="F1900" s="145">
        <v>519</v>
      </c>
      <c r="G1900" s="133"/>
      <c r="H1900" s="144"/>
      <c r="I1900" s="133"/>
      <c r="J1900" s="133"/>
      <c r="K1900" s="133"/>
      <c r="L1900" s="133"/>
      <c r="M1900" s="133"/>
      <c r="N1900" s="142"/>
      <c r="P1900" s="140"/>
    </row>
    <row r="1901" spans="1:16" hidden="1" x14ac:dyDescent="0.35">
      <c r="A1901" s="146"/>
      <c r="B1901" s="143"/>
      <c r="C1901" s="133"/>
      <c r="D1901" s="133"/>
      <c r="E1901" s="145"/>
      <c r="F1901" s="145"/>
      <c r="G1901" s="133"/>
      <c r="H1901" s="144"/>
      <c r="I1901" s="133"/>
      <c r="J1901" s="133"/>
      <c r="K1901" s="133"/>
      <c r="L1901" s="133"/>
      <c r="M1901" s="133"/>
      <c r="N1901" s="142"/>
      <c r="P1901" s="140"/>
    </row>
    <row r="1902" spans="1:16" hidden="1" x14ac:dyDescent="0.35">
      <c r="A1902" s="146">
        <v>149</v>
      </c>
      <c r="B1902" s="143">
        <v>45536</v>
      </c>
      <c r="C1902" s="133" t="s">
        <v>1665</v>
      </c>
      <c r="D1902" s="133" t="s">
        <v>1664</v>
      </c>
      <c r="E1902" s="148" t="s">
        <v>1059</v>
      </c>
      <c r="F1902" s="145">
        <v>25000</v>
      </c>
      <c r="G1902" s="133" t="s">
        <v>1034</v>
      </c>
      <c r="H1902" s="144" t="s">
        <v>1341</v>
      </c>
      <c r="I1902" s="133" t="s">
        <v>1092</v>
      </c>
      <c r="J1902" s="133" t="s">
        <v>1660</v>
      </c>
      <c r="K1902" s="143">
        <v>45566</v>
      </c>
      <c r="L1902" s="133" t="s">
        <v>1092</v>
      </c>
      <c r="M1902" s="133">
        <v>23746</v>
      </c>
      <c r="N1902" s="147">
        <f>+F1902-M1902-M1903</f>
        <v>0</v>
      </c>
      <c r="P1902" s="140"/>
    </row>
    <row r="1903" spans="1:16" hidden="1" x14ac:dyDescent="0.35">
      <c r="A1903" s="146"/>
      <c r="B1903" s="143"/>
      <c r="C1903" s="133"/>
      <c r="D1903" s="133"/>
      <c r="E1903" s="145"/>
      <c r="F1903" s="145"/>
      <c r="G1903" s="133" t="s">
        <v>1034</v>
      </c>
      <c r="H1903" s="144" t="s">
        <v>1341</v>
      </c>
      <c r="I1903" s="133" t="s">
        <v>1092</v>
      </c>
      <c r="J1903" s="133" t="s">
        <v>1623</v>
      </c>
      <c r="K1903" s="143">
        <v>45597</v>
      </c>
      <c r="L1903" s="133" t="s">
        <v>1241</v>
      </c>
      <c r="M1903" s="133">
        <v>1254</v>
      </c>
      <c r="N1903" s="142"/>
      <c r="P1903" s="140"/>
    </row>
    <row r="1904" spans="1:16" hidden="1" x14ac:dyDescent="0.35">
      <c r="A1904" s="146"/>
      <c r="B1904" s="143"/>
      <c r="C1904" s="133"/>
      <c r="D1904" s="133"/>
      <c r="E1904" s="145"/>
      <c r="F1904" s="145"/>
      <c r="G1904" s="133"/>
      <c r="H1904" s="144"/>
      <c r="I1904" s="133"/>
      <c r="J1904" s="133"/>
      <c r="K1904" s="143"/>
      <c r="L1904" s="133"/>
      <c r="M1904" s="133"/>
      <c r="N1904" s="142"/>
      <c r="P1904" s="140"/>
    </row>
    <row r="1905" spans="1:16" hidden="1" x14ac:dyDescent="0.35">
      <c r="A1905" s="146">
        <v>150</v>
      </c>
      <c r="B1905" s="143">
        <v>45536</v>
      </c>
      <c r="C1905" s="133" t="s">
        <v>1663</v>
      </c>
      <c r="D1905" s="133" t="s">
        <v>1662</v>
      </c>
      <c r="E1905" s="145" t="s">
        <v>1342</v>
      </c>
      <c r="F1905" s="145">
        <v>3771</v>
      </c>
      <c r="G1905" s="133" t="s">
        <v>1034</v>
      </c>
      <c r="H1905" s="144" t="s">
        <v>1341</v>
      </c>
      <c r="I1905" s="133" t="s">
        <v>1092</v>
      </c>
      <c r="J1905" s="133" t="s">
        <v>1649</v>
      </c>
      <c r="K1905" s="143">
        <v>45597</v>
      </c>
      <c r="L1905" s="133" t="s">
        <v>1092</v>
      </c>
      <c r="M1905" s="133">
        <f>803.3+1497.3+11806.5</f>
        <v>14107.1</v>
      </c>
      <c r="N1905" s="147">
        <f>+F1905+F1906+F1907+F1908-M1905-M1906-M1907</f>
        <v>0</v>
      </c>
      <c r="P1905" s="140"/>
    </row>
    <row r="1906" spans="1:16" hidden="1" x14ac:dyDescent="0.35">
      <c r="A1906" s="146"/>
      <c r="B1906" s="143"/>
      <c r="C1906" s="133"/>
      <c r="D1906" s="133"/>
      <c r="E1906" s="145" t="s">
        <v>1067</v>
      </c>
      <c r="F1906" s="176">
        <v>1497.3</v>
      </c>
      <c r="G1906" s="133" t="s">
        <v>1034</v>
      </c>
      <c r="H1906" s="144" t="s">
        <v>1341</v>
      </c>
      <c r="I1906" s="133" t="s">
        <v>1092</v>
      </c>
      <c r="J1906" s="133" t="s">
        <v>1623</v>
      </c>
      <c r="K1906" s="143">
        <v>45597</v>
      </c>
      <c r="L1906" s="133" t="s">
        <v>1241</v>
      </c>
      <c r="M1906" s="133">
        <v>938</v>
      </c>
      <c r="N1906" s="142"/>
      <c r="P1906" s="140"/>
    </row>
    <row r="1907" spans="1:16" hidden="1" x14ac:dyDescent="0.35">
      <c r="A1907" s="146"/>
      <c r="B1907" s="143"/>
      <c r="C1907" s="133"/>
      <c r="D1907" s="133"/>
      <c r="E1907" s="145" t="s">
        <v>1064</v>
      </c>
      <c r="F1907" s="145">
        <v>803.3</v>
      </c>
      <c r="G1907" s="133" t="s">
        <v>1034</v>
      </c>
      <c r="H1907" s="144" t="s">
        <v>1341</v>
      </c>
      <c r="I1907" s="133" t="s">
        <v>1092</v>
      </c>
      <c r="J1907" s="133" t="s">
        <v>1614</v>
      </c>
      <c r="K1907" s="143">
        <v>45597</v>
      </c>
      <c r="L1907" s="133" t="s">
        <v>1092</v>
      </c>
      <c r="M1907" s="133">
        <v>3771</v>
      </c>
      <c r="N1907" s="142"/>
      <c r="P1907" s="140"/>
    </row>
    <row r="1908" spans="1:16" hidden="1" x14ac:dyDescent="0.35">
      <c r="A1908" s="146"/>
      <c r="B1908" s="143"/>
      <c r="C1908" s="133"/>
      <c r="D1908" s="133"/>
      <c r="E1908" s="145" t="s">
        <v>1075</v>
      </c>
      <c r="F1908" s="145">
        <v>12744.5</v>
      </c>
      <c r="G1908" s="133"/>
      <c r="H1908" s="144"/>
      <c r="I1908" s="133"/>
      <c r="J1908" s="133"/>
      <c r="K1908" s="133"/>
      <c r="L1908" s="133"/>
      <c r="M1908" s="133"/>
      <c r="N1908" s="142"/>
      <c r="P1908" s="140"/>
    </row>
    <row r="1909" spans="1:16" hidden="1" x14ac:dyDescent="0.35">
      <c r="A1909" s="146"/>
      <c r="B1909" s="143"/>
      <c r="C1909" s="133"/>
      <c r="D1909" s="133"/>
      <c r="E1909" s="145"/>
      <c r="F1909" s="145"/>
      <c r="G1909" s="133"/>
      <c r="H1909" s="144"/>
      <c r="I1909" s="133"/>
      <c r="J1909" s="133"/>
      <c r="K1909" s="133"/>
      <c r="L1909" s="133"/>
      <c r="M1909" s="133"/>
      <c r="N1909" s="142"/>
      <c r="P1909" s="140"/>
    </row>
    <row r="1910" spans="1:16" hidden="1" x14ac:dyDescent="0.35">
      <c r="A1910" s="146">
        <v>151</v>
      </c>
      <c r="B1910" s="143">
        <v>45536</v>
      </c>
      <c r="C1910" s="133" t="s">
        <v>1661</v>
      </c>
      <c r="D1910" s="133" t="s">
        <v>1658</v>
      </c>
      <c r="E1910" s="148" t="s">
        <v>1059</v>
      </c>
      <c r="F1910" s="145">
        <v>25000</v>
      </c>
      <c r="G1910" s="133" t="s">
        <v>1034</v>
      </c>
      <c r="H1910" s="144" t="s">
        <v>1341</v>
      </c>
      <c r="I1910" s="133" t="s">
        <v>1092</v>
      </c>
      <c r="J1910" s="133" t="s">
        <v>1660</v>
      </c>
      <c r="K1910" s="143">
        <v>45566</v>
      </c>
      <c r="L1910" s="133" t="s">
        <v>1092</v>
      </c>
      <c r="M1910" s="133">
        <v>23758</v>
      </c>
      <c r="N1910" s="147">
        <f>+F1910-M1910-M1911</f>
        <v>0</v>
      </c>
      <c r="P1910" s="140"/>
    </row>
    <row r="1911" spans="1:16" hidden="1" x14ac:dyDescent="0.35">
      <c r="A1911" s="146"/>
      <c r="B1911" s="143"/>
      <c r="C1911" s="133"/>
      <c r="D1911" s="133"/>
      <c r="E1911" s="145"/>
      <c r="F1911" s="145"/>
      <c r="G1911" s="133" t="s">
        <v>1034</v>
      </c>
      <c r="H1911" s="144" t="s">
        <v>1341</v>
      </c>
      <c r="I1911" s="133" t="s">
        <v>1092</v>
      </c>
      <c r="J1911" s="133" t="s">
        <v>1623</v>
      </c>
      <c r="K1911" s="143">
        <v>45597</v>
      </c>
      <c r="L1911" s="133" t="s">
        <v>1241</v>
      </c>
      <c r="M1911" s="133">
        <v>1242</v>
      </c>
      <c r="N1911" s="142"/>
      <c r="P1911" s="140"/>
    </row>
    <row r="1912" spans="1:16" hidden="1" x14ac:dyDescent="0.35">
      <c r="A1912" s="146"/>
      <c r="B1912" s="143"/>
      <c r="C1912" s="133"/>
      <c r="D1912" s="133"/>
      <c r="E1912" s="145"/>
      <c r="F1912" s="145"/>
      <c r="G1912" s="133"/>
      <c r="H1912" s="144"/>
      <c r="I1912" s="133"/>
      <c r="J1912" s="133"/>
      <c r="K1912" s="143"/>
      <c r="L1912" s="133"/>
      <c r="M1912" s="133"/>
      <c r="N1912" s="142"/>
      <c r="P1912" s="140"/>
    </row>
    <row r="1913" spans="1:16" hidden="1" x14ac:dyDescent="0.35">
      <c r="A1913" s="146">
        <v>152</v>
      </c>
      <c r="B1913" s="143">
        <v>45536</v>
      </c>
      <c r="C1913" s="133" t="s">
        <v>1659</v>
      </c>
      <c r="D1913" s="133" t="s">
        <v>1658</v>
      </c>
      <c r="E1913" s="145" t="s">
        <v>1342</v>
      </c>
      <c r="F1913" s="145">
        <v>2004</v>
      </c>
      <c r="G1913" s="133" t="s">
        <v>1034</v>
      </c>
      <c r="H1913" s="144" t="s">
        <v>1341</v>
      </c>
      <c r="I1913" s="133" t="s">
        <v>1092</v>
      </c>
      <c r="J1913" s="133" t="s">
        <v>1649</v>
      </c>
      <c r="K1913" s="143">
        <v>45597</v>
      </c>
      <c r="L1913" s="133" t="s">
        <v>1092</v>
      </c>
      <c r="M1913" s="133">
        <f>7618+1807.9</f>
        <v>9425.9</v>
      </c>
      <c r="N1913" s="147">
        <f>+F1913+F1914+F1915-M1913-M1914-M1915</f>
        <v>0</v>
      </c>
      <c r="P1913" s="140"/>
    </row>
    <row r="1914" spans="1:16" hidden="1" x14ac:dyDescent="0.35">
      <c r="A1914" s="146"/>
      <c r="B1914" s="143"/>
      <c r="C1914" s="133"/>
      <c r="D1914" s="133"/>
      <c r="E1914" s="145" t="s">
        <v>1075</v>
      </c>
      <c r="F1914" s="176">
        <v>8226</v>
      </c>
      <c r="G1914" s="133" t="s">
        <v>1034</v>
      </c>
      <c r="H1914" s="144" t="s">
        <v>1341</v>
      </c>
      <c r="I1914" s="133" t="s">
        <v>1092</v>
      </c>
      <c r="J1914" s="133" t="s">
        <v>1623</v>
      </c>
      <c r="K1914" s="143">
        <v>45597</v>
      </c>
      <c r="L1914" s="133" t="s">
        <v>1241</v>
      </c>
      <c r="M1914" s="133">
        <v>608</v>
      </c>
      <c r="N1914" s="142"/>
      <c r="P1914" s="140"/>
    </row>
    <row r="1915" spans="1:16" hidden="1" x14ac:dyDescent="0.35">
      <c r="A1915" s="146"/>
      <c r="B1915" s="143"/>
      <c r="C1915" s="133"/>
      <c r="D1915" s="133"/>
      <c r="E1915" s="145" t="s">
        <v>1118</v>
      </c>
      <c r="F1915" s="145">
        <v>1807.9</v>
      </c>
      <c r="G1915" s="133" t="s">
        <v>1034</v>
      </c>
      <c r="H1915" s="144" t="s">
        <v>1341</v>
      </c>
      <c r="I1915" s="133" t="s">
        <v>1092</v>
      </c>
      <c r="J1915" s="133" t="s">
        <v>1553</v>
      </c>
      <c r="K1915" s="143">
        <v>45627</v>
      </c>
      <c r="L1915" s="133" t="s">
        <v>1092</v>
      </c>
      <c r="M1915" s="133">
        <v>2004</v>
      </c>
      <c r="N1915" s="142"/>
      <c r="P1915" s="140"/>
    </row>
    <row r="1916" spans="1:16" hidden="1" x14ac:dyDescent="0.35">
      <c r="A1916" s="146"/>
      <c r="B1916" s="143"/>
      <c r="C1916" s="133"/>
      <c r="D1916" s="133"/>
      <c r="E1916" s="145"/>
      <c r="F1916" s="145"/>
      <c r="G1916" s="133"/>
      <c r="H1916" s="144"/>
      <c r="I1916" s="133"/>
      <c r="J1916" s="133"/>
      <c r="K1916" s="133"/>
      <c r="L1916" s="133"/>
      <c r="M1916" s="133"/>
      <c r="N1916" s="142"/>
      <c r="P1916" s="140"/>
    </row>
    <row r="1917" spans="1:16" hidden="1" x14ac:dyDescent="0.35">
      <c r="A1917" s="146">
        <v>153</v>
      </c>
      <c r="B1917" s="143">
        <v>45536</v>
      </c>
      <c r="C1917" s="133" t="s">
        <v>1657</v>
      </c>
      <c r="D1917" s="133" t="s">
        <v>1193</v>
      </c>
      <c r="E1917" s="145" t="s">
        <v>1342</v>
      </c>
      <c r="F1917" s="145">
        <v>4076</v>
      </c>
      <c r="G1917" s="133" t="s">
        <v>1034</v>
      </c>
      <c r="H1917" s="144" t="s">
        <v>1341</v>
      </c>
      <c r="I1917" s="133" t="s">
        <v>1092</v>
      </c>
      <c r="J1917" s="133" t="s">
        <v>1649</v>
      </c>
      <c r="K1917" s="143">
        <v>45597</v>
      </c>
      <c r="L1917" s="133" t="s">
        <v>1092</v>
      </c>
      <c r="M1917" s="133">
        <f>101.6+386.3+2507.9</f>
        <v>2995.8</v>
      </c>
      <c r="N1917" s="147">
        <f>+F1917+F1918+F1919+F1920-M1917-M1918-M1919</f>
        <v>0</v>
      </c>
      <c r="P1917" s="140"/>
    </row>
    <row r="1918" spans="1:16" hidden="1" x14ac:dyDescent="0.35">
      <c r="A1918" s="146"/>
      <c r="B1918" s="143"/>
      <c r="C1918" s="133"/>
      <c r="D1918" s="133"/>
      <c r="E1918" s="145" t="s">
        <v>1078</v>
      </c>
      <c r="F1918" s="176">
        <v>101.6</v>
      </c>
      <c r="G1918" s="133" t="s">
        <v>1034</v>
      </c>
      <c r="H1918" s="144" t="s">
        <v>1341</v>
      </c>
      <c r="I1918" s="133" t="s">
        <v>1092</v>
      </c>
      <c r="J1918" s="133" t="s">
        <v>1623</v>
      </c>
      <c r="K1918" s="143">
        <v>45597</v>
      </c>
      <c r="L1918" s="133" t="s">
        <v>1241</v>
      </c>
      <c r="M1918" s="133">
        <v>370</v>
      </c>
      <c r="N1918" s="142"/>
      <c r="P1918" s="140"/>
    </row>
    <row r="1919" spans="1:16" hidden="1" x14ac:dyDescent="0.35">
      <c r="A1919" s="146"/>
      <c r="B1919" s="143"/>
      <c r="C1919" s="133"/>
      <c r="D1919" s="133"/>
      <c r="E1919" s="145" t="s">
        <v>1064</v>
      </c>
      <c r="F1919" s="145">
        <v>756.3</v>
      </c>
      <c r="G1919" s="133" t="s">
        <v>1034</v>
      </c>
      <c r="H1919" s="144" t="s">
        <v>1341</v>
      </c>
      <c r="I1919" s="133" t="s">
        <v>1092</v>
      </c>
      <c r="J1919" s="133" t="s">
        <v>1553</v>
      </c>
      <c r="K1919" s="143">
        <v>45627</v>
      </c>
      <c r="L1919" s="133" t="s">
        <v>1092</v>
      </c>
      <c r="M1919" s="133">
        <v>4076</v>
      </c>
      <c r="N1919" s="142"/>
      <c r="P1919" s="140"/>
    </row>
    <row r="1920" spans="1:16" hidden="1" x14ac:dyDescent="0.35">
      <c r="A1920" s="146"/>
      <c r="B1920" s="143"/>
      <c r="C1920" s="133"/>
      <c r="D1920" s="133"/>
      <c r="E1920" s="145" t="s">
        <v>1075</v>
      </c>
      <c r="F1920" s="145">
        <v>2507.9</v>
      </c>
      <c r="G1920" s="133"/>
      <c r="H1920" s="144"/>
      <c r="I1920" s="133"/>
      <c r="J1920" s="133"/>
      <c r="K1920" s="133"/>
      <c r="L1920" s="133"/>
      <c r="M1920" s="133"/>
      <c r="N1920" s="142"/>
      <c r="P1920" s="140"/>
    </row>
    <row r="1921" spans="1:16" hidden="1" x14ac:dyDescent="0.35">
      <c r="A1921" s="146"/>
      <c r="B1921" s="143"/>
      <c r="C1921" s="133"/>
      <c r="D1921" s="133"/>
      <c r="E1921" s="145"/>
      <c r="F1921" s="145"/>
      <c r="G1921" s="133"/>
      <c r="H1921" s="144"/>
      <c r="I1921" s="133"/>
      <c r="J1921" s="133"/>
      <c r="K1921" s="133"/>
      <c r="L1921" s="133"/>
      <c r="M1921" s="133"/>
      <c r="N1921" s="142"/>
      <c r="P1921" s="140"/>
    </row>
    <row r="1922" spans="1:16" hidden="1" x14ac:dyDescent="0.35">
      <c r="A1922" s="189"/>
      <c r="B1922" s="188"/>
      <c r="C1922" s="185"/>
      <c r="D1922" s="185"/>
      <c r="E1922" s="187"/>
      <c r="F1922" s="187"/>
      <c r="G1922" s="185"/>
      <c r="H1922" s="186"/>
      <c r="I1922" s="185"/>
      <c r="J1922" s="185"/>
      <c r="K1922" s="185"/>
      <c r="L1922" s="185"/>
      <c r="M1922" s="185"/>
      <c r="N1922" s="184"/>
      <c r="P1922" s="140"/>
    </row>
    <row r="1923" spans="1:16" hidden="1" x14ac:dyDescent="0.35">
      <c r="A1923" s="146"/>
      <c r="B1923" s="143"/>
      <c r="C1923" s="133"/>
      <c r="D1923" s="133"/>
      <c r="E1923" s="145"/>
      <c r="F1923" s="145"/>
      <c r="G1923" s="133"/>
      <c r="H1923" s="144"/>
      <c r="I1923" s="133"/>
      <c r="J1923" s="133"/>
      <c r="K1923" s="133"/>
      <c r="L1923" s="133"/>
      <c r="M1923" s="133"/>
      <c r="N1923" s="142"/>
      <c r="P1923" s="140"/>
    </row>
    <row r="1924" spans="1:16" hidden="1" x14ac:dyDescent="0.35">
      <c r="A1924" s="146">
        <v>154</v>
      </c>
      <c r="B1924" s="143">
        <v>45566</v>
      </c>
      <c r="C1924" s="133" t="s">
        <v>1656</v>
      </c>
      <c r="D1924" s="133" t="s">
        <v>1655</v>
      </c>
      <c r="E1924" s="145" t="s">
        <v>55</v>
      </c>
      <c r="F1924" s="145">
        <v>3000</v>
      </c>
      <c r="G1924" s="133" t="s">
        <v>1034</v>
      </c>
      <c r="H1924" s="144" t="s">
        <v>1341</v>
      </c>
      <c r="I1924" s="133" t="s">
        <v>1092</v>
      </c>
      <c r="J1924" s="133" t="s">
        <v>1624</v>
      </c>
      <c r="K1924" s="143">
        <v>45597</v>
      </c>
      <c r="L1924" s="133" t="s">
        <v>1092</v>
      </c>
      <c r="M1924" s="133">
        <v>5536</v>
      </c>
      <c r="N1924" s="142">
        <f>+F1924+F1925-M1924</f>
        <v>0</v>
      </c>
      <c r="P1924" s="140"/>
    </row>
    <row r="1925" spans="1:16" hidden="1" x14ac:dyDescent="0.35">
      <c r="A1925" s="146"/>
      <c r="B1925" s="143"/>
      <c r="C1925" s="133"/>
      <c r="D1925" s="133"/>
      <c r="E1925" s="145" t="s">
        <v>1078</v>
      </c>
      <c r="F1925" s="176">
        <v>2536</v>
      </c>
      <c r="G1925" s="133"/>
      <c r="H1925" s="144"/>
      <c r="I1925" s="133"/>
      <c r="J1925" s="133"/>
      <c r="K1925" s="133"/>
      <c r="L1925" s="133"/>
      <c r="M1925" s="133"/>
      <c r="N1925" s="142"/>
      <c r="P1925" s="140"/>
    </row>
    <row r="1926" spans="1:16" hidden="1" x14ac:dyDescent="0.35">
      <c r="A1926" s="146"/>
      <c r="B1926" s="143"/>
      <c r="C1926" s="133"/>
      <c r="D1926" s="133"/>
      <c r="E1926" s="145"/>
      <c r="F1926" s="145"/>
      <c r="G1926" s="133"/>
      <c r="H1926" s="144"/>
      <c r="I1926" s="133"/>
      <c r="J1926" s="133"/>
      <c r="K1926" s="133"/>
      <c r="L1926" s="133"/>
      <c r="M1926" s="133"/>
      <c r="N1926" s="142"/>
      <c r="P1926" s="140"/>
    </row>
    <row r="1927" spans="1:16" hidden="1" x14ac:dyDescent="0.35">
      <c r="A1927" s="146">
        <v>155</v>
      </c>
      <c r="B1927" s="143">
        <v>45566</v>
      </c>
      <c r="C1927" s="133" t="s">
        <v>1654</v>
      </c>
      <c r="D1927" s="133" t="s">
        <v>1652</v>
      </c>
      <c r="E1927" s="145" t="s">
        <v>1075</v>
      </c>
      <c r="F1927" s="145">
        <v>2824</v>
      </c>
      <c r="G1927" s="133" t="s">
        <v>1034</v>
      </c>
      <c r="H1927" s="144" t="s">
        <v>1341</v>
      </c>
      <c r="I1927" s="133" t="s">
        <v>1092</v>
      </c>
      <c r="J1927" s="133" t="s">
        <v>1649</v>
      </c>
      <c r="K1927" s="143">
        <v>45597</v>
      </c>
      <c r="L1927" s="133" t="s">
        <v>1092</v>
      </c>
      <c r="M1927" s="133">
        <f>2328+857.3+6233.1</f>
        <v>9418.4000000000015</v>
      </c>
      <c r="N1927" s="147">
        <f>+F1927+F1928+F1929-M1927-M1928</f>
        <v>0</v>
      </c>
      <c r="P1927" s="140"/>
    </row>
    <row r="1928" spans="1:16" hidden="1" x14ac:dyDescent="0.35">
      <c r="A1928" s="146"/>
      <c r="B1928" s="143"/>
      <c r="C1928" s="133"/>
      <c r="D1928" s="133"/>
      <c r="E1928" s="145" t="s">
        <v>1118</v>
      </c>
      <c r="F1928" s="176">
        <v>857.3</v>
      </c>
      <c r="G1928" s="133" t="s">
        <v>1034</v>
      </c>
      <c r="H1928" s="144" t="s">
        <v>1341</v>
      </c>
      <c r="I1928" s="133" t="s">
        <v>1092</v>
      </c>
      <c r="J1928" s="133" t="s">
        <v>1623</v>
      </c>
      <c r="K1928" s="143">
        <v>45597</v>
      </c>
      <c r="L1928" s="133" t="s">
        <v>1241</v>
      </c>
      <c r="M1928" s="133">
        <v>496</v>
      </c>
      <c r="N1928" s="142"/>
      <c r="P1928" s="140"/>
    </row>
    <row r="1929" spans="1:16" hidden="1" x14ac:dyDescent="0.35">
      <c r="A1929" s="146"/>
      <c r="B1929" s="143"/>
      <c r="C1929" s="133"/>
      <c r="D1929" s="133"/>
      <c r="E1929" s="145" t="s">
        <v>1067</v>
      </c>
      <c r="F1929" s="145">
        <v>6233.1</v>
      </c>
      <c r="G1929" s="133"/>
      <c r="H1929" s="144"/>
      <c r="I1929" s="133"/>
      <c r="J1929" s="133"/>
      <c r="K1929" s="133"/>
      <c r="L1929" s="133"/>
      <c r="M1929" s="133"/>
      <c r="N1929" s="142"/>
      <c r="P1929" s="140"/>
    </row>
    <row r="1930" spans="1:16" hidden="1" x14ac:dyDescent="0.35">
      <c r="A1930" s="146"/>
      <c r="B1930" s="143"/>
      <c r="C1930" s="133"/>
      <c r="D1930" s="133"/>
      <c r="E1930" s="145"/>
      <c r="F1930" s="145"/>
      <c r="G1930" s="133"/>
      <c r="H1930" s="144"/>
      <c r="I1930" s="133"/>
      <c r="J1930" s="133"/>
      <c r="K1930" s="133"/>
      <c r="L1930" s="133"/>
      <c r="M1930" s="133"/>
      <c r="N1930" s="142"/>
      <c r="P1930" s="140"/>
    </row>
    <row r="1931" spans="1:16" hidden="1" x14ac:dyDescent="0.35">
      <c r="A1931" s="146">
        <v>156</v>
      </c>
      <c r="B1931" s="143">
        <v>45566</v>
      </c>
      <c r="C1931" s="133" t="s">
        <v>1653</v>
      </c>
      <c r="D1931" s="133" t="s">
        <v>1652</v>
      </c>
      <c r="E1931" s="148" t="s">
        <v>1059</v>
      </c>
      <c r="F1931" s="145">
        <v>25000</v>
      </c>
      <c r="G1931" s="133" t="s">
        <v>1034</v>
      </c>
      <c r="H1931" s="144" t="s">
        <v>1341</v>
      </c>
      <c r="I1931" s="133" t="s">
        <v>1092</v>
      </c>
      <c r="J1931" s="133" t="s">
        <v>1649</v>
      </c>
      <c r="K1931" s="143">
        <v>45597</v>
      </c>
      <c r="L1931" s="133" t="s">
        <v>1092</v>
      </c>
      <c r="M1931" s="133">
        <v>23755</v>
      </c>
      <c r="N1931" s="147">
        <f>+F1931-M1931-M1932</f>
        <v>0</v>
      </c>
      <c r="P1931" s="140"/>
    </row>
    <row r="1932" spans="1:16" hidden="1" x14ac:dyDescent="0.35">
      <c r="A1932" s="146"/>
      <c r="B1932" s="143"/>
      <c r="C1932" s="133"/>
      <c r="D1932" s="133"/>
      <c r="E1932" s="145"/>
      <c r="F1932" s="145"/>
      <c r="G1932" s="133" t="s">
        <v>1034</v>
      </c>
      <c r="H1932" s="144" t="s">
        <v>1341</v>
      </c>
      <c r="I1932" s="133" t="s">
        <v>1092</v>
      </c>
      <c r="J1932" s="133" t="s">
        <v>1623</v>
      </c>
      <c r="K1932" s="143">
        <v>45597</v>
      </c>
      <c r="L1932" s="133" t="s">
        <v>1241</v>
      </c>
      <c r="M1932" s="133">
        <v>1245</v>
      </c>
      <c r="N1932" s="142"/>
      <c r="P1932" s="140"/>
    </row>
    <row r="1933" spans="1:16" hidden="1" x14ac:dyDescent="0.35">
      <c r="A1933" s="146"/>
      <c r="B1933" s="143"/>
      <c r="C1933" s="133"/>
      <c r="D1933" s="133"/>
      <c r="E1933" s="145"/>
      <c r="F1933" s="145"/>
      <c r="G1933" s="133"/>
      <c r="H1933" s="144"/>
      <c r="I1933" s="133"/>
      <c r="J1933" s="133"/>
      <c r="K1933" s="133"/>
      <c r="L1933" s="133"/>
      <c r="M1933" s="133"/>
      <c r="N1933" s="142"/>
      <c r="P1933" s="140"/>
    </row>
    <row r="1934" spans="1:16" hidden="1" x14ac:dyDescent="0.35">
      <c r="A1934" s="146">
        <v>157</v>
      </c>
      <c r="B1934" s="143">
        <v>45566</v>
      </c>
      <c r="C1934" s="133" t="s">
        <v>1651</v>
      </c>
      <c r="D1934" s="133" t="s">
        <v>1191</v>
      </c>
      <c r="E1934" s="145" t="s">
        <v>1342</v>
      </c>
      <c r="F1934" s="145">
        <v>6729</v>
      </c>
      <c r="G1934" s="133" t="s">
        <v>1034</v>
      </c>
      <c r="H1934" s="144" t="s">
        <v>1341</v>
      </c>
      <c r="I1934" s="133" t="s">
        <v>1092</v>
      </c>
      <c r="J1934" s="133" t="s">
        <v>1649</v>
      </c>
      <c r="K1934" s="143">
        <v>45597</v>
      </c>
      <c r="L1934" s="133" t="s">
        <v>1092</v>
      </c>
      <c r="M1934" s="133">
        <f>1820+292</f>
        <v>2112</v>
      </c>
      <c r="N1934" s="147">
        <f>+F1934+F1935+F1936-M1934-M1935-M1936</f>
        <v>0</v>
      </c>
      <c r="O1934" s="141"/>
      <c r="P1934" s="140"/>
    </row>
    <row r="1935" spans="1:16" hidden="1" x14ac:dyDescent="0.35">
      <c r="A1935" s="146"/>
      <c r="B1935" s="143"/>
      <c r="C1935" s="133"/>
      <c r="D1935" s="133"/>
      <c r="E1935" s="145" t="s">
        <v>1118</v>
      </c>
      <c r="F1935" s="176">
        <v>1820</v>
      </c>
      <c r="G1935" s="133" t="s">
        <v>1034</v>
      </c>
      <c r="H1935" s="144" t="s">
        <v>1341</v>
      </c>
      <c r="I1935" s="133" t="s">
        <v>1092</v>
      </c>
      <c r="J1935" s="133" t="s">
        <v>1623</v>
      </c>
      <c r="K1935" s="143">
        <v>45597</v>
      </c>
      <c r="L1935" s="133" t="s">
        <v>1241</v>
      </c>
      <c r="M1935" s="133">
        <v>153</v>
      </c>
      <c r="N1935" s="142"/>
      <c r="P1935" s="140"/>
    </row>
    <row r="1936" spans="1:16" hidden="1" x14ac:dyDescent="0.35">
      <c r="A1936" s="146"/>
      <c r="B1936" s="143"/>
      <c r="C1936" s="133"/>
      <c r="D1936" s="133"/>
      <c r="E1936" s="145" t="s">
        <v>1067</v>
      </c>
      <c r="F1936" s="145">
        <v>445</v>
      </c>
      <c r="G1936" s="133" t="s">
        <v>1034</v>
      </c>
      <c r="H1936" s="144" t="s">
        <v>1341</v>
      </c>
      <c r="I1936" s="133" t="s">
        <v>1092</v>
      </c>
      <c r="J1936" s="133" t="s">
        <v>1552</v>
      </c>
      <c r="K1936" s="143">
        <v>45627</v>
      </c>
      <c r="L1936" s="133" t="s">
        <v>1092</v>
      </c>
      <c r="M1936" s="133">
        <v>6729</v>
      </c>
      <c r="N1936" s="142"/>
      <c r="P1936" s="140"/>
    </row>
    <row r="1937" spans="1:16" hidden="1" x14ac:dyDescent="0.35">
      <c r="A1937" s="146"/>
      <c r="B1937" s="143"/>
      <c r="C1937" s="133"/>
      <c r="D1937" s="133"/>
      <c r="E1937" s="145"/>
      <c r="F1937" s="145"/>
      <c r="G1937" s="133"/>
      <c r="H1937" s="144"/>
      <c r="I1937" s="133"/>
      <c r="J1937" s="133"/>
      <c r="K1937" s="133"/>
      <c r="L1937" s="133"/>
      <c r="M1937" s="133"/>
      <c r="N1937" s="142"/>
      <c r="P1937" s="140"/>
    </row>
    <row r="1938" spans="1:16" hidden="1" x14ac:dyDescent="0.35">
      <c r="A1938" s="146">
        <v>158</v>
      </c>
      <c r="B1938" s="143">
        <v>45566</v>
      </c>
      <c r="C1938" s="133" t="s">
        <v>1650</v>
      </c>
      <c r="D1938" s="133" t="s">
        <v>1189</v>
      </c>
      <c r="E1938" s="145" t="s">
        <v>1075</v>
      </c>
      <c r="F1938" s="145">
        <v>9112.5</v>
      </c>
      <c r="G1938" s="133" t="s">
        <v>1034</v>
      </c>
      <c r="H1938" s="144" t="s">
        <v>1341</v>
      </c>
      <c r="I1938" s="133" t="s">
        <v>1092</v>
      </c>
      <c r="J1938" s="133" t="s">
        <v>1649</v>
      </c>
      <c r="K1938" s="143">
        <v>45597</v>
      </c>
      <c r="L1938" s="133" t="s">
        <v>1092</v>
      </c>
      <c r="M1938" s="133">
        <v>9459.9</v>
      </c>
      <c r="N1938" s="142">
        <f>+F1938+F1939-M1938-M1939</f>
        <v>0</v>
      </c>
      <c r="O1938" s="141"/>
      <c r="P1938" s="140"/>
    </row>
    <row r="1939" spans="1:16" hidden="1" x14ac:dyDescent="0.35">
      <c r="A1939" s="146"/>
      <c r="B1939" s="143"/>
      <c r="C1939" s="133"/>
      <c r="D1939" s="133"/>
      <c r="E1939" s="145" t="s">
        <v>1064</v>
      </c>
      <c r="F1939" s="145">
        <v>845.4</v>
      </c>
      <c r="G1939" s="133" t="s">
        <v>1034</v>
      </c>
      <c r="H1939" s="144" t="s">
        <v>1341</v>
      </c>
      <c r="I1939" s="133" t="s">
        <v>1092</v>
      </c>
      <c r="J1939" s="133" t="s">
        <v>1623</v>
      </c>
      <c r="K1939" s="143">
        <v>45597</v>
      </c>
      <c r="L1939" s="133" t="s">
        <v>1241</v>
      </c>
      <c r="M1939" s="133">
        <v>498</v>
      </c>
      <c r="N1939" s="142"/>
      <c r="P1939" s="140"/>
    </row>
    <row r="1940" spans="1:16" hidden="1" x14ac:dyDescent="0.35">
      <c r="A1940" s="146"/>
      <c r="B1940" s="143"/>
      <c r="C1940" s="133"/>
      <c r="D1940" s="133"/>
      <c r="E1940" s="145"/>
      <c r="F1940" s="145"/>
      <c r="G1940" s="133"/>
      <c r="H1940" s="144"/>
      <c r="I1940" s="133"/>
      <c r="J1940" s="133"/>
      <c r="K1940" s="133"/>
      <c r="L1940" s="133"/>
      <c r="M1940" s="133"/>
      <c r="N1940" s="142"/>
      <c r="P1940" s="140"/>
    </row>
    <row r="1941" spans="1:16" hidden="1" x14ac:dyDescent="0.35">
      <c r="A1941" s="146">
        <v>159</v>
      </c>
      <c r="B1941" s="143">
        <v>45566</v>
      </c>
      <c r="C1941" s="133" t="s">
        <v>1648</v>
      </c>
      <c r="D1941" s="133" t="s">
        <v>1187</v>
      </c>
      <c r="E1941" s="145" t="s">
        <v>1075</v>
      </c>
      <c r="F1941" s="145">
        <v>6029.9</v>
      </c>
      <c r="G1941" s="133" t="s">
        <v>1034</v>
      </c>
      <c r="H1941" s="144" t="s">
        <v>1341</v>
      </c>
      <c r="I1941" s="133" t="s">
        <v>1092</v>
      </c>
      <c r="J1941" s="133" t="s">
        <v>1624</v>
      </c>
      <c r="K1941" s="143">
        <v>45597</v>
      </c>
      <c r="L1941" s="133" t="s">
        <v>1092</v>
      </c>
      <c r="M1941" s="133">
        <f>2631+835.4+6029.9</f>
        <v>9496.2999999999993</v>
      </c>
      <c r="N1941" s="147">
        <f>+F1941+F1942+F1943+F1944-M1941-M1942-M1943</f>
        <v>0</v>
      </c>
      <c r="O1941" s="141"/>
      <c r="P1941" s="140"/>
    </row>
    <row r="1942" spans="1:16" hidden="1" x14ac:dyDescent="0.35">
      <c r="A1942" s="146"/>
      <c r="B1942" s="143"/>
      <c r="C1942" s="133"/>
      <c r="D1942" s="133"/>
      <c r="E1942" s="145" t="s">
        <v>1064</v>
      </c>
      <c r="F1942" s="145">
        <v>835.4</v>
      </c>
      <c r="G1942" s="133" t="s">
        <v>1034</v>
      </c>
      <c r="H1942" s="144" t="s">
        <v>1341</v>
      </c>
      <c r="I1942" s="133" t="s">
        <v>1092</v>
      </c>
      <c r="J1942" s="133" t="s">
        <v>1623</v>
      </c>
      <c r="K1942" s="143">
        <v>45597</v>
      </c>
      <c r="L1942" s="133" t="s">
        <v>1241</v>
      </c>
      <c r="M1942" s="133">
        <v>567</v>
      </c>
      <c r="N1942" s="142"/>
      <c r="P1942" s="140"/>
    </row>
    <row r="1943" spans="1:16" hidden="1" x14ac:dyDescent="0.35">
      <c r="A1943" s="146"/>
      <c r="B1943" s="143"/>
      <c r="C1943" s="133"/>
      <c r="D1943" s="133"/>
      <c r="E1943" s="145" t="s">
        <v>1342</v>
      </c>
      <c r="F1943" s="145">
        <v>1258</v>
      </c>
      <c r="G1943" s="133" t="s">
        <v>1034</v>
      </c>
      <c r="H1943" s="144" t="s">
        <v>1341</v>
      </c>
      <c r="I1943" s="133" t="s">
        <v>1092</v>
      </c>
      <c r="J1943" s="133" t="s">
        <v>1565</v>
      </c>
      <c r="K1943" s="143">
        <v>45658</v>
      </c>
      <c r="L1943" s="133" t="s">
        <v>1092</v>
      </c>
      <c r="M1943" s="133">
        <v>1258</v>
      </c>
      <c r="N1943" s="142"/>
      <c r="P1943" s="140"/>
    </row>
    <row r="1944" spans="1:16" hidden="1" x14ac:dyDescent="0.35">
      <c r="A1944" s="146"/>
      <c r="B1944" s="143"/>
      <c r="C1944" s="133"/>
      <c r="D1944" s="133"/>
      <c r="E1944" s="145" t="s">
        <v>1067</v>
      </c>
      <c r="F1944" s="145">
        <v>3198</v>
      </c>
      <c r="G1944" s="133"/>
      <c r="H1944" s="144"/>
      <c r="I1944" s="133"/>
      <c r="J1944" s="133"/>
      <c r="K1944" s="133"/>
      <c r="L1944" s="133"/>
      <c r="M1944" s="133"/>
      <c r="N1944" s="142"/>
      <c r="P1944" s="140"/>
    </row>
    <row r="1945" spans="1:16" hidden="1" x14ac:dyDescent="0.35">
      <c r="A1945" s="146"/>
      <c r="B1945" s="143"/>
      <c r="C1945" s="133"/>
      <c r="D1945" s="133"/>
      <c r="E1945" s="145"/>
      <c r="F1945" s="145"/>
      <c r="G1945" s="133"/>
      <c r="H1945" s="144"/>
      <c r="I1945" s="133"/>
      <c r="J1945" s="133"/>
      <c r="K1945" s="133"/>
      <c r="L1945" s="133"/>
      <c r="M1945" s="133"/>
      <c r="N1945" s="142"/>
      <c r="P1945" s="140"/>
    </row>
    <row r="1946" spans="1:16" hidden="1" x14ac:dyDescent="0.35">
      <c r="A1946" s="146">
        <v>160</v>
      </c>
      <c r="B1946" s="143">
        <v>45566</v>
      </c>
      <c r="C1946" s="133" t="s">
        <v>1647</v>
      </c>
      <c r="D1946" s="133" t="s">
        <v>1187</v>
      </c>
      <c r="E1946" s="148" t="s">
        <v>1059</v>
      </c>
      <c r="F1946" s="145">
        <v>25000</v>
      </c>
      <c r="G1946" s="133" t="s">
        <v>1034</v>
      </c>
      <c r="H1946" s="144" t="s">
        <v>1341</v>
      </c>
      <c r="I1946" s="133" t="s">
        <v>1092</v>
      </c>
      <c r="J1946" s="133" t="s">
        <v>1624</v>
      </c>
      <c r="K1946" s="143">
        <v>45597</v>
      </c>
      <c r="L1946" s="133" t="s">
        <v>1092</v>
      </c>
      <c r="M1946" s="133">
        <v>23749</v>
      </c>
      <c r="N1946" s="142">
        <f>+F1946-M1946-M1947</f>
        <v>0</v>
      </c>
      <c r="O1946" s="141"/>
      <c r="P1946" s="140"/>
    </row>
    <row r="1947" spans="1:16" hidden="1" x14ac:dyDescent="0.35">
      <c r="A1947" s="146"/>
      <c r="B1947" s="143"/>
      <c r="C1947" s="133"/>
      <c r="D1947" s="133"/>
      <c r="E1947" s="145"/>
      <c r="F1947" s="145"/>
      <c r="G1947" s="133" t="s">
        <v>1034</v>
      </c>
      <c r="H1947" s="144" t="s">
        <v>1341</v>
      </c>
      <c r="I1947" s="133" t="s">
        <v>1092</v>
      </c>
      <c r="J1947" s="133" t="s">
        <v>1623</v>
      </c>
      <c r="K1947" s="143">
        <v>45597</v>
      </c>
      <c r="L1947" s="133" t="s">
        <v>1241</v>
      </c>
      <c r="M1947" s="133">
        <v>1251</v>
      </c>
      <c r="N1947" s="142"/>
      <c r="P1947" s="140"/>
    </row>
    <row r="1948" spans="1:16" hidden="1" x14ac:dyDescent="0.35">
      <c r="A1948" s="146"/>
      <c r="B1948" s="143"/>
      <c r="C1948" s="133"/>
      <c r="D1948" s="133"/>
      <c r="E1948" s="145"/>
      <c r="F1948" s="145"/>
      <c r="G1948" s="133"/>
      <c r="H1948" s="144"/>
      <c r="I1948" s="133"/>
      <c r="J1948" s="133"/>
      <c r="K1948" s="143"/>
      <c r="L1948" s="133"/>
      <c r="M1948" s="133"/>
      <c r="N1948" s="142"/>
      <c r="P1948" s="140"/>
    </row>
    <row r="1949" spans="1:16" hidden="1" x14ac:dyDescent="0.35">
      <c r="A1949" s="146">
        <v>161</v>
      </c>
      <c r="B1949" s="143">
        <v>45566</v>
      </c>
      <c r="C1949" s="133" t="s">
        <v>1646</v>
      </c>
      <c r="D1949" s="133" t="s">
        <v>1644</v>
      </c>
      <c r="E1949" s="145" t="s">
        <v>1118</v>
      </c>
      <c r="F1949" s="145">
        <v>2488.6999999999998</v>
      </c>
      <c r="G1949" s="133" t="s">
        <v>1034</v>
      </c>
      <c r="H1949" s="144" t="s">
        <v>1341</v>
      </c>
      <c r="I1949" s="133" t="s">
        <v>1092</v>
      </c>
      <c r="J1949" s="133" t="s">
        <v>1624</v>
      </c>
      <c r="K1949" s="143">
        <v>45597</v>
      </c>
      <c r="L1949" s="133" t="s">
        <v>1092</v>
      </c>
      <c r="M1949" s="133">
        <v>2488.6999999999998</v>
      </c>
      <c r="N1949" s="142">
        <f>+F1949-M1949</f>
        <v>0</v>
      </c>
      <c r="O1949" s="141"/>
      <c r="P1949" s="140"/>
    </row>
    <row r="1950" spans="1:16" hidden="1" x14ac:dyDescent="0.35">
      <c r="A1950" s="146"/>
      <c r="B1950" s="143"/>
      <c r="C1950" s="133"/>
      <c r="D1950" s="133"/>
      <c r="E1950" s="145"/>
      <c r="F1950" s="145"/>
      <c r="G1950" s="133"/>
      <c r="H1950" s="144"/>
      <c r="I1950" s="133"/>
      <c r="J1950" s="133"/>
      <c r="K1950" s="133"/>
      <c r="L1950" s="133"/>
      <c r="M1950" s="133"/>
      <c r="N1950" s="142"/>
      <c r="P1950" s="140"/>
    </row>
    <row r="1951" spans="1:16" hidden="1" x14ac:dyDescent="0.35">
      <c r="A1951" s="146">
        <v>162</v>
      </c>
      <c r="B1951" s="143">
        <v>45566</v>
      </c>
      <c r="C1951" s="133" t="s">
        <v>1645</v>
      </c>
      <c r="D1951" s="133" t="s">
        <v>1644</v>
      </c>
      <c r="E1951" s="148" t="s">
        <v>1059</v>
      </c>
      <c r="F1951" s="145">
        <v>49500</v>
      </c>
      <c r="G1951" s="133" t="s">
        <v>1034</v>
      </c>
      <c r="H1951" s="144" t="s">
        <v>1341</v>
      </c>
      <c r="I1951" s="133" t="s">
        <v>1092</v>
      </c>
      <c r="J1951" s="133" t="s">
        <v>1624</v>
      </c>
      <c r="K1951" s="143">
        <v>45597</v>
      </c>
      <c r="L1951" s="133" t="s">
        <v>1092</v>
      </c>
      <c r="M1951" s="133">
        <v>26430.9</v>
      </c>
      <c r="N1951" s="147">
        <f>+F1951-M1951-M1952-M1953</f>
        <v>0</v>
      </c>
      <c r="O1951" s="141"/>
      <c r="P1951" s="140"/>
    </row>
    <row r="1952" spans="1:16" hidden="1" x14ac:dyDescent="0.35">
      <c r="A1952" s="146"/>
      <c r="B1952" s="143"/>
      <c r="C1952" s="133"/>
      <c r="D1952" s="133"/>
      <c r="E1952" s="145"/>
      <c r="F1952" s="145"/>
      <c r="G1952" s="133" t="s">
        <v>1034</v>
      </c>
      <c r="H1952" s="144" t="s">
        <v>1341</v>
      </c>
      <c r="I1952" s="133" t="s">
        <v>1092</v>
      </c>
      <c r="J1952" s="133" t="s">
        <v>1623</v>
      </c>
      <c r="K1952" s="143">
        <v>45597</v>
      </c>
      <c r="L1952" s="133" t="s">
        <v>1241</v>
      </c>
      <c r="M1952" s="133">
        <v>5123</v>
      </c>
      <c r="N1952" s="142"/>
      <c r="P1952" s="140"/>
    </row>
    <row r="1953" spans="1:16" hidden="1" x14ac:dyDescent="0.35">
      <c r="A1953" s="146"/>
      <c r="B1953" s="143"/>
      <c r="C1953" s="133"/>
      <c r="D1953" s="133"/>
      <c r="E1953" s="145"/>
      <c r="F1953" s="145"/>
      <c r="G1953" s="133" t="s">
        <v>1034</v>
      </c>
      <c r="H1953" s="144" t="s">
        <v>1341</v>
      </c>
      <c r="I1953" s="133" t="s">
        <v>1092</v>
      </c>
      <c r="J1953" s="133" t="s">
        <v>1604</v>
      </c>
      <c r="K1953" s="143">
        <v>45597</v>
      </c>
      <c r="L1953" s="133" t="s">
        <v>1092</v>
      </c>
      <c r="M1953" s="133">
        <v>17946.099999999999</v>
      </c>
      <c r="N1953" s="142"/>
      <c r="P1953" s="140"/>
    </row>
    <row r="1954" spans="1:16" hidden="1" x14ac:dyDescent="0.35">
      <c r="A1954" s="146"/>
      <c r="B1954" s="143"/>
      <c r="C1954" s="133"/>
      <c r="D1954" s="133"/>
      <c r="E1954" s="145"/>
      <c r="F1954" s="145"/>
      <c r="G1954" s="133"/>
      <c r="H1954" s="144"/>
      <c r="I1954" s="133"/>
      <c r="J1954" s="133"/>
      <c r="K1954" s="143"/>
      <c r="L1954" s="133"/>
      <c r="M1954" s="133"/>
      <c r="N1954" s="142"/>
      <c r="P1954" s="140"/>
    </row>
    <row r="1955" spans="1:16" hidden="1" x14ac:dyDescent="0.35">
      <c r="A1955" s="146">
        <v>163</v>
      </c>
      <c r="B1955" s="143">
        <v>45566</v>
      </c>
      <c r="C1955" s="133" t="s">
        <v>1643</v>
      </c>
      <c r="D1955" s="133" t="s">
        <v>1185</v>
      </c>
      <c r="E1955" s="148" t="s">
        <v>1059</v>
      </c>
      <c r="F1955" s="145">
        <v>99000</v>
      </c>
      <c r="G1955" s="133" t="s">
        <v>1034</v>
      </c>
      <c r="H1955" s="144" t="s">
        <v>1341</v>
      </c>
      <c r="I1955" s="133" t="s">
        <v>1092</v>
      </c>
      <c r="J1955" s="133" t="s">
        <v>1604</v>
      </c>
      <c r="K1955" s="143">
        <v>45597</v>
      </c>
      <c r="L1955" s="133" t="s">
        <v>1092</v>
      </c>
      <c r="M1955" s="133">
        <v>56745.78</v>
      </c>
      <c r="N1955" s="147">
        <f>+F1955-M1955-M1956-M1957</f>
        <v>0</v>
      </c>
      <c r="O1955" s="141"/>
      <c r="P1955" s="140"/>
    </row>
    <row r="1956" spans="1:16" hidden="1" x14ac:dyDescent="0.35">
      <c r="A1956" s="146"/>
      <c r="B1956" s="143"/>
      <c r="C1956" s="133"/>
      <c r="D1956" s="133"/>
      <c r="E1956" s="148"/>
      <c r="F1956" s="145"/>
      <c r="G1956" s="133" t="s">
        <v>1034</v>
      </c>
      <c r="H1956" s="144" t="s">
        <v>1341</v>
      </c>
      <c r="I1956" s="133" t="s">
        <v>1092</v>
      </c>
      <c r="J1956" s="133" t="s">
        <v>1614</v>
      </c>
      <c r="K1956" s="143">
        <v>45597</v>
      </c>
      <c r="L1956" s="133" t="s">
        <v>1092</v>
      </c>
      <c r="M1956" s="142">
        <v>37299.22</v>
      </c>
      <c r="N1956" s="142"/>
      <c r="O1956" s="141"/>
      <c r="P1956" s="140"/>
    </row>
    <row r="1957" spans="1:16" hidden="1" x14ac:dyDescent="0.35">
      <c r="A1957" s="146"/>
      <c r="B1957" s="143"/>
      <c r="C1957" s="133"/>
      <c r="D1957" s="133"/>
      <c r="E1957" s="148"/>
      <c r="F1957" s="145"/>
      <c r="G1957" s="133" t="s">
        <v>1034</v>
      </c>
      <c r="H1957" s="144" t="s">
        <v>1341</v>
      </c>
      <c r="I1957" s="133" t="s">
        <v>1092</v>
      </c>
      <c r="J1957" s="133" t="s">
        <v>1598</v>
      </c>
      <c r="K1957" s="143">
        <v>45597</v>
      </c>
      <c r="L1957" s="133" t="s">
        <v>1241</v>
      </c>
      <c r="M1957" s="133">
        <v>4955</v>
      </c>
      <c r="N1957" s="142"/>
      <c r="O1957" s="141"/>
      <c r="P1957" s="140"/>
    </row>
    <row r="1958" spans="1:16" hidden="1" x14ac:dyDescent="0.35">
      <c r="A1958" s="146"/>
      <c r="B1958" s="143"/>
      <c r="C1958" s="133"/>
      <c r="D1958" s="133"/>
      <c r="E1958" s="145"/>
      <c r="F1958" s="145"/>
      <c r="G1958" s="133"/>
      <c r="H1958" s="144"/>
      <c r="I1958" s="133"/>
      <c r="J1958" s="133"/>
      <c r="K1958" s="133"/>
      <c r="L1958" s="133"/>
      <c r="M1958" s="133"/>
      <c r="N1958" s="142"/>
      <c r="P1958" s="140"/>
    </row>
    <row r="1959" spans="1:16" hidden="1" x14ac:dyDescent="0.35">
      <c r="A1959" s="146">
        <v>164</v>
      </c>
      <c r="B1959" s="143">
        <v>45566</v>
      </c>
      <c r="C1959" s="133" t="s">
        <v>1642</v>
      </c>
      <c r="D1959" s="133" t="s">
        <v>1185</v>
      </c>
      <c r="E1959" s="145" t="s">
        <v>1075</v>
      </c>
      <c r="F1959" s="145">
        <v>7616</v>
      </c>
      <c r="G1959" s="133" t="s">
        <v>1034</v>
      </c>
      <c r="H1959" s="144" t="s">
        <v>1341</v>
      </c>
      <c r="I1959" s="133" t="s">
        <v>1092</v>
      </c>
      <c r="J1959" s="133" t="s">
        <v>1624</v>
      </c>
      <c r="K1959" s="143">
        <v>45597</v>
      </c>
      <c r="L1959" s="133" t="s">
        <v>1092</v>
      </c>
      <c r="M1959" s="133">
        <v>853</v>
      </c>
      <c r="N1959" s="183">
        <f>+F1959+F1960+F1961-M1959-M1960-M1961-M1962-M1963</f>
        <v>0</v>
      </c>
      <c r="O1959" s="141"/>
      <c r="P1959" s="140"/>
    </row>
    <row r="1960" spans="1:16" hidden="1" x14ac:dyDescent="0.35">
      <c r="A1960" s="146"/>
      <c r="B1960" s="143"/>
      <c r="C1960" s="133"/>
      <c r="D1960" s="133"/>
      <c r="E1960" s="145" t="s">
        <v>1118</v>
      </c>
      <c r="F1960" s="145">
        <v>2726.3</v>
      </c>
      <c r="G1960" s="133" t="s">
        <v>1034</v>
      </c>
      <c r="H1960" s="144" t="s">
        <v>1341</v>
      </c>
      <c r="I1960" s="133" t="s">
        <v>1092</v>
      </c>
      <c r="J1960" s="133" t="s">
        <v>1623</v>
      </c>
      <c r="K1960" s="143">
        <v>45597</v>
      </c>
      <c r="L1960" s="133" t="s">
        <v>1241</v>
      </c>
      <c r="M1960" s="133">
        <v>592</v>
      </c>
      <c r="N1960" s="142"/>
      <c r="P1960" s="140"/>
    </row>
    <row r="1961" spans="1:16" hidden="1" x14ac:dyDescent="0.35">
      <c r="A1961" s="146"/>
      <c r="B1961" s="143"/>
      <c r="C1961" s="133"/>
      <c r="D1961" s="133"/>
      <c r="E1961" s="145" t="s">
        <v>1067</v>
      </c>
      <c r="F1961" s="145">
        <v>1445</v>
      </c>
      <c r="G1961" s="133" t="s">
        <v>1034</v>
      </c>
      <c r="H1961" s="144" t="s">
        <v>1341</v>
      </c>
      <c r="I1961" s="133" t="s">
        <v>1092</v>
      </c>
      <c r="J1961" s="133" t="s">
        <v>1614</v>
      </c>
      <c r="K1961" s="143">
        <v>45597</v>
      </c>
      <c r="L1961" s="133" t="s">
        <v>1092</v>
      </c>
      <c r="M1961" s="133">
        <v>2726.3</v>
      </c>
      <c r="N1961" s="142"/>
      <c r="P1961" s="140"/>
    </row>
    <row r="1962" spans="1:16" hidden="1" x14ac:dyDescent="0.35">
      <c r="A1962" s="146"/>
      <c r="B1962" s="143"/>
      <c r="C1962" s="133"/>
      <c r="D1962" s="133"/>
      <c r="E1962" s="145"/>
      <c r="F1962" s="145"/>
      <c r="G1962" s="133" t="s">
        <v>1034</v>
      </c>
      <c r="H1962" s="144" t="s">
        <v>1341</v>
      </c>
      <c r="I1962" s="133" t="s">
        <v>1092</v>
      </c>
      <c r="J1962" s="133" t="s">
        <v>1608</v>
      </c>
      <c r="K1962" s="143">
        <v>45597</v>
      </c>
      <c r="L1962" s="133" t="s">
        <v>1092</v>
      </c>
      <c r="M1962" s="133">
        <v>2616</v>
      </c>
      <c r="N1962" s="142"/>
      <c r="P1962" s="140"/>
    </row>
    <row r="1963" spans="1:16" hidden="1" x14ac:dyDescent="0.35">
      <c r="A1963" s="146"/>
      <c r="B1963" s="143"/>
      <c r="C1963" s="133"/>
      <c r="D1963" s="133"/>
      <c r="E1963" s="145"/>
      <c r="F1963" s="145"/>
      <c r="G1963" s="133" t="s">
        <v>1034</v>
      </c>
      <c r="H1963" s="144" t="s">
        <v>1341</v>
      </c>
      <c r="I1963" s="133" t="s">
        <v>1092</v>
      </c>
      <c r="J1963" s="133" t="s">
        <v>1601</v>
      </c>
      <c r="K1963" s="143">
        <v>45627</v>
      </c>
      <c r="L1963" s="133" t="s">
        <v>1092</v>
      </c>
      <c r="M1963" s="133">
        <v>5000</v>
      </c>
      <c r="N1963" s="142"/>
      <c r="P1963" s="140"/>
    </row>
    <row r="1964" spans="1:16" hidden="1" x14ac:dyDescent="0.35">
      <c r="A1964" s="146"/>
      <c r="B1964" s="143"/>
      <c r="C1964" s="133"/>
      <c r="D1964" s="133"/>
      <c r="E1964" s="145"/>
      <c r="F1964" s="145"/>
      <c r="G1964" s="133"/>
      <c r="H1964" s="144"/>
      <c r="I1964" s="133"/>
      <c r="J1964" s="133"/>
      <c r="K1964" s="133"/>
      <c r="L1964" s="133"/>
      <c r="M1964" s="133"/>
      <c r="N1964" s="142"/>
      <c r="P1964" s="140"/>
    </row>
    <row r="1965" spans="1:16" hidden="1" x14ac:dyDescent="0.35">
      <c r="A1965" s="146">
        <v>165</v>
      </c>
      <c r="B1965" s="143">
        <v>45566</v>
      </c>
      <c r="C1965" s="133" t="s">
        <v>1641</v>
      </c>
      <c r="D1965" s="133" t="s">
        <v>1180</v>
      </c>
      <c r="E1965" s="145" t="s">
        <v>1075</v>
      </c>
      <c r="F1965" s="145">
        <v>4489.8</v>
      </c>
      <c r="G1965" s="133" t="s">
        <v>1034</v>
      </c>
      <c r="H1965" s="144" t="s">
        <v>1341</v>
      </c>
      <c r="I1965" s="133" t="s">
        <v>1092</v>
      </c>
      <c r="J1965" s="133" t="s">
        <v>1614</v>
      </c>
      <c r="K1965" s="143">
        <v>45597</v>
      </c>
      <c r="L1965" s="133" t="s">
        <v>1092</v>
      </c>
      <c r="M1965" s="133">
        <v>2107.6</v>
      </c>
      <c r="N1965" s="147">
        <f>+F1965+F1966-M1965-M1966-M1967</f>
        <v>-9.0949470177292824E-13</v>
      </c>
      <c r="O1965" s="141"/>
      <c r="P1965" s="140"/>
    </row>
    <row r="1966" spans="1:16" hidden="1" x14ac:dyDescent="0.35">
      <c r="A1966" s="146"/>
      <c r="B1966" s="143"/>
      <c r="C1966" s="133"/>
      <c r="D1966" s="133"/>
      <c r="E1966" s="145" t="s">
        <v>1064</v>
      </c>
      <c r="F1966" s="145">
        <v>2107.6</v>
      </c>
      <c r="G1966" s="133" t="s">
        <v>1034</v>
      </c>
      <c r="H1966" s="144" t="s">
        <v>1341</v>
      </c>
      <c r="I1966" s="133" t="s">
        <v>1092</v>
      </c>
      <c r="J1966" s="133" t="s">
        <v>1601</v>
      </c>
      <c r="K1966" s="143">
        <v>45627</v>
      </c>
      <c r="L1966" s="133" t="s">
        <v>1092</v>
      </c>
      <c r="M1966" s="133">
        <v>4158.8</v>
      </c>
      <c r="N1966" s="142"/>
      <c r="P1966" s="140"/>
    </row>
    <row r="1967" spans="1:16" hidden="1" x14ac:dyDescent="0.35">
      <c r="A1967" s="146"/>
      <c r="B1967" s="143"/>
      <c r="C1967" s="133"/>
      <c r="D1967" s="133"/>
      <c r="E1967" s="145"/>
      <c r="F1967" s="145"/>
      <c r="G1967" s="133" t="s">
        <v>1034</v>
      </c>
      <c r="H1967" s="144" t="s">
        <v>1341</v>
      </c>
      <c r="I1967" s="133" t="s">
        <v>1092</v>
      </c>
      <c r="J1967" s="133" t="s">
        <v>1575</v>
      </c>
      <c r="K1967" s="143">
        <v>45627</v>
      </c>
      <c r="L1967" s="133" t="s">
        <v>1241</v>
      </c>
      <c r="M1967" s="133">
        <v>331</v>
      </c>
      <c r="N1967" s="142"/>
      <c r="P1967" s="140"/>
    </row>
    <row r="1968" spans="1:16" hidden="1" x14ac:dyDescent="0.35">
      <c r="A1968" s="146"/>
      <c r="B1968" s="143"/>
      <c r="C1968" s="133"/>
      <c r="D1968" s="133"/>
      <c r="E1968" s="145"/>
      <c r="F1968" s="145"/>
      <c r="G1968" s="133"/>
      <c r="H1968" s="144"/>
      <c r="I1968" s="133"/>
      <c r="J1968" s="133"/>
      <c r="K1968" s="133"/>
      <c r="L1968" s="133"/>
      <c r="M1968" s="133"/>
      <c r="N1968" s="142"/>
      <c r="P1968" s="140"/>
    </row>
    <row r="1969" spans="1:16" hidden="1" x14ac:dyDescent="0.35">
      <c r="A1969" s="146">
        <v>166</v>
      </c>
      <c r="B1969" s="143">
        <v>45566</v>
      </c>
      <c r="C1969" s="133" t="s">
        <v>1640</v>
      </c>
      <c r="D1969" s="133" t="s">
        <v>1639</v>
      </c>
      <c r="E1969" s="145" t="s">
        <v>1075</v>
      </c>
      <c r="F1969" s="145">
        <v>2287.8000000000002</v>
      </c>
      <c r="G1969" s="133" t="s">
        <v>1034</v>
      </c>
      <c r="H1969" s="144" t="s">
        <v>1341</v>
      </c>
      <c r="I1969" s="133" t="s">
        <v>1092</v>
      </c>
      <c r="J1969" s="133" t="s">
        <v>1624</v>
      </c>
      <c r="K1969" s="143">
        <v>45597</v>
      </c>
      <c r="L1969" s="133" t="s">
        <v>1092</v>
      </c>
      <c r="M1969" s="133">
        <v>752</v>
      </c>
      <c r="N1969" s="147">
        <f>+F1969+F1970+F1971+F1972-M1969-M1970-M1971-M1972-M1973</f>
        <v>0</v>
      </c>
      <c r="O1969" s="141"/>
      <c r="P1969" s="140"/>
    </row>
    <row r="1970" spans="1:16" hidden="1" x14ac:dyDescent="0.35">
      <c r="A1970" s="146"/>
      <c r="B1970" s="143"/>
      <c r="C1970" s="133"/>
      <c r="D1970" s="133"/>
      <c r="E1970" s="145" t="s">
        <v>1064</v>
      </c>
      <c r="F1970" s="145">
        <v>802.7</v>
      </c>
      <c r="G1970" s="133" t="s">
        <v>1034</v>
      </c>
      <c r="H1970" s="144" t="s">
        <v>1341</v>
      </c>
      <c r="I1970" s="133" t="s">
        <v>1092</v>
      </c>
      <c r="J1970" s="133" t="s">
        <v>1623</v>
      </c>
      <c r="K1970" s="143">
        <v>45597</v>
      </c>
      <c r="L1970" s="133" t="s">
        <v>1241</v>
      </c>
      <c r="M1970" s="133">
        <v>439</v>
      </c>
      <c r="N1970" s="142"/>
      <c r="P1970" s="140"/>
    </row>
    <row r="1971" spans="1:16" hidden="1" x14ac:dyDescent="0.35">
      <c r="A1971" s="146"/>
      <c r="B1971" s="143"/>
      <c r="C1971" s="133"/>
      <c r="D1971" s="133"/>
      <c r="E1971" s="145" t="s">
        <v>1067</v>
      </c>
      <c r="F1971" s="145">
        <v>1191</v>
      </c>
      <c r="G1971" s="133" t="s">
        <v>1034</v>
      </c>
      <c r="H1971" s="144" t="s">
        <v>1341</v>
      </c>
      <c r="I1971" s="133" t="s">
        <v>1092</v>
      </c>
      <c r="J1971" s="133" t="s">
        <v>1608</v>
      </c>
      <c r="K1971" s="143">
        <v>45597</v>
      </c>
      <c r="L1971" s="133" t="s">
        <v>1092</v>
      </c>
      <c r="M1971" s="133">
        <v>802.7</v>
      </c>
      <c r="N1971" s="142"/>
      <c r="P1971" s="140"/>
    </row>
    <row r="1972" spans="1:16" hidden="1" x14ac:dyDescent="0.35">
      <c r="A1972" s="146"/>
      <c r="B1972" s="143"/>
      <c r="C1972" s="133"/>
      <c r="D1972" s="133"/>
      <c r="E1972" s="145" t="s">
        <v>1342</v>
      </c>
      <c r="F1972" s="145">
        <v>4429</v>
      </c>
      <c r="G1972" s="133" t="s">
        <v>1034</v>
      </c>
      <c r="H1972" s="144" t="s">
        <v>1341</v>
      </c>
      <c r="I1972" s="133" t="s">
        <v>1092</v>
      </c>
      <c r="J1972" s="133" t="s">
        <v>1601</v>
      </c>
      <c r="K1972" s="143">
        <v>45627</v>
      </c>
      <c r="L1972" s="133" t="s">
        <v>1092</v>
      </c>
      <c r="M1972" s="133">
        <v>2287.8000000000002</v>
      </c>
      <c r="N1972" s="142"/>
      <c r="P1972" s="140"/>
    </row>
    <row r="1973" spans="1:16" hidden="1" x14ac:dyDescent="0.35">
      <c r="A1973" s="146"/>
      <c r="B1973" s="143"/>
      <c r="C1973" s="133"/>
      <c r="D1973" s="133"/>
      <c r="E1973" s="145"/>
      <c r="F1973" s="145"/>
      <c r="G1973" s="133" t="s">
        <v>1034</v>
      </c>
      <c r="H1973" s="144" t="s">
        <v>1341</v>
      </c>
      <c r="I1973" s="133" t="s">
        <v>1092</v>
      </c>
      <c r="J1973" s="133" t="s">
        <v>1565</v>
      </c>
      <c r="K1973" s="143">
        <v>45658</v>
      </c>
      <c r="L1973" s="133" t="s">
        <v>1092</v>
      </c>
      <c r="M1973" s="133">
        <v>4429</v>
      </c>
      <c r="N1973" s="142"/>
      <c r="P1973" s="140"/>
    </row>
    <row r="1974" spans="1:16" hidden="1" x14ac:dyDescent="0.35">
      <c r="A1974" s="146"/>
      <c r="B1974" s="143"/>
      <c r="C1974" s="133"/>
      <c r="D1974" s="133"/>
      <c r="E1974" s="145"/>
      <c r="F1974" s="145"/>
      <c r="G1974" s="133"/>
      <c r="H1974" s="144"/>
      <c r="I1974" s="133"/>
      <c r="J1974" s="133"/>
      <c r="K1974" s="143"/>
      <c r="L1974" s="133"/>
      <c r="M1974" s="133"/>
      <c r="N1974" s="142"/>
      <c r="P1974" s="140"/>
    </row>
    <row r="1975" spans="1:16" hidden="1" x14ac:dyDescent="0.35">
      <c r="A1975" s="146">
        <v>167</v>
      </c>
      <c r="B1975" s="143">
        <v>45566</v>
      </c>
      <c r="C1975" s="133" t="s">
        <v>1638</v>
      </c>
      <c r="D1975" s="133" t="s">
        <v>1637</v>
      </c>
      <c r="E1975" s="145" t="s">
        <v>1078</v>
      </c>
      <c r="F1975" s="145">
        <v>3260.55</v>
      </c>
      <c r="G1975" s="133" t="s">
        <v>1034</v>
      </c>
      <c r="H1975" s="144" t="s">
        <v>1341</v>
      </c>
      <c r="I1975" s="133" t="s">
        <v>1092</v>
      </c>
      <c r="J1975" s="133" t="s">
        <v>1604</v>
      </c>
      <c r="K1975" s="143">
        <v>45597</v>
      </c>
      <c r="L1975" s="133" t="s">
        <v>1092</v>
      </c>
      <c r="M1975" s="133">
        <v>3260.55</v>
      </c>
      <c r="N1975" s="142">
        <f>+F1975-M1975</f>
        <v>0</v>
      </c>
      <c r="O1975" s="141"/>
      <c r="P1975" s="140"/>
    </row>
    <row r="1976" spans="1:16" hidden="1" x14ac:dyDescent="0.35">
      <c r="A1976" s="146"/>
      <c r="B1976" s="143"/>
      <c r="C1976" s="133"/>
      <c r="D1976" s="133"/>
      <c r="E1976" s="145"/>
      <c r="F1976" s="145"/>
      <c r="G1976" s="133"/>
      <c r="H1976" s="144"/>
      <c r="I1976" s="133"/>
      <c r="J1976" s="133"/>
      <c r="K1976" s="133"/>
      <c r="L1976" s="133"/>
      <c r="M1976" s="133"/>
      <c r="N1976" s="142"/>
      <c r="P1976" s="140"/>
    </row>
    <row r="1977" spans="1:16" hidden="1" x14ac:dyDescent="0.35">
      <c r="A1977" s="146">
        <v>168</v>
      </c>
      <c r="B1977" s="143">
        <v>45566</v>
      </c>
      <c r="C1977" s="133" t="s">
        <v>1636</v>
      </c>
      <c r="D1977" s="133" t="s">
        <v>1178</v>
      </c>
      <c r="E1977" s="145" t="s">
        <v>1075</v>
      </c>
      <c r="F1977" s="145">
        <v>12537.1</v>
      </c>
      <c r="G1977" s="133" t="s">
        <v>1034</v>
      </c>
      <c r="H1977" s="144" t="s">
        <v>1341</v>
      </c>
      <c r="I1977" s="133" t="s">
        <v>1092</v>
      </c>
      <c r="J1977" s="133" t="s">
        <v>1624</v>
      </c>
      <c r="K1977" s="143">
        <v>45597</v>
      </c>
      <c r="L1977" s="133" t="s">
        <v>1092</v>
      </c>
      <c r="M1977" s="133">
        <v>3664</v>
      </c>
      <c r="N1977" s="147">
        <f>+F1977+F1978+F1979+F1980+F1981+F1982-M1977-M1978-M1979-M1980-M1981-M1982</f>
        <v>0</v>
      </c>
      <c r="O1977" s="141"/>
      <c r="P1977" s="140"/>
    </row>
    <row r="1978" spans="1:16" hidden="1" x14ac:dyDescent="0.35">
      <c r="A1978" s="146"/>
      <c r="B1978" s="143"/>
      <c r="C1978" s="133"/>
      <c r="D1978" s="133"/>
      <c r="E1978" s="145" t="s">
        <v>1064</v>
      </c>
      <c r="F1978" s="145">
        <v>771.6</v>
      </c>
      <c r="G1978" s="133" t="s">
        <v>1034</v>
      </c>
      <c r="H1978" s="144" t="s">
        <v>1341</v>
      </c>
      <c r="I1978" s="133" t="s">
        <v>1092</v>
      </c>
      <c r="J1978" s="133" t="s">
        <v>1623</v>
      </c>
      <c r="K1978" s="143">
        <v>45597</v>
      </c>
      <c r="L1978" s="133" t="s">
        <v>1241</v>
      </c>
      <c r="M1978" s="133">
        <v>1199</v>
      </c>
      <c r="N1978" s="142"/>
      <c r="P1978" s="140"/>
    </row>
    <row r="1979" spans="1:16" hidden="1" x14ac:dyDescent="0.35">
      <c r="A1979" s="146"/>
      <c r="B1979" s="143"/>
      <c r="C1979" s="133"/>
      <c r="D1979" s="133"/>
      <c r="E1979" s="145" t="s">
        <v>1067</v>
      </c>
      <c r="F1979" s="145">
        <v>4863</v>
      </c>
      <c r="G1979" s="133" t="s">
        <v>1034</v>
      </c>
      <c r="H1979" s="144" t="s">
        <v>1341</v>
      </c>
      <c r="I1979" s="133" t="s">
        <v>1092</v>
      </c>
      <c r="J1979" s="133" t="s">
        <v>1608</v>
      </c>
      <c r="K1979" s="143">
        <v>45597</v>
      </c>
      <c r="L1979" s="133" t="s">
        <v>1092</v>
      </c>
      <c r="M1979" s="133">
        <f>771.6+2621.8</f>
        <v>3393.4</v>
      </c>
      <c r="N1979" s="142"/>
      <c r="P1979" s="140"/>
    </row>
    <row r="1980" spans="1:16" hidden="1" x14ac:dyDescent="0.35">
      <c r="A1980" s="146"/>
      <c r="B1980" s="143"/>
      <c r="C1980" s="133"/>
      <c r="D1980" s="133"/>
      <c r="E1980" s="145" t="s">
        <v>1342</v>
      </c>
      <c r="F1980" s="145">
        <v>2181</v>
      </c>
      <c r="G1980" s="133" t="s">
        <v>1034</v>
      </c>
      <c r="H1980" s="144" t="s">
        <v>1341</v>
      </c>
      <c r="I1980" s="133" t="s">
        <v>1092</v>
      </c>
      <c r="J1980" s="133" t="s">
        <v>1601</v>
      </c>
      <c r="K1980" s="143">
        <v>45627</v>
      </c>
      <c r="L1980" s="133" t="s">
        <v>1092</v>
      </c>
      <c r="M1980" s="133">
        <f>2537.1+1000</f>
        <v>3537.1</v>
      </c>
      <c r="N1980" s="142"/>
      <c r="P1980" s="140"/>
    </row>
    <row r="1981" spans="1:16" hidden="1" x14ac:dyDescent="0.35">
      <c r="A1981" s="146"/>
      <c r="B1981" s="143"/>
      <c r="C1981" s="133"/>
      <c r="D1981" s="133"/>
      <c r="E1981" s="148" t="s">
        <v>1074</v>
      </c>
      <c r="F1981" s="145">
        <v>1000</v>
      </c>
      <c r="G1981" s="133" t="s">
        <v>1034</v>
      </c>
      <c r="H1981" s="144" t="s">
        <v>1341</v>
      </c>
      <c r="I1981" s="133" t="s">
        <v>1092</v>
      </c>
      <c r="J1981" s="133" t="s">
        <v>1554</v>
      </c>
      <c r="K1981" s="143">
        <v>45627</v>
      </c>
      <c r="L1981" s="133" t="s">
        <v>1092</v>
      </c>
      <c r="M1981" s="133">
        <v>10000</v>
      </c>
      <c r="N1981" s="142"/>
      <c r="P1981" s="140"/>
    </row>
    <row r="1982" spans="1:16" hidden="1" x14ac:dyDescent="0.35">
      <c r="A1982" s="146"/>
      <c r="B1982" s="143"/>
      <c r="C1982" s="133"/>
      <c r="D1982" s="133"/>
      <c r="E1982" s="145" t="s">
        <v>1118</v>
      </c>
      <c r="F1982" s="145">
        <v>2621.8</v>
      </c>
      <c r="G1982" s="133" t="s">
        <v>1034</v>
      </c>
      <c r="H1982" s="144" t="s">
        <v>1341</v>
      </c>
      <c r="I1982" s="133" t="s">
        <v>1092</v>
      </c>
      <c r="J1982" s="133" t="s">
        <v>1565</v>
      </c>
      <c r="K1982" s="143">
        <v>45658</v>
      </c>
      <c r="L1982" s="133" t="s">
        <v>1092</v>
      </c>
      <c r="M1982" s="133">
        <v>2181</v>
      </c>
      <c r="N1982" s="142"/>
      <c r="P1982" s="140"/>
    </row>
    <row r="1983" spans="1:16" hidden="1" x14ac:dyDescent="0.35">
      <c r="A1983" s="146"/>
      <c r="B1983" s="143"/>
      <c r="C1983" s="133"/>
      <c r="D1983" s="133"/>
      <c r="E1983" s="145"/>
      <c r="F1983" s="145"/>
      <c r="G1983" s="133"/>
      <c r="H1983" s="144"/>
      <c r="I1983" s="133"/>
      <c r="J1983" s="133"/>
      <c r="K1983" s="133"/>
      <c r="L1983" s="133"/>
      <c r="M1983" s="133"/>
      <c r="N1983" s="142"/>
      <c r="P1983" s="140"/>
    </row>
    <row r="1984" spans="1:16" hidden="1" x14ac:dyDescent="0.35">
      <c r="A1984" s="146">
        <v>169</v>
      </c>
      <c r="B1984" s="143">
        <v>45566</v>
      </c>
      <c r="C1984" s="133" t="s">
        <v>1635</v>
      </c>
      <c r="D1984" s="133" t="s">
        <v>1175</v>
      </c>
      <c r="E1984" s="145" t="s">
        <v>1075</v>
      </c>
      <c r="F1984" s="145">
        <v>3416</v>
      </c>
      <c r="G1984" s="133" t="s">
        <v>1034</v>
      </c>
      <c r="H1984" s="144" t="s">
        <v>1341</v>
      </c>
      <c r="I1984" s="133" t="s">
        <v>1092</v>
      </c>
      <c r="J1984" s="133" t="s">
        <v>1624</v>
      </c>
      <c r="K1984" s="143">
        <v>45597</v>
      </c>
      <c r="L1984" s="133" t="s">
        <v>1092</v>
      </c>
      <c r="M1984" s="132">
        <v>2139</v>
      </c>
      <c r="N1984" s="147">
        <f>+F1984+F1985+F1986+F1987-M1984-M1985-M1986-M1987</f>
        <v>0</v>
      </c>
      <c r="O1984" s="141"/>
      <c r="P1984" s="140"/>
    </row>
    <row r="1985" spans="1:16" hidden="1" x14ac:dyDescent="0.35">
      <c r="A1985" s="146"/>
      <c r="B1985" s="143"/>
      <c r="C1985" s="133"/>
      <c r="D1985" s="133"/>
      <c r="E1985" s="145" t="s">
        <v>1064</v>
      </c>
      <c r="F1985" s="145">
        <v>204.5</v>
      </c>
      <c r="G1985" s="133" t="s">
        <v>1034</v>
      </c>
      <c r="H1985" s="144" t="s">
        <v>1341</v>
      </c>
      <c r="I1985" s="133" t="s">
        <v>1092</v>
      </c>
      <c r="J1985" s="133" t="s">
        <v>1623</v>
      </c>
      <c r="K1985" s="143">
        <v>45597</v>
      </c>
      <c r="L1985" s="133" t="s">
        <v>1241</v>
      </c>
      <c r="M1985" s="133">
        <v>462</v>
      </c>
      <c r="N1985" s="142"/>
      <c r="P1985" s="140"/>
    </row>
    <row r="1986" spans="1:16" hidden="1" x14ac:dyDescent="0.35">
      <c r="A1986" s="146"/>
      <c r="B1986" s="143"/>
      <c r="C1986" s="133"/>
      <c r="D1986" s="133"/>
      <c r="E1986" s="145" t="s">
        <v>1067</v>
      </c>
      <c r="F1986" s="145">
        <v>2601</v>
      </c>
      <c r="G1986" s="133" t="s">
        <v>1034</v>
      </c>
      <c r="H1986" s="144" t="s">
        <v>1341</v>
      </c>
      <c r="I1986" s="133" t="s">
        <v>1092</v>
      </c>
      <c r="J1986" s="133" t="s">
        <v>1601</v>
      </c>
      <c r="K1986" s="143">
        <v>45627</v>
      </c>
      <c r="L1986" s="133" t="s">
        <v>1092</v>
      </c>
      <c r="M1986" s="133">
        <v>204.5</v>
      </c>
      <c r="N1986" s="142"/>
      <c r="P1986" s="140"/>
    </row>
    <row r="1987" spans="1:16" hidden="1" x14ac:dyDescent="0.35">
      <c r="A1987" s="146"/>
      <c r="B1987" s="143"/>
      <c r="C1987" s="133"/>
      <c r="D1987" s="133"/>
      <c r="E1987" s="148" t="s">
        <v>1074</v>
      </c>
      <c r="F1987" s="145">
        <v>3000</v>
      </c>
      <c r="G1987" s="133" t="s">
        <v>1034</v>
      </c>
      <c r="H1987" s="144" t="s">
        <v>1341</v>
      </c>
      <c r="I1987" s="133" t="s">
        <v>1092</v>
      </c>
      <c r="J1987" s="133" t="s">
        <v>1554</v>
      </c>
      <c r="K1987" s="143">
        <v>45627</v>
      </c>
      <c r="L1987" s="133" t="s">
        <v>1092</v>
      </c>
      <c r="M1987" s="133">
        <v>6416</v>
      </c>
      <c r="N1987" s="142"/>
      <c r="P1987" s="140"/>
    </row>
    <row r="1988" spans="1:16" hidden="1" x14ac:dyDescent="0.35">
      <c r="A1988" s="146"/>
      <c r="B1988" s="143"/>
      <c r="C1988" s="133"/>
      <c r="D1988" s="133"/>
      <c r="E1988" s="145"/>
      <c r="F1988" s="145"/>
      <c r="G1988" s="133"/>
      <c r="H1988" s="144"/>
      <c r="I1988" s="133"/>
      <c r="J1988" s="133"/>
      <c r="K1988" s="133"/>
      <c r="L1988" s="133"/>
      <c r="M1988" s="133"/>
      <c r="N1988" s="142"/>
      <c r="P1988" s="140"/>
    </row>
    <row r="1989" spans="1:16" hidden="1" x14ac:dyDescent="0.35">
      <c r="A1989" s="146">
        <v>170</v>
      </c>
      <c r="B1989" s="143">
        <v>45566</v>
      </c>
      <c r="C1989" s="133" t="s">
        <v>1634</v>
      </c>
      <c r="D1989" s="133" t="s">
        <v>1633</v>
      </c>
      <c r="E1989" s="145" t="s">
        <v>1075</v>
      </c>
      <c r="F1989" s="145">
        <v>34</v>
      </c>
      <c r="G1989" s="133" t="s">
        <v>1034</v>
      </c>
      <c r="H1989" s="144" t="s">
        <v>1341</v>
      </c>
      <c r="I1989" s="133" t="s">
        <v>1092</v>
      </c>
      <c r="J1989" s="133" t="s">
        <v>1624</v>
      </c>
      <c r="K1989" s="143">
        <v>45597</v>
      </c>
      <c r="L1989" s="133" t="s">
        <v>1092</v>
      </c>
      <c r="M1989" s="133">
        <v>1229.4000000000001</v>
      </c>
      <c r="N1989" s="142">
        <f>+F1989+F1990-M1989</f>
        <v>0</v>
      </c>
      <c r="O1989" s="141"/>
      <c r="P1989" s="140"/>
    </row>
    <row r="1990" spans="1:16" hidden="1" x14ac:dyDescent="0.35">
      <c r="A1990" s="146"/>
      <c r="B1990" s="143"/>
      <c r="C1990" s="133"/>
      <c r="D1990" s="133"/>
      <c r="E1990" s="145" t="s">
        <v>1342</v>
      </c>
      <c r="F1990" s="145">
        <v>1195.4000000000001</v>
      </c>
      <c r="G1990" s="133"/>
      <c r="H1990" s="144"/>
      <c r="I1990" s="133"/>
      <c r="J1990" s="133"/>
      <c r="K1990" s="133"/>
      <c r="L1990" s="133"/>
      <c r="M1990" s="133"/>
      <c r="N1990" s="142"/>
      <c r="P1990" s="140"/>
    </row>
    <row r="1991" spans="1:16" hidden="1" x14ac:dyDescent="0.35">
      <c r="A1991" s="146"/>
      <c r="B1991" s="143"/>
      <c r="C1991" s="133"/>
      <c r="D1991" s="133"/>
      <c r="E1991" s="145"/>
      <c r="F1991" s="145"/>
      <c r="G1991" s="133"/>
      <c r="H1991" s="144"/>
      <c r="I1991" s="133"/>
      <c r="J1991" s="133"/>
      <c r="K1991" s="133"/>
      <c r="L1991" s="133"/>
      <c r="M1991" s="133"/>
      <c r="N1991" s="142"/>
      <c r="P1991" s="140"/>
    </row>
    <row r="1992" spans="1:16" hidden="1" x14ac:dyDescent="0.35">
      <c r="A1992" s="146">
        <v>171</v>
      </c>
      <c r="B1992" s="143">
        <v>45566</v>
      </c>
      <c r="C1992" s="133" t="s">
        <v>1632</v>
      </c>
      <c r="D1992" s="133" t="s">
        <v>1631</v>
      </c>
      <c r="E1992" s="145" t="s">
        <v>1075</v>
      </c>
      <c r="F1992" s="145">
        <v>9180.5</v>
      </c>
      <c r="G1992" s="133" t="s">
        <v>1034</v>
      </c>
      <c r="H1992" s="144" t="s">
        <v>1341</v>
      </c>
      <c r="I1992" s="133" t="s">
        <v>1092</v>
      </c>
      <c r="J1992" s="133" t="s">
        <v>1624</v>
      </c>
      <c r="K1992" s="143">
        <v>45597</v>
      </c>
      <c r="L1992" s="133" t="s">
        <v>1092</v>
      </c>
      <c r="M1992" s="133">
        <v>3048.5</v>
      </c>
      <c r="N1992" s="147">
        <f>+F1992+F1993+F1994+F1995-M1992-M1993-M1994-M1995-M1996</f>
        <v>0</v>
      </c>
      <c r="O1992" s="141"/>
      <c r="P1992" s="140"/>
    </row>
    <row r="1993" spans="1:16" hidden="1" x14ac:dyDescent="0.35">
      <c r="A1993" s="146"/>
      <c r="B1993" s="143"/>
      <c r="C1993" s="133"/>
      <c r="D1993" s="133"/>
      <c r="E1993" s="145" t="s">
        <v>1064</v>
      </c>
      <c r="F1993" s="145">
        <v>1389.9</v>
      </c>
      <c r="G1993" s="133" t="s">
        <v>1034</v>
      </c>
      <c r="H1993" s="144" t="s">
        <v>1341</v>
      </c>
      <c r="I1993" s="133" t="s">
        <v>1092</v>
      </c>
      <c r="J1993" s="133" t="s">
        <v>1623</v>
      </c>
      <c r="K1993" s="143">
        <v>45597</v>
      </c>
      <c r="L1993" s="133" t="s">
        <v>1241</v>
      </c>
      <c r="M1993" s="133">
        <v>910</v>
      </c>
      <c r="N1993" s="142"/>
      <c r="P1993" s="140"/>
    </row>
    <row r="1994" spans="1:16" hidden="1" x14ac:dyDescent="0.35">
      <c r="A1994" s="146"/>
      <c r="B1994" s="143"/>
      <c r="C1994" s="133"/>
      <c r="D1994" s="133"/>
      <c r="E1994" s="145" t="s">
        <v>1067</v>
      </c>
      <c r="F1994" s="145">
        <v>3958.5</v>
      </c>
      <c r="G1994" s="133" t="s">
        <v>1034</v>
      </c>
      <c r="H1994" s="144" t="s">
        <v>1341</v>
      </c>
      <c r="I1994" s="133" t="s">
        <v>1092</v>
      </c>
      <c r="J1994" s="133" t="s">
        <v>1601</v>
      </c>
      <c r="K1994" s="143">
        <v>45627</v>
      </c>
      <c r="L1994" s="133" t="s">
        <v>1092</v>
      </c>
      <c r="M1994" s="133">
        <v>1389.9</v>
      </c>
      <c r="N1994" s="142"/>
      <c r="P1994" s="140"/>
    </row>
    <row r="1995" spans="1:16" hidden="1" x14ac:dyDescent="0.35">
      <c r="A1995" s="146"/>
      <c r="B1995" s="143"/>
      <c r="C1995" s="133"/>
      <c r="D1995" s="133"/>
      <c r="E1995" s="145" t="s">
        <v>1342</v>
      </c>
      <c r="F1995" s="145">
        <v>3812</v>
      </c>
      <c r="G1995" s="133" t="s">
        <v>1034</v>
      </c>
      <c r="H1995" s="144" t="s">
        <v>1341</v>
      </c>
      <c r="I1995" s="133" t="s">
        <v>1092</v>
      </c>
      <c r="J1995" s="133" t="s">
        <v>1554</v>
      </c>
      <c r="K1995" s="143">
        <v>45627</v>
      </c>
      <c r="L1995" s="133" t="s">
        <v>1092</v>
      </c>
      <c r="M1995" s="133">
        <v>9180.5</v>
      </c>
      <c r="N1995" s="142"/>
      <c r="P1995" s="140"/>
    </row>
    <row r="1996" spans="1:16" hidden="1" x14ac:dyDescent="0.35">
      <c r="A1996" s="146"/>
      <c r="B1996" s="143"/>
      <c r="C1996" s="133"/>
      <c r="D1996" s="133"/>
      <c r="E1996" s="145"/>
      <c r="F1996" s="145"/>
      <c r="G1996" s="133" t="s">
        <v>1034</v>
      </c>
      <c r="H1996" s="144" t="s">
        <v>1341</v>
      </c>
      <c r="I1996" s="133" t="s">
        <v>1092</v>
      </c>
      <c r="J1996" s="133" t="s">
        <v>1565</v>
      </c>
      <c r="K1996" s="143">
        <v>45658</v>
      </c>
      <c r="L1996" s="133" t="s">
        <v>1092</v>
      </c>
      <c r="M1996" s="133">
        <v>3812</v>
      </c>
      <c r="N1996" s="142"/>
      <c r="P1996" s="140"/>
    </row>
    <row r="1997" spans="1:16" hidden="1" x14ac:dyDescent="0.35">
      <c r="A1997" s="146"/>
      <c r="B1997" s="143"/>
      <c r="C1997" s="133"/>
      <c r="D1997" s="133"/>
      <c r="E1997" s="145"/>
      <c r="F1997" s="145"/>
      <c r="G1997" s="133"/>
      <c r="H1997" s="144"/>
      <c r="I1997" s="133"/>
      <c r="J1997" s="133"/>
      <c r="K1997" s="143"/>
      <c r="L1997" s="133"/>
      <c r="M1997" s="133"/>
      <c r="N1997" s="142"/>
      <c r="P1997" s="140"/>
    </row>
    <row r="1998" spans="1:16" hidden="1" x14ac:dyDescent="0.35">
      <c r="A1998" s="146">
        <v>172</v>
      </c>
      <c r="B1998" s="143">
        <v>45566</v>
      </c>
      <c r="C1998" s="133" t="s">
        <v>1630</v>
      </c>
      <c r="D1998" s="133" t="s">
        <v>1629</v>
      </c>
      <c r="E1998" s="145" t="s">
        <v>1075</v>
      </c>
      <c r="F1998" s="145">
        <v>415</v>
      </c>
      <c r="G1998" s="133" t="s">
        <v>1034</v>
      </c>
      <c r="H1998" s="144" t="s">
        <v>1341</v>
      </c>
      <c r="I1998" s="133" t="s">
        <v>1092</v>
      </c>
      <c r="J1998" s="133" t="s">
        <v>1624</v>
      </c>
      <c r="K1998" s="143">
        <v>45597</v>
      </c>
      <c r="L1998" s="133" t="s">
        <v>1092</v>
      </c>
      <c r="M1998" s="133">
        <v>1088</v>
      </c>
      <c r="N1998" s="142">
        <f>+F1998+F1999-M1998-M1999</f>
        <v>0</v>
      </c>
      <c r="O1998" s="141"/>
      <c r="P1998" s="140"/>
    </row>
    <row r="1999" spans="1:16" hidden="1" x14ac:dyDescent="0.35">
      <c r="A1999" s="146"/>
      <c r="B1999" s="143"/>
      <c r="C1999" s="133"/>
      <c r="D1999" s="133"/>
      <c r="E1999" s="145" t="s">
        <v>1067</v>
      </c>
      <c r="F1999" s="145">
        <v>732</v>
      </c>
      <c r="G1999" s="133" t="s">
        <v>1034</v>
      </c>
      <c r="H1999" s="144" t="s">
        <v>1341</v>
      </c>
      <c r="I1999" s="133" t="s">
        <v>1092</v>
      </c>
      <c r="J1999" s="133" t="s">
        <v>1623</v>
      </c>
      <c r="K1999" s="143">
        <v>45597</v>
      </c>
      <c r="L1999" s="133" t="s">
        <v>1241</v>
      </c>
      <c r="M1999" s="133">
        <v>59</v>
      </c>
      <c r="N1999" s="142"/>
      <c r="P1999" s="140"/>
    </row>
    <row r="2000" spans="1:16" hidden="1" x14ac:dyDescent="0.35">
      <c r="A2000" s="146"/>
      <c r="B2000" s="143"/>
      <c r="C2000" s="133"/>
      <c r="D2000" s="133"/>
      <c r="E2000" s="145"/>
      <c r="F2000" s="145"/>
      <c r="G2000" s="133"/>
      <c r="H2000" s="144"/>
      <c r="I2000" s="133"/>
      <c r="J2000" s="133"/>
      <c r="K2000" s="133"/>
      <c r="L2000" s="133"/>
      <c r="M2000" s="133"/>
      <c r="N2000" s="142"/>
      <c r="P2000" s="140"/>
    </row>
    <row r="2001" spans="1:16" hidden="1" x14ac:dyDescent="0.35">
      <c r="A2001" s="146">
        <v>173</v>
      </c>
      <c r="B2001" s="143">
        <v>45566</v>
      </c>
      <c r="C2001" s="133" t="s">
        <v>1628</v>
      </c>
      <c r="D2001" s="133" t="s">
        <v>1627</v>
      </c>
      <c r="E2001" s="145" t="s">
        <v>1075</v>
      </c>
      <c r="F2001" s="145">
        <v>9839.7999999999993</v>
      </c>
      <c r="G2001" s="133" t="s">
        <v>1034</v>
      </c>
      <c r="H2001" s="144" t="s">
        <v>1341</v>
      </c>
      <c r="I2001" s="133" t="s">
        <v>1092</v>
      </c>
      <c r="J2001" s="133" t="s">
        <v>1624</v>
      </c>
      <c r="K2001" s="143">
        <v>45597</v>
      </c>
      <c r="L2001" s="133" t="s">
        <v>1092</v>
      </c>
      <c r="M2001" s="133">
        <v>988</v>
      </c>
      <c r="N2001" s="147">
        <f>+F2001+F2002+F2003+F2004+F2005+F2006-M2001-M2002-M2003-M2004-M2005-M2006</f>
        <v>-1.8189894035458565E-12</v>
      </c>
      <c r="O2001" s="141"/>
      <c r="P2001" s="140"/>
    </row>
    <row r="2002" spans="1:16" hidden="1" x14ac:dyDescent="0.35">
      <c r="A2002" s="146"/>
      <c r="B2002" s="143"/>
      <c r="C2002" s="133"/>
      <c r="D2002" s="133"/>
      <c r="E2002" s="145" t="s">
        <v>1064</v>
      </c>
      <c r="F2002" s="145">
        <v>2604.4</v>
      </c>
      <c r="G2002" s="133" t="s">
        <v>1034</v>
      </c>
      <c r="H2002" s="144" t="s">
        <v>1341</v>
      </c>
      <c r="I2002" s="133" t="s">
        <v>1092</v>
      </c>
      <c r="J2002" s="133" t="s">
        <v>1608</v>
      </c>
      <c r="K2002" s="143">
        <v>45597</v>
      </c>
      <c r="L2002" s="133" t="s">
        <v>1092</v>
      </c>
      <c r="M2002" s="133">
        <v>2188.9</v>
      </c>
      <c r="N2002" s="142"/>
      <c r="P2002" s="140"/>
    </row>
    <row r="2003" spans="1:16" hidden="1" x14ac:dyDescent="0.35">
      <c r="A2003" s="146"/>
      <c r="B2003" s="143"/>
      <c r="C2003" s="133"/>
      <c r="D2003" s="133"/>
      <c r="E2003" s="145" t="s">
        <v>1067</v>
      </c>
      <c r="F2003" s="145">
        <v>988</v>
      </c>
      <c r="G2003" s="133" t="s">
        <v>1034</v>
      </c>
      <c r="H2003" s="144" t="s">
        <v>1341</v>
      </c>
      <c r="I2003" s="133" t="s">
        <v>1092</v>
      </c>
      <c r="J2003" s="133" t="s">
        <v>1554</v>
      </c>
      <c r="K2003" s="143">
        <v>45627</v>
      </c>
      <c r="L2003" s="133" t="s">
        <v>1092</v>
      </c>
      <c r="M2003" s="133">
        <f>2604.4+2839.8+713</f>
        <v>6157.2000000000007</v>
      </c>
      <c r="N2003" s="142"/>
      <c r="P2003" s="140"/>
    </row>
    <row r="2004" spans="1:16" hidden="1" x14ac:dyDescent="0.35">
      <c r="A2004" s="146"/>
      <c r="B2004" s="143"/>
      <c r="C2004" s="133"/>
      <c r="D2004" s="133"/>
      <c r="E2004" s="145" t="s">
        <v>1342</v>
      </c>
      <c r="F2004" s="145">
        <v>2588</v>
      </c>
      <c r="G2004" s="133" t="s">
        <v>1034</v>
      </c>
      <c r="H2004" s="144" t="s">
        <v>1341</v>
      </c>
      <c r="I2004" s="133" t="s">
        <v>1092</v>
      </c>
      <c r="J2004" s="133" t="s">
        <v>1553</v>
      </c>
      <c r="K2004" s="143">
        <v>45627</v>
      </c>
      <c r="L2004" s="133" t="s">
        <v>1092</v>
      </c>
      <c r="M2004" s="133">
        <v>7000</v>
      </c>
      <c r="N2004" s="142"/>
      <c r="P2004" s="140"/>
    </row>
    <row r="2005" spans="1:16" hidden="1" x14ac:dyDescent="0.35">
      <c r="A2005" s="146"/>
      <c r="B2005" s="143"/>
      <c r="C2005" s="133"/>
      <c r="D2005" s="133"/>
      <c r="E2005" s="145" t="s">
        <v>1075</v>
      </c>
      <c r="F2005" s="145">
        <v>713</v>
      </c>
      <c r="G2005" s="133" t="s">
        <v>1034</v>
      </c>
      <c r="H2005" s="144" t="s">
        <v>1341</v>
      </c>
      <c r="I2005" s="133" t="s">
        <v>1092</v>
      </c>
      <c r="J2005" s="133" t="s">
        <v>1565</v>
      </c>
      <c r="K2005" s="143">
        <v>45658</v>
      </c>
      <c r="L2005" s="133" t="s">
        <v>1092</v>
      </c>
      <c r="M2005" s="133">
        <f>2588-949</f>
        <v>1639</v>
      </c>
      <c r="N2005" s="142"/>
      <c r="P2005" s="140"/>
    </row>
    <row r="2006" spans="1:16" hidden="1" x14ac:dyDescent="0.35">
      <c r="A2006" s="146"/>
      <c r="B2006" s="143"/>
      <c r="C2006" s="133"/>
      <c r="D2006" s="133"/>
      <c r="E2006" s="145" t="s">
        <v>1118</v>
      </c>
      <c r="F2006" s="145">
        <v>2188.9</v>
      </c>
      <c r="G2006" s="133" t="s">
        <v>1034</v>
      </c>
      <c r="H2006" s="144" t="s">
        <v>1341</v>
      </c>
      <c r="I2006" s="133" t="s">
        <v>1092</v>
      </c>
      <c r="J2006" s="133" t="s">
        <v>1515</v>
      </c>
      <c r="K2006" s="143">
        <v>45658</v>
      </c>
      <c r="L2006" s="133" t="s">
        <v>1241</v>
      </c>
      <c r="M2006" s="133">
        <v>949</v>
      </c>
      <c r="N2006" s="142"/>
      <c r="P2006" s="140"/>
    </row>
    <row r="2007" spans="1:16" hidden="1" x14ac:dyDescent="0.35">
      <c r="A2007" s="146"/>
      <c r="B2007" s="143"/>
      <c r="C2007" s="133"/>
      <c r="D2007" s="133"/>
      <c r="E2007" s="145"/>
      <c r="F2007" s="145"/>
      <c r="G2007" s="133"/>
      <c r="H2007" s="144"/>
      <c r="I2007" s="133"/>
      <c r="J2007" s="133"/>
      <c r="K2007" s="133"/>
      <c r="L2007" s="133"/>
      <c r="M2007" s="133"/>
      <c r="N2007" s="142"/>
      <c r="P2007" s="140"/>
    </row>
    <row r="2008" spans="1:16" hidden="1" x14ac:dyDescent="0.35">
      <c r="A2008" s="146">
        <v>174</v>
      </c>
      <c r="B2008" s="143">
        <v>45566</v>
      </c>
      <c r="C2008" s="133" t="s">
        <v>1626</v>
      </c>
      <c r="D2008" s="133" t="s">
        <v>1625</v>
      </c>
      <c r="E2008" s="145" t="s">
        <v>1064</v>
      </c>
      <c r="F2008" s="145">
        <v>722.5</v>
      </c>
      <c r="G2008" s="133" t="s">
        <v>1034</v>
      </c>
      <c r="H2008" s="144" t="s">
        <v>1341</v>
      </c>
      <c r="I2008" s="133" t="s">
        <v>1092</v>
      </c>
      <c r="J2008" s="133" t="s">
        <v>1624</v>
      </c>
      <c r="K2008" s="143">
        <v>45597</v>
      </c>
      <c r="L2008" s="133" t="s">
        <v>1092</v>
      </c>
      <c r="M2008" s="133">
        <v>2245</v>
      </c>
      <c r="N2008" s="147">
        <f>+F2008+F2009+F2010-M2008-M2009-M2010-M2011</f>
        <v>0</v>
      </c>
      <c r="O2008" s="141"/>
      <c r="P2008" s="140"/>
    </row>
    <row r="2009" spans="1:16" hidden="1" x14ac:dyDescent="0.35">
      <c r="A2009" s="146"/>
      <c r="B2009" s="143"/>
      <c r="C2009" s="133"/>
      <c r="D2009" s="133"/>
      <c r="E2009" s="145" t="s">
        <v>1067</v>
      </c>
      <c r="F2009" s="145">
        <v>2570</v>
      </c>
      <c r="G2009" s="133" t="s">
        <v>1034</v>
      </c>
      <c r="H2009" s="144" t="s">
        <v>1341</v>
      </c>
      <c r="I2009" s="133" t="s">
        <v>1092</v>
      </c>
      <c r="J2009" s="133" t="s">
        <v>1623</v>
      </c>
      <c r="K2009" s="143">
        <v>45597</v>
      </c>
      <c r="L2009" s="133" t="s">
        <v>1241</v>
      </c>
      <c r="M2009" s="133">
        <v>325</v>
      </c>
      <c r="N2009" s="142"/>
      <c r="P2009" s="140"/>
    </row>
    <row r="2010" spans="1:16" hidden="1" x14ac:dyDescent="0.35">
      <c r="A2010" s="146"/>
      <c r="B2010" s="143"/>
      <c r="C2010" s="133"/>
      <c r="D2010" s="133"/>
      <c r="E2010" s="145" t="s">
        <v>1342</v>
      </c>
      <c r="F2010" s="145">
        <v>3137</v>
      </c>
      <c r="G2010" s="133" t="s">
        <v>1034</v>
      </c>
      <c r="H2010" s="144" t="s">
        <v>1341</v>
      </c>
      <c r="I2010" s="133" t="s">
        <v>1092</v>
      </c>
      <c r="J2010" s="133" t="s">
        <v>1553</v>
      </c>
      <c r="K2010" s="143">
        <v>45627</v>
      </c>
      <c r="L2010" s="133" t="s">
        <v>1092</v>
      </c>
      <c r="M2010" s="133">
        <v>722.5</v>
      </c>
      <c r="N2010" s="142"/>
      <c r="P2010" s="140"/>
    </row>
    <row r="2011" spans="1:16" hidden="1" x14ac:dyDescent="0.35">
      <c r="A2011" s="146"/>
      <c r="B2011" s="143"/>
      <c r="C2011" s="133"/>
      <c r="D2011" s="133"/>
      <c r="E2011" s="145"/>
      <c r="F2011" s="145"/>
      <c r="G2011" s="133" t="s">
        <v>1034</v>
      </c>
      <c r="H2011" s="144" t="s">
        <v>1341</v>
      </c>
      <c r="I2011" s="133" t="s">
        <v>1092</v>
      </c>
      <c r="J2011" s="133" t="s">
        <v>1542</v>
      </c>
      <c r="K2011" s="143">
        <v>45658</v>
      </c>
      <c r="L2011" s="133" t="s">
        <v>1092</v>
      </c>
      <c r="M2011" s="133">
        <v>3137</v>
      </c>
      <c r="N2011" s="142"/>
      <c r="P2011" s="140"/>
    </row>
    <row r="2012" spans="1:16" hidden="1" x14ac:dyDescent="0.35">
      <c r="A2012" s="146"/>
      <c r="B2012" s="143"/>
      <c r="C2012" s="133"/>
      <c r="D2012" s="133"/>
      <c r="E2012" s="145"/>
      <c r="F2012" s="145"/>
      <c r="G2012" s="133"/>
      <c r="H2012" s="144"/>
      <c r="I2012" s="133"/>
      <c r="J2012" s="133"/>
      <c r="K2012" s="133"/>
      <c r="L2012" s="133"/>
      <c r="M2012" s="133"/>
      <c r="N2012" s="142"/>
      <c r="P2012" s="140"/>
    </row>
    <row r="2013" spans="1:16" hidden="1" x14ac:dyDescent="0.35">
      <c r="A2013" s="146">
        <v>175</v>
      </c>
      <c r="B2013" s="143">
        <v>45566</v>
      </c>
      <c r="C2013" s="133" t="s">
        <v>1622</v>
      </c>
      <c r="D2013" s="133" t="s">
        <v>1621</v>
      </c>
      <c r="E2013" s="145" t="s">
        <v>1064</v>
      </c>
      <c r="F2013" s="145">
        <v>1283.0999999999999</v>
      </c>
      <c r="G2013" s="133" t="s">
        <v>1034</v>
      </c>
      <c r="H2013" s="144" t="s">
        <v>1341</v>
      </c>
      <c r="I2013" s="133" t="s">
        <v>1092</v>
      </c>
      <c r="J2013" s="133" t="s">
        <v>1604</v>
      </c>
      <c r="K2013" s="143">
        <v>45597</v>
      </c>
      <c r="L2013" s="133" t="s">
        <v>1092</v>
      </c>
      <c r="M2013" s="133">
        <v>141</v>
      </c>
      <c r="N2013" s="147">
        <f>+F2013+F2014+F2015+F2016-M2013-M2014-M2015-M2016-M2017</f>
        <v>0</v>
      </c>
      <c r="O2013" s="141"/>
      <c r="P2013" s="140"/>
    </row>
    <row r="2014" spans="1:16" hidden="1" x14ac:dyDescent="0.35">
      <c r="A2014" s="146"/>
      <c r="B2014" s="143"/>
      <c r="C2014" s="133"/>
      <c r="D2014" s="133"/>
      <c r="E2014" s="145" t="s">
        <v>1067</v>
      </c>
      <c r="F2014" s="145">
        <v>141</v>
      </c>
      <c r="G2014" s="133" t="s">
        <v>1034</v>
      </c>
      <c r="H2014" s="144" t="s">
        <v>1341</v>
      </c>
      <c r="I2014" s="133" t="s">
        <v>1092</v>
      </c>
      <c r="J2014" s="133" t="s">
        <v>1601</v>
      </c>
      <c r="K2014" s="143">
        <v>45627</v>
      </c>
      <c r="L2014" s="133" t="s">
        <v>1092</v>
      </c>
      <c r="M2014" s="133">
        <v>2497.54</v>
      </c>
      <c r="N2014" s="142"/>
      <c r="P2014" s="140"/>
    </row>
    <row r="2015" spans="1:16" hidden="1" x14ac:dyDescent="0.35">
      <c r="A2015" s="146"/>
      <c r="B2015" s="143"/>
      <c r="C2015" s="133"/>
      <c r="D2015" s="133"/>
      <c r="E2015" s="145" t="s">
        <v>1118</v>
      </c>
      <c r="F2015" s="145">
        <v>4497.54</v>
      </c>
      <c r="G2015" s="133" t="s">
        <v>1034</v>
      </c>
      <c r="H2015" s="144" t="s">
        <v>1341</v>
      </c>
      <c r="I2015" s="133" t="s">
        <v>1092</v>
      </c>
      <c r="J2015" s="133" t="s">
        <v>1554</v>
      </c>
      <c r="K2015" s="143">
        <v>45627</v>
      </c>
      <c r="L2015" s="133" t="s">
        <v>1092</v>
      </c>
      <c r="M2015" s="133">
        <f>2000+951.1</f>
        <v>2951.1</v>
      </c>
      <c r="N2015" s="142"/>
      <c r="P2015" s="140"/>
    </row>
    <row r="2016" spans="1:16" hidden="1" x14ac:dyDescent="0.35">
      <c r="A2016" s="146"/>
      <c r="B2016" s="143"/>
      <c r="C2016" s="133"/>
      <c r="D2016" s="133"/>
      <c r="E2016" s="145" t="s">
        <v>1171</v>
      </c>
      <c r="F2016" s="145">
        <v>825</v>
      </c>
      <c r="G2016" s="133" t="s">
        <v>1034</v>
      </c>
      <c r="H2016" s="144" t="s">
        <v>1341</v>
      </c>
      <c r="I2016" s="133" t="s">
        <v>1092</v>
      </c>
      <c r="J2016" s="133" t="s">
        <v>1515</v>
      </c>
      <c r="K2016" s="143">
        <v>45658</v>
      </c>
      <c r="L2016" s="133" t="s">
        <v>1241</v>
      </c>
      <c r="M2016" s="133">
        <v>332</v>
      </c>
      <c r="N2016" s="142"/>
      <c r="P2016" s="140"/>
    </row>
    <row r="2017" spans="1:16" hidden="1" x14ac:dyDescent="0.35">
      <c r="A2017" s="146"/>
      <c r="B2017" s="143"/>
      <c r="C2017" s="133"/>
      <c r="D2017" s="133"/>
      <c r="E2017" s="145"/>
      <c r="F2017" s="145"/>
      <c r="G2017" s="133" t="s">
        <v>1034</v>
      </c>
      <c r="H2017" s="144" t="s">
        <v>1341</v>
      </c>
      <c r="I2017" s="133" t="s">
        <v>1092</v>
      </c>
      <c r="J2017" s="133" t="s">
        <v>1499</v>
      </c>
      <c r="K2017" s="143">
        <v>45689</v>
      </c>
      <c r="L2017" s="133" t="s">
        <v>1092</v>
      </c>
      <c r="M2017" s="133">
        <v>825</v>
      </c>
      <c r="N2017" s="142"/>
      <c r="P2017" s="140"/>
    </row>
    <row r="2018" spans="1:16" hidden="1" x14ac:dyDescent="0.35">
      <c r="A2018" s="146"/>
      <c r="B2018" s="143"/>
      <c r="C2018" s="133"/>
      <c r="D2018" s="133"/>
      <c r="E2018" s="145"/>
      <c r="F2018" s="145"/>
      <c r="G2018" s="133"/>
      <c r="H2018" s="144"/>
      <c r="I2018" s="133"/>
      <c r="J2018" s="133"/>
      <c r="K2018" s="133"/>
      <c r="L2018" s="133"/>
      <c r="M2018" s="133"/>
      <c r="N2018" s="142"/>
      <c r="P2018" s="140"/>
    </row>
    <row r="2019" spans="1:16" hidden="1" x14ac:dyDescent="0.35">
      <c r="A2019" s="146">
        <v>176</v>
      </c>
      <c r="B2019" s="143">
        <v>45566</v>
      </c>
      <c r="C2019" s="133" t="s">
        <v>1620</v>
      </c>
      <c r="D2019" s="133" t="s">
        <v>1619</v>
      </c>
      <c r="E2019" s="145" t="s">
        <v>1064</v>
      </c>
      <c r="F2019" s="145">
        <v>2055.8000000000002</v>
      </c>
      <c r="G2019" s="133" t="s">
        <v>1034</v>
      </c>
      <c r="H2019" s="144" t="s">
        <v>1341</v>
      </c>
      <c r="I2019" s="133" t="s">
        <v>1092</v>
      </c>
      <c r="J2019" s="133" t="s">
        <v>1614</v>
      </c>
      <c r="K2019" s="143">
        <v>45597</v>
      </c>
      <c r="L2019" s="133" t="s">
        <v>1092</v>
      </c>
      <c r="M2019" s="133">
        <v>2268</v>
      </c>
      <c r="N2019" s="147">
        <f>+F2019+F2020+F2021+F2022+F2023-M2019-M2020-M2021-M2022</f>
        <v>0</v>
      </c>
      <c r="O2019" s="141"/>
      <c r="P2019" s="141"/>
    </row>
    <row r="2020" spans="1:16" hidden="1" x14ac:dyDescent="0.35">
      <c r="A2020" s="146"/>
      <c r="B2020" s="143"/>
      <c r="C2020" s="133"/>
      <c r="D2020" s="133"/>
      <c r="E2020" s="145" t="s">
        <v>1067</v>
      </c>
      <c r="F2020" s="145">
        <v>2268</v>
      </c>
      <c r="G2020" s="133" t="s">
        <v>1034</v>
      </c>
      <c r="H2020" s="144" t="s">
        <v>1341</v>
      </c>
      <c r="I2020" s="133" t="s">
        <v>1092</v>
      </c>
      <c r="J2020" s="133" t="s">
        <v>1554</v>
      </c>
      <c r="K2020" s="143">
        <v>45627</v>
      </c>
      <c r="L2020" s="133" t="s">
        <v>1092</v>
      </c>
      <c r="M2020" s="133">
        <f>2055.8+1876.6+925.1</f>
        <v>4857.5</v>
      </c>
      <c r="N2020" s="142"/>
      <c r="P2020" s="140"/>
    </row>
    <row r="2021" spans="1:16" hidden="1" x14ac:dyDescent="0.35">
      <c r="A2021" s="146"/>
      <c r="B2021" s="143"/>
      <c r="C2021" s="133"/>
      <c r="D2021" s="133"/>
      <c r="E2021" s="145" t="s">
        <v>1118</v>
      </c>
      <c r="F2021" s="145">
        <v>1876.6</v>
      </c>
      <c r="G2021" s="133" t="s">
        <v>1034</v>
      </c>
      <c r="H2021" s="144" t="s">
        <v>1341</v>
      </c>
      <c r="I2021" s="133" t="s">
        <v>1092</v>
      </c>
      <c r="J2021" s="133" t="s">
        <v>1542</v>
      </c>
      <c r="K2021" s="143">
        <v>45658</v>
      </c>
      <c r="L2021" s="133" t="s">
        <v>1092</v>
      </c>
      <c r="M2021" s="133">
        <v>2796</v>
      </c>
      <c r="N2021" s="142"/>
      <c r="P2021" s="140"/>
    </row>
    <row r="2022" spans="1:16" hidden="1" x14ac:dyDescent="0.35">
      <c r="A2022" s="146"/>
      <c r="B2022" s="143"/>
      <c r="C2022" s="133"/>
      <c r="D2022" s="133"/>
      <c r="E2022" s="145" t="s">
        <v>1342</v>
      </c>
      <c r="F2022" s="145">
        <v>3325</v>
      </c>
      <c r="G2022" s="133" t="s">
        <v>1034</v>
      </c>
      <c r="H2022" s="144" t="s">
        <v>1341</v>
      </c>
      <c r="I2022" s="133" t="s">
        <v>1092</v>
      </c>
      <c r="J2022" s="133" t="s">
        <v>1515</v>
      </c>
      <c r="K2022" s="143">
        <v>45658</v>
      </c>
      <c r="L2022" s="133" t="s">
        <v>1241</v>
      </c>
      <c r="M2022" s="133">
        <v>529</v>
      </c>
      <c r="N2022" s="142"/>
      <c r="P2022" s="140"/>
    </row>
    <row r="2023" spans="1:16" hidden="1" x14ac:dyDescent="0.35">
      <c r="A2023" s="146"/>
      <c r="B2023" s="143"/>
      <c r="C2023" s="133"/>
      <c r="D2023" s="133"/>
      <c r="E2023" s="145" t="s">
        <v>1071</v>
      </c>
      <c r="F2023" s="145">
        <v>925.1</v>
      </c>
      <c r="G2023" s="133"/>
      <c r="H2023" s="144"/>
      <c r="I2023" s="133"/>
      <c r="J2023" s="133"/>
      <c r="K2023" s="133"/>
      <c r="L2023" s="133"/>
      <c r="M2023" s="133"/>
      <c r="N2023" s="142"/>
      <c r="P2023" s="140"/>
    </row>
    <row r="2024" spans="1:16" hidden="1" x14ac:dyDescent="0.35">
      <c r="A2024" s="146"/>
      <c r="B2024" s="143"/>
      <c r="C2024" s="133"/>
      <c r="D2024" s="133"/>
      <c r="E2024" s="145"/>
      <c r="F2024" s="145"/>
      <c r="G2024" s="133"/>
      <c r="H2024" s="144"/>
      <c r="I2024" s="133"/>
      <c r="J2024" s="133"/>
      <c r="K2024" s="133"/>
      <c r="L2024" s="133"/>
      <c r="M2024" s="133"/>
      <c r="N2024" s="142"/>
      <c r="P2024" s="140"/>
    </row>
    <row r="2025" spans="1:16" hidden="1" x14ac:dyDescent="0.35">
      <c r="A2025" s="146">
        <v>177</v>
      </c>
      <c r="B2025" s="143">
        <v>45566</v>
      </c>
      <c r="C2025" s="133" t="s">
        <v>1618</v>
      </c>
      <c r="D2025" s="133" t="s">
        <v>1617</v>
      </c>
      <c r="E2025" s="145" t="s">
        <v>1342</v>
      </c>
      <c r="F2025" s="145">
        <v>1637</v>
      </c>
      <c r="G2025" s="133" t="s">
        <v>1034</v>
      </c>
      <c r="H2025" s="144" t="s">
        <v>1341</v>
      </c>
      <c r="I2025" s="133" t="s">
        <v>1092</v>
      </c>
      <c r="J2025" s="133" t="s">
        <v>1614</v>
      </c>
      <c r="K2025" s="143">
        <v>45597</v>
      </c>
      <c r="L2025" s="133" t="s">
        <v>1092</v>
      </c>
      <c r="M2025" s="133">
        <v>3896</v>
      </c>
      <c r="N2025" s="147">
        <f>+F2025+F2026-M2025-M2026</f>
        <v>0</v>
      </c>
      <c r="O2025" s="141"/>
      <c r="P2025" s="140"/>
    </row>
    <row r="2026" spans="1:16" hidden="1" x14ac:dyDescent="0.35">
      <c r="A2026" s="146"/>
      <c r="B2026" s="143"/>
      <c r="C2026" s="133"/>
      <c r="D2026" s="133"/>
      <c r="E2026" s="145" t="s">
        <v>1067</v>
      </c>
      <c r="F2026" s="145">
        <v>3896</v>
      </c>
      <c r="G2026" s="133" t="s">
        <v>1034</v>
      </c>
      <c r="H2026" s="144" t="s">
        <v>1341</v>
      </c>
      <c r="I2026" s="133" t="s">
        <v>1092</v>
      </c>
      <c r="J2026" s="133" t="s">
        <v>1499</v>
      </c>
      <c r="K2026" s="143">
        <v>45689</v>
      </c>
      <c r="L2026" s="133" t="s">
        <v>1092</v>
      </c>
      <c r="M2026" s="133">
        <v>1637</v>
      </c>
      <c r="N2026" s="142"/>
      <c r="P2026" s="140"/>
    </row>
    <row r="2027" spans="1:16" hidden="1" x14ac:dyDescent="0.35">
      <c r="A2027" s="146"/>
      <c r="B2027" s="143"/>
      <c r="C2027" s="133"/>
      <c r="D2027" s="133"/>
      <c r="E2027" s="145"/>
      <c r="F2027" s="145"/>
      <c r="G2027" s="133"/>
      <c r="H2027" s="144"/>
      <c r="I2027" s="133"/>
      <c r="J2027" s="133"/>
      <c r="K2027" s="133"/>
      <c r="L2027" s="133"/>
      <c r="M2027" s="133"/>
      <c r="N2027" s="142"/>
      <c r="P2027" s="140"/>
    </row>
    <row r="2028" spans="1:16" hidden="1" x14ac:dyDescent="0.35">
      <c r="A2028" s="146">
        <v>178</v>
      </c>
      <c r="B2028" s="143">
        <v>45566</v>
      </c>
      <c r="C2028" s="133" t="s">
        <v>1616</v>
      </c>
      <c r="D2028" s="133" t="s">
        <v>1615</v>
      </c>
      <c r="E2028" s="145" t="s">
        <v>1342</v>
      </c>
      <c r="F2028" s="145">
        <v>800</v>
      </c>
      <c r="G2028" s="133" t="s">
        <v>1034</v>
      </c>
      <c r="H2028" s="144" t="s">
        <v>1341</v>
      </c>
      <c r="I2028" s="133" t="s">
        <v>1092</v>
      </c>
      <c r="J2028" s="133" t="s">
        <v>1614</v>
      </c>
      <c r="K2028" s="143">
        <v>45597</v>
      </c>
      <c r="L2028" s="133" t="s">
        <v>1092</v>
      </c>
      <c r="M2028" s="133">
        <v>1471.5</v>
      </c>
      <c r="N2028" s="147">
        <f>+F2028+F2029-M2028-M2029-M2030</f>
        <v>0</v>
      </c>
      <c r="O2028" s="141"/>
      <c r="P2028" s="140"/>
    </row>
    <row r="2029" spans="1:16" hidden="1" x14ac:dyDescent="0.35">
      <c r="A2029" s="146"/>
      <c r="B2029" s="143"/>
      <c r="C2029" s="133"/>
      <c r="D2029" s="133"/>
      <c r="E2029" s="145" t="s">
        <v>1067</v>
      </c>
      <c r="F2029" s="145">
        <v>1471.5</v>
      </c>
      <c r="G2029" s="133" t="s">
        <v>1034</v>
      </c>
      <c r="H2029" s="144" t="s">
        <v>1341</v>
      </c>
      <c r="I2029" s="133" t="s">
        <v>1092</v>
      </c>
      <c r="J2029" s="133" t="s">
        <v>1553</v>
      </c>
      <c r="K2029" s="143">
        <v>45627</v>
      </c>
      <c r="L2029" s="133" t="s">
        <v>1092</v>
      </c>
      <c r="M2029" s="133">
        <v>684</v>
      </c>
      <c r="N2029" s="142"/>
      <c r="P2029" s="140"/>
    </row>
    <row r="2030" spans="1:16" hidden="1" x14ac:dyDescent="0.35">
      <c r="A2030" s="146"/>
      <c r="B2030" s="143"/>
      <c r="C2030" s="133"/>
      <c r="D2030" s="133"/>
      <c r="E2030" s="145"/>
      <c r="F2030" s="145"/>
      <c r="G2030" s="133" t="s">
        <v>1034</v>
      </c>
      <c r="H2030" s="144" t="s">
        <v>1341</v>
      </c>
      <c r="I2030" s="133" t="s">
        <v>1092</v>
      </c>
      <c r="J2030" s="133" t="s">
        <v>1575</v>
      </c>
      <c r="K2030" s="143">
        <v>45627</v>
      </c>
      <c r="L2030" s="133" t="s">
        <v>1241</v>
      </c>
      <c r="M2030" s="133">
        <v>116</v>
      </c>
      <c r="N2030" s="142"/>
      <c r="P2030" s="140"/>
    </row>
    <row r="2031" spans="1:16" hidden="1" x14ac:dyDescent="0.35">
      <c r="A2031" s="146"/>
      <c r="B2031" s="143"/>
      <c r="C2031" s="133"/>
      <c r="D2031" s="133"/>
      <c r="E2031" s="145"/>
      <c r="F2031" s="145"/>
      <c r="G2031" s="133"/>
      <c r="H2031" s="144"/>
      <c r="I2031" s="133"/>
      <c r="J2031" s="133"/>
      <c r="K2031" s="143"/>
      <c r="L2031" s="133"/>
      <c r="M2031" s="133"/>
      <c r="N2031" s="142"/>
      <c r="P2031" s="140"/>
    </row>
    <row r="2032" spans="1:16" hidden="1" x14ac:dyDescent="0.35">
      <c r="A2032" s="146">
        <v>179</v>
      </c>
      <c r="B2032" s="143">
        <v>45566</v>
      </c>
      <c r="C2032" s="133" t="s">
        <v>1613</v>
      </c>
      <c r="D2032" s="133" t="s">
        <v>1172</v>
      </c>
      <c r="E2032" s="145" t="s">
        <v>1071</v>
      </c>
      <c r="F2032" s="145">
        <v>3536</v>
      </c>
      <c r="G2032" s="133" t="s">
        <v>1034</v>
      </c>
      <c r="H2032" s="144" t="s">
        <v>1341</v>
      </c>
      <c r="I2032" s="133" t="s">
        <v>1092</v>
      </c>
      <c r="J2032" s="133" t="s">
        <v>1598</v>
      </c>
      <c r="K2032" s="143">
        <v>45597</v>
      </c>
      <c r="L2032" s="133" t="s">
        <v>1241</v>
      </c>
      <c r="M2032" s="133">
        <v>3593</v>
      </c>
      <c r="N2032" s="147">
        <f>+F2032+F2033+F2034+F2035-M2032-M2033-M2034-M2035</f>
        <v>0</v>
      </c>
      <c r="O2032" s="141"/>
      <c r="P2032" s="140"/>
    </row>
    <row r="2033" spans="1:16" hidden="1" x14ac:dyDescent="0.35">
      <c r="A2033" s="146"/>
      <c r="B2033" s="143"/>
      <c r="C2033" s="133"/>
      <c r="D2033" s="133"/>
      <c r="E2033" s="145" t="s">
        <v>1067</v>
      </c>
      <c r="F2033" s="145">
        <v>3593</v>
      </c>
      <c r="G2033" s="133" t="s">
        <v>1034</v>
      </c>
      <c r="H2033" s="144" t="s">
        <v>1341</v>
      </c>
      <c r="I2033" s="133" t="s">
        <v>1092</v>
      </c>
      <c r="J2033" s="133" t="s">
        <v>1554</v>
      </c>
      <c r="K2033" s="143">
        <v>45627</v>
      </c>
      <c r="L2033" s="133" t="s">
        <v>1092</v>
      </c>
      <c r="M2033" s="133">
        <v>3557.1</v>
      </c>
      <c r="N2033" s="142"/>
      <c r="P2033" s="140"/>
    </row>
    <row r="2034" spans="1:16" hidden="1" x14ac:dyDescent="0.35">
      <c r="A2034" s="146"/>
      <c r="B2034" s="143"/>
      <c r="C2034" s="133"/>
      <c r="D2034" s="133"/>
      <c r="E2034" s="145" t="s">
        <v>1118</v>
      </c>
      <c r="F2034" s="145">
        <v>3557.1</v>
      </c>
      <c r="G2034" s="133" t="s">
        <v>1034</v>
      </c>
      <c r="H2034" s="144" t="s">
        <v>1341</v>
      </c>
      <c r="I2034" s="133" t="s">
        <v>1092</v>
      </c>
      <c r="J2034" s="133" t="s">
        <v>1553</v>
      </c>
      <c r="K2034" s="143">
        <v>45627</v>
      </c>
      <c r="L2034" s="133" t="s">
        <v>1092</v>
      </c>
      <c r="M2034" s="133">
        <v>2352.3000000000002</v>
      </c>
      <c r="N2034" s="142"/>
      <c r="P2034" s="140"/>
    </row>
    <row r="2035" spans="1:16" hidden="1" x14ac:dyDescent="0.35">
      <c r="A2035" s="146"/>
      <c r="B2035" s="143"/>
      <c r="C2035" s="133"/>
      <c r="D2035" s="133"/>
      <c r="E2035" s="145" t="s">
        <v>1064</v>
      </c>
      <c r="F2035" s="145">
        <v>2352.3000000000002</v>
      </c>
      <c r="G2035" s="133" t="s">
        <v>1034</v>
      </c>
      <c r="H2035" s="144" t="s">
        <v>1341</v>
      </c>
      <c r="I2035" s="133" t="s">
        <v>1092</v>
      </c>
      <c r="J2035" s="133" t="s">
        <v>1499</v>
      </c>
      <c r="K2035" s="143">
        <v>45689</v>
      </c>
      <c r="L2035" s="133" t="s">
        <v>1092</v>
      </c>
      <c r="M2035" s="133">
        <v>3536</v>
      </c>
      <c r="N2035" s="142"/>
      <c r="P2035" s="140"/>
    </row>
    <row r="2036" spans="1:16" hidden="1" x14ac:dyDescent="0.35">
      <c r="A2036" s="146"/>
      <c r="B2036" s="143"/>
      <c r="C2036" s="133"/>
      <c r="D2036" s="133"/>
      <c r="E2036" s="145"/>
      <c r="F2036" s="145"/>
      <c r="G2036" s="133"/>
      <c r="H2036" s="144"/>
      <c r="I2036" s="133"/>
      <c r="J2036" s="133"/>
      <c r="K2036" s="133"/>
      <c r="L2036" s="133"/>
      <c r="M2036" s="133"/>
      <c r="N2036" s="142"/>
      <c r="P2036" s="140"/>
    </row>
    <row r="2037" spans="1:16" hidden="1" x14ac:dyDescent="0.35">
      <c r="A2037" s="156"/>
      <c r="B2037" s="152"/>
      <c r="C2037" s="151"/>
      <c r="D2037" s="151"/>
      <c r="E2037" s="154"/>
      <c r="F2037" s="154"/>
      <c r="G2037" s="151"/>
      <c r="H2037" s="153"/>
      <c r="I2037" s="151"/>
      <c r="J2037" s="151"/>
      <c r="K2037" s="151"/>
      <c r="L2037" s="151"/>
      <c r="M2037" s="151"/>
      <c r="N2037" s="150"/>
      <c r="P2037" s="140"/>
    </row>
    <row r="2038" spans="1:16" hidden="1" x14ac:dyDescent="0.35">
      <c r="A2038" s="146"/>
      <c r="B2038" s="143"/>
      <c r="C2038" s="133"/>
      <c r="D2038" s="133"/>
      <c r="E2038" s="145"/>
      <c r="F2038" s="145"/>
      <c r="G2038" s="133"/>
      <c r="H2038" s="144"/>
      <c r="I2038" s="133"/>
      <c r="J2038" s="133"/>
      <c r="K2038" s="133"/>
      <c r="L2038" s="133"/>
      <c r="M2038" s="133"/>
      <c r="N2038" s="142"/>
      <c r="P2038" s="140"/>
    </row>
    <row r="2039" spans="1:16" hidden="1" x14ac:dyDescent="0.35">
      <c r="A2039" s="146">
        <v>180</v>
      </c>
      <c r="B2039" s="143">
        <v>45597</v>
      </c>
      <c r="C2039" s="133" t="s">
        <v>1612</v>
      </c>
      <c r="D2039" s="133" t="s">
        <v>1169</v>
      </c>
      <c r="E2039" s="145" t="s">
        <v>1342</v>
      </c>
      <c r="F2039" s="145">
        <v>5242</v>
      </c>
      <c r="G2039" s="133" t="s">
        <v>1034</v>
      </c>
      <c r="H2039" s="144" t="s">
        <v>1341</v>
      </c>
      <c r="I2039" s="133" t="s">
        <v>1092</v>
      </c>
      <c r="J2039" s="133" t="s">
        <v>1598</v>
      </c>
      <c r="K2039" s="143">
        <v>45597</v>
      </c>
      <c r="L2039" s="133" t="s">
        <v>1241</v>
      </c>
      <c r="M2039" s="133">
        <v>1070</v>
      </c>
      <c r="N2039" s="147">
        <f>+F2039+F2040+F2041-M2039-M2040-M2041-M2042</f>
        <v>0</v>
      </c>
      <c r="O2039" s="141"/>
      <c r="P2039" s="140"/>
    </row>
    <row r="2040" spans="1:16" hidden="1" x14ac:dyDescent="0.35">
      <c r="A2040" s="146"/>
      <c r="B2040" s="143"/>
      <c r="C2040" s="133"/>
      <c r="D2040" s="133"/>
      <c r="E2040" s="145" t="s">
        <v>1067</v>
      </c>
      <c r="F2040" s="145">
        <v>7686.9</v>
      </c>
      <c r="G2040" s="133" t="s">
        <v>1034</v>
      </c>
      <c r="H2040" s="144" t="s">
        <v>1341</v>
      </c>
      <c r="I2040" s="133" t="s">
        <v>1092</v>
      </c>
      <c r="J2040" s="133" t="s">
        <v>1608</v>
      </c>
      <c r="K2040" s="143">
        <v>45597</v>
      </c>
      <c r="L2040" s="133" t="s">
        <v>1092</v>
      </c>
      <c r="M2040" s="133">
        <v>6616.9</v>
      </c>
      <c r="N2040" s="142"/>
      <c r="P2040" s="140"/>
    </row>
    <row r="2041" spans="1:16" hidden="1" x14ac:dyDescent="0.35">
      <c r="A2041" s="146"/>
      <c r="B2041" s="143"/>
      <c r="C2041" s="133"/>
      <c r="D2041" s="133"/>
      <c r="E2041" s="145" t="s">
        <v>1075</v>
      </c>
      <c r="F2041" s="145">
        <v>8620.2999999999993</v>
      </c>
      <c r="G2041" s="133" t="s">
        <v>1034</v>
      </c>
      <c r="H2041" s="144" t="s">
        <v>1341</v>
      </c>
      <c r="I2041" s="133" t="s">
        <v>1092</v>
      </c>
      <c r="J2041" s="133" t="s">
        <v>1552</v>
      </c>
      <c r="K2041" s="143">
        <v>45627</v>
      </c>
      <c r="L2041" s="133" t="s">
        <v>1092</v>
      </c>
      <c r="M2041" s="133">
        <v>8620.2999999999993</v>
      </c>
      <c r="N2041" s="142"/>
      <c r="P2041" s="140"/>
    </row>
    <row r="2042" spans="1:16" hidden="1" x14ac:dyDescent="0.35">
      <c r="A2042" s="146"/>
      <c r="B2042" s="143"/>
      <c r="C2042" s="133"/>
      <c r="D2042" s="133"/>
      <c r="E2042" s="145"/>
      <c r="F2042" s="145"/>
      <c r="G2042" s="133" t="s">
        <v>1034</v>
      </c>
      <c r="H2042" s="144" t="s">
        <v>1341</v>
      </c>
      <c r="I2042" s="133" t="s">
        <v>1092</v>
      </c>
      <c r="J2042" s="133" t="s">
        <v>1492</v>
      </c>
      <c r="K2042" s="143">
        <v>45689</v>
      </c>
      <c r="L2042" s="133" t="s">
        <v>1092</v>
      </c>
      <c r="M2042" s="133">
        <v>5242</v>
      </c>
      <c r="N2042" s="142"/>
      <c r="P2042" s="140"/>
    </row>
    <row r="2043" spans="1:16" hidden="1" x14ac:dyDescent="0.35">
      <c r="A2043" s="146"/>
      <c r="B2043" s="143"/>
      <c r="C2043" s="133"/>
      <c r="D2043" s="133"/>
      <c r="E2043" s="145"/>
      <c r="F2043" s="145"/>
      <c r="G2043" s="133"/>
      <c r="H2043" s="144"/>
      <c r="I2043" s="133"/>
      <c r="J2043" s="133"/>
      <c r="K2043" s="133"/>
      <c r="L2043" s="133"/>
      <c r="M2043" s="133"/>
      <c r="N2043" s="142"/>
      <c r="P2043" s="140"/>
    </row>
    <row r="2044" spans="1:16" hidden="1" x14ac:dyDescent="0.35">
      <c r="A2044" s="146">
        <v>181</v>
      </c>
      <c r="B2044" s="143">
        <v>45597</v>
      </c>
      <c r="C2044" s="133" t="s">
        <v>1611</v>
      </c>
      <c r="D2044" s="133" t="s">
        <v>1609</v>
      </c>
      <c r="E2044" s="145" t="s">
        <v>1075</v>
      </c>
      <c r="F2044" s="145">
        <v>1200</v>
      </c>
      <c r="G2044" s="133" t="s">
        <v>1034</v>
      </c>
      <c r="H2044" s="144" t="s">
        <v>1341</v>
      </c>
      <c r="I2044" s="133" t="s">
        <v>1092</v>
      </c>
      <c r="J2044" s="133" t="s">
        <v>1553</v>
      </c>
      <c r="K2044" s="143">
        <v>45627</v>
      </c>
      <c r="L2044" s="133" t="s">
        <v>1092</v>
      </c>
      <c r="M2044" s="133">
        <v>5307.2</v>
      </c>
      <c r="N2044" s="142">
        <f>+F2044+F2045-M2044-M2045</f>
        <v>0</v>
      </c>
      <c r="O2044" s="141"/>
      <c r="P2044" s="140"/>
    </row>
    <row r="2045" spans="1:16" hidden="1" x14ac:dyDescent="0.35">
      <c r="A2045" s="146"/>
      <c r="B2045" s="143"/>
      <c r="C2045" s="133"/>
      <c r="D2045" s="133"/>
      <c r="E2045" s="145" t="s">
        <v>1118</v>
      </c>
      <c r="F2045" s="145">
        <v>4385.2</v>
      </c>
      <c r="G2045" s="133" t="s">
        <v>1034</v>
      </c>
      <c r="H2045" s="144" t="s">
        <v>1341</v>
      </c>
      <c r="I2045" s="133" t="s">
        <v>1092</v>
      </c>
      <c r="J2045" s="133" t="s">
        <v>1575</v>
      </c>
      <c r="K2045" s="143">
        <v>45627</v>
      </c>
      <c r="L2045" s="133" t="s">
        <v>1241</v>
      </c>
      <c r="M2045" s="133">
        <v>278</v>
      </c>
      <c r="N2045" s="142"/>
      <c r="P2045" s="140"/>
    </row>
    <row r="2046" spans="1:16" hidden="1" x14ac:dyDescent="0.35">
      <c r="A2046" s="146"/>
      <c r="B2046" s="143"/>
      <c r="C2046" s="133"/>
      <c r="D2046" s="133"/>
      <c r="E2046" s="145"/>
      <c r="F2046" s="145"/>
      <c r="G2046" s="133"/>
      <c r="H2046" s="144"/>
      <c r="I2046" s="133"/>
      <c r="J2046" s="133"/>
      <c r="K2046" s="133"/>
      <c r="L2046" s="133"/>
      <c r="M2046" s="133"/>
      <c r="N2046" s="142"/>
      <c r="P2046" s="140"/>
    </row>
    <row r="2047" spans="1:16" hidden="1" x14ac:dyDescent="0.35">
      <c r="A2047" s="146">
        <v>182</v>
      </c>
      <c r="B2047" s="143">
        <v>45597</v>
      </c>
      <c r="C2047" s="133" t="s">
        <v>1610</v>
      </c>
      <c r="D2047" s="133" t="s">
        <v>1609</v>
      </c>
      <c r="E2047" s="148" t="s">
        <v>1059</v>
      </c>
      <c r="F2047" s="145">
        <v>25000</v>
      </c>
      <c r="G2047" s="133" t="s">
        <v>1034</v>
      </c>
      <c r="H2047" s="144" t="s">
        <v>1341</v>
      </c>
      <c r="I2047" s="133" t="s">
        <v>1092</v>
      </c>
      <c r="J2047" s="133" t="s">
        <v>1598</v>
      </c>
      <c r="K2047" s="143">
        <v>45597</v>
      </c>
      <c r="L2047" s="133" t="s">
        <v>1241</v>
      </c>
      <c r="M2047" s="133">
        <v>1500</v>
      </c>
      <c r="N2047" s="147">
        <f>+F2047-M2047-M2048</f>
        <v>0</v>
      </c>
      <c r="O2047" s="141"/>
      <c r="P2047" s="140"/>
    </row>
    <row r="2048" spans="1:16" hidden="1" x14ac:dyDescent="0.35">
      <c r="A2048" s="146"/>
      <c r="B2048" s="143"/>
      <c r="C2048" s="133"/>
      <c r="D2048" s="133"/>
      <c r="E2048" s="148"/>
      <c r="F2048" s="145"/>
      <c r="G2048" s="133" t="s">
        <v>1034</v>
      </c>
      <c r="H2048" s="144" t="s">
        <v>1341</v>
      </c>
      <c r="I2048" s="133" t="s">
        <v>1092</v>
      </c>
      <c r="J2048" s="133" t="s">
        <v>1608</v>
      </c>
      <c r="K2048" s="143">
        <v>45597</v>
      </c>
      <c r="L2048" s="133" t="s">
        <v>1092</v>
      </c>
      <c r="M2048" s="133">
        <v>23500</v>
      </c>
      <c r="N2048" s="142"/>
      <c r="O2048" s="141"/>
      <c r="P2048" s="140"/>
    </row>
    <row r="2049" spans="1:16" hidden="1" x14ac:dyDescent="0.35">
      <c r="A2049" s="146"/>
      <c r="B2049" s="143"/>
      <c r="C2049" s="133"/>
      <c r="D2049" s="133"/>
      <c r="E2049" s="148"/>
      <c r="F2049" s="145"/>
      <c r="G2049" s="133"/>
      <c r="H2049" s="144"/>
      <c r="I2049" s="133"/>
      <c r="J2049" s="133"/>
      <c r="K2049" s="143"/>
      <c r="L2049" s="133"/>
      <c r="M2049" s="133"/>
      <c r="N2049" s="142"/>
      <c r="O2049" s="141"/>
      <c r="P2049" s="140"/>
    </row>
    <row r="2050" spans="1:16" hidden="1" x14ac:dyDescent="0.35">
      <c r="A2050" s="146">
        <v>183</v>
      </c>
      <c r="B2050" s="143">
        <v>45597</v>
      </c>
      <c r="C2050" s="133" t="s">
        <v>1607</v>
      </c>
      <c r="D2050" s="133" t="s">
        <v>1606</v>
      </c>
      <c r="E2050" s="145" t="s">
        <v>1075</v>
      </c>
      <c r="F2050" s="145">
        <v>11509.1</v>
      </c>
      <c r="G2050" s="133" t="s">
        <v>1034</v>
      </c>
      <c r="H2050" s="144" t="s">
        <v>1341</v>
      </c>
      <c r="I2050" s="133" t="s">
        <v>1092</v>
      </c>
      <c r="J2050" s="133" t="s">
        <v>1552</v>
      </c>
      <c r="K2050" s="143">
        <v>45627</v>
      </c>
      <c r="L2050" s="133" t="s">
        <v>1092</v>
      </c>
      <c r="M2050" s="133">
        <f>4890.1+797.9</f>
        <v>5688</v>
      </c>
      <c r="N2050" s="147">
        <f>+F2050+F2051-M2050-M2051-M2052</f>
        <v>0</v>
      </c>
      <c r="O2050" s="141"/>
      <c r="P2050" s="140"/>
    </row>
    <row r="2051" spans="1:16" hidden="1" x14ac:dyDescent="0.35">
      <c r="A2051" s="146"/>
      <c r="B2051" s="143"/>
      <c r="C2051" s="133"/>
      <c r="D2051" s="133"/>
      <c r="E2051" s="145" t="s">
        <v>1064</v>
      </c>
      <c r="F2051" s="145">
        <v>797.9</v>
      </c>
      <c r="G2051" s="133" t="s">
        <v>1034</v>
      </c>
      <c r="H2051" s="144" t="s">
        <v>1341</v>
      </c>
      <c r="I2051" s="133" t="s">
        <v>1092</v>
      </c>
      <c r="J2051" s="133" t="s">
        <v>1575</v>
      </c>
      <c r="K2051" s="143">
        <v>45627</v>
      </c>
      <c r="L2051" s="133" t="s">
        <v>1241</v>
      </c>
      <c r="M2051" s="133">
        <v>619</v>
      </c>
      <c r="N2051" s="142"/>
      <c r="P2051" s="140"/>
    </row>
    <row r="2052" spans="1:16" hidden="1" x14ac:dyDescent="0.35">
      <c r="A2052" s="146"/>
      <c r="B2052" s="143"/>
      <c r="C2052" s="133"/>
      <c r="D2052" s="133"/>
      <c r="E2052" s="145"/>
      <c r="F2052" s="145"/>
      <c r="G2052" s="133" t="s">
        <v>1034</v>
      </c>
      <c r="H2052" s="144" t="s">
        <v>1341</v>
      </c>
      <c r="I2052" s="133" t="s">
        <v>1092</v>
      </c>
      <c r="J2052" s="133" t="s">
        <v>1565</v>
      </c>
      <c r="K2052" s="143">
        <v>45658</v>
      </c>
      <c r="L2052" s="133" t="s">
        <v>1092</v>
      </c>
      <c r="M2052" s="133">
        <v>6000</v>
      </c>
      <c r="N2052" s="142"/>
      <c r="P2052" s="140"/>
    </row>
    <row r="2053" spans="1:16" hidden="1" x14ac:dyDescent="0.35">
      <c r="A2053" s="146"/>
      <c r="B2053" s="143"/>
      <c r="C2053" s="133"/>
      <c r="D2053" s="133"/>
      <c r="E2053" s="148"/>
      <c r="F2053" s="145"/>
      <c r="G2053" s="133"/>
      <c r="H2053" s="144"/>
      <c r="I2053" s="133"/>
      <c r="J2053" s="133"/>
      <c r="K2053" s="133"/>
      <c r="L2053" s="133"/>
      <c r="M2053" s="133"/>
      <c r="N2053" s="142"/>
      <c r="O2053" s="141"/>
      <c r="P2053" s="140"/>
    </row>
    <row r="2054" spans="1:16" hidden="1" x14ac:dyDescent="0.35">
      <c r="A2054" s="146">
        <v>184</v>
      </c>
      <c r="B2054" s="143">
        <v>45597</v>
      </c>
      <c r="C2054" s="133" t="s">
        <v>1605</v>
      </c>
      <c r="D2054" s="133" t="s">
        <v>1602</v>
      </c>
      <c r="E2054" s="145" t="s">
        <v>1078</v>
      </c>
      <c r="F2054" s="145">
        <v>3164.57</v>
      </c>
      <c r="G2054" s="133" t="s">
        <v>1034</v>
      </c>
      <c r="H2054" s="144" t="s">
        <v>1341</v>
      </c>
      <c r="I2054" s="133" t="s">
        <v>1092</v>
      </c>
      <c r="J2054" s="133" t="s">
        <v>1604</v>
      </c>
      <c r="K2054" s="143">
        <v>45597</v>
      </c>
      <c r="L2054" s="133" t="s">
        <v>1092</v>
      </c>
      <c r="M2054" s="133">
        <v>3164.57</v>
      </c>
      <c r="N2054" s="142">
        <f>+F2054-M2054</f>
        <v>0</v>
      </c>
      <c r="O2054" s="141"/>
      <c r="P2054" s="140"/>
    </row>
    <row r="2055" spans="1:16" hidden="1" x14ac:dyDescent="0.35">
      <c r="A2055" s="146"/>
      <c r="B2055" s="143"/>
      <c r="C2055" s="133"/>
      <c r="D2055" s="133"/>
      <c r="E2055" s="148"/>
      <c r="F2055" s="145"/>
      <c r="G2055" s="133"/>
      <c r="H2055" s="144"/>
      <c r="I2055" s="133"/>
      <c r="J2055" s="133"/>
      <c r="K2055" s="133"/>
      <c r="L2055" s="133"/>
      <c r="M2055" s="133"/>
      <c r="N2055" s="142"/>
      <c r="O2055" s="141"/>
      <c r="P2055" s="140"/>
    </row>
    <row r="2056" spans="1:16" hidden="1" x14ac:dyDescent="0.35">
      <c r="A2056" s="146">
        <v>185</v>
      </c>
      <c r="B2056" s="143">
        <v>45597</v>
      </c>
      <c r="C2056" s="133" t="s">
        <v>1603</v>
      </c>
      <c r="D2056" s="133" t="s">
        <v>1602</v>
      </c>
      <c r="E2056" s="148" t="s">
        <v>1059</v>
      </c>
      <c r="F2056" s="145">
        <v>50000</v>
      </c>
      <c r="G2056" s="133" t="s">
        <v>1034</v>
      </c>
      <c r="H2056" s="144" t="s">
        <v>1341</v>
      </c>
      <c r="I2056" s="133" t="s">
        <v>1092</v>
      </c>
      <c r="J2056" s="133" t="s">
        <v>1598</v>
      </c>
      <c r="K2056" s="143">
        <v>45597</v>
      </c>
      <c r="L2056" s="133" t="s">
        <v>1241</v>
      </c>
      <c r="M2056" s="133">
        <v>8202</v>
      </c>
      <c r="N2056" s="147">
        <f>+F2056-M2056-M2057-M2058</f>
        <v>0</v>
      </c>
      <c r="O2056" s="141"/>
      <c r="P2056" s="140"/>
    </row>
    <row r="2057" spans="1:16" hidden="1" x14ac:dyDescent="0.35">
      <c r="A2057" s="146"/>
      <c r="B2057" s="143"/>
      <c r="C2057" s="133"/>
      <c r="D2057" s="133"/>
      <c r="E2057" s="148"/>
      <c r="F2057" s="145"/>
      <c r="G2057" s="133" t="s">
        <v>1034</v>
      </c>
      <c r="H2057" s="144" t="s">
        <v>1341</v>
      </c>
      <c r="I2057" s="133" t="s">
        <v>1092</v>
      </c>
      <c r="J2057" s="133" t="s">
        <v>1601</v>
      </c>
      <c r="K2057" s="143">
        <v>45627</v>
      </c>
      <c r="L2057" s="133" t="s">
        <v>1092</v>
      </c>
      <c r="M2057" s="133">
        <v>13733.36</v>
      </c>
      <c r="N2057" s="142"/>
      <c r="O2057" s="141"/>
      <c r="P2057" s="140"/>
    </row>
    <row r="2058" spans="1:16" hidden="1" x14ac:dyDescent="0.35">
      <c r="A2058" s="146"/>
      <c r="B2058" s="143"/>
      <c r="C2058" s="133"/>
      <c r="D2058" s="133"/>
      <c r="E2058" s="148"/>
      <c r="F2058" s="145"/>
      <c r="G2058" s="133" t="s">
        <v>1034</v>
      </c>
      <c r="H2058" s="144" t="s">
        <v>1341</v>
      </c>
      <c r="I2058" s="133" t="s">
        <v>1092</v>
      </c>
      <c r="J2058" s="133" t="s">
        <v>1554</v>
      </c>
      <c r="K2058" s="143">
        <v>45627</v>
      </c>
      <c r="L2058" s="133" t="s">
        <v>1092</v>
      </c>
      <c r="M2058" s="133">
        <v>28064.639999999999</v>
      </c>
      <c r="N2058" s="142"/>
      <c r="O2058" s="141"/>
      <c r="P2058" s="140"/>
    </row>
    <row r="2059" spans="1:16" hidden="1" x14ac:dyDescent="0.35">
      <c r="A2059" s="146"/>
      <c r="B2059" s="143"/>
      <c r="C2059" s="133"/>
      <c r="D2059" s="133"/>
      <c r="E2059" s="148"/>
      <c r="F2059" s="145"/>
      <c r="G2059" s="133"/>
      <c r="H2059" s="144"/>
      <c r="I2059" s="133"/>
      <c r="J2059" s="133"/>
      <c r="K2059" s="143"/>
      <c r="L2059" s="133"/>
      <c r="M2059" s="133"/>
      <c r="N2059" s="142"/>
      <c r="O2059" s="141"/>
      <c r="P2059" s="140"/>
    </row>
    <row r="2060" spans="1:16" hidden="1" x14ac:dyDescent="0.35">
      <c r="A2060" s="146"/>
      <c r="B2060" s="143"/>
      <c r="C2060" s="133"/>
      <c r="D2060" s="133"/>
      <c r="E2060" s="148"/>
      <c r="F2060" s="145"/>
      <c r="G2060" s="133"/>
      <c r="H2060" s="144"/>
      <c r="I2060" s="133"/>
      <c r="J2060" s="133"/>
      <c r="K2060" s="143"/>
      <c r="L2060" s="133"/>
      <c r="M2060" s="133"/>
      <c r="N2060" s="142"/>
      <c r="O2060" s="141"/>
      <c r="P2060" s="140"/>
    </row>
    <row r="2061" spans="1:16" hidden="1" x14ac:dyDescent="0.35">
      <c r="A2061" s="146">
        <v>186</v>
      </c>
      <c r="B2061" s="143">
        <v>45597</v>
      </c>
      <c r="C2061" s="133" t="s">
        <v>1600</v>
      </c>
      <c r="D2061" s="133" t="s">
        <v>1599</v>
      </c>
      <c r="E2061" s="145" t="s">
        <v>1075</v>
      </c>
      <c r="F2061" s="145">
        <v>5081.7299999999996</v>
      </c>
      <c r="G2061" s="133" t="s">
        <v>1034</v>
      </c>
      <c r="H2061" s="144" t="s">
        <v>1341</v>
      </c>
      <c r="I2061" s="133" t="s">
        <v>1092</v>
      </c>
      <c r="J2061" s="133" t="s">
        <v>1598</v>
      </c>
      <c r="K2061" s="143">
        <v>45597</v>
      </c>
      <c r="L2061" s="133" t="s">
        <v>1241</v>
      </c>
      <c r="M2061" s="133">
        <v>3180</v>
      </c>
      <c r="N2061" s="147">
        <f>+F2061+F2062+F2063+F2064-M2061-M2062-M2063-M2064</f>
        <v>0</v>
      </c>
      <c r="O2061" s="141"/>
      <c r="P2061" s="140"/>
    </row>
    <row r="2062" spans="1:16" hidden="1" x14ac:dyDescent="0.35">
      <c r="A2062" s="146"/>
      <c r="B2062" s="143"/>
      <c r="C2062" s="133"/>
      <c r="D2062" s="133"/>
      <c r="E2062" s="145" t="s">
        <v>1064</v>
      </c>
      <c r="F2062" s="145">
        <v>1601.2</v>
      </c>
      <c r="G2062" s="133" t="s">
        <v>1034</v>
      </c>
      <c r="H2062" s="144" t="s">
        <v>1341</v>
      </c>
      <c r="I2062" s="133" t="s">
        <v>1092</v>
      </c>
      <c r="J2062" s="133" t="s">
        <v>1552</v>
      </c>
      <c r="K2062" s="143">
        <v>45627</v>
      </c>
      <c r="L2062" s="133" t="s">
        <v>1092</v>
      </c>
      <c r="M2062" s="133">
        <v>1601.2</v>
      </c>
      <c r="N2062" s="142"/>
      <c r="O2062" s="141"/>
      <c r="P2062" s="140"/>
    </row>
    <row r="2063" spans="1:16" hidden="1" x14ac:dyDescent="0.35">
      <c r="A2063" s="146"/>
      <c r="B2063" s="143"/>
      <c r="C2063" s="133"/>
      <c r="D2063" s="133"/>
      <c r="E2063" s="145" t="s">
        <v>1342</v>
      </c>
      <c r="F2063" s="145">
        <v>2302</v>
      </c>
      <c r="G2063" s="133" t="s">
        <v>1034</v>
      </c>
      <c r="H2063" s="144" t="s">
        <v>1341</v>
      </c>
      <c r="I2063" s="133" t="s">
        <v>1092</v>
      </c>
      <c r="J2063" s="133" t="s">
        <v>1565</v>
      </c>
      <c r="K2063" s="143">
        <v>45658</v>
      </c>
      <c r="L2063" s="133" t="s">
        <v>1092</v>
      </c>
      <c r="M2063" s="133">
        <v>5081.7299999999996</v>
      </c>
      <c r="N2063" s="142"/>
      <c r="O2063" s="141"/>
      <c r="P2063" s="140"/>
    </row>
    <row r="2064" spans="1:16" hidden="1" x14ac:dyDescent="0.35">
      <c r="A2064" s="146"/>
      <c r="B2064" s="143"/>
      <c r="C2064" s="133"/>
      <c r="D2064" s="133"/>
      <c r="E2064" s="145" t="s">
        <v>1067</v>
      </c>
      <c r="F2064" s="145">
        <v>3180</v>
      </c>
      <c r="G2064" s="133" t="s">
        <v>1034</v>
      </c>
      <c r="H2064" s="144" t="s">
        <v>1341</v>
      </c>
      <c r="I2064" s="133" t="s">
        <v>1092</v>
      </c>
      <c r="J2064" s="133" t="s">
        <v>1492</v>
      </c>
      <c r="K2064" s="143">
        <v>45689</v>
      </c>
      <c r="L2064" s="133" t="s">
        <v>1092</v>
      </c>
      <c r="M2064" s="133">
        <v>2302</v>
      </c>
      <c r="N2064" s="142"/>
      <c r="O2064" s="141"/>
      <c r="P2064" s="140"/>
    </row>
    <row r="2065" spans="1:16" hidden="1" x14ac:dyDescent="0.35">
      <c r="A2065" s="146"/>
      <c r="B2065" s="143"/>
      <c r="C2065" s="133"/>
      <c r="D2065" s="133"/>
      <c r="E2065" s="148"/>
      <c r="F2065" s="145"/>
      <c r="G2065" s="133"/>
      <c r="H2065" s="144"/>
      <c r="I2065" s="133"/>
      <c r="J2065" s="133"/>
      <c r="K2065" s="133"/>
      <c r="L2065" s="133"/>
      <c r="M2065" s="133"/>
      <c r="N2065" s="142"/>
      <c r="O2065" s="141"/>
      <c r="P2065" s="140"/>
    </row>
    <row r="2066" spans="1:16" hidden="1" x14ac:dyDescent="0.35">
      <c r="A2066" s="146">
        <v>187</v>
      </c>
      <c r="B2066" s="143">
        <v>45597</v>
      </c>
      <c r="C2066" s="133" t="s">
        <v>1597</v>
      </c>
      <c r="D2066" s="133" t="s">
        <v>1596</v>
      </c>
      <c r="E2066" s="145" t="s">
        <v>1075</v>
      </c>
      <c r="F2066" s="145">
        <v>4463.8</v>
      </c>
      <c r="G2066" s="133" t="s">
        <v>1034</v>
      </c>
      <c r="H2066" s="144" t="s">
        <v>1341</v>
      </c>
      <c r="I2066" s="133" t="s">
        <v>1092</v>
      </c>
      <c r="J2066" s="133" t="s">
        <v>1575</v>
      </c>
      <c r="K2066" s="143">
        <v>45627</v>
      </c>
      <c r="L2066" s="133" t="s">
        <v>1241</v>
      </c>
      <c r="M2066" s="133">
        <v>353</v>
      </c>
      <c r="N2066" s="147">
        <f>+F2066+F2067-M2066-M2067</f>
        <v>0</v>
      </c>
      <c r="O2066" s="141"/>
      <c r="P2066" s="140"/>
    </row>
    <row r="2067" spans="1:16" hidden="1" x14ac:dyDescent="0.35">
      <c r="A2067" s="146"/>
      <c r="B2067" s="143"/>
      <c r="C2067" s="133"/>
      <c r="D2067" s="133"/>
      <c r="E2067" s="145" t="s">
        <v>1064</v>
      </c>
      <c r="F2067" s="145">
        <v>2599</v>
      </c>
      <c r="G2067" s="133" t="s">
        <v>1034</v>
      </c>
      <c r="H2067" s="144" t="s">
        <v>1341</v>
      </c>
      <c r="I2067" s="133" t="s">
        <v>1092</v>
      </c>
      <c r="J2067" s="133" t="s">
        <v>1565</v>
      </c>
      <c r="K2067" s="143">
        <v>45658</v>
      </c>
      <c r="L2067" s="133" t="s">
        <v>1092</v>
      </c>
      <c r="M2067" s="133">
        <v>6709.8</v>
      </c>
      <c r="N2067" s="142"/>
      <c r="O2067" s="141"/>
      <c r="P2067" s="140"/>
    </row>
    <row r="2068" spans="1:16" hidden="1" x14ac:dyDescent="0.35">
      <c r="A2068" s="146"/>
      <c r="B2068" s="143"/>
      <c r="C2068" s="133"/>
      <c r="D2068" s="133"/>
      <c r="E2068" s="148"/>
      <c r="F2068" s="145"/>
      <c r="G2068" s="133"/>
      <c r="H2068" s="144"/>
      <c r="I2068" s="133"/>
      <c r="J2068" s="133"/>
      <c r="K2068" s="133"/>
      <c r="L2068" s="133"/>
      <c r="M2068" s="133"/>
      <c r="N2068" s="142"/>
      <c r="O2068" s="141"/>
      <c r="P2068" s="140"/>
    </row>
    <row r="2069" spans="1:16" hidden="1" x14ac:dyDescent="0.35">
      <c r="A2069" s="146">
        <v>188</v>
      </c>
      <c r="B2069" s="143">
        <v>45597</v>
      </c>
      <c r="C2069" s="133" t="s">
        <v>1595</v>
      </c>
      <c r="D2069" s="133" t="s">
        <v>1594</v>
      </c>
      <c r="E2069" s="145" t="s">
        <v>1342</v>
      </c>
      <c r="F2069" s="145">
        <v>1303</v>
      </c>
      <c r="G2069" s="133" t="s">
        <v>1034</v>
      </c>
      <c r="H2069" s="144" t="s">
        <v>1341</v>
      </c>
      <c r="I2069" s="133" t="s">
        <v>1092</v>
      </c>
      <c r="J2069" s="133" t="s">
        <v>1554</v>
      </c>
      <c r="K2069" s="143">
        <v>45627</v>
      </c>
      <c r="L2069" s="133" t="s">
        <v>1092</v>
      </c>
      <c r="M2069" s="133">
        <v>720</v>
      </c>
      <c r="N2069" s="147">
        <f>+F2069+F2070-M2069-M2070-M2071</f>
        <v>0</v>
      </c>
      <c r="O2069" s="141"/>
      <c r="P2069" s="140"/>
    </row>
    <row r="2070" spans="1:16" hidden="1" x14ac:dyDescent="0.35">
      <c r="A2070" s="146"/>
      <c r="B2070" s="143"/>
      <c r="C2070" s="133"/>
      <c r="D2070" s="133"/>
      <c r="E2070" s="145" t="s">
        <v>1067</v>
      </c>
      <c r="F2070" s="145">
        <v>720</v>
      </c>
      <c r="G2070" s="133" t="s">
        <v>1034</v>
      </c>
      <c r="H2070" s="144" t="s">
        <v>1341</v>
      </c>
      <c r="I2070" s="133" t="s">
        <v>1092</v>
      </c>
      <c r="J2070" s="133" t="s">
        <v>1575</v>
      </c>
      <c r="K2070" s="143">
        <v>45627</v>
      </c>
      <c r="L2070" s="133" t="s">
        <v>1241</v>
      </c>
      <c r="M2070" s="133">
        <v>65</v>
      </c>
      <c r="N2070" s="142"/>
      <c r="O2070" s="141"/>
      <c r="P2070" s="140"/>
    </row>
    <row r="2071" spans="1:16" hidden="1" x14ac:dyDescent="0.35">
      <c r="A2071" s="146"/>
      <c r="B2071" s="143"/>
      <c r="C2071" s="133"/>
      <c r="D2071" s="133"/>
      <c r="E2071" s="148"/>
      <c r="F2071" s="145"/>
      <c r="G2071" s="133" t="s">
        <v>1034</v>
      </c>
      <c r="H2071" s="144" t="s">
        <v>1341</v>
      </c>
      <c r="I2071" s="133" t="s">
        <v>1092</v>
      </c>
      <c r="J2071" s="133" t="s">
        <v>1492</v>
      </c>
      <c r="K2071" s="143">
        <v>45689</v>
      </c>
      <c r="L2071" s="133" t="s">
        <v>1092</v>
      </c>
      <c r="M2071" s="133">
        <v>1238</v>
      </c>
      <c r="N2071" s="142"/>
      <c r="O2071" s="141"/>
      <c r="P2071" s="140"/>
    </row>
    <row r="2072" spans="1:16" hidden="1" x14ac:dyDescent="0.35">
      <c r="A2072" s="146"/>
      <c r="B2072" s="143"/>
      <c r="C2072" s="133"/>
      <c r="D2072" s="133"/>
      <c r="E2072" s="148"/>
      <c r="F2072" s="145"/>
      <c r="G2072" s="133"/>
      <c r="H2072" s="144"/>
      <c r="I2072" s="133"/>
      <c r="J2072" s="133"/>
      <c r="K2072" s="143"/>
      <c r="L2072" s="133"/>
      <c r="M2072" s="133"/>
      <c r="N2072" s="142"/>
      <c r="O2072" s="141"/>
      <c r="P2072" s="140"/>
    </row>
    <row r="2073" spans="1:16" hidden="1" x14ac:dyDescent="0.35">
      <c r="A2073" s="146">
        <v>189</v>
      </c>
      <c r="B2073" s="143">
        <v>45597</v>
      </c>
      <c r="C2073" s="133" t="s">
        <v>1593</v>
      </c>
      <c r="D2073" s="133" t="s">
        <v>1166</v>
      </c>
      <c r="E2073" s="145" t="s">
        <v>1075</v>
      </c>
      <c r="F2073" s="145">
        <v>11901</v>
      </c>
      <c r="G2073" s="133" t="s">
        <v>1034</v>
      </c>
      <c r="H2073" s="144" t="s">
        <v>1341</v>
      </c>
      <c r="I2073" s="133" t="s">
        <v>1092</v>
      </c>
      <c r="J2073" s="133" t="s">
        <v>1566</v>
      </c>
      <c r="K2073" s="143">
        <v>45627</v>
      </c>
      <c r="L2073" s="133" t="s">
        <v>1092</v>
      </c>
      <c r="M2073" s="133">
        <v>3955.1</v>
      </c>
      <c r="N2073" s="147">
        <f>+F2073+F2074-M2073-M2074-M2075</f>
        <v>0</v>
      </c>
      <c r="O2073" s="141"/>
      <c r="P2073" s="140"/>
    </row>
    <row r="2074" spans="1:16" hidden="1" x14ac:dyDescent="0.35">
      <c r="A2074" s="146"/>
      <c r="B2074" s="143"/>
      <c r="C2074" s="133"/>
      <c r="D2074" s="133"/>
      <c r="E2074" s="145" t="s">
        <v>1118</v>
      </c>
      <c r="F2074" s="145">
        <v>3955.1</v>
      </c>
      <c r="G2074" s="133" t="s">
        <v>1034</v>
      </c>
      <c r="H2074" s="144" t="s">
        <v>1341</v>
      </c>
      <c r="I2074" s="133" t="s">
        <v>1092</v>
      </c>
      <c r="J2074" s="133" t="s">
        <v>1575</v>
      </c>
      <c r="K2074" s="143">
        <v>45627</v>
      </c>
      <c r="L2074" s="133" t="s">
        <v>1241</v>
      </c>
      <c r="M2074" s="133">
        <v>595</v>
      </c>
      <c r="N2074" s="142"/>
      <c r="O2074" s="141"/>
      <c r="P2074" s="140"/>
    </row>
    <row r="2075" spans="1:16" hidden="1" x14ac:dyDescent="0.35">
      <c r="A2075" s="146"/>
      <c r="B2075" s="143"/>
      <c r="C2075" s="133"/>
      <c r="D2075" s="133"/>
      <c r="E2075" s="148"/>
      <c r="F2075" s="145"/>
      <c r="G2075" s="133" t="s">
        <v>1034</v>
      </c>
      <c r="H2075" s="144" t="s">
        <v>1341</v>
      </c>
      <c r="I2075" s="133" t="s">
        <v>1092</v>
      </c>
      <c r="J2075" s="133" t="s">
        <v>1565</v>
      </c>
      <c r="K2075" s="143">
        <v>45658</v>
      </c>
      <c r="L2075" s="133" t="s">
        <v>1092</v>
      </c>
      <c r="M2075" s="133">
        <v>11306</v>
      </c>
      <c r="N2075" s="142"/>
      <c r="O2075" s="141"/>
      <c r="P2075" s="140"/>
    </row>
    <row r="2076" spans="1:16" hidden="1" x14ac:dyDescent="0.35">
      <c r="A2076" s="146"/>
      <c r="B2076" s="143"/>
      <c r="C2076" s="133"/>
      <c r="D2076" s="133"/>
      <c r="E2076" s="148"/>
      <c r="F2076" s="145"/>
      <c r="G2076" s="133"/>
      <c r="H2076" s="144"/>
      <c r="I2076" s="133"/>
      <c r="J2076" s="133"/>
      <c r="K2076" s="143"/>
      <c r="L2076" s="133"/>
      <c r="M2076" s="133"/>
      <c r="N2076" s="142"/>
      <c r="O2076" s="141"/>
      <c r="P2076" s="140"/>
    </row>
    <row r="2077" spans="1:16" hidden="1" x14ac:dyDescent="0.35">
      <c r="A2077" s="146">
        <v>190</v>
      </c>
      <c r="B2077" s="143">
        <v>45597</v>
      </c>
      <c r="C2077" s="133" t="s">
        <v>1592</v>
      </c>
      <c r="D2077" s="133" t="s">
        <v>1591</v>
      </c>
      <c r="E2077" s="145" t="s">
        <v>1075</v>
      </c>
      <c r="F2077" s="145">
        <v>2559.1999999999998</v>
      </c>
      <c r="G2077" s="133" t="s">
        <v>1034</v>
      </c>
      <c r="H2077" s="144" t="s">
        <v>1341</v>
      </c>
      <c r="I2077" s="133" t="s">
        <v>1092</v>
      </c>
      <c r="J2077" s="133" t="s">
        <v>1554</v>
      </c>
      <c r="K2077" s="143">
        <v>45627</v>
      </c>
      <c r="L2077" s="133" t="s">
        <v>1092</v>
      </c>
      <c r="M2077" s="133">
        <v>5518.56</v>
      </c>
      <c r="N2077" s="147">
        <f>+F2077+F2078+F2079+F2080+F2081-M2077-M2078-M2079-M2080</f>
        <v>0</v>
      </c>
      <c r="O2077" s="141"/>
      <c r="P2077" s="140"/>
    </row>
    <row r="2078" spans="1:16" hidden="1" x14ac:dyDescent="0.35">
      <c r="A2078" s="146"/>
      <c r="B2078" s="143"/>
      <c r="C2078" s="133"/>
      <c r="D2078" s="133"/>
      <c r="E2078" s="145" t="s">
        <v>1342</v>
      </c>
      <c r="F2078" s="145">
        <v>1994</v>
      </c>
      <c r="G2078" s="133" t="s">
        <v>1034</v>
      </c>
      <c r="H2078" s="144" t="s">
        <v>1341</v>
      </c>
      <c r="I2078" s="133" t="s">
        <v>1092</v>
      </c>
      <c r="J2078" s="133" t="s">
        <v>1565</v>
      </c>
      <c r="K2078" s="143">
        <v>45658</v>
      </c>
      <c r="L2078" s="133" t="s">
        <v>1092</v>
      </c>
      <c r="M2078" s="133">
        <f>828.7+2268.2+436.6</f>
        <v>3533.4999999999995</v>
      </c>
      <c r="N2078" s="142"/>
      <c r="O2078" s="141"/>
      <c r="P2078" s="140"/>
    </row>
    <row r="2079" spans="1:16" hidden="1" x14ac:dyDescent="0.35">
      <c r="A2079" s="146"/>
      <c r="B2079" s="143"/>
      <c r="C2079" s="133"/>
      <c r="D2079" s="133"/>
      <c r="E2079" s="145" t="s">
        <v>1067</v>
      </c>
      <c r="F2079" s="145">
        <v>5518.56</v>
      </c>
      <c r="G2079" s="133" t="s">
        <v>1034</v>
      </c>
      <c r="H2079" s="144" t="s">
        <v>1341</v>
      </c>
      <c r="I2079" s="133" t="s">
        <v>1092</v>
      </c>
      <c r="J2079" s="133" t="s">
        <v>1515</v>
      </c>
      <c r="K2079" s="143">
        <v>45658</v>
      </c>
      <c r="L2079" s="133" t="s">
        <v>1241</v>
      </c>
      <c r="M2079" s="133">
        <v>291</v>
      </c>
      <c r="N2079" s="142"/>
      <c r="O2079" s="141"/>
      <c r="P2079" s="140"/>
    </row>
    <row r="2080" spans="1:16" hidden="1" x14ac:dyDescent="0.35">
      <c r="A2080" s="146"/>
      <c r="B2080" s="143"/>
      <c r="C2080" s="133"/>
      <c r="D2080" s="133"/>
      <c r="E2080" s="145" t="s">
        <v>1064</v>
      </c>
      <c r="F2080" s="145">
        <v>828.7</v>
      </c>
      <c r="G2080" s="133" t="s">
        <v>1034</v>
      </c>
      <c r="H2080" s="144" t="s">
        <v>1341</v>
      </c>
      <c r="I2080" s="133" t="s">
        <v>1092</v>
      </c>
      <c r="J2080" s="133" t="s">
        <v>1488</v>
      </c>
      <c r="K2080" s="143">
        <v>45689</v>
      </c>
      <c r="L2080" s="133" t="s">
        <v>1092</v>
      </c>
      <c r="M2080" s="133">
        <v>1994</v>
      </c>
      <c r="N2080" s="142"/>
      <c r="O2080" s="141"/>
      <c r="P2080" s="140"/>
    </row>
    <row r="2081" spans="1:16" hidden="1" x14ac:dyDescent="0.35">
      <c r="A2081" s="146"/>
      <c r="B2081" s="143"/>
      <c r="C2081" s="133"/>
      <c r="D2081" s="133"/>
      <c r="E2081" s="145" t="s">
        <v>1071</v>
      </c>
      <c r="F2081" s="145">
        <v>436.6</v>
      </c>
      <c r="G2081" s="133"/>
      <c r="H2081" s="144"/>
      <c r="I2081" s="133"/>
      <c r="J2081" s="133"/>
      <c r="K2081" s="133"/>
      <c r="L2081" s="133"/>
      <c r="M2081" s="133"/>
      <c r="N2081" s="142"/>
      <c r="O2081" s="141"/>
      <c r="P2081" s="140"/>
    </row>
    <row r="2082" spans="1:16" hidden="1" x14ac:dyDescent="0.35">
      <c r="A2082" s="146"/>
      <c r="B2082" s="143"/>
      <c r="C2082" s="133"/>
      <c r="D2082" s="133"/>
      <c r="E2082" s="148"/>
      <c r="F2082" s="145"/>
      <c r="G2082" s="133"/>
      <c r="H2082" s="144"/>
      <c r="I2082" s="133"/>
      <c r="J2082" s="133"/>
      <c r="K2082" s="133"/>
      <c r="L2082" s="133"/>
      <c r="M2082" s="133"/>
      <c r="N2082" s="142"/>
      <c r="O2082" s="141"/>
      <c r="P2082" s="140"/>
    </row>
    <row r="2083" spans="1:16" hidden="1" x14ac:dyDescent="0.35">
      <c r="A2083" s="146">
        <v>191</v>
      </c>
      <c r="B2083" s="143">
        <v>45597</v>
      </c>
      <c r="C2083" s="133" t="s">
        <v>1590</v>
      </c>
      <c r="D2083" s="133" t="s">
        <v>1589</v>
      </c>
      <c r="E2083" s="145" t="s">
        <v>1075</v>
      </c>
      <c r="F2083" s="145">
        <v>2438</v>
      </c>
      <c r="G2083" s="133" t="s">
        <v>1034</v>
      </c>
      <c r="H2083" s="144" t="s">
        <v>1341</v>
      </c>
      <c r="I2083" s="133" t="s">
        <v>1092</v>
      </c>
      <c r="J2083" s="133" t="s">
        <v>1554</v>
      </c>
      <c r="K2083" s="143">
        <v>45627</v>
      </c>
      <c r="L2083" s="133" t="s">
        <v>1092</v>
      </c>
      <c r="M2083" s="133">
        <v>865</v>
      </c>
      <c r="N2083" s="147">
        <f>+F2083+F2084-M2083-M2084-M2085</f>
        <v>0</v>
      </c>
      <c r="O2083" s="141"/>
      <c r="P2083" s="140"/>
    </row>
    <row r="2084" spans="1:16" hidden="1" x14ac:dyDescent="0.35">
      <c r="A2084" s="146"/>
      <c r="B2084" s="143"/>
      <c r="C2084" s="133"/>
      <c r="D2084" s="133"/>
      <c r="E2084" s="145" t="s">
        <v>1067</v>
      </c>
      <c r="F2084" s="145">
        <v>865</v>
      </c>
      <c r="G2084" s="133" t="s">
        <v>1034</v>
      </c>
      <c r="H2084" s="144" t="s">
        <v>1341</v>
      </c>
      <c r="I2084" s="133" t="s">
        <v>1092</v>
      </c>
      <c r="J2084" s="133" t="s">
        <v>1575</v>
      </c>
      <c r="K2084" s="143">
        <v>45627</v>
      </c>
      <c r="L2084" s="133" t="s">
        <v>1241</v>
      </c>
      <c r="M2084" s="133">
        <v>121</v>
      </c>
      <c r="N2084" s="142"/>
      <c r="O2084" s="141"/>
      <c r="P2084" s="140"/>
    </row>
    <row r="2085" spans="1:16" hidden="1" x14ac:dyDescent="0.35">
      <c r="A2085" s="146"/>
      <c r="B2085" s="143"/>
      <c r="C2085" s="133"/>
      <c r="D2085" s="133"/>
      <c r="E2085" s="145"/>
      <c r="F2085" s="145"/>
      <c r="G2085" s="133" t="s">
        <v>1034</v>
      </c>
      <c r="H2085" s="144" t="s">
        <v>1341</v>
      </c>
      <c r="I2085" s="133" t="s">
        <v>1092</v>
      </c>
      <c r="J2085" s="133" t="s">
        <v>1542</v>
      </c>
      <c r="K2085" s="143">
        <v>45658</v>
      </c>
      <c r="L2085" s="133" t="s">
        <v>1092</v>
      </c>
      <c r="M2085" s="133">
        <v>2317</v>
      </c>
      <c r="N2085" s="142"/>
      <c r="O2085" s="141"/>
      <c r="P2085" s="140"/>
    </row>
    <row r="2086" spans="1:16" hidden="1" x14ac:dyDescent="0.35">
      <c r="A2086" s="146"/>
      <c r="B2086" s="143"/>
      <c r="C2086" s="133"/>
      <c r="D2086" s="133"/>
      <c r="E2086" s="145"/>
      <c r="F2086" s="145"/>
      <c r="G2086" s="133"/>
      <c r="H2086" s="144"/>
      <c r="I2086" s="133"/>
      <c r="J2086" s="133"/>
      <c r="K2086" s="143"/>
      <c r="L2086" s="133"/>
      <c r="M2086" s="133"/>
      <c r="N2086" s="142"/>
      <c r="O2086" s="141"/>
      <c r="P2086" s="140"/>
    </row>
    <row r="2087" spans="1:16" hidden="1" x14ac:dyDescent="0.35">
      <c r="A2087" s="146">
        <v>192</v>
      </c>
      <c r="B2087" s="143">
        <v>45597</v>
      </c>
      <c r="C2087" s="133" t="s">
        <v>1588</v>
      </c>
      <c r="D2087" s="133" t="s">
        <v>1587</v>
      </c>
      <c r="E2087" s="145" t="s">
        <v>1067</v>
      </c>
      <c r="F2087" s="145">
        <v>1661.44</v>
      </c>
      <c r="G2087" s="133" t="s">
        <v>1034</v>
      </c>
      <c r="H2087" s="144" t="s">
        <v>1341</v>
      </c>
      <c r="I2087" s="133" t="s">
        <v>1092</v>
      </c>
      <c r="J2087" s="133" t="s">
        <v>1554</v>
      </c>
      <c r="K2087" s="143">
        <v>45627</v>
      </c>
      <c r="L2087" s="133" t="s">
        <v>1092</v>
      </c>
      <c r="M2087" s="133">
        <v>1661.44</v>
      </c>
      <c r="N2087" s="142">
        <f>+F2087-M2087</f>
        <v>0</v>
      </c>
      <c r="O2087" s="141"/>
      <c r="P2087" s="140"/>
    </row>
    <row r="2088" spans="1:16" hidden="1" x14ac:dyDescent="0.35">
      <c r="A2088" s="146"/>
      <c r="B2088" s="143"/>
      <c r="C2088" s="133"/>
      <c r="D2088" s="133"/>
      <c r="E2088" s="148"/>
      <c r="F2088" s="145"/>
      <c r="G2088" s="133"/>
      <c r="H2088" s="144"/>
      <c r="I2088" s="133"/>
      <c r="J2088" s="133"/>
      <c r="K2088" s="133"/>
      <c r="L2088" s="133"/>
      <c r="M2088" s="133"/>
      <c r="N2088" s="142"/>
      <c r="O2088" s="141"/>
      <c r="P2088" s="140"/>
    </row>
    <row r="2089" spans="1:16" hidden="1" x14ac:dyDescent="0.35">
      <c r="A2089" s="146">
        <v>193</v>
      </c>
      <c r="B2089" s="143">
        <v>45597</v>
      </c>
      <c r="C2089" s="133" t="s">
        <v>1586</v>
      </c>
      <c r="D2089" s="133" t="s">
        <v>1585</v>
      </c>
      <c r="E2089" s="145" t="s">
        <v>1067</v>
      </c>
      <c r="F2089" s="145">
        <v>3209</v>
      </c>
      <c r="G2089" s="133" t="s">
        <v>1034</v>
      </c>
      <c r="H2089" s="144" t="s">
        <v>1341</v>
      </c>
      <c r="I2089" s="133" t="s">
        <v>1092</v>
      </c>
      <c r="J2089" s="133" t="s">
        <v>1554</v>
      </c>
      <c r="K2089" s="143">
        <v>45627</v>
      </c>
      <c r="L2089" s="133" t="s">
        <v>1092</v>
      </c>
      <c r="M2089" s="133">
        <v>3209</v>
      </c>
      <c r="N2089" s="147">
        <f>+F2089+F2090+F2091+F2092+F2093-M2089-M2090-M2091-M2092-M2093</f>
        <v>-7.3896444519050419E-13</v>
      </c>
      <c r="O2089" s="141"/>
      <c r="P2089" s="140"/>
    </row>
    <row r="2090" spans="1:16" hidden="1" x14ac:dyDescent="0.35">
      <c r="A2090" s="146"/>
      <c r="B2090" s="143"/>
      <c r="C2090" s="133"/>
      <c r="D2090" s="133"/>
      <c r="E2090" s="145" t="s">
        <v>1075</v>
      </c>
      <c r="F2090" s="145">
        <v>6370</v>
      </c>
      <c r="G2090" s="133" t="s">
        <v>1034</v>
      </c>
      <c r="H2090" s="144" t="s">
        <v>1341</v>
      </c>
      <c r="I2090" s="133" t="s">
        <v>1092</v>
      </c>
      <c r="J2090" s="133" t="s">
        <v>1566</v>
      </c>
      <c r="K2090" s="143">
        <v>45627</v>
      </c>
      <c r="L2090" s="133" t="s">
        <v>1092</v>
      </c>
      <c r="M2090" s="133">
        <v>3704.1</v>
      </c>
      <c r="N2090" s="142"/>
      <c r="O2090" s="141"/>
      <c r="P2090" s="140"/>
    </row>
    <row r="2091" spans="1:16" hidden="1" x14ac:dyDescent="0.35">
      <c r="A2091" s="146"/>
      <c r="B2091" s="143"/>
      <c r="C2091" s="133"/>
      <c r="D2091" s="133"/>
      <c r="E2091" s="145" t="s">
        <v>1064</v>
      </c>
      <c r="F2091" s="145">
        <v>1233.4000000000001</v>
      </c>
      <c r="G2091" s="133" t="s">
        <v>1034</v>
      </c>
      <c r="H2091" s="144" t="s">
        <v>1341</v>
      </c>
      <c r="I2091" s="133" t="s">
        <v>1092</v>
      </c>
      <c r="J2091" s="133" t="s">
        <v>1575</v>
      </c>
      <c r="K2091" s="143">
        <v>45627</v>
      </c>
      <c r="L2091" s="133" t="s">
        <v>1241</v>
      </c>
      <c r="M2091" s="133">
        <v>396</v>
      </c>
      <c r="N2091" s="142"/>
      <c r="O2091" s="141"/>
      <c r="P2091" s="140"/>
    </row>
    <row r="2092" spans="1:16" hidden="1" x14ac:dyDescent="0.35">
      <c r="A2092" s="146"/>
      <c r="B2092" s="143"/>
      <c r="C2092" s="133"/>
      <c r="D2092" s="133"/>
      <c r="E2092" s="145" t="s">
        <v>1071</v>
      </c>
      <c r="F2092" s="145">
        <v>323.3</v>
      </c>
      <c r="G2092" s="133" t="s">
        <v>1034</v>
      </c>
      <c r="H2092" s="144" t="s">
        <v>1341</v>
      </c>
      <c r="I2092" s="133" t="s">
        <v>1092</v>
      </c>
      <c r="J2092" s="133" t="s">
        <v>1542</v>
      </c>
      <c r="K2092" s="143">
        <v>45658</v>
      </c>
      <c r="L2092" s="133" t="s">
        <v>1092</v>
      </c>
      <c r="M2092" s="133">
        <f>837.4+6370</f>
        <v>7207.4</v>
      </c>
      <c r="N2092" s="142"/>
      <c r="O2092" s="141"/>
      <c r="P2092" s="140"/>
    </row>
    <row r="2093" spans="1:16" hidden="1" x14ac:dyDescent="0.35">
      <c r="A2093" s="146"/>
      <c r="B2093" s="143"/>
      <c r="C2093" s="133"/>
      <c r="D2093" s="133"/>
      <c r="E2093" s="145" t="s">
        <v>1118</v>
      </c>
      <c r="F2093" s="145">
        <v>3704.1</v>
      </c>
      <c r="G2093" s="133" t="s">
        <v>1034</v>
      </c>
      <c r="H2093" s="144" t="s">
        <v>1341</v>
      </c>
      <c r="I2093" s="133" t="s">
        <v>1092</v>
      </c>
      <c r="J2093" s="133" t="s">
        <v>1492</v>
      </c>
      <c r="K2093" s="143">
        <v>45689</v>
      </c>
      <c r="L2093" s="133" t="s">
        <v>1092</v>
      </c>
      <c r="M2093" s="133">
        <v>323.3</v>
      </c>
      <c r="N2093" s="142"/>
      <c r="O2093" s="141"/>
      <c r="P2093" s="140"/>
    </row>
    <row r="2094" spans="1:16" hidden="1" x14ac:dyDescent="0.35">
      <c r="A2094" s="146"/>
      <c r="B2094" s="143"/>
      <c r="C2094" s="133"/>
      <c r="D2094" s="133"/>
      <c r="E2094" s="148"/>
      <c r="F2094" s="145"/>
      <c r="G2094" s="133"/>
      <c r="H2094" s="144"/>
      <c r="I2094" s="133"/>
      <c r="J2094" s="133"/>
      <c r="K2094" s="133"/>
      <c r="L2094" s="133"/>
      <c r="M2094" s="133"/>
      <c r="N2094" s="142"/>
      <c r="O2094" s="141"/>
      <c r="P2094" s="140"/>
    </row>
    <row r="2095" spans="1:16" hidden="1" x14ac:dyDescent="0.35">
      <c r="A2095" s="146">
        <v>194</v>
      </c>
      <c r="B2095" s="143">
        <v>45597</v>
      </c>
      <c r="C2095" s="133" t="s">
        <v>1584</v>
      </c>
      <c r="D2095" s="133" t="s">
        <v>1163</v>
      </c>
      <c r="E2095" s="145" t="s">
        <v>1067</v>
      </c>
      <c r="F2095" s="145">
        <v>1232</v>
      </c>
      <c r="G2095" s="133" t="s">
        <v>1034</v>
      </c>
      <c r="H2095" s="144" t="s">
        <v>1341</v>
      </c>
      <c r="I2095" s="133" t="s">
        <v>1092</v>
      </c>
      <c r="J2095" s="133" t="s">
        <v>1554</v>
      </c>
      <c r="K2095" s="143">
        <v>45627</v>
      </c>
      <c r="L2095" s="133" t="s">
        <v>1092</v>
      </c>
      <c r="M2095" s="133">
        <v>1232</v>
      </c>
      <c r="N2095" s="147">
        <f>+F2095+F2096+F2097+F2098-M2095-M2096-M2097-M2098</f>
        <v>0</v>
      </c>
      <c r="O2095" s="141"/>
      <c r="P2095" s="140"/>
    </row>
    <row r="2096" spans="1:16" hidden="1" x14ac:dyDescent="0.35">
      <c r="A2096" s="146"/>
      <c r="B2096" s="143"/>
      <c r="C2096" s="133"/>
      <c r="D2096" s="133"/>
      <c r="E2096" s="145" t="s">
        <v>1075</v>
      </c>
      <c r="F2096" s="145">
        <v>2234.5</v>
      </c>
      <c r="G2096" s="133" t="s">
        <v>1034</v>
      </c>
      <c r="H2096" s="144" t="s">
        <v>1341</v>
      </c>
      <c r="I2096" s="133" t="s">
        <v>1092</v>
      </c>
      <c r="J2096" s="133" t="s">
        <v>1575</v>
      </c>
      <c r="K2096" s="143">
        <v>45627</v>
      </c>
      <c r="L2096" s="133" t="s">
        <v>1241</v>
      </c>
      <c r="M2096" s="133">
        <v>311</v>
      </c>
      <c r="N2096" s="142"/>
      <c r="O2096" s="141"/>
      <c r="P2096" s="140"/>
    </row>
    <row r="2097" spans="1:16" hidden="1" x14ac:dyDescent="0.35">
      <c r="A2097" s="146"/>
      <c r="B2097" s="143"/>
      <c r="C2097" s="133"/>
      <c r="D2097" s="133"/>
      <c r="E2097" s="145" t="s">
        <v>1064</v>
      </c>
      <c r="F2097" s="145">
        <v>936.3</v>
      </c>
      <c r="G2097" s="133" t="s">
        <v>1034</v>
      </c>
      <c r="H2097" s="144" t="s">
        <v>1341</v>
      </c>
      <c r="I2097" s="133" t="s">
        <v>1092</v>
      </c>
      <c r="J2097" s="133" t="s">
        <v>1542</v>
      </c>
      <c r="K2097" s="143">
        <v>45658</v>
      </c>
      <c r="L2097" s="133" t="s">
        <v>1092</v>
      </c>
      <c r="M2097" s="133">
        <f>1923.5+936.3</f>
        <v>2859.8</v>
      </c>
      <c r="N2097" s="142"/>
      <c r="O2097" s="141"/>
      <c r="P2097" s="140"/>
    </row>
    <row r="2098" spans="1:16" hidden="1" x14ac:dyDescent="0.35">
      <c r="A2098" s="146"/>
      <c r="B2098" s="143"/>
      <c r="C2098" s="133"/>
      <c r="D2098" s="133"/>
      <c r="E2098" s="145" t="s">
        <v>1342</v>
      </c>
      <c r="F2098" s="145">
        <v>3049</v>
      </c>
      <c r="G2098" s="133" t="s">
        <v>1034</v>
      </c>
      <c r="H2098" s="144" t="s">
        <v>1341</v>
      </c>
      <c r="I2098" s="133" t="s">
        <v>1092</v>
      </c>
      <c r="J2098" s="133" t="s">
        <v>1488</v>
      </c>
      <c r="K2098" s="143">
        <v>45689</v>
      </c>
      <c r="L2098" s="133" t="s">
        <v>1092</v>
      </c>
      <c r="M2098" s="133">
        <v>3049</v>
      </c>
      <c r="N2098" s="142"/>
      <c r="O2098" s="141"/>
      <c r="P2098" s="140"/>
    </row>
    <row r="2099" spans="1:16" hidden="1" x14ac:dyDescent="0.35">
      <c r="A2099" s="146"/>
      <c r="B2099" s="143"/>
      <c r="C2099" s="133"/>
      <c r="D2099" s="133"/>
      <c r="E2099" s="145"/>
      <c r="F2099" s="145"/>
      <c r="G2099" s="133"/>
      <c r="H2099" s="144"/>
      <c r="I2099" s="133"/>
      <c r="J2099" s="133"/>
      <c r="K2099" s="133"/>
      <c r="L2099" s="133"/>
      <c r="M2099" s="133"/>
      <c r="N2099" s="142"/>
      <c r="O2099" s="141"/>
      <c r="P2099" s="140"/>
    </row>
    <row r="2100" spans="1:16" hidden="1" x14ac:dyDescent="0.35">
      <c r="A2100" s="146">
        <v>195</v>
      </c>
      <c r="B2100" s="143">
        <v>45597</v>
      </c>
      <c r="C2100" s="133" t="s">
        <v>1583</v>
      </c>
      <c r="D2100" s="133" t="s">
        <v>1163</v>
      </c>
      <c r="E2100" s="148" t="s">
        <v>1059</v>
      </c>
      <c r="F2100" s="145">
        <v>78000</v>
      </c>
      <c r="G2100" s="133" t="s">
        <v>1034</v>
      </c>
      <c r="H2100" s="144" t="s">
        <v>1341</v>
      </c>
      <c r="I2100" s="133" t="s">
        <v>1092</v>
      </c>
      <c r="J2100" s="133" t="s">
        <v>1553</v>
      </c>
      <c r="K2100" s="143">
        <v>45627</v>
      </c>
      <c r="L2100" s="133" t="s">
        <v>1092</v>
      </c>
      <c r="M2100" s="133">
        <v>12180.3</v>
      </c>
      <c r="N2100" s="142">
        <f>+F2100-M2100-M2101-M2102</f>
        <v>0</v>
      </c>
      <c r="O2100" s="141"/>
      <c r="P2100" s="140"/>
    </row>
    <row r="2101" spans="1:16" hidden="1" x14ac:dyDescent="0.35">
      <c r="A2101" s="146"/>
      <c r="B2101" s="143"/>
      <c r="C2101" s="133"/>
      <c r="D2101" s="133"/>
      <c r="E2101" s="148"/>
      <c r="F2101" s="145"/>
      <c r="G2101" s="133" t="s">
        <v>1034</v>
      </c>
      <c r="H2101" s="144" t="s">
        <v>1341</v>
      </c>
      <c r="I2101" s="133" t="s">
        <v>1092</v>
      </c>
      <c r="J2101" s="133" t="s">
        <v>1566</v>
      </c>
      <c r="K2101" s="143">
        <v>45627</v>
      </c>
      <c r="L2101" s="133" t="s">
        <v>1092</v>
      </c>
      <c r="M2101" s="133">
        <v>61393.1</v>
      </c>
      <c r="N2101" s="142"/>
      <c r="O2101" s="141"/>
      <c r="P2101" s="140"/>
    </row>
    <row r="2102" spans="1:16" hidden="1" x14ac:dyDescent="0.35">
      <c r="A2102" s="146"/>
      <c r="B2102" s="143"/>
      <c r="C2102" s="133"/>
      <c r="D2102" s="133"/>
      <c r="E2102" s="148"/>
      <c r="F2102" s="145"/>
      <c r="G2102" s="133" t="s">
        <v>1034</v>
      </c>
      <c r="H2102" s="144" t="s">
        <v>1341</v>
      </c>
      <c r="I2102" s="133" t="s">
        <v>1092</v>
      </c>
      <c r="J2102" s="133" t="s">
        <v>1575</v>
      </c>
      <c r="K2102" s="143">
        <v>45627</v>
      </c>
      <c r="L2102" s="133" t="s">
        <v>1241</v>
      </c>
      <c r="M2102" s="133">
        <v>4426.6000000000004</v>
      </c>
      <c r="N2102" s="142"/>
      <c r="O2102" s="141"/>
      <c r="P2102" s="140"/>
    </row>
    <row r="2103" spans="1:16" hidden="1" x14ac:dyDescent="0.35">
      <c r="A2103" s="146"/>
      <c r="B2103" s="143"/>
      <c r="C2103" s="133"/>
      <c r="D2103" s="133"/>
      <c r="E2103" s="148"/>
      <c r="F2103" s="145"/>
      <c r="G2103" s="133"/>
      <c r="H2103" s="144"/>
      <c r="I2103" s="133"/>
      <c r="J2103" s="133"/>
      <c r="K2103" s="143"/>
      <c r="L2103" s="133"/>
      <c r="M2103" s="133"/>
      <c r="N2103" s="142"/>
      <c r="O2103" s="141"/>
      <c r="P2103" s="140"/>
    </row>
    <row r="2104" spans="1:16" hidden="1" x14ac:dyDescent="0.35">
      <c r="A2104" s="146"/>
      <c r="B2104" s="143"/>
      <c r="C2104" s="133"/>
      <c r="D2104" s="133"/>
      <c r="E2104" s="148"/>
      <c r="F2104" s="145"/>
      <c r="G2104" s="133"/>
      <c r="H2104" s="144"/>
      <c r="I2104" s="133"/>
      <c r="J2104" s="133"/>
      <c r="K2104" s="143"/>
      <c r="L2104" s="133"/>
      <c r="M2104" s="133"/>
      <c r="N2104" s="142"/>
      <c r="O2104" s="141"/>
      <c r="P2104" s="140"/>
    </row>
    <row r="2105" spans="1:16" hidden="1" x14ac:dyDescent="0.35">
      <c r="A2105" s="146">
        <v>196</v>
      </c>
      <c r="B2105" s="143">
        <v>45597</v>
      </c>
      <c r="C2105" s="133" t="s">
        <v>1582</v>
      </c>
      <c r="D2105" s="133" t="s">
        <v>1580</v>
      </c>
      <c r="E2105" s="148" t="s">
        <v>1059</v>
      </c>
      <c r="F2105" s="145">
        <v>78000</v>
      </c>
      <c r="G2105" s="133" t="s">
        <v>1034</v>
      </c>
      <c r="H2105" s="144" t="s">
        <v>1341</v>
      </c>
      <c r="I2105" s="133" t="s">
        <v>1092</v>
      </c>
      <c r="J2105" s="133" t="s">
        <v>1552</v>
      </c>
      <c r="K2105" s="143">
        <v>45627</v>
      </c>
      <c r="L2105" s="133" t="s">
        <v>1092</v>
      </c>
      <c r="M2105" s="133">
        <v>42635.8</v>
      </c>
      <c r="N2105" s="147">
        <f>+F2105-M2105-M2106-M2107</f>
        <v>0</v>
      </c>
      <c r="O2105" s="141"/>
      <c r="P2105" s="140"/>
    </row>
    <row r="2106" spans="1:16" hidden="1" x14ac:dyDescent="0.35">
      <c r="A2106" s="146"/>
      <c r="B2106" s="143"/>
      <c r="C2106" s="133"/>
      <c r="D2106" s="133"/>
      <c r="E2106" s="148"/>
      <c r="F2106" s="145"/>
      <c r="G2106" s="133" t="s">
        <v>1034</v>
      </c>
      <c r="H2106" s="144" t="s">
        <v>1341</v>
      </c>
      <c r="I2106" s="133" t="s">
        <v>1092</v>
      </c>
      <c r="J2106" s="133" t="s">
        <v>1575</v>
      </c>
      <c r="K2106" s="143">
        <v>45627</v>
      </c>
      <c r="L2106" s="133" t="s">
        <v>1241</v>
      </c>
      <c r="M2106" s="133">
        <v>4630.3999999999996</v>
      </c>
      <c r="N2106" s="142"/>
      <c r="O2106" s="141"/>
      <c r="P2106" s="140"/>
    </row>
    <row r="2107" spans="1:16" hidden="1" x14ac:dyDescent="0.35">
      <c r="A2107" s="146"/>
      <c r="B2107" s="143"/>
      <c r="C2107" s="133"/>
      <c r="D2107" s="133"/>
      <c r="E2107" s="148"/>
      <c r="F2107" s="145"/>
      <c r="G2107" s="133" t="s">
        <v>1034</v>
      </c>
      <c r="H2107" s="144" t="s">
        <v>1341</v>
      </c>
      <c r="I2107" s="133" t="s">
        <v>1092</v>
      </c>
      <c r="J2107" s="133" t="s">
        <v>1565</v>
      </c>
      <c r="K2107" s="143">
        <v>45658</v>
      </c>
      <c r="L2107" s="133" t="s">
        <v>1092</v>
      </c>
      <c r="M2107" s="133">
        <v>30733.8</v>
      </c>
      <c r="N2107" s="142"/>
      <c r="O2107" s="141"/>
      <c r="P2107" s="140"/>
    </row>
    <row r="2108" spans="1:16" hidden="1" x14ac:dyDescent="0.35">
      <c r="A2108" s="146"/>
      <c r="B2108" s="143"/>
      <c r="C2108" s="133"/>
      <c r="D2108" s="133"/>
      <c r="E2108" s="148"/>
      <c r="F2108" s="145"/>
      <c r="G2108" s="133"/>
      <c r="H2108" s="144"/>
      <c r="I2108" s="133"/>
      <c r="J2108" s="133"/>
      <c r="K2108" s="143"/>
      <c r="L2108" s="133"/>
      <c r="M2108" s="133"/>
      <c r="N2108" s="142"/>
      <c r="O2108" s="141"/>
      <c r="P2108" s="140"/>
    </row>
    <row r="2109" spans="1:16" hidden="1" x14ac:dyDescent="0.35">
      <c r="A2109" s="146">
        <v>197</v>
      </c>
      <c r="B2109" s="143">
        <v>45597</v>
      </c>
      <c r="C2109" s="133" t="s">
        <v>1581</v>
      </c>
      <c r="D2109" s="133" t="s">
        <v>1580</v>
      </c>
      <c r="E2109" s="145" t="s">
        <v>1067</v>
      </c>
      <c r="F2109" s="145">
        <v>971</v>
      </c>
      <c r="G2109" s="133" t="s">
        <v>1034</v>
      </c>
      <c r="H2109" s="144" t="s">
        <v>1341</v>
      </c>
      <c r="I2109" s="133" t="s">
        <v>1092</v>
      </c>
      <c r="J2109" s="133" t="s">
        <v>1554</v>
      </c>
      <c r="K2109" s="143">
        <v>45627</v>
      </c>
      <c r="L2109" s="133" t="s">
        <v>1092</v>
      </c>
      <c r="M2109" s="133">
        <v>971</v>
      </c>
      <c r="N2109" s="147">
        <f>+F2109+F2110-M2109-M2110-M2111</f>
        <v>0</v>
      </c>
      <c r="O2109" s="141"/>
      <c r="P2109" s="140"/>
    </row>
    <row r="2110" spans="1:16" hidden="1" x14ac:dyDescent="0.35">
      <c r="A2110" s="146"/>
      <c r="B2110" s="143"/>
      <c r="C2110" s="133"/>
      <c r="D2110" s="133"/>
      <c r="E2110" s="145" t="s">
        <v>1071</v>
      </c>
      <c r="F2110" s="145">
        <v>1113.8</v>
      </c>
      <c r="G2110" s="133" t="s">
        <v>1034</v>
      </c>
      <c r="H2110" s="144" t="s">
        <v>1341</v>
      </c>
      <c r="I2110" s="133" t="s">
        <v>1092</v>
      </c>
      <c r="J2110" s="133" t="s">
        <v>1575</v>
      </c>
      <c r="K2110" s="143">
        <v>45627</v>
      </c>
      <c r="L2110" s="133" t="s">
        <v>1241</v>
      </c>
      <c r="M2110" s="133">
        <v>100</v>
      </c>
      <c r="N2110" s="142"/>
      <c r="O2110" s="141"/>
      <c r="P2110" s="140"/>
    </row>
    <row r="2111" spans="1:16" hidden="1" x14ac:dyDescent="0.35">
      <c r="A2111" s="146"/>
      <c r="B2111" s="143"/>
      <c r="C2111" s="133"/>
      <c r="D2111" s="133"/>
      <c r="E2111" s="148"/>
      <c r="F2111" s="145"/>
      <c r="G2111" s="133" t="s">
        <v>1034</v>
      </c>
      <c r="H2111" s="144" t="s">
        <v>1341</v>
      </c>
      <c r="I2111" s="133" t="s">
        <v>1092</v>
      </c>
      <c r="J2111" s="133" t="s">
        <v>1488</v>
      </c>
      <c r="K2111" s="143">
        <v>45689</v>
      </c>
      <c r="L2111" s="133" t="s">
        <v>1092</v>
      </c>
      <c r="M2111" s="133">
        <v>1013.8</v>
      </c>
      <c r="N2111" s="142"/>
      <c r="O2111" s="141"/>
      <c r="P2111" s="140"/>
    </row>
    <row r="2112" spans="1:16" hidden="1" x14ac:dyDescent="0.35">
      <c r="A2112" s="146"/>
      <c r="B2112" s="143"/>
      <c r="C2112" s="133"/>
      <c r="D2112" s="133"/>
      <c r="E2112" s="148"/>
      <c r="F2112" s="145"/>
      <c r="G2112" s="133"/>
      <c r="H2112" s="144"/>
      <c r="I2112" s="133"/>
      <c r="J2112" s="133"/>
      <c r="K2112" s="143"/>
      <c r="L2112" s="133"/>
      <c r="M2112" s="133"/>
      <c r="N2112" s="142"/>
      <c r="O2112" s="141"/>
      <c r="P2112" s="140"/>
    </row>
    <row r="2113" spans="1:16" hidden="1" x14ac:dyDescent="0.35">
      <c r="A2113" s="146">
        <v>198</v>
      </c>
      <c r="B2113" s="143">
        <v>45597</v>
      </c>
      <c r="C2113" s="133" t="s">
        <v>1579</v>
      </c>
      <c r="D2113" s="133" t="s">
        <v>1578</v>
      </c>
      <c r="E2113" s="145" t="s">
        <v>1067</v>
      </c>
      <c r="F2113" s="145">
        <v>14485.16</v>
      </c>
      <c r="G2113" s="133" t="s">
        <v>1034</v>
      </c>
      <c r="H2113" s="144" t="s">
        <v>1341</v>
      </c>
      <c r="I2113" s="133" t="s">
        <v>1092</v>
      </c>
      <c r="J2113" s="133" t="s">
        <v>1554</v>
      </c>
      <c r="K2113" s="143">
        <v>45627</v>
      </c>
      <c r="L2113" s="133" t="s">
        <v>1092</v>
      </c>
      <c r="M2113" s="133">
        <v>14485.16</v>
      </c>
      <c r="N2113" s="147">
        <f>+F2113+F2114+F2115+F2116-M2113-M2114-M2115-M2116</f>
        <v>0</v>
      </c>
      <c r="O2113" s="141"/>
      <c r="P2113" s="140"/>
    </row>
    <row r="2114" spans="1:16" hidden="1" x14ac:dyDescent="0.35">
      <c r="A2114" s="146"/>
      <c r="B2114" s="143"/>
      <c r="C2114" s="133"/>
      <c r="D2114" s="133"/>
      <c r="E2114" s="145" t="s">
        <v>1342</v>
      </c>
      <c r="F2114" s="145">
        <v>4490</v>
      </c>
      <c r="G2114" s="133" t="s">
        <v>1034</v>
      </c>
      <c r="H2114" s="144" t="s">
        <v>1341</v>
      </c>
      <c r="I2114" s="133" t="s">
        <v>1092</v>
      </c>
      <c r="J2114" s="133" t="s">
        <v>1575</v>
      </c>
      <c r="K2114" s="143">
        <v>45627</v>
      </c>
      <c r="L2114" s="133" t="s">
        <v>1241</v>
      </c>
      <c r="M2114" s="133">
        <v>490</v>
      </c>
      <c r="N2114" s="142"/>
      <c r="O2114" s="141"/>
      <c r="P2114" s="140"/>
    </row>
    <row r="2115" spans="1:16" hidden="1" x14ac:dyDescent="0.35">
      <c r="A2115" s="146"/>
      <c r="B2115" s="143"/>
      <c r="C2115" s="133"/>
      <c r="D2115" s="133"/>
      <c r="E2115" s="145" t="s">
        <v>1075</v>
      </c>
      <c r="F2115" s="145">
        <v>3758</v>
      </c>
      <c r="G2115" s="133" t="s">
        <v>1034</v>
      </c>
      <c r="H2115" s="144" t="s">
        <v>1341</v>
      </c>
      <c r="I2115" s="133" t="s">
        <v>1092</v>
      </c>
      <c r="J2115" s="133" t="s">
        <v>1542</v>
      </c>
      <c r="K2115" s="143">
        <v>45658</v>
      </c>
      <c r="L2115" s="133" t="s">
        <v>1092</v>
      </c>
      <c r="M2115" s="133">
        <v>3758</v>
      </c>
      <c r="N2115" s="142"/>
      <c r="O2115" s="141"/>
      <c r="P2115" s="140"/>
    </row>
    <row r="2116" spans="1:16" hidden="1" x14ac:dyDescent="0.35">
      <c r="A2116" s="146"/>
      <c r="B2116" s="143"/>
      <c r="C2116" s="133"/>
      <c r="D2116" s="133"/>
      <c r="E2116" s="145" t="s">
        <v>1171</v>
      </c>
      <c r="F2116" s="145">
        <v>125</v>
      </c>
      <c r="G2116" s="133" t="s">
        <v>1034</v>
      </c>
      <c r="H2116" s="144" t="s">
        <v>1341</v>
      </c>
      <c r="I2116" s="133" t="s">
        <v>1092</v>
      </c>
      <c r="J2116" s="133" t="s">
        <v>1488</v>
      </c>
      <c r="K2116" s="143">
        <v>45689</v>
      </c>
      <c r="L2116" s="133" t="s">
        <v>1092</v>
      </c>
      <c r="M2116" s="133">
        <v>4125</v>
      </c>
      <c r="N2116" s="142"/>
      <c r="O2116" s="141"/>
      <c r="P2116" s="140"/>
    </row>
    <row r="2117" spans="1:16" hidden="1" x14ac:dyDescent="0.35">
      <c r="A2117" s="146"/>
      <c r="B2117" s="143"/>
      <c r="C2117" s="133"/>
      <c r="D2117" s="133"/>
      <c r="E2117" s="148"/>
      <c r="F2117" s="145"/>
      <c r="G2117" s="133"/>
      <c r="H2117" s="144"/>
      <c r="I2117" s="133"/>
      <c r="J2117" s="133"/>
      <c r="K2117" s="133"/>
      <c r="L2117" s="133"/>
      <c r="M2117" s="133"/>
      <c r="N2117" s="142"/>
      <c r="O2117" s="141"/>
      <c r="P2117" s="140"/>
    </row>
    <row r="2118" spans="1:16" hidden="1" x14ac:dyDescent="0.35">
      <c r="A2118" s="146">
        <v>199</v>
      </c>
      <c r="B2118" s="143">
        <v>45597</v>
      </c>
      <c r="C2118" s="133" t="s">
        <v>1577</v>
      </c>
      <c r="D2118" s="133" t="s">
        <v>1576</v>
      </c>
      <c r="E2118" s="145" t="s">
        <v>1067</v>
      </c>
      <c r="F2118" s="145">
        <v>4604</v>
      </c>
      <c r="G2118" s="133" t="s">
        <v>1034</v>
      </c>
      <c r="H2118" s="144" t="s">
        <v>1341</v>
      </c>
      <c r="I2118" s="133" t="s">
        <v>1092</v>
      </c>
      <c r="J2118" s="133" t="s">
        <v>1566</v>
      </c>
      <c r="K2118" s="143">
        <v>45627</v>
      </c>
      <c r="L2118" s="133" t="s">
        <v>1092</v>
      </c>
      <c r="M2118" s="133">
        <v>4604</v>
      </c>
      <c r="N2118" s="147">
        <f>+F2118+F2119+F2120+F2121+F2122+F2123-M2118-M2119-M2120-M2121-M2122</f>
        <v>0</v>
      </c>
      <c r="O2118" s="141"/>
      <c r="P2118" s="140"/>
    </row>
    <row r="2119" spans="1:16" hidden="1" x14ac:dyDescent="0.35">
      <c r="A2119" s="146"/>
      <c r="B2119" s="143"/>
      <c r="C2119" s="133"/>
      <c r="D2119" s="133"/>
      <c r="E2119" s="145" t="s">
        <v>1342</v>
      </c>
      <c r="F2119" s="145">
        <v>2249</v>
      </c>
      <c r="G2119" s="133" t="s">
        <v>1034</v>
      </c>
      <c r="H2119" s="144" t="s">
        <v>1341</v>
      </c>
      <c r="I2119" s="133" t="s">
        <v>1092</v>
      </c>
      <c r="J2119" s="133" t="s">
        <v>1552</v>
      </c>
      <c r="K2119" s="143">
        <v>45627</v>
      </c>
      <c r="L2119" s="133" t="s">
        <v>1092</v>
      </c>
      <c r="M2119" s="133">
        <v>2969.7</v>
      </c>
      <c r="N2119" s="142"/>
      <c r="O2119" s="141"/>
      <c r="P2119" s="140"/>
    </row>
    <row r="2120" spans="1:16" hidden="1" x14ac:dyDescent="0.35">
      <c r="A2120" s="146"/>
      <c r="B2120" s="143"/>
      <c r="C2120" s="133"/>
      <c r="D2120" s="133"/>
      <c r="E2120" s="145" t="s">
        <v>1075</v>
      </c>
      <c r="F2120" s="145">
        <v>3606.3</v>
      </c>
      <c r="G2120" s="133" t="s">
        <v>1034</v>
      </c>
      <c r="H2120" s="144" t="s">
        <v>1341</v>
      </c>
      <c r="I2120" s="133" t="s">
        <v>1092</v>
      </c>
      <c r="J2120" s="133" t="s">
        <v>1575</v>
      </c>
      <c r="K2120" s="143">
        <v>45627</v>
      </c>
      <c r="L2120" s="133" t="s">
        <v>1241</v>
      </c>
      <c r="M2120" s="133">
        <v>362</v>
      </c>
      <c r="N2120" s="142"/>
      <c r="O2120" s="141"/>
      <c r="P2120" s="140"/>
    </row>
    <row r="2121" spans="1:16" hidden="1" x14ac:dyDescent="0.35">
      <c r="A2121" s="146"/>
      <c r="B2121" s="143"/>
      <c r="C2121" s="133"/>
      <c r="D2121" s="133"/>
      <c r="E2121" s="145" t="s">
        <v>1064</v>
      </c>
      <c r="F2121" s="145">
        <v>1362</v>
      </c>
      <c r="G2121" s="133" t="s">
        <v>1034</v>
      </c>
      <c r="H2121" s="144" t="s">
        <v>1341</v>
      </c>
      <c r="I2121" s="133" t="s">
        <v>1092</v>
      </c>
      <c r="J2121" s="133" t="s">
        <v>1542</v>
      </c>
      <c r="K2121" s="143">
        <v>45658</v>
      </c>
      <c r="L2121" s="133" t="s">
        <v>1092</v>
      </c>
      <c r="M2121" s="133">
        <f>1000+3606.3</f>
        <v>4606.3</v>
      </c>
      <c r="N2121" s="142"/>
      <c r="O2121" s="141"/>
      <c r="P2121" s="140"/>
    </row>
    <row r="2122" spans="1:16" hidden="1" x14ac:dyDescent="0.35">
      <c r="A2122" s="146"/>
      <c r="B2122" s="143"/>
      <c r="C2122" s="133"/>
      <c r="D2122" s="133"/>
      <c r="E2122" s="145" t="s">
        <v>1118</v>
      </c>
      <c r="F2122" s="145">
        <v>2969.7</v>
      </c>
      <c r="G2122" s="133" t="s">
        <v>1034</v>
      </c>
      <c r="H2122" s="144" t="s">
        <v>1341</v>
      </c>
      <c r="I2122" s="133" t="s">
        <v>1092</v>
      </c>
      <c r="J2122" s="133" t="s">
        <v>1488</v>
      </c>
      <c r="K2122" s="143">
        <v>45689</v>
      </c>
      <c r="L2122" s="133" t="s">
        <v>1092</v>
      </c>
      <c r="M2122" s="133">
        <v>5110</v>
      </c>
      <c r="N2122" s="142"/>
      <c r="O2122" s="141"/>
      <c r="P2122" s="140"/>
    </row>
    <row r="2123" spans="1:16" hidden="1" x14ac:dyDescent="0.35">
      <c r="A2123" s="146"/>
      <c r="B2123" s="143"/>
      <c r="C2123" s="133"/>
      <c r="D2123" s="133"/>
      <c r="E2123" s="145" t="s">
        <v>1071</v>
      </c>
      <c r="F2123" s="145">
        <v>2861</v>
      </c>
      <c r="G2123" s="133"/>
      <c r="H2123" s="144"/>
      <c r="I2123" s="133"/>
      <c r="J2123" s="133"/>
      <c r="K2123" s="133"/>
      <c r="L2123" s="133"/>
      <c r="M2123" s="133"/>
      <c r="N2123" s="142"/>
      <c r="O2123" s="141"/>
      <c r="P2123" s="140"/>
    </row>
    <row r="2124" spans="1:16" hidden="1" x14ac:dyDescent="0.35">
      <c r="A2124" s="146"/>
      <c r="B2124" s="143"/>
      <c r="C2124" s="133"/>
      <c r="D2124" s="133"/>
      <c r="E2124" s="148"/>
      <c r="F2124" s="145"/>
      <c r="G2124" s="133"/>
      <c r="H2124" s="144"/>
      <c r="I2124" s="133"/>
      <c r="J2124" s="133"/>
      <c r="K2124" s="133"/>
      <c r="L2124" s="133"/>
      <c r="M2124" s="133"/>
      <c r="N2124" s="142"/>
      <c r="O2124" s="141"/>
      <c r="P2124" s="140"/>
    </row>
    <row r="2125" spans="1:16" hidden="1" x14ac:dyDescent="0.35">
      <c r="A2125" s="146">
        <v>200</v>
      </c>
      <c r="B2125" s="143">
        <v>45597</v>
      </c>
      <c r="C2125" s="133" t="s">
        <v>1574</v>
      </c>
      <c r="D2125" s="133" t="s">
        <v>1573</v>
      </c>
      <c r="E2125" s="145" t="s">
        <v>1067</v>
      </c>
      <c r="F2125" s="145">
        <v>1177.9000000000001</v>
      </c>
      <c r="G2125" s="133" t="s">
        <v>1034</v>
      </c>
      <c r="H2125" s="144" t="s">
        <v>1341</v>
      </c>
      <c r="I2125" s="133" t="s">
        <v>1092</v>
      </c>
      <c r="J2125" s="133" t="s">
        <v>1566</v>
      </c>
      <c r="K2125" s="143">
        <v>45627</v>
      </c>
      <c r="L2125" s="133" t="s">
        <v>1092</v>
      </c>
      <c r="M2125" s="133">
        <v>1177.9000000000001</v>
      </c>
      <c r="N2125" s="147">
        <f>+F2125+F2126-M2125-M2126-M2127</f>
        <v>0</v>
      </c>
      <c r="O2125" s="141"/>
      <c r="P2125" s="140"/>
    </row>
    <row r="2126" spans="1:16" hidden="1" x14ac:dyDescent="0.35">
      <c r="A2126" s="146"/>
      <c r="B2126" s="143"/>
      <c r="C2126" s="133"/>
      <c r="D2126" s="133"/>
      <c r="E2126" s="145" t="s">
        <v>1064</v>
      </c>
      <c r="F2126" s="145">
        <v>2128.8000000000002</v>
      </c>
      <c r="G2126" s="133" t="s">
        <v>1034</v>
      </c>
      <c r="H2126" s="144" t="s">
        <v>1341</v>
      </c>
      <c r="I2126" s="133" t="s">
        <v>1092</v>
      </c>
      <c r="J2126" s="133" t="s">
        <v>1542</v>
      </c>
      <c r="K2126" s="143">
        <v>45658</v>
      </c>
      <c r="L2126" s="133" t="s">
        <v>1092</v>
      </c>
      <c r="M2126" s="141">
        <v>2022.8000000000002</v>
      </c>
      <c r="N2126" s="142"/>
      <c r="O2126" s="141"/>
      <c r="P2126" s="140"/>
    </row>
    <row r="2127" spans="1:16" hidden="1" x14ac:dyDescent="0.35">
      <c r="A2127" s="146"/>
      <c r="B2127" s="143"/>
      <c r="C2127" s="133"/>
      <c r="D2127" s="133"/>
      <c r="E2127" s="145"/>
      <c r="F2127" s="145"/>
      <c r="G2127" s="133" t="s">
        <v>1034</v>
      </c>
      <c r="H2127" s="144" t="s">
        <v>1341</v>
      </c>
      <c r="I2127" s="133" t="s">
        <v>1092</v>
      </c>
      <c r="J2127" s="133" t="s">
        <v>1515</v>
      </c>
      <c r="K2127" s="143">
        <v>45658</v>
      </c>
      <c r="L2127" s="133" t="s">
        <v>1241</v>
      </c>
      <c r="M2127" s="141">
        <v>106</v>
      </c>
      <c r="N2127" s="142"/>
      <c r="O2127" s="141"/>
      <c r="P2127" s="140"/>
    </row>
    <row r="2128" spans="1:16" hidden="1" x14ac:dyDescent="0.35">
      <c r="A2128" s="146"/>
      <c r="B2128" s="143"/>
      <c r="C2128" s="133"/>
      <c r="D2128" s="133"/>
      <c r="E2128" s="148"/>
      <c r="F2128" s="145"/>
      <c r="G2128" s="133"/>
      <c r="H2128" s="144"/>
      <c r="I2128" s="133"/>
      <c r="J2128" s="133"/>
      <c r="K2128" s="133"/>
      <c r="L2128" s="133"/>
      <c r="M2128" s="133"/>
      <c r="N2128" s="142"/>
      <c r="O2128" s="141"/>
      <c r="P2128" s="140"/>
    </row>
    <row r="2129" spans="1:16" hidden="1" x14ac:dyDescent="0.35">
      <c r="A2129" s="146">
        <v>201</v>
      </c>
      <c r="B2129" s="143">
        <v>45597</v>
      </c>
      <c r="C2129" s="133" t="s">
        <v>1572</v>
      </c>
      <c r="D2129" s="133" t="s">
        <v>1161</v>
      </c>
      <c r="E2129" s="145" t="s">
        <v>1067</v>
      </c>
      <c r="F2129" s="145">
        <v>2413</v>
      </c>
      <c r="G2129" s="133" t="s">
        <v>1034</v>
      </c>
      <c r="H2129" s="144" t="s">
        <v>1341</v>
      </c>
      <c r="I2129" s="133" t="s">
        <v>1092</v>
      </c>
      <c r="J2129" s="133" t="s">
        <v>1566</v>
      </c>
      <c r="K2129" s="143">
        <v>45627</v>
      </c>
      <c r="L2129" s="133" t="s">
        <v>1092</v>
      </c>
      <c r="M2129" s="133">
        <v>2413</v>
      </c>
      <c r="N2129" s="147">
        <f>+F2129+F2130-M2129-M2130-M2131</f>
        <v>0</v>
      </c>
      <c r="O2129" s="141"/>
      <c r="P2129" s="140"/>
    </row>
    <row r="2130" spans="1:16" hidden="1" x14ac:dyDescent="0.35">
      <c r="A2130" s="146"/>
      <c r="B2130" s="143"/>
      <c r="C2130" s="133"/>
      <c r="D2130" s="133"/>
      <c r="E2130" s="145" t="s">
        <v>1075</v>
      </c>
      <c r="F2130" s="145">
        <v>1204</v>
      </c>
      <c r="G2130" s="133" t="s">
        <v>1034</v>
      </c>
      <c r="H2130" s="144" t="s">
        <v>1341</v>
      </c>
      <c r="I2130" s="133" t="s">
        <v>1092</v>
      </c>
      <c r="J2130" s="133" t="s">
        <v>1542</v>
      </c>
      <c r="K2130" s="143">
        <v>45658</v>
      </c>
      <c r="L2130" s="133" t="s">
        <v>1092</v>
      </c>
      <c r="M2130" s="133">
        <v>1143.8</v>
      </c>
      <c r="N2130" s="142"/>
      <c r="O2130" s="141"/>
      <c r="P2130" s="140"/>
    </row>
    <row r="2131" spans="1:16" hidden="1" x14ac:dyDescent="0.35">
      <c r="A2131" s="146"/>
      <c r="B2131" s="143"/>
      <c r="C2131" s="133"/>
      <c r="D2131" s="133"/>
      <c r="E2131" s="148"/>
      <c r="F2131" s="145"/>
      <c r="G2131" s="133" t="s">
        <v>1034</v>
      </c>
      <c r="H2131" s="144" t="s">
        <v>1341</v>
      </c>
      <c r="I2131" s="133" t="s">
        <v>1092</v>
      </c>
      <c r="J2131" s="133" t="s">
        <v>1515</v>
      </c>
      <c r="K2131" s="143">
        <v>45658</v>
      </c>
      <c r="L2131" s="133" t="s">
        <v>1241</v>
      </c>
      <c r="M2131" s="133">
        <v>60.2</v>
      </c>
      <c r="N2131" s="142"/>
      <c r="O2131" s="141"/>
      <c r="P2131" s="140"/>
    </row>
    <row r="2132" spans="1:16" hidden="1" x14ac:dyDescent="0.35">
      <c r="A2132" s="146"/>
      <c r="B2132" s="143"/>
      <c r="C2132" s="133"/>
      <c r="D2132" s="133"/>
      <c r="E2132" s="148"/>
      <c r="F2132" s="145"/>
      <c r="G2132" s="133"/>
      <c r="H2132" s="144"/>
      <c r="I2132" s="133"/>
      <c r="J2132" s="133"/>
      <c r="K2132" s="143"/>
      <c r="L2132" s="133"/>
      <c r="M2132" s="133"/>
      <c r="N2132" s="142"/>
      <c r="O2132" s="141"/>
      <c r="P2132" s="140"/>
    </row>
    <row r="2133" spans="1:16" hidden="1" x14ac:dyDescent="0.35">
      <c r="A2133" s="146">
        <v>202</v>
      </c>
      <c r="B2133" s="143">
        <v>45597</v>
      </c>
      <c r="C2133" s="133" t="s">
        <v>1571</v>
      </c>
      <c r="D2133" s="133" t="s">
        <v>1158</v>
      </c>
      <c r="E2133" s="145" t="s">
        <v>1067</v>
      </c>
      <c r="F2133" s="145">
        <v>11875.2</v>
      </c>
      <c r="G2133" s="133" t="s">
        <v>1034</v>
      </c>
      <c r="H2133" s="144" t="s">
        <v>1341</v>
      </c>
      <c r="I2133" s="133" t="s">
        <v>1092</v>
      </c>
      <c r="J2133" s="133" t="s">
        <v>1566</v>
      </c>
      <c r="K2133" s="143">
        <v>45627</v>
      </c>
      <c r="L2133" s="133" t="s">
        <v>1092</v>
      </c>
      <c r="M2133" s="133">
        <v>11875.2</v>
      </c>
      <c r="N2133" s="147">
        <f>+F2133+F2134+F2135+F2136-M2133-M2134-M2135-M2136</f>
        <v>0</v>
      </c>
      <c r="O2133" s="141"/>
      <c r="P2133" s="140"/>
    </row>
    <row r="2134" spans="1:16" hidden="1" x14ac:dyDescent="0.35">
      <c r="A2134" s="146"/>
      <c r="B2134" s="143"/>
      <c r="C2134" s="133"/>
      <c r="D2134" s="133"/>
      <c r="E2134" s="145" t="s">
        <v>1075</v>
      </c>
      <c r="F2134" s="145">
        <v>1089</v>
      </c>
      <c r="G2134" s="133" t="s">
        <v>1034</v>
      </c>
      <c r="H2134" s="144" t="s">
        <v>1341</v>
      </c>
      <c r="I2134" s="133" t="s">
        <v>1092</v>
      </c>
      <c r="J2134" s="133" t="s">
        <v>1542</v>
      </c>
      <c r="K2134" s="143">
        <v>45658</v>
      </c>
      <c r="L2134" s="133" t="s">
        <v>1092</v>
      </c>
      <c r="M2134" s="133">
        <v>809</v>
      </c>
      <c r="N2134" s="142"/>
      <c r="O2134" s="141"/>
      <c r="P2134" s="140"/>
    </row>
    <row r="2135" spans="1:16" hidden="1" x14ac:dyDescent="0.35">
      <c r="A2135" s="146"/>
      <c r="B2135" s="143"/>
      <c r="C2135" s="133"/>
      <c r="D2135" s="133"/>
      <c r="E2135" s="145" t="s">
        <v>1342</v>
      </c>
      <c r="F2135" s="145">
        <v>4183</v>
      </c>
      <c r="G2135" s="133" t="s">
        <v>1034</v>
      </c>
      <c r="H2135" s="144" t="s">
        <v>1341</v>
      </c>
      <c r="I2135" s="133" t="s">
        <v>1092</v>
      </c>
      <c r="J2135" s="133" t="s">
        <v>1515</v>
      </c>
      <c r="K2135" s="143">
        <v>45658</v>
      </c>
      <c r="L2135" s="133" t="s">
        <v>1241</v>
      </c>
      <c r="M2135" s="133">
        <v>280</v>
      </c>
      <c r="N2135" s="142"/>
      <c r="O2135" s="141"/>
      <c r="P2135" s="140"/>
    </row>
    <row r="2136" spans="1:16" hidden="1" x14ac:dyDescent="0.35">
      <c r="A2136" s="146"/>
      <c r="B2136" s="143"/>
      <c r="C2136" s="133"/>
      <c r="D2136" s="133"/>
      <c r="E2136" s="145" t="s">
        <v>1071</v>
      </c>
      <c r="F2136" s="145">
        <v>396.8</v>
      </c>
      <c r="G2136" s="133" t="s">
        <v>1034</v>
      </c>
      <c r="H2136" s="144" t="s">
        <v>1341</v>
      </c>
      <c r="I2136" s="133" t="s">
        <v>1092</v>
      </c>
      <c r="J2136" s="133" t="s">
        <v>1488</v>
      </c>
      <c r="K2136" s="143">
        <v>45689</v>
      </c>
      <c r="L2136" s="133" t="s">
        <v>1092</v>
      </c>
      <c r="M2136" s="133">
        <v>4579.8</v>
      </c>
      <c r="N2136" s="142"/>
      <c r="O2136" s="141"/>
      <c r="P2136" s="140"/>
    </row>
    <row r="2137" spans="1:16" hidden="1" x14ac:dyDescent="0.35">
      <c r="A2137" s="146"/>
      <c r="B2137" s="143"/>
      <c r="C2137" s="133"/>
      <c r="D2137" s="133"/>
      <c r="E2137" s="148"/>
      <c r="F2137" s="145"/>
      <c r="G2137" s="133"/>
      <c r="H2137" s="144"/>
      <c r="I2137" s="133"/>
      <c r="J2137" s="133"/>
      <c r="K2137" s="133"/>
      <c r="L2137" s="133"/>
      <c r="M2137" s="133"/>
      <c r="N2137" s="142"/>
      <c r="O2137" s="141"/>
      <c r="P2137" s="140"/>
    </row>
    <row r="2138" spans="1:16" hidden="1" x14ac:dyDescent="0.35">
      <c r="A2138" s="146">
        <v>203</v>
      </c>
      <c r="B2138" s="143">
        <v>45597</v>
      </c>
      <c r="C2138" s="133" t="s">
        <v>1570</v>
      </c>
      <c r="D2138" s="133" t="s">
        <v>1569</v>
      </c>
      <c r="E2138" s="145" t="s">
        <v>1067</v>
      </c>
      <c r="F2138" s="145">
        <v>5458</v>
      </c>
      <c r="G2138" s="133" t="s">
        <v>1034</v>
      </c>
      <c r="H2138" s="144" t="s">
        <v>1341</v>
      </c>
      <c r="I2138" s="133" t="s">
        <v>1092</v>
      </c>
      <c r="J2138" s="133" t="s">
        <v>1566</v>
      </c>
      <c r="K2138" s="143">
        <v>45627</v>
      </c>
      <c r="L2138" s="133" t="s">
        <v>1092</v>
      </c>
      <c r="M2138" s="133">
        <v>5458</v>
      </c>
      <c r="N2138" s="147">
        <f>+F2138+F2139+F2140+F2141-M2138-M2139-M2140-M2141</f>
        <v>0</v>
      </c>
      <c r="O2138" s="141"/>
      <c r="P2138" s="140"/>
    </row>
    <row r="2139" spans="1:16" hidden="1" x14ac:dyDescent="0.35">
      <c r="A2139" s="146"/>
      <c r="B2139" s="143"/>
      <c r="C2139" s="133"/>
      <c r="D2139" s="133"/>
      <c r="E2139" s="145" t="s">
        <v>1075</v>
      </c>
      <c r="F2139" s="145">
        <v>9223.7999999999993</v>
      </c>
      <c r="G2139" s="133" t="s">
        <v>1034</v>
      </c>
      <c r="H2139" s="144" t="s">
        <v>1341</v>
      </c>
      <c r="I2139" s="133" t="s">
        <v>1092</v>
      </c>
      <c r="J2139" s="133" t="s">
        <v>1542</v>
      </c>
      <c r="K2139" s="143">
        <v>45658</v>
      </c>
      <c r="L2139" s="133" t="s">
        <v>1092</v>
      </c>
      <c r="M2139" s="133">
        <v>9043.2999999999993</v>
      </c>
      <c r="N2139" s="142"/>
      <c r="O2139" s="141"/>
      <c r="P2139" s="140"/>
    </row>
    <row r="2140" spans="1:16" hidden="1" x14ac:dyDescent="0.35">
      <c r="A2140" s="146"/>
      <c r="B2140" s="143"/>
      <c r="C2140" s="133"/>
      <c r="D2140" s="133"/>
      <c r="E2140" s="145" t="s">
        <v>1342</v>
      </c>
      <c r="F2140" s="145">
        <v>2489</v>
      </c>
      <c r="G2140" s="133" t="s">
        <v>1034</v>
      </c>
      <c r="H2140" s="144" t="s">
        <v>1341</v>
      </c>
      <c r="I2140" s="133" t="s">
        <v>1092</v>
      </c>
      <c r="J2140" s="133" t="s">
        <v>1515</v>
      </c>
      <c r="K2140" s="143">
        <v>45658</v>
      </c>
      <c r="L2140" s="133" t="s">
        <v>1241</v>
      </c>
      <c r="M2140" s="133">
        <v>600</v>
      </c>
      <c r="N2140" s="142"/>
      <c r="O2140" s="141"/>
      <c r="P2140" s="140"/>
    </row>
    <row r="2141" spans="1:16" hidden="1" x14ac:dyDescent="0.35">
      <c r="A2141" s="146"/>
      <c r="B2141" s="143"/>
      <c r="C2141" s="133"/>
      <c r="D2141" s="133"/>
      <c r="E2141" s="145" t="s">
        <v>1064</v>
      </c>
      <c r="F2141" s="145">
        <v>419.5</v>
      </c>
      <c r="G2141" s="133" t="s">
        <v>1034</v>
      </c>
      <c r="H2141" s="144" t="s">
        <v>1341</v>
      </c>
      <c r="I2141" s="133" t="s">
        <v>1092</v>
      </c>
      <c r="J2141" s="133" t="s">
        <v>1488</v>
      </c>
      <c r="K2141" s="143">
        <v>45689</v>
      </c>
      <c r="L2141" s="133" t="s">
        <v>1092</v>
      </c>
      <c r="M2141" s="133">
        <v>2489</v>
      </c>
      <c r="N2141" s="142"/>
      <c r="O2141" s="141"/>
      <c r="P2141" s="140"/>
    </row>
    <row r="2142" spans="1:16" hidden="1" x14ac:dyDescent="0.35">
      <c r="A2142" s="146"/>
      <c r="B2142" s="143"/>
      <c r="C2142" s="133"/>
      <c r="D2142" s="133"/>
      <c r="E2142" s="148"/>
      <c r="F2142" s="145"/>
      <c r="G2142" s="133"/>
      <c r="H2142" s="144"/>
      <c r="I2142" s="133"/>
      <c r="J2142" s="133"/>
      <c r="K2142" s="133"/>
      <c r="L2142" s="133"/>
      <c r="M2142" s="133"/>
      <c r="N2142" s="142"/>
      <c r="O2142" s="141"/>
      <c r="P2142" s="140"/>
    </row>
    <row r="2143" spans="1:16" hidden="1" x14ac:dyDescent="0.35">
      <c r="A2143" s="146">
        <v>204</v>
      </c>
      <c r="B2143" s="143">
        <v>45597</v>
      </c>
      <c r="C2143" s="133" t="s">
        <v>1568</v>
      </c>
      <c r="D2143" s="133" t="s">
        <v>1567</v>
      </c>
      <c r="E2143" s="145" t="s">
        <v>1067</v>
      </c>
      <c r="F2143" s="145">
        <v>1158</v>
      </c>
      <c r="G2143" s="133" t="s">
        <v>1034</v>
      </c>
      <c r="H2143" s="144" t="s">
        <v>1341</v>
      </c>
      <c r="I2143" s="133" t="s">
        <v>1092</v>
      </c>
      <c r="J2143" s="133" t="s">
        <v>1566</v>
      </c>
      <c r="K2143" s="143">
        <v>45627</v>
      </c>
      <c r="L2143" s="133" t="s">
        <v>1092</v>
      </c>
      <c r="M2143" s="133">
        <v>1158</v>
      </c>
      <c r="N2143" s="147">
        <f>+F2143+F2144+F2145+F2146-M2143-M2144-M2145-M2146</f>
        <v>0</v>
      </c>
      <c r="O2143" s="141"/>
      <c r="P2143" s="140"/>
    </row>
    <row r="2144" spans="1:16" hidden="1" x14ac:dyDescent="0.35">
      <c r="A2144" s="146"/>
      <c r="B2144" s="143"/>
      <c r="C2144" s="133"/>
      <c r="D2144" s="133"/>
      <c r="E2144" s="145" t="s">
        <v>1075</v>
      </c>
      <c r="F2144" s="145">
        <v>1124</v>
      </c>
      <c r="G2144" s="133" t="s">
        <v>1034</v>
      </c>
      <c r="H2144" s="144" t="s">
        <v>1341</v>
      </c>
      <c r="I2144" s="133" t="s">
        <v>1092</v>
      </c>
      <c r="J2144" s="133" t="s">
        <v>1565</v>
      </c>
      <c r="K2144" s="143">
        <v>45658</v>
      </c>
      <c r="L2144" s="133" t="s">
        <v>1092</v>
      </c>
      <c r="M2144" s="133">
        <v>1533.5</v>
      </c>
      <c r="N2144" s="142"/>
      <c r="O2144" s="141"/>
      <c r="P2144" s="140"/>
    </row>
    <row r="2145" spans="1:18" hidden="1" x14ac:dyDescent="0.35">
      <c r="A2145" s="146"/>
      <c r="B2145" s="143"/>
      <c r="C2145" s="133"/>
      <c r="D2145" s="133"/>
      <c r="E2145" s="145" t="s">
        <v>1118</v>
      </c>
      <c r="F2145" s="145">
        <v>3068.4</v>
      </c>
      <c r="G2145" s="133" t="s">
        <v>1034</v>
      </c>
      <c r="H2145" s="144" t="s">
        <v>1341</v>
      </c>
      <c r="I2145" s="133" t="s">
        <v>1092</v>
      </c>
      <c r="J2145" s="133" t="s">
        <v>1542</v>
      </c>
      <c r="K2145" s="143">
        <v>45658</v>
      </c>
      <c r="L2145" s="133" t="s">
        <v>1092</v>
      </c>
      <c r="M2145" s="133">
        <v>3982.3999999999996</v>
      </c>
      <c r="N2145" s="142"/>
      <c r="O2145" s="141"/>
      <c r="P2145" s="140"/>
    </row>
    <row r="2146" spans="1:18" hidden="1" x14ac:dyDescent="0.35">
      <c r="A2146" s="146"/>
      <c r="B2146" s="143"/>
      <c r="C2146" s="133"/>
      <c r="D2146" s="133"/>
      <c r="E2146" s="145" t="s">
        <v>1118</v>
      </c>
      <c r="F2146" s="145">
        <v>1533.5</v>
      </c>
      <c r="G2146" s="133" t="s">
        <v>1034</v>
      </c>
      <c r="H2146" s="144" t="s">
        <v>1341</v>
      </c>
      <c r="I2146" s="133" t="s">
        <v>1092</v>
      </c>
      <c r="J2146" s="133" t="s">
        <v>1515</v>
      </c>
      <c r="K2146" s="143">
        <v>45658</v>
      </c>
      <c r="L2146" s="133" t="s">
        <v>1241</v>
      </c>
      <c r="M2146" s="133">
        <v>210</v>
      </c>
      <c r="N2146" s="142"/>
      <c r="O2146" s="141"/>
      <c r="P2146" s="140"/>
    </row>
    <row r="2147" spans="1:18" hidden="1" x14ac:dyDescent="0.35">
      <c r="A2147" s="146"/>
      <c r="B2147" s="143"/>
      <c r="C2147" s="133"/>
      <c r="D2147" s="133"/>
      <c r="E2147" s="148"/>
      <c r="F2147" s="145"/>
      <c r="G2147" s="133"/>
      <c r="H2147" s="144"/>
      <c r="I2147" s="133"/>
      <c r="J2147" s="133"/>
      <c r="K2147" s="133"/>
      <c r="L2147" s="133"/>
      <c r="M2147" s="133"/>
      <c r="N2147" s="142"/>
      <c r="O2147" s="141"/>
      <c r="P2147" s="140"/>
    </row>
    <row r="2148" spans="1:18" hidden="1" x14ac:dyDescent="0.35">
      <c r="A2148" s="156"/>
      <c r="B2148" s="152"/>
      <c r="C2148" s="151"/>
      <c r="D2148" s="151"/>
      <c r="E2148" s="155"/>
      <c r="F2148" s="154"/>
      <c r="G2148" s="151"/>
      <c r="H2148" s="153"/>
      <c r="I2148" s="151"/>
      <c r="J2148" s="151"/>
      <c r="K2148" s="151"/>
      <c r="L2148" s="151"/>
      <c r="M2148" s="151"/>
      <c r="N2148" s="150"/>
      <c r="O2148" s="141"/>
      <c r="P2148" s="140"/>
    </row>
    <row r="2149" spans="1:18" hidden="1" x14ac:dyDescent="0.35">
      <c r="A2149" s="146"/>
      <c r="B2149" s="143"/>
      <c r="C2149" s="133"/>
      <c r="D2149" s="133"/>
      <c r="E2149" s="148"/>
      <c r="F2149" s="145"/>
      <c r="G2149" s="133"/>
      <c r="H2149" s="144"/>
      <c r="I2149" s="133"/>
      <c r="J2149" s="133"/>
      <c r="K2149" s="133"/>
      <c r="L2149" s="133"/>
      <c r="M2149" s="133"/>
      <c r="N2149" s="142"/>
      <c r="O2149" s="141"/>
      <c r="P2149" s="140"/>
    </row>
    <row r="2150" spans="1:18" hidden="1" x14ac:dyDescent="0.35">
      <c r="A2150" s="146">
        <v>205</v>
      </c>
      <c r="B2150" s="143">
        <v>45627</v>
      </c>
      <c r="C2150" s="133" t="s">
        <v>1564</v>
      </c>
      <c r="D2150" s="133" t="s">
        <v>1563</v>
      </c>
      <c r="E2150" s="145" t="s">
        <v>1067</v>
      </c>
      <c r="F2150" s="145">
        <v>2635</v>
      </c>
      <c r="G2150" s="133" t="s">
        <v>1034</v>
      </c>
      <c r="H2150" s="144" t="s">
        <v>1341</v>
      </c>
      <c r="I2150" s="133" t="s">
        <v>1092</v>
      </c>
      <c r="J2150" s="133" t="s">
        <v>1542</v>
      </c>
      <c r="K2150" s="143">
        <v>45658</v>
      </c>
      <c r="L2150" s="133" t="s">
        <v>1092</v>
      </c>
      <c r="M2150" s="133">
        <v>2635</v>
      </c>
      <c r="N2150" s="147">
        <f>+F2150+F2151+F2152-M2150-M2151-M2152-M2153</f>
        <v>0</v>
      </c>
      <c r="O2150" s="141"/>
      <c r="P2150" s="140"/>
    </row>
    <row r="2151" spans="1:18" hidden="1" x14ac:dyDescent="0.35">
      <c r="A2151" s="146"/>
      <c r="B2151" s="143"/>
      <c r="C2151" s="133"/>
      <c r="D2151" s="133"/>
      <c r="E2151" s="145" t="s">
        <v>1075</v>
      </c>
      <c r="F2151" s="145">
        <v>2046</v>
      </c>
      <c r="G2151" s="133" t="s">
        <v>1034</v>
      </c>
      <c r="H2151" s="144" t="s">
        <v>1341</v>
      </c>
      <c r="I2151" s="133" t="s">
        <v>1092</v>
      </c>
      <c r="J2151" s="133" t="s">
        <v>1503</v>
      </c>
      <c r="K2151" s="143">
        <v>45658</v>
      </c>
      <c r="L2151" s="133" t="s">
        <v>1092</v>
      </c>
      <c r="M2151" s="133">
        <v>1765</v>
      </c>
      <c r="N2151" s="142"/>
      <c r="O2151" s="141"/>
      <c r="P2151" s="140"/>
    </row>
    <row r="2152" spans="1:18" hidden="1" x14ac:dyDescent="0.35">
      <c r="A2152" s="146"/>
      <c r="B2152" s="143"/>
      <c r="C2152" s="133"/>
      <c r="D2152" s="133"/>
      <c r="E2152" s="145" t="s">
        <v>1342</v>
      </c>
      <c r="F2152" s="145">
        <v>3574</v>
      </c>
      <c r="G2152" s="133" t="s">
        <v>1034</v>
      </c>
      <c r="H2152" s="144" t="s">
        <v>1341</v>
      </c>
      <c r="I2152" s="133" t="s">
        <v>1092</v>
      </c>
      <c r="J2152" s="133" t="s">
        <v>1515</v>
      </c>
      <c r="K2152" s="143">
        <v>45658</v>
      </c>
      <c r="L2152" s="133" t="s">
        <v>1241</v>
      </c>
      <c r="M2152" s="133">
        <v>281</v>
      </c>
      <c r="N2152" s="142"/>
      <c r="O2152" s="141"/>
      <c r="P2152" s="140"/>
    </row>
    <row r="2153" spans="1:18" hidden="1" x14ac:dyDescent="0.35">
      <c r="A2153" s="146"/>
      <c r="B2153" s="143"/>
      <c r="C2153" s="133"/>
      <c r="D2153" s="133"/>
      <c r="E2153" s="145"/>
      <c r="F2153" s="145"/>
      <c r="G2153" s="133" t="s">
        <v>1034</v>
      </c>
      <c r="H2153" s="144" t="s">
        <v>1341</v>
      </c>
      <c r="I2153" s="133" t="s">
        <v>1092</v>
      </c>
      <c r="J2153" s="133" t="s">
        <v>1463</v>
      </c>
      <c r="K2153" s="143">
        <v>45689</v>
      </c>
      <c r="L2153" s="133" t="s">
        <v>1092</v>
      </c>
      <c r="M2153" s="133">
        <v>3574</v>
      </c>
      <c r="N2153" s="142"/>
      <c r="O2153" s="141"/>
      <c r="P2153" s="140"/>
      <c r="Q2153" s="140"/>
      <c r="R2153" s="140"/>
    </row>
    <row r="2154" spans="1:18" hidden="1" x14ac:dyDescent="0.35">
      <c r="A2154" s="146"/>
      <c r="B2154" s="143"/>
      <c r="C2154" s="133"/>
      <c r="D2154" s="133"/>
      <c r="E2154" s="145"/>
      <c r="F2154" s="145"/>
      <c r="G2154" s="133"/>
      <c r="H2154" s="144"/>
      <c r="I2154" s="133"/>
      <c r="J2154" s="133"/>
      <c r="K2154" s="133"/>
      <c r="L2154" s="133"/>
      <c r="M2154" s="133"/>
      <c r="N2154" s="142"/>
      <c r="P2154" s="140"/>
      <c r="Q2154" s="140"/>
    </row>
    <row r="2155" spans="1:18" hidden="1" x14ac:dyDescent="0.35">
      <c r="A2155" s="146">
        <v>206</v>
      </c>
      <c r="B2155" s="143">
        <v>45627</v>
      </c>
      <c r="C2155" s="133" t="s">
        <v>1562</v>
      </c>
      <c r="D2155" s="133" t="s">
        <v>1561</v>
      </c>
      <c r="E2155" s="145" t="s">
        <v>1067</v>
      </c>
      <c r="F2155" s="145">
        <v>1601</v>
      </c>
      <c r="G2155" s="133" t="s">
        <v>1034</v>
      </c>
      <c r="H2155" s="144" t="s">
        <v>1341</v>
      </c>
      <c r="I2155" s="133" t="s">
        <v>1092</v>
      </c>
      <c r="J2155" s="133" t="s">
        <v>1542</v>
      </c>
      <c r="K2155" s="143">
        <v>45658</v>
      </c>
      <c r="L2155" s="133" t="s">
        <v>1092</v>
      </c>
      <c r="M2155" s="133">
        <v>1520</v>
      </c>
      <c r="N2155" s="147">
        <f>+F2155-M2155-M2156</f>
        <v>0</v>
      </c>
      <c r="O2155" s="141"/>
      <c r="P2155" s="140"/>
    </row>
    <row r="2156" spans="1:18" hidden="1" x14ac:dyDescent="0.35">
      <c r="A2156" s="146"/>
      <c r="B2156" s="143"/>
      <c r="C2156" s="133"/>
      <c r="D2156" s="133"/>
      <c r="E2156" s="145" t="s">
        <v>1075</v>
      </c>
      <c r="F2156" s="145"/>
      <c r="G2156" s="133" t="s">
        <v>1034</v>
      </c>
      <c r="H2156" s="144" t="s">
        <v>1341</v>
      </c>
      <c r="I2156" s="133" t="s">
        <v>1092</v>
      </c>
      <c r="J2156" s="133" t="s">
        <v>1515</v>
      </c>
      <c r="K2156" s="143">
        <v>45658</v>
      </c>
      <c r="L2156" s="133" t="s">
        <v>1241</v>
      </c>
      <c r="M2156" s="133">
        <v>81</v>
      </c>
      <c r="N2156" s="142"/>
      <c r="P2156" s="140"/>
    </row>
    <row r="2157" spans="1:18" hidden="1" x14ac:dyDescent="0.35">
      <c r="A2157" s="146"/>
      <c r="B2157" s="143"/>
      <c r="C2157" s="133"/>
      <c r="D2157" s="133"/>
      <c r="E2157" s="145"/>
      <c r="F2157" s="145"/>
      <c r="G2157" s="133"/>
      <c r="H2157" s="144"/>
      <c r="I2157" s="133"/>
      <c r="J2157" s="133"/>
      <c r="K2157" s="143"/>
      <c r="L2157" s="133"/>
      <c r="M2157" s="133"/>
      <c r="N2157" s="142"/>
      <c r="P2157" s="140"/>
    </row>
    <row r="2158" spans="1:18" hidden="1" x14ac:dyDescent="0.35">
      <c r="A2158" s="146">
        <v>207</v>
      </c>
      <c r="B2158" s="143">
        <v>45627</v>
      </c>
      <c r="C2158" s="133" t="s">
        <v>1560</v>
      </c>
      <c r="D2158" s="133" t="s">
        <v>1559</v>
      </c>
      <c r="E2158" s="145" t="s">
        <v>1067</v>
      </c>
      <c r="F2158" s="145">
        <v>3122</v>
      </c>
      <c r="G2158" s="133" t="s">
        <v>1034</v>
      </c>
      <c r="H2158" s="144" t="s">
        <v>1341</v>
      </c>
      <c r="I2158" s="133" t="s">
        <v>1092</v>
      </c>
      <c r="J2158" s="133" t="s">
        <v>1542</v>
      </c>
      <c r="K2158" s="143">
        <v>45658</v>
      </c>
      <c r="L2158" s="133" t="s">
        <v>1092</v>
      </c>
      <c r="M2158" s="133">
        <v>7232.51</v>
      </c>
      <c r="N2158" s="147">
        <f>+F2158+F2159+F2160-M2158-M2159</f>
        <v>0</v>
      </c>
      <c r="O2158" s="141"/>
      <c r="P2158" s="140"/>
    </row>
    <row r="2159" spans="1:18" hidden="1" x14ac:dyDescent="0.35">
      <c r="A2159" s="146"/>
      <c r="B2159" s="143"/>
      <c r="C2159" s="133"/>
      <c r="D2159" s="133"/>
      <c r="E2159" s="145" t="s">
        <v>1075</v>
      </c>
      <c r="F2159" s="145">
        <v>1719</v>
      </c>
      <c r="G2159" s="133" t="s">
        <v>1034</v>
      </c>
      <c r="H2159" s="144" t="s">
        <v>1341</v>
      </c>
      <c r="I2159" s="133" t="s">
        <v>1092</v>
      </c>
      <c r="J2159" s="133" t="s">
        <v>1515</v>
      </c>
      <c r="K2159" s="143">
        <v>45658</v>
      </c>
      <c r="L2159" s="133" t="s">
        <v>1241</v>
      </c>
      <c r="M2159" s="133">
        <v>300</v>
      </c>
      <c r="N2159" s="142"/>
      <c r="O2159" s="141"/>
      <c r="P2159" s="140"/>
    </row>
    <row r="2160" spans="1:18" hidden="1" x14ac:dyDescent="0.35">
      <c r="A2160" s="146"/>
      <c r="B2160" s="143"/>
      <c r="C2160" s="133"/>
      <c r="D2160" s="133"/>
      <c r="E2160" s="145" t="s">
        <v>1078</v>
      </c>
      <c r="F2160" s="145">
        <v>2691.51</v>
      </c>
      <c r="G2160" s="133"/>
      <c r="H2160" s="144"/>
      <c r="I2160" s="133"/>
      <c r="J2160" s="133"/>
      <c r="K2160" s="133"/>
      <c r="L2160" s="133"/>
      <c r="M2160" s="133"/>
      <c r="N2160" s="142"/>
      <c r="O2160" s="141"/>
      <c r="P2160" s="140"/>
    </row>
    <row r="2161" spans="1:18" hidden="1" x14ac:dyDescent="0.35">
      <c r="A2161" s="146"/>
      <c r="B2161" s="143"/>
      <c r="C2161" s="133"/>
      <c r="D2161" s="133"/>
      <c r="E2161" s="145"/>
      <c r="F2161" s="145"/>
      <c r="G2161" s="133"/>
      <c r="H2161" s="144"/>
      <c r="I2161" s="133"/>
      <c r="J2161" s="133"/>
      <c r="K2161" s="133"/>
      <c r="L2161" s="133"/>
      <c r="M2161" s="133"/>
      <c r="N2161" s="147"/>
      <c r="P2161" s="140"/>
    </row>
    <row r="2162" spans="1:18" hidden="1" x14ac:dyDescent="0.35">
      <c r="A2162" s="146">
        <v>208</v>
      </c>
      <c r="B2162" s="143">
        <v>45627</v>
      </c>
      <c r="C2162" s="133" t="s">
        <v>1558</v>
      </c>
      <c r="D2162" s="133" t="s">
        <v>1557</v>
      </c>
      <c r="E2162" s="145" t="s">
        <v>1064</v>
      </c>
      <c r="F2162" s="145">
        <v>1494.5</v>
      </c>
      <c r="G2162" s="133" t="s">
        <v>1034</v>
      </c>
      <c r="H2162" s="144" t="s">
        <v>1341</v>
      </c>
      <c r="I2162" s="133" t="s">
        <v>1092</v>
      </c>
      <c r="J2162" s="133" t="s">
        <v>1503</v>
      </c>
      <c r="K2162" s="143">
        <v>45658</v>
      </c>
      <c r="L2162" s="133" t="s">
        <v>1092</v>
      </c>
      <c r="M2162" s="133">
        <f>1494.5+3813.2</f>
        <v>5307.7</v>
      </c>
      <c r="N2162" s="147">
        <f>+F2162+F2163+F2164-M2162-M2163-M2164</f>
        <v>0</v>
      </c>
      <c r="O2162" s="141"/>
      <c r="P2162" s="140"/>
    </row>
    <row r="2163" spans="1:18" hidden="1" x14ac:dyDescent="0.35">
      <c r="A2163" s="146"/>
      <c r="B2163" s="143"/>
      <c r="C2163" s="133"/>
      <c r="D2163" s="133"/>
      <c r="E2163" s="145" t="s">
        <v>1075</v>
      </c>
      <c r="F2163" s="145">
        <v>4251.2</v>
      </c>
      <c r="G2163" s="133" t="s">
        <v>1034</v>
      </c>
      <c r="H2163" s="144" t="s">
        <v>1341</v>
      </c>
      <c r="I2163" s="133" t="s">
        <v>1092</v>
      </c>
      <c r="J2163" s="133" t="s">
        <v>1515</v>
      </c>
      <c r="K2163" s="143">
        <v>45658</v>
      </c>
      <c r="L2163" s="133" t="s">
        <v>1241</v>
      </c>
      <c r="M2163" s="133">
        <v>438</v>
      </c>
      <c r="N2163" s="147"/>
      <c r="O2163" s="141"/>
      <c r="P2163" s="140"/>
    </row>
    <row r="2164" spans="1:18" hidden="1" x14ac:dyDescent="0.35">
      <c r="A2164" s="146"/>
      <c r="B2164" s="143"/>
      <c r="C2164" s="133"/>
      <c r="D2164" s="133"/>
      <c r="E2164" s="145" t="s">
        <v>1342</v>
      </c>
      <c r="F2164" s="145">
        <v>3014</v>
      </c>
      <c r="G2164" s="133" t="s">
        <v>1034</v>
      </c>
      <c r="H2164" s="144" t="s">
        <v>1341</v>
      </c>
      <c r="I2164" s="133" t="s">
        <v>1092</v>
      </c>
      <c r="J2164" s="133" t="s">
        <v>1463</v>
      </c>
      <c r="K2164" s="143">
        <v>45689</v>
      </c>
      <c r="L2164" s="133" t="s">
        <v>1092</v>
      </c>
      <c r="M2164" s="133">
        <v>3014</v>
      </c>
      <c r="N2164" s="147"/>
      <c r="O2164" s="141"/>
      <c r="P2164" s="140"/>
      <c r="R2164" s="140"/>
    </row>
    <row r="2165" spans="1:18" hidden="1" x14ac:dyDescent="0.35">
      <c r="A2165" s="146"/>
      <c r="B2165" s="143"/>
      <c r="C2165" s="133"/>
      <c r="D2165" s="133"/>
      <c r="E2165" s="145"/>
      <c r="F2165" s="145"/>
      <c r="G2165" s="133"/>
      <c r="H2165" s="144"/>
      <c r="I2165" s="133"/>
      <c r="J2165" s="133"/>
      <c r="K2165" s="133"/>
      <c r="L2165" s="133"/>
      <c r="M2165" s="133"/>
      <c r="N2165" s="147"/>
      <c r="P2165" s="140"/>
    </row>
    <row r="2166" spans="1:18" hidden="1" x14ac:dyDescent="0.35">
      <c r="A2166" s="146">
        <v>209</v>
      </c>
      <c r="B2166" s="143">
        <v>45627</v>
      </c>
      <c r="C2166" s="133" t="s">
        <v>1556</v>
      </c>
      <c r="D2166" s="133" t="s">
        <v>1555</v>
      </c>
      <c r="E2166" s="145" t="s">
        <v>1184</v>
      </c>
      <c r="F2166" s="145">
        <v>30000</v>
      </c>
      <c r="G2166" s="133" t="s">
        <v>1034</v>
      </c>
      <c r="H2166" s="144" t="s">
        <v>1341</v>
      </c>
      <c r="I2166" s="133" t="s">
        <v>1092</v>
      </c>
      <c r="J2166" s="133" t="s">
        <v>1554</v>
      </c>
      <c r="K2166" s="143">
        <v>45627</v>
      </c>
      <c r="L2166" s="133" t="s">
        <v>1092</v>
      </c>
      <c r="M2166" s="133">
        <v>15000</v>
      </c>
      <c r="N2166" s="147">
        <f>+F2166+F2167+F2168+F2169-M2166-M2167-M2168-M2169-M2170-M2171-M2172</f>
        <v>-1.3642420526593924E-12</v>
      </c>
      <c r="O2166" s="141"/>
      <c r="P2166" s="140"/>
    </row>
    <row r="2167" spans="1:18" hidden="1" x14ac:dyDescent="0.35">
      <c r="A2167" s="146"/>
      <c r="B2167" s="143"/>
      <c r="C2167" s="133"/>
      <c r="D2167" s="133"/>
      <c r="E2167" s="145" t="s">
        <v>1067</v>
      </c>
      <c r="F2167" s="145">
        <v>7667.68</v>
      </c>
      <c r="G2167" s="133" t="s">
        <v>1034</v>
      </c>
      <c r="H2167" s="144" t="s">
        <v>1341</v>
      </c>
      <c r="I2167" s="133" t="s">
        <v>1092</v>
      </c>
      <c r="J2167" s="133" t="s">
        <v>1553</v>
      </c>
      <c r="K2167" s="143">
        <v>45627</v>
      </c>
      <c r="L2167" s="133" t="s">
        <v>1092</v>
      </c>
      <c r="M2167" s="133">
        <v>10000</v>
      </c>
      <c r="N2167" s="147"/>
      <c r="O2167" s="141"/>
      <c r="P2167" s="140"/>
    </row>
    <row r="2168" spans="1:18" hidden="1" x14ac:dyDescent="0.35">
      <c r="A2168" s="146"/>
      <c r="B2168" s="143"/>
      <c r="C2168" s="133"/>
      <c r="D2168" s="133"/>
      <c r="E2168" s="145" t="s">
        <v>1075</v>
      </c>
      <c r="F2168" s="145">
        <v>601</v>
      </c>
      <c r="G2168" s="133" t="s">
        <v>1034</v>
      </c>
      <c r="H2168" s="144" t="s">
        <v>1341</v>
      </c>
      <c r="I2168" s="133" t="s">
        <v>1092</v>
      </c>
      <c r="J2168" s="133" t="s">
        <v>1552</v>
      </c>
      <c r="K2168" s="143">
        <v>45627</v>
      </c>
      <c r="L2168" s="133" t="s">
        <v>1092</v>
      </c>
      <c r="M2168" s="133">
        <v>4000</v>
      </c>
      <c r="N2168" s="147"/>
      <c r="O2168" s="141"/>
      <c r="P2168" s="140"/>
    </row>
    <row r="2169" spans="1:18" hidden="1" x14ac:dyDescent="0.35">
      <c r="A2169" s="146"/>
      <c r="B2169" s="143"/>
      <c r="C2169" s="133"/>
      <c r="D2169" s="133"/>
      <c r="E2169" s="145" t="s">
        <v>1118</v>
      </c>
      <c r="F2169" s="145">
        <v>1436.6</v>
      </c>
      <c r="G2169" s="133" t="s">
        <v>1034</v>
      </c>
      <c r="H2169" s="144" t="s">
        <v>1341</v>
      </c>
      <c r="I2169" s="133" t="s">
        <v>1092</v>
      </c>
      <c r="J2169" s="133" t="s">
        <v>1542</v>
      </c>
      <c r="K2169" s="143">
        <v>45658</v>
      </c>
      <c r="L2169" s="133" t="s">
        <v>1092</v>
      </c>
      <c r="M2169" s="133">
        <f>225+7117.68</f>
        <v>7342.68</v>
      </c>
      <c r="N2169" s="147"/>
      <c r="P2169" s="140"/>
    </row>
    <row r="2170" spans="1:18" hidden="1" x14ac:dyDescent="0.35">
      <c r="A2170" s="146"/>
      <c r="B2170" s="143"/>
      <c r="C2170" s="133"/>
      <c r="D2170" s="133"/>
      <c r="E2170" s="145"/>
      <c r="F2170" s="145"/>
      <c r="G2170" s="133" t="s">
        <v>1034</v>
      </c>
      <c r="H2170" s="144" t="s">
        <v>1341</v>
      </c>
      <c r="I2170" s="133" t="s">
        <v>1092</v>
      </c>
      <c r="J2170" s="133" t="s">
        <v>1503</v>
      </c>
      <c r="K2170" s="143">
        <v>45658</v>
      </c>
      <c r="L2170" s="133" t="s">
        <v>1092</v>
      </c>
      <c r="M2170" s="133">
        <f>200+1436.6+51+550</f>
        <v>2237.6</v>
      </c>
      <c r="N2170" s="147"/>
      <c r="P2170" s="140"/>
    </row>
    <row r="2171" spans="1:18" hidden="1" x14ac:dyDescent="0.35">
      <c r="A2171" s="146"/>
      <c r="B2171" s="143"/>
      <c r="C2171" s="133"/>
      <c r="D2171" s="133"/>
      <c r="E2171" s="145"/>
      <c r="F2171" s="145"/>
      <c r="G2171" s="133" t="s">
        <v>1034</v>
      </c>
      <c r="H2171" s="144" t="s">
        <v>1341</v>
      </c>
      <c r="I2171" s="133" t="s">
        <v>1092</v>
      </c>
      <c r="J2171" s="133" t="s">
        <v>1515</v>
      </c>
      <c r="K2171" s="143">
        <v>45658</v>
      </c>
      <c r="L2171" s="133" t="s">
        <v>1241</v>
      </c>
      <c r="M2171" s="133">
        <v>550</v>
      </c>
      <c r="N2171" s="147"/>
      <c r="P2171" s="140"/>
    </row>
    <row r="2172" spans="1:18" hidden="1" x14ac:dyDescent="0.35">
      <c r="A2172" s="146"/>
      <c r="B2172" s="143"/>
      <c r="C2172" s="133"/>
      <c r="D2172" s="133"/>
      <c r="E2172" s="145"/>
      <c r="F2172" s="145"/>
      <c r="G2172" s="133" t="s">
        <v>1034</v>
      </c>
      <c r="H2172" s="144" t="s">
        <v>1341</v>
      </c>
      <c r="I2172" s="133" t="s">
        <v>1092</v>
      </c>
      <c r="J2172" s="133" t="s">
        <v>1463</v>
      </c>
      <c r="K2172" s="143">
        <v>45689</v>
      </c>
      <c r="L2172" s="133" t="s">
        <v>1092</v>
      </c>
      <c r="M2172" s="133">
        <v>575</v>
      </c>
      <c r="N2172" s="147"/>
      <c r="P2172" s="140"/>
      <c r="R2172" s="140"/>
    </row>
    <row r="2173" spans="1:18" hidden="1" x14ac:dyDescent="0.35">
      <c r="A2173" s="146"/>
      <c r="B2173" s="143"/>
      <c r="C2173" s="133"/>
      <c r="D2173" s="133"/>
      <c r="E2173" s="145"/>
      <c r="F2173" s="145"/>
      <c r="G2173" s="133"/>
      <c r="H2173" s="144"/>
      <c r="I2173" s="133"/>
      <c r="J2173" s="133"/>
      <c r="K2173" s="143"/>
      <c r="L2173" s="133"/>
      <c r="M2173" s="133"/>
      <c r="N2173" s="147"/>
      <c r="P2173" s="140"/>
    </row>
    <row r="2174" spans="1:18" hidden="1" x14ac:dyDescent="0.35">
      <c r="A2174" s="146">
        <v>210</v>
      </c>
      <c r="B2174" s="143">
        <v>45627</v>
      </c>
      <c r="C2174" s="133" t="s">
        <v>1551</v>
      </c>
      <c r="D2174" s="133" t="s">
        <v>1550</v>
      </c>
      <c r="E2174" s="145" t="s">
        <v>1075</v>
      </c>
      <c r="F2174" s="145">
        <v>3903</v>
      </c>
      <c r="G2174" s="133" t="s">
        <v>1034</v>
      </c>
      <c r="H2174" s="144" t="s">
        <v>1341</v>
      </c>
      <c r="I2174" s="133" t="s">
        <v>1092</v>
      </c>
      <c r="J2174" s="133" t="s">
        <v>1542</v>
      </c>
      <c r="K2174" s="143">
        <v>45658</v>
      </c>
      <c r="L2174" s="133" t="s">
        <v>1092</v>
      </c>
      <c r="M2174" s="133">
        <v>356</v>
      </c>
      <c r="N2174" s="147">
        <f>+F2174+F2175+F2176+F2177-M2174-M2175-M2176-M2177</f>
        <v>0</v>
      </c>
      <c r="O2174" s="141"/>
      <c r="P2174" s="140"/>
    </row>
    <row r="2175" spans="1:18" hidden="1" x14ac:dyDescent="0.35">
      <c r="A2175" s="146"/>
      <c r="B2175" s="143"/>
      <c r="C2175" s="133"/>
      <c r="D2175" s="133"/>
      <c r="E2175" s="145" t="s">
        <v>1067</v>
      </c>
      <c r="F2175" s="145">
        <v>356</v>
      </c>
      <c r="G2175" s="133" t="s">
        <v>1034</v>
      </c>
      <c r="H2175" s="144" t="s">
        <v>1341</v>
      </c>
      <c r="I2175" s="133" t="s">
        <v>1092</v>
      </c>
      <c r="J2175" s="133" t="s">
        <v>1503</v>
      </c>
      <c r="K2175" s="143">
        <v>45658</v>
      </c>
      <c r="L2175" s="133" t="s">
        <v>1092</v>
      </c>
      <c r="M2175" s="133">
        <f>1672.3+3903</f>
        <v>5575.3</v>
      </c>
      <c r="N2175" s="147"/>
      <c r="O2175" s="141"/>
      <c r="P2175" s="140"/>
    </row>
    <row r="2176" spans="1:18" hidden="1" x14ac:dyDescent="0.35">
      <c r="A2176" s="146"/>
      <c r="B2176" s="143"/>
      <c r="C2176" s="133"/>
      <c r="D2176" s="133"/>
      <c r="E2176" s="145" t="s">
        <v>1342</v>
      </c>
      <c r="F2176" s="145">
        <v>1843</v>
      </c>
      <c r="G2176" s="133" t="s">
        <v>1034</v>
      </c>
      <c r="H2176" s="144" t="s">
        <v>1341</v>
      </c>
      <c r="I2176" s="133" t="s">
        <v>1092</v>
      </c>
      <c r="J2176" s="133" t="s">
        <v>1515</v>
      </c>
      <c r="K2176" s="143">
        <v>45658</v>
      </c>
      <c r="L2176" s="133" t="s">
        <v>1241</v>
      </c>
      <c r="M2176" s="133">
        <v>380</v>
      </c>
      <c r="N2176" s="147"/>
      <c r="O2176" s="141"/>
      <c r="P2176" s="140"/>
    </row>
    <row r="2177" spans="1:18" hidden="1" x14ac:dyDescent="0.35">
      <c r="A2177" s="146"/>
      <c r="B2177" s="143"/>
      <c r="C2177" s="133"/>
      <c r="D2177" s="133"/>
      <c r="E2177" s="145" t="s">
        <v>1064</v>
      </c>
      <c r="F2177" s="145">
        <v>2052.3000000000002</v>
      </c>
      <c r="G2177" s="133" t="s">
        <v>1034</v>
      </c>
      <c r="H2177" s="144" t="s">
        <v>1341</v>
      </c>
      <c r="I2177" s="133" t="s">
        <v>1092</v>
      </c>
      <c r="J2177" s="133" t="s">
        <v>1463</v>
      </c>
      <c r="K2177" s="143">
        <v>45689</v>
      </c>
      <c r="L2177" s="133" t="s">
        <v>1092</v>
      </c>
      <c r="M2177" s="133">
        <v>1843</v>
      </c>
      <c r="N2177" s="147"/>
      <c r="P2177" s="140"/>
      <c r="R2177" s="140"/>
    </row>
    <row r="2178" spans="1:18" hidden="1" x14ac:dyDescent="0.35">
      <c r="A2178" s="146"/>
      <c r="B2178" s="143"/>
      <c r="C2178" s="133"/>
      <c r="D2178" s="133"/>
      <c r="E2178" s="145"/>
      <c r="F2178" s="145"/>
      <c r="G2178" s="133"/>
      <c r="H2178" s="144"/>
      <c r="I2178" s="133"/>
      <c r="J2178" s="133"/>
      <c r="K2178" s="133"/>
      <c r="L2178" s="133"/>
      <c r="M2178" s="133"/>
      <c r="N2178" s="147"/>
      <c r="P2178" s="140"/>
    </row>
    <row r="2179" spans="1:18" hidden="1" x14ac:dyDescent="0.35">
      <c r="A2179" s="146">
        <v>211</v>
      </c>
      <c r="B2179" s="143">
        <v>45627</v>
      </c>
      <c r="C2179" s="133" t="s">
        <v>1549</v>
      </c>
      <c r="D2179" s="133" t="s">
        <v>1548</v>
      </c>
      <c r="E2179" s="145" t="s">
        <v>1078</v>
      </c>
      <c r="F2179" s="145">
        <v>6069.87</v>
      </c>
      <c r="G2179" s="133" t="s">
        <v>1034</v>
      </c>
      <c r="H2179" s="144" t="s">
        <v>1341</v>
      </c>
      <c r="I2179" s="133" t="s">
        <v>1092</v>
      </c>
      <c r="J2179" s="133" t="s">
        <v>1542</v>
      </c>
      <c r="K2179" s="143">
        <v>45658</v>
      </c>
      <c r="L2179" s="133" t="s">
        <v>1092</v>
      </c>
      <c r="M2179" s="133">
        <v>6069.87</v>
      </c>
      <c r="N2179" s="147">
        <f>+F2179-M2179</f>
        <v>0</v>
      </c>
      <c r="O2179" s="141"/>
      <c r="P2179" s="140"/>
    </row>
    <row r="2180" spans="1:18" hidden="1" x14ac:dyDescent="0.35">
      <c r="A2180" s="146"/>
      <c r="B2180" s="143"/>
      <c r="C2180" s="133"/>
      <c r="D2180" s="133"/>
      <c r="E2180" s="145"/>
      <c r="F2180" s="145"/>
      <c r="G2180" s="133"/>
      <c r="H2180" s="144"/>
      <c r="I2180" s="133"/>
      <c r="J2180" s="133"/>
      <c r="K2180" s="133"/>
      <c r="L2180" s="133"/>
      <c r="M2180" s="133"/>
      <c r="N2180" s="147"/>
      <c r="P2180" s="140"/>
    </row>
    <row r="2181" spans="1:18" hidden="1" x14ac:dyDescent="0.35">
      <c r="A2181" s="146">
        <v>212</v>
      </c>
      <c r="B2181" s="143">
        <v>45627</v>
      </c>
      <c r="C2181" s="133" t="s">
        <v>1547</v>
      </c>
      <c r="D2181" s="133" t="s">
        <v>1156</v>
      </c>
      <c r="E2181" s="145" t="s">
        <v>1075</v>
      </c>
      <c r="F2181" s="145">
        <v>1097.07</v>
      </c>
      <c r="G2181" s="133" t="s">
        <v>1034</v>
      </c>
      <c r="H2181" s="144" t="s">
        <v>1341</v>
      </c>
      <c r="I2181" s="133" t="s">
        <v>1092</v>
      </c>
      <c r="J2181" s="133" t="s">
        <v>1542</v>
      </c>
      <c r="K2181" s="143">
        <v>45658</v>
      </c>
      <c r="L2181" s="133" t="s">
        <v>1092</v>
      </c>
      <c r="M2181" s="133">
        <v>1132</v>
      </c>
      <c r="N2181" s="147">
        <f>+F2181+F2182+F2183+F2184+F2185-M2181-M2182-M2183</f>
        <v>-4.5474735088646412E-13</v>
      </c>
      <c r="O2181" s="141"/>
      <c r="P2181" s="140"/>
    </row>
    <row r="2182" spans="1:18" hidden="1" x14ac:dyDescent="0.35">
      <c r="A2182" s="146"/>
      <c r="B2182" s="143"/>
      <c r="C2182" s="133"/>
      <c r="D2182" s="133"/>
      <c r="E2182" s="145" t="s">
        <v>1067</v>
      </c>
      <c r="F2182" s="145">
        <v>1132</v>
      </c>
      <c r="G2182" s="133" t="s">
        <v>1034</v>
      </c>
      <c r="H2182" s="144" t="s">
        <v>1341</v>
      </c>
      <c r="I2182" s="133" t="s">
        <v>1092</v>
      </c>
      <c r="J2182" s="133" t="s">
        <v>1503</v>
      </c>
      <c r="K2182" s="143">
        <v>45658</v>
      </c>
      <c r="L2182" s="133" t="s">
        <v>1092</v>
      </c>
      <c r="M2182" s="133">
        <f>1274.1+1097.07+195.73+1372.25</f>
        <v>3939.15</v>
      </c>
      <c r="N2182" s="147"/>
      <c r="O2182" s="141"/>
      <c r="P2182" s="140"/>
    </row>
    <row r="2183" spans="1:18" hidden="1" x14ac:dyDescent="0.35">
      <c r="A2183" s="146"/>
      <c r="B2183" s="143"/>
      <c r="C2183" s="133"/>
      <c r="D2183" s="133"/>
      <c r="E2183" s="145" t="s">
        <v>1075</v>
      </c>
      <c r="F2183" s="145">
        <v>461.73</v>
      </c>
      <c r="G2183" s="133" t="s">
        <v>1034</v>
      </c>
      <c r="H2183" s="144" t="s">
        <v>1341</v>
      </c>
      <c r="I2183" s="133" t="s">
        <v>1092</v>
      </c>
      <c r="J2183" s="133" t="s">
        <v>1515</v>
      </c>
      <c r="K2183" s="143">
        <v>45658</v>
      </c>
      <c r="L2183" s="133" t="s">
        <v>1241</v>
      </c>
      <c r="M2183" s="133">
        <v>266</v>
      </c>
      <c r="N2183" s="147"/>
      <c r="O2183" s="141"/>
      <c r="P2183" s="140"/>
    </row>
    <row r="2184" spans="1:18" hidden="1" x14ac:dyDescent="0.35">
      <c r="A2184" s="146"/>
      <c r="B2184" s="143"/>
      <c r="C2184" s="133"/>
      <c r="D2184" s="133"/>
      <c r="E2184" s="145" t="s">
        <v>1064</v>
      </c>
      <c r="F2184" s="145">
        <v>1274.0999999999999</v>
      </c>
      <c r="G2184" s="133"/>
      <c r="H2184" s="144"/>
      <c r="I2184" s="133"/>
      <c r="J2184" s="133"/>
      <c r="K2184" s="133"/>
      <c r="L2184" s="133"/>
      <c r="M2184" s="133"/>
      <c r="N2184" s="147"/>
      <c r="P2184" s="140"/>
    </row>
    <row r="2185" spans="1:18" hidden="1" x14ac:dyDescent="0.35">
      <c r="A2185" s="146"/>
      <c r="B2185" s="143"/>
      <c r="C2185" s="133"/>
      <c r="D2185" s="133"/>
      <c r="E2185" s="145" t="s">
        <v>1118</v>
      </c>
      <c r="F2185" s="145">
        <v>1372.25</v>
      </c>
      <c r="G2185" s="133"/>
      <c r="H2185" s="144"/>
      <c r="I2185" s="133"/>
      <c r="J2185" s="133"/>
      <c r="K2185" s="133"/>
      <c r="L2185" s="133"/>
      <c r="M2185" s="133"/>
      <c r="N2185" s="147"/>
      <c r="P2185" s="140"/>
    </row>
    <row r="2186" spans="1:18" hidden="1" x14ac:dyDescent="0.35">
      <c r="A2186" s="146"/>
      <c r="B2186" s="143"/>
      <c r="C2186" s="133"/>
      <c r="D2186" s="133"/>
      <c r="E2186" s="145"/>
      <c r="F2186" s="145"/>
      <c r="G2186" s="133"/>
      <c r="H2186" s="144"/>
      <c r="I2186" s="133"/>
      <c r="J2186" s="133"/>
      <c r="K2186" s="133"/>
      <c r="L2186" s="133"/>
      <c r="M2186" s="133"/>
      <c r="N2186" s="147"/>
      <c r="P2186" s="140"/>
    </row>
    <row r="2187" spans="1:18" hidden="1" x14ac:dyDescent="0.35">
      <c r="A2187" s="146">
        <v>213</v>
      </c>
      <c r="B2187" s="143">
        <v>45627</v>
      </c>
      <c r="C2187" s="133" t="s">
        <v>1546</v>
      </c>
      <c r="D2187" s="133" t="s">
        <v>1545</v>
      </c>
      <c r="E2187" s="145" t="s">
        <v>1342</v>
      </c>
      <c r="F2187" s="145">
        <v>4800</v>
      </c>
      <c r="G2187" s="133" t="s">
        <v>1034</v>
      </c>
      <c r="H2187" s="144" t="s">
        <v>1341</v>
      </c>
      <c r="I2187" s="133" t="s">
        <v>1092</v>
      </c>
      <c r="J2187" s="133" t="s">
        <v>1542</v>
      </c>
      <c r="K2187" s="143">
        <v>45658</v>
      </c>
      <c r="L2187" s="133" t="s">
        <v>1092</v>
      </c>
      <c r="M2187" s="133">
        <f>4444+2324</f>
        <v>6768</v>
      </c>
      <c r="N2187" s="147">
        <f>+F2187+F2188-M2187-M2188</f>
        <v>0</v>
      </c>
      <c r="O2187" s="141"/>
      <c r="P2187" s="140"/>
    </row>
    <row r="2188" spans="1:18" hidden="1" x14ac:dyDescent="0.35">
      <c r="A2188" s="146"/>
      <c r="B2188" s="143"/>
      <c r="C2188" s="133"/>
      <c r="D2188" s="133"/>
      <c r="E2188" s="145" t="s">
        <v>1067</v>
      </c>
      <c r="F2188" s="145">
        <v>2324</v>
      </c>
      <c r="G2188" s="133" t="s">
        <v>1034</v>
      </c>
      <c r="H2188" s="144" t="s">
        <v>1341</v>
      </c>
      <c r="I2188" s="133" t="s">
        <v>1092</v>
      </c>
      <c r="J2188" s="133" t="s">
        <v>1515</v>
      </c>
      <c r="K2188" s="143">
        <v>45658</v>
      </c>
      <c r="L2188" s="133" t="s">
        <v>1241</v>
      </c>
      <c r="M2188" s="133">
        <v>356</v>
      </c>
      <c r="N2188" s="147"/>
      <c r="O2188" s="141"/>
      <c r="P2188" s="140"/>
    </row>
    <row r="2189" spans="1:18" hidden="1" x14ac:dyDescent="0.35">
      <c r="A2189" s="146"/>
      <c r="B2189" s="143"/>
      <c r="C2189" s="133"/>
      <c r="D2189" s="133"/>
      <c r="E2189" s="145"/>
      <c r="F2189" s="145"/>
      <c r="G2189" s="133"/>
      <c r="H2189" s="144"/>
      <c r="I2189" s="133"/>
      <c r="J2189" s="133"/>
      <c r="K2189" s="133"/>
      <c r="L2189" s="133"/>
      <c r="M2189" s="133"/>
      <c r="N2189" s="147"/>
      <c r="P2189" s="140"/>
    </row>
    <row r="2190" spans="1:18" hidden="1" x14ac:dyDescent="0.35">
      <c r="A2190" s="146">
        <v>214</v>
      </c>
      <c r="B2190" s="143">
        <v>45627</v>
      </c>
      <c r="C2190" s="133" t="s">
        <v>1544</v>
      </c>
      <c r="D2190" s="133" t="s">
        <v>1154</v>
      </c>
      <c r="E2190" s="145" t="s">
        <v>1118</v>
      </c>
      <c r="F2190" s="145">
        <v>4694.03</v>
      </c>
      <c r="G2190" s="133" t="s">
        <v>1034</v>
      </c>
      <c r="H2190" s="144" t="s">
        <v>1341</v>
      </c>
      <c r="I2190" s="133" t="s">
        <v>1092</v>
      </c>
      <c r="J2190" s="133" t="s">
        <v>1542</v>
      </c>
      <c r="K2190" s="143">
        <v>45658</v>
      </c>
      <c r="L2190" s="133" t="s">
        <v>1092</v>
      </c>
      <c r="M2190" s="133">
        <f>1285+4694.03</f>
        <v>5979.03</v>
      </c>
      <c r="N2190" s="147">
        <f>+F2190+F2191-M2190-M2191</f>
        <v>0</v>
      </c>
      <c r="O2190" s="141"/>
      <c r="P2190" s="140"/>
    </row>
    <row r="2191" spans="1:18" hidden="1" x14ac:dyDescent="0.35">
      <c r="A2191" s="146"/>
      <c r="B2191" s="143"/>
      <c r="C2191" s="133"/>
      <c r="D2191" s="133"/>
      <c r="E2191" s="145" t="s">
        <v>1067</v>
      </c>
      <c r="F2191" s="145">
        <v>1585</v>
      </c>
      <c r="G2191" s="133" t="s">
        <v>1034</v>
      </c>
      <c r="H2191" s="144" t="s">
        <v>1341</v>
      </c>
      <c r="I2191" s="133" t="s">
        <v>1092</v>
      </c>
      <c r="J2191" s="133" t="s">
        <v>1515</v>
      </c>
      <c r="K2191" s="143">
        <v>45658</v>
      </c>
      <c r="L2191" s="133" t="s">
        <v>1241</v>
      </c>
      <c r="M2191" s="133">
        <v>300</v>
      </c>
      <c r="N2191" s="147"/>
      <c r="O2191" s="141"/>
      <c r="P2191" s="140"/>
    </row>
    <row r="2192" spans="1:18" hidden="1" x14ac:dyDescent="0.35">
      <c r="A2192" s="146"/>
      <c r="B2192" s="143"/>
      <c r="C2192" s="133"/>
      <c r="D2192" s="133"/>
      <c r="E2192" s="145"/>
      <c r="F2192" s="145"/>
      <c r="G2192" s="133"/>
      <c r="H2192" s="144"/>
      <c r="I2192" s="133"/>
      <c r="J2192" s="133"/>
      <c r="K2192" s="133"/>
      <c r="L2192" s="133"/>
      <c r="M2192" s="133"/>
      <c r="N2192" s="147"/>
      <c r="P2192" s="140"/>
    </row>
    <row r="2193" spans="1:16" hidden="1" x14ac:dyDescent="0.35">
      <c r="A2193" s="146">
        <v>215</v>
      </c>
      <c r="B2193" s="143">
        <v>45627</v>
      </c>
      <c r="C2193" s="133" t="s">
        <v>1543</v>
      </c>
      <c r="D2193" s="133" t="s">
        <v>1152</v>
      </c>
      <c r="E2193" s="145" t="s">
        <v>1342</v>
      </c>
      <c r="F2193" s="145">
        <v>2411</v>
      </c>
      <c r="G2193" s="133" t="s">
        <v>1034</v>
      </c>
      <c r="H2193" s="144" t="s">
        <v>1341</v>
      </c>
      <c r="I2193" s="133" t="s">
        <v>1092</v>
      </c>
      <c r="J2193" s="133" t="s">
        <v>1542</v>
      </c>
      <c r="K2193" s="143">
        <v>45658</v>
      </c>
      <c r="L2193" s="133" t="s">
        <v>1092</v>
      </c>
      <c r="M2193" s="133">
        <f>4019.54+2101</f>
        <v>6120.54</v>
      </c>
      <c r="N2193" s="147">
        <f>+F2193+F2194+F2195-M2193-M2194-M2195</f>
        <v>0</v>
      </c>
      <c r="O2193" s="141"/>
      <c r="P2193" s="140"/>
    </row>
    <row r="2194" spans="1:16" hidden="1" x14ac:dyDescent="0.35">
      <c r="A2194" s="146"/>
      <c r="B2194" s="143"/>
      <c r="C2194" s="133"/>
      <c r="D2194" s="133"/>
      <c r="E2194" s="145" t="s">
        <v>1067</v>
      </c>
      <c r="F2194" s="145">
        <v>4019.54</v>
      </c>
      <c r="G2194" s="133" t="s">
        <v>1034</v>
      </c>
      <c r="H2194" s="144" t="s">
        <v>1341</v>
      </c>
      <c r="I2194" s="133" t="s">
        <v>1092</v>
      </c>
      <c r="J2194" s="133" t="s">
        <v>1515</v>
      </c>
      <c r="K2194" s="143">
        <v>45658</v>
      </c>
      <c r="L2194" s="133" t="s">
        <v>1241</v>
      </c>
      <c r="M2194" s="133">
        <v>310</v>
      </c>
      <c r="N2194" s="147"/>
      <c r="O2194" s="141"/>
      <c r="P2194" s="140"/>
    </row>
    <row r="2195" spans="1:16" hidden="1" x14ac:dyDescent="0.35">
      <c r="A2195" s="146"/>
      <c r="B2195" s="143"/>
      <c r="C2195" s="133"/>
      <c r="D2195" s="133"/>
      <c r="E2195" s="145" t="s">
        <v>1071</v>
      </c>
      <c r="F2195" s="145">
        <v>268.89999999999998</v>
      </c>
      <c r="G2195" s="133" t="s">
        <v>1034</v>
      </c>
      <c r="H2195" s="144" t="s">
        <v>1341</v>
      </c>
      <c r="I2195" s="133" t="s">
        <v>1092</v>
      </c>
      <c r="J2195" s="133" t="s">
        <v>1458</v>
      </c>
      <c r="K2195" s="143">
        <v>45717</v>
      </c>
      <c r="L2195" s="133" t="s">
        <v>1092</v>
      </c>
      <c r="M2195" s="133">
        <v>268.89999999999998</v>
      </c>
      <c r="N2195" s="147"/>
      <c r="P2195" s="140"/>
    </row>
    <row r="2196" spans="1:16" hidden="1" x14ac:dyDescent="0.35">
      <c r="A2196" s="146"/>
      <c r="B2196" s="143"/>
      <c r="C2196" s="133"/>
      <c r="D2196" s="133"/>
      <c r="E2196" s="145"/>
      <c r="F2196" s="145"/>
      <c r="G2196" s="133"/>
      <c r="H2196" s="144"/>
      <c r="I2196" s="133"/>
      <c r="J2196" s="133"/>
      <c r="K2196" s="133"/>
      <c r="L2196" s="133"/>
      <c r="M2196" s="133"/>
      <c r="N2196" s="147"/>
      <c r="P2196" s="140"/>
    </row>
    <row r="2197" spans="1:16" hidden="1" x14ac:dyDescent="0.35">
      <c r="A2197" s="146">
        <v>216</v>
      </c>
      <c r="B2197" s="143">
        <v>45627</v>
      </c>
      <c r="C2197" s="133" t="s">
        <v>1541</v>
      </c>
      <c r="D2197" s="133" t="s">
        <v>1150</v>
      </c>
      <c r="E2197" s="145" t="s">
        <v>1342</v>
      </c>
      <c r="F2197" s="145">
        <v>4263</v>
      </c>
      <c r="G2197" s="133" t="s">
        <v>1034</v>
      </c>
      <c r="H2197" s="144" t="s">
        <v>1341</v>
      </c>
      <c r="I2197" s="133" t="s">
        <v>1092</v>
      </c>
      <c r="J2197" s="133" t="s">
        <v>1503</v>
      </c>
      <c r="K2197" s="143">
        <v>45658</v>
      </c>
      <c r="L2197" s="133" t="s">
        <v>1092</v>
      </c>
      <c r="M2197" s="133">
        <f>2482.4+2377.4+4226</f>
        <v>9085.7999999999993</v>
      </c>
      <c r="N2197" s="147">
        <f>+F2197+F2198+F2199+F2200-M2197-M2198-M2199</f>
        <v>0</v>
      </c>
      <c r="O2197" s="141"/>
      <c r="P2197" s="140"/>
    </row>
    <row r="2198" spans="1:16" hidden="1" x14ac:dyDescent="0.35">
      <c r="A2198" s="146"/>
      <c r="B2198" s="143"/>
      <c r="C2198" s="133"/>
      <c r="D2198" s="133"/>
      <c r="E2198" s="145" t="s">
        <v>1067</v>
      </c>
      <c r="F2198" s="145">
        <v>4226</v>
      </c>
      <c r="G2198" s="133" t="s">
        <v>1034</v>
      </c>
      <c r="H2198" s="144" t="s">
        <v>1341</v>
      </c>
      <c r="I2198" s="133" t="s">
        <v>1092</v>
      </c>
      <c r="J2198" s="133" t="s">
        <v>1515</v>
      </c>
      <c r="K2198" s="143">
        <v>45658</v>
      </c>
      <c r="L2198" s="133" t="s">
        <v>1241</v>
      </c>
      <c r="M2198" s="133">
        <v>701</v>
      </c>
      <c r="N2198" s="147"/>
      <c r="O2198" s="141"/>
      <c r="P2198" s="140"/>
    </row>
    <row r="2199" spans="1:16" hidden="1" x14ac:dyDescent="0.35">
      <c r="A2199" s="146"/>
      <c r="B2199" s="143"/>
      <c r="C2199" s="133"/>
      <c r="D2199" s="133"/>
      <c r="E2199" s="145" t="s">
        <v>1118</v>
      </c>
      <c r="F2199" s="145">
        <v>2377.4</v>
      </c>
      <c r="G2199" s="133" t="s">
        <v>1034</v>
      </c>
      <c r="H2199" s="144" t="s">
        <v>1341</v>
      </c>
      <c r="I2199" s="133" t="s">
        <v>1092</v>
      </c>
      <c r="J2199" s="133" t="s">
        <v>1458</v>
      </c>
      <c r="K2199" s="143">
        <v>45717</v>
      </c>
      <c r="L2199" s="133" t="s">
        <v>1092</v>
      </c>
      <c r="M2199" s="133">
        <v>4263</v>
      </c>
      <c r="N2199" s="147"/>
      <c r="P2199" s="140"/>
    </row>
    <row r="2200" spans="1:16" hidden="1" x14ac:dyDescent="0.35">
      <c r="A2200" s="146"/>
      <c r="B2200" s="143"/>
      <c r="C2200" s="133"/>
      <c r="D2200" s="133"/>
      <c r="E2200" s="145" t="s">
        <v>1064</v>
      </c>
      <c r="F2200" s="145">
        <v>3183.4</v>
      </c>
      <c r="G2200" s="133"/>
      <c r="H2200" s="144"/>
      <c r="I2200" s="133"/>
      <c r="J2200" s="133"/>
      <c r="K2200" s="133"/>
      <c r="L2200" s="133"/>
      <c r="M2200" s="133"/>
      <c r="N2200" s="147"/>
      <c r="P2200" s="140"/>
    </row>
    <row r="2201" spans="1:16" hidden="1" x14ac:dyDescent="0.35">
      <c r="A2201" s="146"/>
      <c r="B2201" s="143"/>
      <c r="C2201" s="133"/>
      <c r="D2201" s="133"/>
      <c r="E2201" s="145"/>
      <c r="F2201" s="145"/>
      <c r="G2201" s="133"/>
      <c r="H2201" s="144"/>
      <c r="I2201" s="133"/>
      <c r="J2201" s="133"/>
      <c r="K2201" s="133"/>
      <c r="L2201" s="133"/>
      <c r="M2201" s="133"/>
      <c r="N2201" s="147"/>
      <c r="P2201" s="140"/>
    </row>
    <row r="2202" spans="1:16" hidden="1" x14ac:dyDescent="0.35">
      <c r="A2202" s="146">
        <v>217</v>
      </c>
      <c r="B2202" s="143">
        <v>45627</v>
      </c>
      <c r="C2202" s="133" t="s">
        <v>1540</v>
      </c>
      <c r="D2202" s="133" t="s">
        <v>1539</v>
      </c>
      <c r="E2202" s="145" t="s">
        <v>1075</v>
      </c>
      <c r="F2202" s="145">
        <v>3428</v>
      </c>
      <c r="G2202" s="133" t="s">
        <v>1034</v>
      </c>
      <c r="H2202" s="144" t="s">
        <v>1341</v>
      </c>
      <c r="I2202" s="133" t="s">
        <v>1092</v>
      </c>
      <c r="J2202" s="133" t="s">
        <v>1503</v>
      </c>
      <c r="K2202" s="143">
        <v>45658</v>
      </c>
      <c r="L2202" s="133" t="s">
        <v>1092</v>
      </c>
      <c r="M2202" s="133">
        <f>5811+2910+832.5</f>
        <v>9553.5</v>
      </c>
      <c r="N2202" s="147">
        <f>+F2202+F2203+F2204+F2205-M2202-M2203-M2204</f>
        <v>0</v>
      </c>
      <c r="O2202" s="141"/>
      <c r="P2202" s="140"/>
    </row>
    <row r="2203" spans="1:16" hidden="1" x14ac:dyDescent="0.35">
      <c r="A2203" s="146"/>
      <c r="B2203" s="143"/>
      <c r="C2203" s="133"/>
      <c r="D2203" s="133"/>
      <c r="E2203" s="145" t="s">
        <v>1067</v>
      </c>
      <c r="F2203" s="145">
        <v>832.5</v>
      </c>
      <c r="G2203" s="133" t="s">
        <v>1034</v>
      </c>
      <c r="H2203" s="144" t="s">
        <v>1341</v>
      </c>
      <c r="I2203" s="133" t="s">
        <v>1092</v>
      </c>
      <c r="J2203" s="133" t="s">
        <v>1515</v>
      </c>
      <c r="K2203" s="143">
        <v>45658</v>
      </c>
      <c r="L2203" s="133" t="s">
        <v>1241</v>
      </c>
      <c r="M2203" s="133">
        <v>518</v>
      </c>
      <c r="N2203" s="147"/>
      <c r="O2203" s="141"/>
      <c r="P2203" s="140"/>
    </row>
    <row r="2204" spans="1:16" hidden="1" x14ac:dyDescent="0.35">
      <c r="A2204" s="146"/>
      <c r="B2204" s="143"/>
      <c r="C2204" s="133"/>
      <c r="D2204" s="133"/>
      <c r="E2204" s="145" t="s">
        <v>1071</v>
      </c>
      <c r="F2204" s="145">
        <v>316</v>
      </c>
      <c r="G2204" s="133" t="s">
        <v>1034</v>
      </c>
      <c r="H2204" s="144" t="s">
        <v>1341</v>
      </c>
      <c r="I2204" s="133" t="s">
        <v>1092</v>
      </c>
      <c r="J2204" s="133" t="s">
        <v>1458</v>
      </c>
      <c r="K2204" s="143">
        <v>45717</v>
      </c>
      <c r="L2204" s="133" t="s">
        <v>1092</v>
      </c>
      <c r="M2204" s="133">
        <v>316</v>
      </c>
      <c r="N2204" s="147"/>
      <c r="P2204" s="140"/>
    </row>
    <row r="2205" spans="1:16" hidden="1" x14ac:dyDescent="0.35">
      <c r="A2205" s="146"/>
      <c r="B2205" s="143"/>
      <c r="C2205" s="133"/>
      <c r="D2205" s="133"/>
      <c r="E2205" s="145" t="s">
        <v>1064</v>
      </c>
      <c r="F2205" s="145">
        <v>5811</v>
      </c>
      <c r="G2205" s="133"/>
      <c r="H2205" s="144"/>
      <c r="I2205" s="133"/>
      <c r="J2205" s="133"/>
      <c r="K2205" s="133"/>
      <c r="L2205" s="133"/>
      <c r="M2205" s="133"/>
      <c r="N2205" s="147"/>
      <c r="P2205" s="140"/>
    </row>
    <row r="2206" spans="1:16" hidden="1" x14ac:dyDescent="0.35">
      <c r="A2206" s="146"/>
      <c r="B2206" s="143"/>
      <c r="C2206" s="133"/>
      <c r="D2206" s="133"/>
      <c r="E2206" s="145"/>
      <c r="F2206" s="145"/>
      <c r="G2206" s="133"/>
      <c r="H2206" s="144"/>
      <c r="I2206" s="133"/>
      <c r="J2206" s="133"/>
      <c r="K2206" s="133"/>
      <c r="L2206" s="133"/>
      <c r="M2206" s="133"/>
      <c r="N2206" s="147"/>
      <c r="P2206" s="140"/>
    </row>
    <row r="2207" spans="1:16" hidden="1" x14ac:dyDescent="0.35">
      <c r="A2207" s="146">
        <v>218</v>
      </c>
      <c r="B2207" s="143">
        <v>45627</v>
      </c>
      <c r="C2207" s="133" t="s">
        <v>1538</v>
      </c>
      <c r="D2207" s="133" t="s">
        <v>1148</v>
      </c>
      <c r="E2207" s="145" t="s">
        <v>1118</v>
      </c>
      <c r="F2207" s="145">
        <v>931.7</v>
      </c>
      <c r="G2207" s="133" t="s">
        <v>1034</v>
      </c>
      <c r="H2207" s="144" t="s">
        <v>1341</v>
      </c>
      <c r="I2207" s="133" t="s">
        <v>1092</v>
      </c>
      <c r="J2207" s="133" t="s">
        <v>1503</v>
      </c>
      <c r="K2207" s="143">
        <v>45658</v>
      </c>
      <c r="L2207" s="133" t="s">
        <v>1092</v>
      </c>
      <c r="M2207" s="133">
        <f>931.7+4219.26+4366</f>
        <v>9516.9599999999991</v>
      </c>
      <c r="N2207" s="147">
        <f>+F2207+F2208+F2209+F2210-M2207-M2208-M2209</f>
        <v>0</v>
      </c>
      <c r="O2207" s="141"/>
      <c r="P2207" s="140"/>
    </row>
    <row r="2208" spans="1:16" hidden="1" x14ac:dyDescent="0.35">
      <c r="A2208" s="146"/>
      <c r="B2208" s="143"/>
      <c r="C2208" s="133"/>
      <c r="D2208" s="133"/>
      <c r="E2208" s="145" t="s">
        <v>1067</v>
      </c>
      <c r="F2208" s="145">
        <v>4219.26</v>
      </c>
      <c r="G2208" s="133" t="s">
        <v>1034</v>
      </c>
      <c r="H2208" s="144" t="s">
        <v>1341</v>
      </c>
      <c r="I2208" s="133" t="s">
        <v>1092</v>
      </c>
      <c r="J2208" s="133" t="s">
        <v>1515</v>
      </c>
      <c r="K2208" s="143">
        <v>45658</v>
      </c>
      <c r="L2208" s="133" t="s">
        <v>1241</v>
      </c>
      <c r="M2208" s="133">
        <v>560</v>
      </c>
      <c r="N2208" s="147"/>
      <c r="O2208" s="141"/>
      <c r="P2208" s="140"/>
    </row>
    <row r="2209" spans="1:16" hidden="1" x14ac:dyDescent="0.35">
      <c r="A2209" s="146"/>
      <c r="B2209" s="143"/>
      <c r="C2209" s="133"/>
      <c r="D2209" s="133"/>
      <c r="E2209" s="145" t="s">
        <v>1075</v>
      </c>
      <c r="F2209" s="145">
        <v>4926</v>
      </c>
      <c r="G2209" s="133" t="s">
        <v>1034</v>
      </c>
      <c r="H2209" s="144" t="s">
        <v>1341</v>
      </c>
      <c r="I2209" s="133" t="s">
        <v>1092</v>
      </c>
      <c r="J2209" s="133" t="s">
        <v>1458</v>
      </c>
      <c r="K2209" s="143">
        <v>45717</v>
      </c>
      <c r="L2209" s="133" t="s">
        <v>1092</v>
      </c>
      <c r="M2209" s="133">
        <v>1251</v>
      </c>
      <c r="N2209" s="147"/>
      <c r="P2209" s="140"/>
    </row>
    <row r="2210" spans="1:16" hidden="1" x14ac:dyDescent="0.35">
      <c r="A2210" s="146"/>
      <c r="B2210" s="143"/>
      <c r="C2210" s="133"/>
      <c r="D2210" s="133"/>
      <c r="E2210" s="145" t="s">
        <v>1342</v>
      </c>
      <c r="F2210" s="145">
        <v>1251</v>
      </c>
      <c r="G2210" s="133"/>
      <c r="H2210" s="144"/>
      <c r="I2210" s="133"/>
      <c r="J2210" s="133"/>
      <c r="K2210" s="133"/>
      <c r="L2210" s="133"/>
      <c r="M2210" s="133"/>
      <c r="N2210" s="147"/>
      <c r="P2210" s="140"/>
    </row>
    <row r="2211" spans="1:16" hidden="1" x14ac:dyDescent="0.35">
      <c r="A2211" s="146"/>
      <c r="B2211" s="143"/>
      <c r="C2211" s="133"/>
      <c r="D2211" s="133"/>
      <c r="E2211" s="145"/>
      <c r="F2211" s="145"/>
      <c r="G2211" s="133"/>
      <c r="H2211" s="144"/>
      <c r="I2211" s="133"/>
      <c r="J2211" s="133"/>
      <c r="K2211" s="133"/>
      <c r="L2211" s="133"/>
      <c r="M2211" s="133"/>
      <c r="N2211" s="147"/>
      <c r="P2211" s="140"/>
    </row>
    <row r="2212" spans="1:16" hidden="1" x14ac:dyDescent="0.35">
      <c r="A2212" s="146">
        <v>219</v>
      </c>
      <c r="B2212" s="143">
        <v>45627</v>
      </c>
      <c r="C2212" s="133" t="s">
        <v>1537</v>
      </c>
      <c r="D2212" s="133" t="s">
        <v>1146</v>
      </c>
      <c r="E2212" s="145" t="s">
        <v>1067</v>
      </c>
      <c r="F2212" s="145">
        <v>1426</v>
      </c>
      <c r="G2212" s="133" t="s">
        <v>1034</v>
      </c>
      <c r="H2212" s="144" t="s">
        <v>1341</v>
      </c>
      <c r="I2212" s="133" t="s">
        <v>1092</v>
      </c>
      <c r="J2212" s="133" t="s">
        <v>1503</v>
      </c>
      <c r="K2212" s="143">
        <v>45658</v>
      </c>
      <c r="L2212" s="133" t="s">
        <v>1092</v>
      </c>
      <c r="M2212" s="133">
        <f>878+1426</f>
        <v>2304</v>
      </c>
      <c r="N2212" s="147">
        <f>+F2212+F2213+F2214-M2212-M2213-M2214</f>
        <v>0</v>
      </c>
      <c r="O2212" s="141"/>
      <c r="P2212" s="140"/>
    </row>
    <row r="2213" spans="1:16" hidden="1" x14ac:dyDescent="0.35">
      <c r="A2213" s="146"/>
      <c r="B2213" s="143"/>
      <c r="C2213" s="133"/>
      <c r="D2213" s="133"/>
      <c r="E2213" s="145" t="s">
        <v>1075</v>
      </c>
      <c r="F2213" s="145">
        <v>1224</v>
      </c>
      <c r="G2213" s="133" t="s">
        <v>1034</v>
      </c>
      <c r="H2213" s="144" t="s">
        <v>1341</v>
      </c>
      <c r="I2213" s="133" t="s">
        <v>1092</v>
      </c>
      <c r="J2213" s="133" t="s">
        <v>1515</v>
      </c>
      <c r="K2213" s="143">
        <v>45658</v>
      </c>
      <c r="L2213" s="133" t="s">
        <v>1241</v>
      </c>
      <c r="M2213" s="133">
        <v>346</v>
      </c>
      <c r="N2213" s="147"/>
      <c r="O2213" s="141"/>
      <c r="P2213" s="140"/>
    </row>
    <row r="2214" spans="1:16" hidden="1" x14ac:dyDescent="0.35">
      <c r="A2214" s="146"/>
      <c r="B2214" s="143"/>
      <c r="C2214" s="133"/>
      <c r="D2214" s="133"/>
      <c r="E2214" s="145" t="s">
        <v>1342</v>
      </c>
      <c r="F2214" s="145">
        <v>4304</v>
      </c>
      <c r="G2214" s="133" t="s">
        <v>1034</v>
      </c>
      <c r="H2214" s="144" t="s">
        <v>1341</v>
      </c>
      <c r="I2214" s="133" t="s">
        <v>1092</v>
      </c>
      <c r="J2214" s="133" t="s">
        <v>1458</v>
      </c>
      <c r="K2214" s="143">
        <v>45717</v>
      </c>
      <c r="L2214" s="133" t="s">
        <v>1092</v>
      </c>
      <c r="M2214" s="133">
        <v>4304</v>
      </c>
      <c r="N2214" s="147"/>
      <c r="P2214" s="140"/>
    </row>
    <row r="2215" spans="1:16" hidden="1" x14ac:dyDescent="0.35">
      <c r="A2215" s="146"/>
      <c r="B2215" s="143"/>
      <c r="C2215" s="133"/>
      <c r="D2215" s="133"/>
      <c r="E2215" s="145"/>
      <c r="F2215" s="145"/>
      <c r="G2215" s="133"/>
      <c r="H2215" s="144"/>
      <c r="I2215" s="133"/>
      <c r="J2215" s="133"/>
      <c r="K2215" s="133"/>
      <c r="L2215" s="133"/>
      <c r="M2215" s="133"/>
      <c r="N2215" s="147"/>
      <c r="P2215" s="140"/>
    </row>
    <row r="2216" spans="1:16" hidden="1" x14ac:dyDescent="0.35">
      <c r="A2216" s="146">
        <v>220</v>
      </c>
      <c r="B2216" s="143">
        <v>45627</v>
      </c>
      <c r="C2216" s="133" t="s">
        <v>1536</v>
      </c>
      <c r="D2216" s="133" t="s">
        <v>1144</v>
      </c>
      <c r="E2216" s="145" t="s">
        <v>1064</v>
      </c>
      <c r="F2216" s="145">
        <v>1140.2</v>
      </c>
      <c r="G2216" s="133" t="s">
        <v>1034</v>
      </c>
      <c r="H2216" s="144" t="s">
        <v>1341</v>
      </c>
      <c r="I2216" s="133" t="s">
        <v>1092</v>
      </c>
      <c r="J2216" s="133" t="s">
        <v>1503</v>
      </c>
      <c r="K2216" s="143">
        <v>45658</v>
      </c>
      <c r="L2216" s="133" t="s">
        <v>1092</v>
      </c>
      <c r="M2216" s="133">
        <f>870.2+4287.6</f>
        <v>5157.8</v>
      </c>
      <c r="N2216" s="147">
        <f>+F2216+F2217-M2216-M2217</f>
        <v>0</v>
      </c>
      <c r="O2216" s="141"/>
      <c r="P2216" s="140"/>
    </row>
    <row r="2217" spans="1:16" hidden="1" x14ac:dyDescent="0.35">
      <c r="A2217" s="146"/>
      <c r="B2217" s="143"/>
      <c r="C2217" s="133"/>
      <c r="D2217" s="133"/>
      <c r="E2217" s="145" t="s">
        <v>1075</v>
      </c>
      <c r="F2217" s="145">
        <v>4287.6000000000004</v>
      </c>
      <c r="G2217" s="133" t="s">
        <v>1034</v>
      </c>
      <c r="H2217" s="144" t="s">
        <v>1341</v>
      </c>
      <c r="I2217" s="133" t="s">
        <v>1092</v>
      </c>
      <c r="J2217" s="133" t="s">
        <v>1515</v>
      </c>
      <c r="K2217" s="143">
        <v>45658</v>
      </c>
      <c r="L2217" s="133" t="s">
        <v>1241</v>
      </c>
      <c r="M2217" s="133">
        <v>270</v>
      </c>
      <c r="N2217" s="147"/>
      <c r="O2217" s="141"/>
      <c r="P2217" s="140"/>
    </row>
    <row r="2218" spans="1:16" hidden="1" x14ac:dyDescent="0.35">
      <c r="A2218" s="146"/>
      <c r="B2218" s="143"/>
      <c r="C2218" s="133"/>
      <c r="D2218" s="133"/>
      <c r="E2218" s="145"/>
      <c r="F2218" s="145"/>
      <c r="G2218" s="133"/>
      <c r="H2218" s="144"/>
      <c r="I2218" s="133"/>
      <c r="J2218" s="133"/>
      <c r="K2218" s="133"/>
      <c r="L2218" s="133"/>
      <c r="M2218" s="133"/>
      <c r="N2218" s="147"/>
      <c r="P2218" s="140"/>
    </row>
    <row r="2219" spans="1:16" hidden="1" x14ac:dyDescent="0.35">
      <c r="A2219" s="146">
        <v>221</v>
      </c>
      <c r="B2219" s="143">
        <v>45627</v>
      </c>
      <c r="C2219" s="133" t="s">
        <v>1535</v>
      </c>
      <c r="D2219" s="133" t="s">
        <v>1144</v>
      </c>
      <c r="E2219" s="148" t="s">
        <v>1059</v>
      </c>
      <c r="F2219" s="145">
        <v>25000</v>
      </c>
      <c r="G2219" s="133" t="s">
        <v>1034</v>
      </c>
      <c r="H2219" s="144" t="s">
        <v>1341</v>
      </c>
      <c r="I2219" s="133" t="s">
        <v>1092</v>
      </c>
      <c r="J2219" s="133" t="s">
        <v>1503</v>
      </c>
      <c r="K2219" s="143">
        <v>45658</v>
      </c>
      <c r="L2219" s="133" t="s">
        <v>1092</v>
      </c>
      <c r="M2219" s="133">
        <v>7000</v>
      </c>
      <c r="N2219" s="147">
        <f>+F2219-M2219-M2220-M2221</f>
        <v>0</v>
      </c>
      <c r="O2219" s="141"/>
      <c r="P2219" s="140"/>
    </row>
    <row r="2220" spans="1:16" hidden="1" x14ac:dyDescent="0.35">
      <c r="A2220" s="146"/>
      <c r="B2220" s="143"/>
      <c r="C2220" s="133"/>
      <c r="D2220" s="133"/>
      <c r="E2220" s="148"/>
      <c r="F2220" s="145"/>
      <c r="G2220" s="133" t="s">
        <v>1034</v>
      </c>
      <c r="H2220" s="144" t="s">
        <v>1341</v>
      </c>
      <c r="I2220" s="133" t="s">
        <v>1092</v>
      </c>
      <c r="J2220" s="133" t="s">
        <v>1516</v>
      </c>
      <c r="K2220" s="143">
        <v>45658</v>
      </c>
      <c r="L2220" s="133" t="s">
        <v>1092</v>
      </c>
      <c r="M2220" s="133">
        <v>14167</v>
      </c>
      <c r="N2220" s="147"/>
      <c r="O2220" s="141"/>
      <c r="P2220" s="140"/>
    </row>
    <row r="2221" spans="1:16" hidden="1" x14ac:dyDescent="0.35">
      <c r="A2221" s="146"/>
      <c r="B2221" s="143"/>
      <c r="C2221" s="133"/>
      <c r="D2221" s="133"/>
      <c r="E2221" s="148"/>
      <c r="F2221" s="145"/>
      <c r="G2221" s="133" t="s">
        <v>1034</v>
      </c>
      <c r="H2221" s="144" t="s">
        <v>1341</v>
      </c>
      <c r="I2221" s="133" t="s">
        <v>1092</v>
      </c>
      <c r="J2221" s="133" t="s">
        <v>1515</v>
      </c>
      <c r="K2221" s="143">
        <v>45658</v>
      </c>
      <c r="L2221" s="133" t="s">
        <v>1241</v>
      </c>
      <c r="M2221" s="133">
        <v>3833</v>
      </c>
      <c r="N2221" s="147"/>
      <c r="O2221" s="141"/>
      <c r="P2221" s="140"/>
    </row>
    <row r="2222" spans="1:16" hidden="1" x14ac:dyDescent="0.35">
      <c r="A2222" s="146"/>
      <c r="B2222" s="143"/>
      <c r="C2222" s="133"/>
      <c r="D2222" s="133"/>
      <c r="E2222" s="145"/>
      <c r="F2222" s="145"/>
      <c r="G2222" s="133"/>
      <c r="H2222" s="144"/>
      <c r="I2222" s="133"/>
      <c r="J2222" s="133"/>
      <c r="K2222" s="133"/>
      <c r="L2222" s="133"/>
      <c r="M2222" s="133"/>
      <c r="N2222" s="147"/>
      <c r="P2222" s="140"/>
    </row>
    <row r="2223" spans="1:16" hidden="1" x14ac:dyDescent="0.35">
      <c r="A2223" s="146">
        <v>222</v>
      </c>
      <c r="B2223" s="143">
        <v>45627</v>
      </c>
      <c r="C2223" s="133" t="s">
        <v>1534</v>
      </c>
      <c r="D2223" s="133" t="s">
        <v>1533</v>
      </c>
      <c r="E2223" s="145" t="s">
        <v>1118</v>
      </c>
      <c r="F2223" s="145">
        <v>1985.1</v>
      </c>
      <c r="G2223" s="133" t="s">
        <v>1034</v>
      </c>
      <c r="H2223" s="144" t="s">
        <v>1341</v>
      </c>
      <c r="I2223" s="133" t="s">
        <v>1092</v>
      </c>
      <c r="J2223" s="133" t="s">
        <v>1503</v>
      </c>
      <c r="K2223" s="143">
        <v>45658</v>
      </c>
      <c r="L2223" s="133" t="s">
        <v>1092</v>
      </c>
      <c r="M2223" s="133">
        <v>3000</v>
      </c>
      <c r="N2223" s="147">
        <f>+F2223+F2224+F2225+F2226-M2223-M2224-M2225</f>
        <v>0</v>
      </c>
      <c r="O2223" s="141"/>
      <c r="P2223" s="140"/>
    </row>
    <row r="2224" spans="1:16" hidden="1" x14ac:dyDescent="0.35">
      <c r="A2224" s="146"/>
      <c r="B2224" s="143"/>
      <c r="C2224" s="133"/>
      <c r="D2224" s="133"/>
      <c r="E2224" s="145" t="s">
        <v>1067</v>
      </c>
      <c r="F2224" s="145">
        <v>1022.5</v>
      </c>
      <c r="G2224" s="133" t="s">
        <v>1034</v>
      </c>
      <c r="H2224" s="144" t="s">
        <v>1341</v>
      </c>
      <c r="I2224" s="133" t="s">
        <v>1092</v>
      </c>
      <c r="J2224" s="133" t="s">
        <v>1516</v>
      </c>
      <c r="K2224" s="143">
        <v>45658</v>
      </c>
      <c r="L2224" s="133" t="s">
        <v>1092</v>
      </c>
      <c r="M2224" s="133">
        <f>1985.1+2210+1022.5</f>
        <v>5217.6000000000004</v>
      </c>
      <c r="N2224" s="147"/>
      <c r="O2224" s="141"/>
      <c r="P2224" s="140"/>
    </row>
    <row r="2225" spans="1:16" hidden="1" x14ac:dyDescent="0.35">
      <c r="A2225" s="146"/>
      <c r="B2225" s="143"/>
      <c r="C2225" s="133"/>
      <c r="D2225" s="133"/>
      <c r="E2225" s="145" t="s">
        <v>1075</v>
      </c>
      <c r="F2225" s="145">
        <v>2480</v>
      </c>
      <c r="G2225" s="133" t="s">
        <v>1034</v>
      </c>
      <c r="H2225" s="144" t="s">
        <v>1341</v>
      </c>
      <c r="I2225" s="133" t="s">
        <v>1092</v>
      </c>
      <c r="J2225" s="133" t="s">
        <v>1515</v>
      </c>
      <c r="K2225" s="143">
        <v>45658</v>
      </c>
      <c r="L2225" s="133" t="s">
        <v>1241</v>
      </c>
      <c r="M2225" s="133">
        <v>270</v>
      </c>
      <c r="N2225" s="147"/>
      <c r="P2225" s="140"/>
    </row>
    <row r="2226" spans="1:16" hidden="1" x14ac:dyDescent="0.35">
      <c r="A2226" s="146"/>
      <c r="B2226" s="143"/>
      <c r="C2226" s="133"/>
      <c r="D2226" s="133"/>
      <c r="E2226" s="145" t="s">
        <v>1109</v>
      </c>
      <c r="F2226" s="145">
        <v>3000</v>
      </c>
      <c r="G2226" s="133"/>
      <c r="H2226" s="144"/>
      <c r="I2226" s="133"/>
      <c r="J2226" s="133"/>
      <c r="K2226" s="133"/>
      <c r="L2226" s="133"/>
      <c r="M2226" s="133"/>
      <c r="N2226" s="147"/>
      <c r="P2226" s="140"/>
    </row>
    <row r="2227" spans="1:16" hidden="1" x14ac:dyDescent="0.35">
      <c r="A2227" s="146"/>
      <c r="B2227" s="143"/>
      <c r="C2227" s="133"/>
      <c r="D2227" s="133"/>
      <c r="E2227" s="145"/>
      <c r="F2227" s="145"/>
      <c r="G2227" s="133"/>
      <c r="H2227" s="144"/>
      <c r="I2227" s="133"/>
      <c r="J2227" s="133"/>
      <c r="K2227" s="133"/>
      <c r="L2227" s="133"/>
      <c r="M2227" s="133"/>
      <c r="N2227" s="147"/>
      <c r="P2227" s="140"/>
    </row>
    <row r="2228" spans="1:16" hidden="1" x14ac:dyDescent="0.35">
      <c r="A2228" s="146">
        <v>223</v>
      </c>
      <c r="B2228" s="143">
        <v>45627</v>
      </c>
      <c r="C2228" s="133" t="s">
        <v>1532</v>
      </c>
      <c r="D2228" s="133" t="s">
        <v>1142</v>
      </c>
      <c r="E2228" s="145" t="s">
        <v>1118</v>
      </c>
      <c r="F2228" s="145">
        <v>6955.07</v>
      </c>
      <c r="G2228" s="133" t="s">
        <v>1034</v>
      </c>
      <c r="H2228" s="144" t="s">
        <v>1341</v>
      </c>
      <c r="I2228" s="133" t="s">
        <v>1092</v>
      </c>
      <c r="J2228" s="133" t="s">
        <v>1516</v>
      </c>
      <c r="K2228" s="143">
        <v>45658</v>
      </c>
      <c r="L2228" s="133" t="s">
        <v>1092</v>
      </c>
      <c r="M2228" s="133">
        <f>295+6955.07+1422</f>
        <v>8672.07</v>
      </c>
      <c r="N2228" s="147">
        <f>+F2228+F2229+F2230+F2231-M2228-M2229-M2230</f>
        <v>0</v>
      </c>
      <c r="O2228" s="141"/>
      <c r="P2228" s="140"/>
    </row>
    <row r="2229" spans="1:16" hidden="1" x14ac:dyDescent="0.35">
      <c r="A2229" s="146"/>
      <c r="B2229" s="143"/>
      <c r="C2229" s="133"/>
      <c r="D2229" s="133"/>
      <c r="E2229" s="145" t="s">
        <v>1067</v>
      </c>
      <c r="F2229" s="145">
        <v>1422</v>
      </c>
      <c r="G2229" s="133" t="s">
        <v>1034</v>
      </c>
      <c r="H2229" s="144" t="s">
        <v>1341</v>
      </c>
      <c r="I2229" s="133" t="s">
        <v>1092</v>
      </c>
      <c r="J2229" s="133" t="s">
        <v>1515</v>
      </c>
      <c r="K2229" s="143">
        <v>45658</v>
      </c>
      <c r="L2229" s="133" t="s">
        <v>1241</v>
      </c>
      <c r="M2229" s="133">
        <v>590</v>
      </c>
      <c r="N2229" s="147"/>
      <c r="O2229" s="141"/>
      <c r="P2229" s="140"/>
    </row>
    <row r="2230" spans="1:16" hidden="1" x14ac:dyDescent="0.35">
      <c r="A2230" s="146"/>
      <c r="B2230" s="143"/>
      <c r="C2230" s="133"/>
      <c r="D2230" s="133"/>
      <c r="E2230" s="145" t="s">
        <v>1075</v>
      </c>
      <c r="F2230" s="145">
        <v>885</v>
      </c>
      <c r="G2230" s="133" t="s">
        <v>1034</v>
      </c>
      <c r="H2230" s="144" t="s">
        <v>1341</v>
      </c>
      <c r="I2230" s="133" t="s">
        <v>1092</v>
      </c>
      <c r="J2230" s="133" t="s">
        <v>1458</v>
      </c>
      <c r="K2230" s="143">
        <v>45717</v>
      </c>
      <c r="L2230" s="133" t="s">
        <v>1092</v>
      </c>
      <c r="M2230" s="133">
        <v>2682</v>
      </c>
      <c r="N2230" s="147"/>
      <c r="P2230" s="140"/>
    </row>
    <row r="2231" spans="1:16" hidden="1" x14ac:dyDescent="0.35">
      <c r="A2231" s="146"/>
      <c r="B2231" s="143"/>
      <c r="C2231" s="133"/>
      <c r="D2231" s="133"/>
      <c r="E2231" s="145" t="s">
        <v>1342</v>
      </c>
      <c r="F2231" s="145">
        <v>2682</v>
      </c>
      <c r="G2231" s="133"/>
      <c r="H2231" s="144"/>
      <c r="I2231" s="133"/>
      <c r="J2231" s="133"/>
      <c r="K2231" s="133"/>
      <c r="L2231" s="133"/>
      <c r="M2231" s="133"/>
      <c r="N2231" s="147"/>
      <c r="P2231" s="140"/>
    </row>
    <row r="2232" spans="1:16" hidden="1" x14ac:dyDescent="0.35">
      <c r="A2232" s="146"/>
      <c r="B2232" s="143"/>
      <c r="C2232" s="133"/>
      <c r="D2232" s="133"/>
      <c r="E2232" s="145"/>
      <c r="F2232" s="145"/>
      <c r="G2232" s="133"/>
      <c r="H2232" s="144"/>
      <c r="I2232" s="133"/>
      <c r="J2232" s="133"/>
      <c r="K2232" s="133"/>
      <c r="L2232" s="133"/>
      <c r="M2232" s="133"/>
      <c r="N2232" s="147"/>
      <c r="P2232" s="140"/>
    </row>
    <row r="2233" spans="1:16" hidden="1" x14ac:dyDescent="0.35">
      <c r="A2233" s="146">
        <v>224</v>
      </c>
      <c r="B2233" s="143">
        <v>45627</v>
      </c>
      <c r="C2233" s="133" t="s">
        <v>1531</v>
      </c>
      <c r="D2233" s="133" t="s">
        <v>1139</v>
      </c>
      <c r="E2233" s="145" t="s">
        <v>1064</v>
      </c>
      <c r="F2233" s="145">
        <v>2346</v>
      </c>
      <c r="G2233" s="133" t="s">
        <v>1034</v>
      </c>
      <c r="H2233" s="144" t="s">
        <v>1341</v>
      </c>
      <c r="I2233" s="133" t="s">
        <v>1092</v>
      </c>
      <c r="J2233" s="133" t="s">
        <v>1516</v>
      </c>
      <c r="K2233" s="143">
        <v>45658</v>
      </c>
      <c r="L2233" s="133" t="s">
        <v>1092</v>
      </c>
      <c r="M2233" s="133">
        <f>1906+211+300</f>
        <v>2417</v>
      </c>
      <c r="N2233" s="147">
        <f>+F2233+F2234+F2235+F2236-M2233-M2234-M2235</f>
        <v>0</v>
      </c>
      <c r="O2233" s="141"/>
      <c r="P2233" s="140"/>
    </row>
    <row r="2234" spans="1:16" hidden="1" x14ac:dyDescent="0.35">
      <c r="A2234" s="146"/>
      <c r="B2234" s="143"/>
      <c r="C2234" s="133"/>
      <c r="D2234" s="133"/>
      <c r="E2234" s="145" t="s">
        <v>1075</v>
      </c>
      <c r="F2234" s="145">
        <v>211</v>
      </c>
      <c r="G2234" s="133" t="s">
        <v>1034</v>
      </c>
      <c r="H2234" s="144" t="s">
        <v>1341</v>
      </c>
      <c r="I2234" s="133" t="s">
        <v>1092</v>
      </c>
      <c r="J2234" s="133" t="s">
        <v>1515</v>
      </c>
      <c r="K2234" s="143">
        <v>45658</v>
      </c>
      <c r="L2234" s="133" t="s">
        <v>1241</v>
      </c>
      <c r="M2234" s="133">
        <v>440</v>
      </c>
      <c r="N2234" s="147"/>
      <c r="O2234" s="141"/>
      <c r="P2234" s="140"/>
    </row>
    <row r="2235" spans="1:16" hidden="1" x14ac:dyDescent="0.35">
      <c r="A2235" s="146"/>
      <c r="B2235" s="143"/>
      <c r="C2235" s="133"/>
      <c r="D2235" s="133"/>
      <c r="E2235" s="145" t="s">
        <v>1067</v>
      </c>
      <c r="F2235" s="145">
        <v>300</v>
      </c>
      <c r="G2235" s="133" t="s">
        <v>1034</v>
      </c>
      <c r="H2235" s="144" t="s">
        <v>1341</v>
      </c>
      <c r="I2235" s="133" t="s">
        <v>1092</v>
      </c>
      <c r="J2235" s="133" t="s">
        <v>1458</v>
      </c>
      <c r="K2235" s="143">
        <v>45717</v>
      </c>
      <c r="L2235" s="133" t="s">
        <v>1092</v>
      </c>
      <c r="M2235" s="133">
        <v>5995</v>
      </c>
      <c r="N2235" s="147"/>
      <c r="P2235" s="140"/>
    </row>
    <row r="2236" spans="1:16" hidden="1" x14ac:dyDescent="0.35">
      <c r="A2236" s="146"/>
      <c r="B2236" s="143"/>
      <c r="C2236" s="133"/>
      <c r="D2236" s="133"/>
      <c r="E2236" s="145" t="s">
        <v>1342</v>
      </c>
      <c r="F2236" s="145">
        <v>5995</v>
      </c>
      <c r="G2236" s="133"/>
      <c r="H2236" s="144"/>
      <c r="I2236" s="133"/>
      <c r="J2236" s="133"/>
      <c r="K2236" s="133"/>
      <c r="L2236" s="133"/>
      <c r="M2236" s="133"/>
      <c r="N2236" s="147"/>
      <c r="P2236" s="140"/>
    </row>
    <row r="2237" spans="1:16" hidden="1" x14ac:dyDescent="0.35">
      <c r="A2237" s="146"/>
      <c r="B2237" s="143"/>
      <c r="C2237" s="133"/>
      <c r="D2237" s="133"/>
      <c r="E2237" s="145"/>
      <c r="F2237" s="145"/>
      <c r="G2237" s="133"/>
      <c r="H2237" s="144"/>
      <c r="I2237" s="133"/>
      <c r="J2237" s="133"/>
      <c r="K2237" s="133"/>
      <c r="L2237" s="133"/>
      <c r="M2237" s="133"/>
      <c r="N2237" s="147"/>
      <c r="P2237" s="140"/>
    </row>
    <row r="2238" spans="1:16" hidden="1" x14ac:dyDescent="0.35">
      <c r="A2238" s="146">
        <v>225</v>
      </c>
      <c r="B2238" s="143">
        <v>45627</v>
      </c>
      <c r="C2238" s="133" t="s">
        <v>1530</v>
      </c>
      <c r="D2238" s="133" t="s">
        <v>1529</v>
      </c>
      <c r="E2238" s="145" t="s">
        <v>1118</v>
      </c>
      <c r="F2238" s="145">
        <v>2506.6</v>
      </c>
      <c r="G2238" s="133" t="s">
        <v>1034</v>
      </c>
      <c r="H2238" s="144" t="s">
        <v>1341</v>
      </c>
      <c r="I2238" s="133" t="s">
        <v>1092</v>
      </c>
      <c r="J2238" s="133" t="s">
        <v>1516</v>
      </c>
      <c r="K2238" s="143">
        <v>45658</v>
      </c>
      <c r="L2238" s="133" t="s">
        <v>1092</v>
      </c>
      <c r="M2238" s="133">
        <f>7777.07+4226+2506.6</f>
        <v>14509.67</v>
      </c>
      <c r="N2238" s="147">
        <f>+F2238+F2239+F2240+F2241-M2238-M2239-M2240</f>
        <v>3.694822225952521E-13</v>
      </c>
      <c r="O2238" s="141"/>
      <c r="P2238" s="140"/>
    </row>
    <row r="2239" spans="1:16" hidden="1" x14ac:dyDescent="0.35">
      <c r="A2239" s="146"/>
      <c r="B2239" s="143"/>
      <c r="C2239" s="133"/>
      <c r="D2239" s="133"/>
      <c r="E2239" s="145" t="s">
        <v>1075</v>
      </c>
      <c r="F2239" s="145">
        <v>4226</v>
      </c>
      <c r="G2239" s="133" t="s">
        <v>1034</v>
      </c>
      <c r="H2239" s="144" t="s">
        <v>1341</v>
      </c>
      <c r="I2239" s="133" t="s">
        <v>1092</v>
      </c>
      <c r="J2239" s="133" t="s">
        <v>1515</v>
      </c>
      <c r="K2239" s="143">
        <v>45658</v>
      </c>
      <c r="L2239" s="133" t="s">
        <v>1241</v>
      </c>
      <c r="M2239" s="133">
        <v>770</v>
      </c>
      <c r="N2239" s="147"/>
      <c r="O2239" s="141"/>
      <c r="P2239" s="140"/>
    </row>
    <row r="2240" spans="1:16" hidden="1" x14ac:dyDescent="0.35">
      <c r="A2240" s="146"/>
      <c r="B2240" s="143"/>
      <c r="C2240" s="133"/>
      <c r="D2240" s="133"/>
      <c r="E2240" s="145" t="s">
        <v>1067</v>
      </c>
      <c r="F2240" s="145">
        <v>8547.07</v>
      </c>
      <c r="G2240" s="133" t="s">
        <v>1034</v>
      </c>
      <c r="H2240" s="144" t="s">
        <v>1341</v>
      </c>
      <c r="I2240" s="133" t="s">
        <v>1092</v>
      </c>
      <c r="J2240" s="133" t="s">
        <v>1458</v>
      </c>
      <c r="K2240" s="143">
        <v>45717</v>
      </c>
      <c r="L2240" s="133" t="s">
        <v>1092</v>
      </c>
      <c r="M2240" s="133">
        <v>173.1</v>
      </c>
      <c r="N2240" s="147"/>
      <c r="P2240" s="140"/>
    </row>
    <row r="2241" spans="1:16" hidden="1" x14ac:dyDescent="0.35">
      <c r="A2241" s="146"/>
      <c r="B2241" s="143"/>
      <c r="C2241" s="133"/>
      <c r="D2241" s="133"/>
      <c r="E2241" s="145" t="s">
        <v>1071</v>
      </c>
      <c r="F2241" s="145">
        <v>173.1</v>
      </c>
      <c r="G2241" s="133"/>
      <c r="H2241" s="144"/>
      <c r="I2241" s="133"/>
      <c r="J2241" s="133"/>
      <c r="K2241" s="133"/>
      <c r="L2241" s="133"/>
      <c r="M2241" s="133"/>
      <c r="N2241" s="147"/>
      <c r="P2241" s="140"/>
    </row>
    <row r="2242" spans="1:16" hidden="1" x14ac:dyDescent="0.35">
      <c r="A2242" s="146"/>
      <c r="B2242" s="143"/>
      <c r="C2242" s="133"/>
      <c r="D2242" s="133"/>
      <c r="E2242" s="145"/>
      <c r="F2242" s="145"/>
      <c r="G2242" s="133"/>
      <c r="H2242" s="144"/>
      <c r="I2242" s="133"/>
      <c r="J2242" s="133"/>
      <c r="K2242" s="133"/>
      <c r="L2242" s="133"/>
      <c r="M2242" s="133"/>
      <c r="N2242" s="147"/>
      <c r="P2242" s="140"/>
    </row>
    <row r="2243" spans="1:16" hidden="1" x14ac:dyDescent="0.35">
      <c r="A2243" s="146">
        <v>226</v>
      </c>
      <c r="B2243" s="143">
        <v>45627</v>
      </c>
      <c r="C2243" s="133" t="s">
        <v>1528</v>
      </c>
      <c r="D2243" s="133" t="s">
        <v>1527</v>
      </c>
      <c r="E2243" s="145" t="s">
        <v>1071</v>
      </c>
      <c r="F2243" s="145">
        <v>1245.5999999999999</v>
      </c>
      <c r="G2243" s="133" t="s">
        <v>1034</v>
      </c>
      <c r="H2243" s="144" t="s">
        <v>1341</v>
      </c>
      <c r="I2243" s="133" t="s">
        <v>1092</v>
      </c>
      <c r="J2243" s="133" t="s">
        <v>1515</v>
      </c>
      <c r="K2243" s="143">
        <v>45658</v>
      </c>
      <c r="L2243" s="133" t="s">
        <v>1241</v>
      </c>
      <c r="M2243" s="140">
        <v>62</v>
      </c>
      <c r="N2243" s="147">
        <f>+F2243-M2243-M2244</f>
        <v>0</v>
      </c>
      <c r="O2243" s="141"/>
      <c r="P2243" s="140"/>
    </row>
    <row r="2244" spans="1:16" hidden="1" x14ac:dyDescent="0.35">
      <c r="A2244" s="146"/>
      <c r="B2244" s="143"/>
      <c r="C2244" s="133"/>
      <c r="D2244" s="133"/>
      <c r="E2244" s="145"/>
      <c r="F2244" s="145"/>
      <c r="G2244" s="133" t="s">
        <v>1034</v>
      </c>
      <c r="H2244" s="144" t="s">
        <v>1341</v>
      </c>
      <c r="I2244" s="133" t="s">
        <v>1092</v>
      </c>
      <c r="J2244" s="133" t="s">
        <v>1458</v>
      </c>
      <c r="K2244" s="143">
        <v>45717</v>
      </c>
      <c r="L2244" s="133" t="s">
        <v>1092</v>
      </c>
      <c r="M2244" s="133">
        <v>1183.5999999999999</v>
      </c>
      <c r="N2244" s="147"/>
      <c r="P2244" s="140"/>
    </row>
    <row r="2245" spans="1:16" hidden="1" x14ac:dyDescent="0.35">
      <c r="A2245" s="146"/>
      <c r="B2245" s="143"/>
      <c r="C2245" s="133"/>
      <c r="D2245" s="133"/>
      <c r="E2245" s="145"/>
      <c r="F2245" s="145"/>
      <c r="G2245" s="133"/>
      <c r="H2245" s="144"/>
      <c r="I2245" s="133"/>
      <c r="J2245" s="133"/>
      <c r="K2245" s="143"/>
      <c r="L2245" s="133"/>
      <c r="M2245" s="133"/>
      <c r="N2245" s="147"/>
      <c r="P2245" s="140"/>
    </row>
    <row r="2246" spans="1:16" hidden="1" x14ac:dyDescent="0.35">
      <c r="A2246" s="146">
        <v>227</v>
      </c>
      <c r="B2246" s="143">
        <v>45627</v>
      </c>
      <c r="C2246" s="133" t="s">
        <v>1526</v>
      </c>
      <c r="D2246" s="133" t="s">
        <v>1137</v>
      </c>
      <c r="E2246" s="145" t="s">
        <v>1118</v>
      </c>
      <c r="F2246" s="145">
        <v>2557.1999999999998</v>
      </c>
      <c r="G2246" s="133" t="s">
        <v>1034</v>
      </c>
      <c r="H2246" s="144" t="s">
        <v>1341</v>
      </c>
      <c r="I2246" s="133" t="s">
        <v>1092</v>
      </c>
      <c r="J2246" s="133" t="s">
        <v>1516</v>
      </c>
      <c r="K2246" s="143">
        <v>45658</v>
      </c>
      <c r="L2246" s="133" t="s">
        <v>1092</v>
      </c>
      <c r="M2246" s="133">
        <f>2147.9+2557.2+2178</f>
        <v>6883.1</v>
      </c>
      <c r="N2246" s="147">
        <f>+F2246+F2247+F2248+F2249-M2246-M2247-M2248</f>
        <v>0</v>
      </c>
      <c r="O2246" s="141"/>
      <c r="P2246" s="140"/>
    </row>
    <row r="2247" spans="1:16" hidden="1" x14ac:dyDescent="0.35">
      <c r="A2247" s="146"/>
      <c r="B2247" s="143"/>
      <c r="C2247" s="133"/>
      <c r="D2247" s="133"/>
      <c r="E2247" s="145" t="s">
        <v>1342</v>
      </c>
      <c r="F2247" s="145">
        <v>3989</v>
      </c>
      <c r="G2247" s="133" t="s">
        <v>1034</v>
      </c>
      <c r="H2247" s="144" t="s">
        <v>1341</v>
      </c>
      <c r="I2247" s="133" t="s">
        <v>1092</v>
      </c>
      <c r="J2247" s="133" t="s">
        <v>1515</v>
      </c>
      <c r="K2247" s="143">
        <v>45658</v>
      </c>
      <c r="L2247" s="133" t="s">
        <v>1241</v>
      </c>
      <c r="M2247" s="133">
        <v>560</v>
      </c>
      <c r="N2247" s="147"/>
      <c r="O2247" s="141"/>
      <c r="P2247" s="140"/>
    </row>
    <row r="2248" spans="1:16" hidden="1" x14ac:dyDescent="0.35">
      <c r="A2248" s="146"/>
      <c r="B2248" s="143"/>
      <c r="C2248" s="133"/>
      <c r="D2248" s="133"/>
      <c r="E2248" s="145" t="s">
        <v>1067</v>
      </c>
      <c r="F2248" s="145">
        <v>2178</v>
      </c>
      <c r="G2248" s="133" t="s">
        <v>1034</v>
      </c>
      <c r="H2248" s="144" t="s">
        <v>1341</v>
      </c>
      <c r="I2248" s="133" t="s">
        <v>1092</v>
      </c>
      <c r="J2248" s="133" t="s">
        <v>1458</v>
      </c>
      <c r="K2248" s="143">
        <v>45717</v>
      </c>
      <c r="L2248" s="133" t="s">
        <v>1092</v>
      </c>
      <c r="M2248" s="133">
        <v>3989</v>
      </c>
      <c r="N2248" s="147"/>
      <c r="P2248" s="140"/>
    </row>
    <row r="2249" spans="1:16" hidden="1" x14ac:dyDescent="0.35">
      <c r="A2249" s="146"/>
      <c r="B2249" s="143"/>
      <c r="C2249" s="133"/>
      <c r="D2249" s="133"/>
      <c r="E2249" s="145" t="s">
        <v>1075</v>
      </c>
      <c r="F2249" s="145">
        <v>2707.9</v>
      </c>
      <c r="G2249" s="133"/>
      <c r="H2249" s="144"/>
      <c r="I2249" s="133"/>
      <c r="J2249" s="133"/>
      <c r="K2249" s="133"/>
      <c r="L2249" s="133"/>
      <c r="M2249" s="133"/>
      <c r="N2249" s="147"/>
      <c r="P2249" s="140"/>
    </row>
    <row r="2250" spans="1:16" hidden="1" x14ac:dyDescent="0.35">
      <c r="A2250" s="146"/>
      <c r="B2250" s="143"/>
      <c r="C2250" s="133"/>
      <c r="D2250" s="133"/>
      <c r="E2250" s="145"/>
      <c r="F2250" s="145"/>
      <c r="G2250" s="133"/>
      <c r="H2250" s="144"/>
      <c r="I2250" s="133"/>
      <c r="J2250" s="133"/>
      <c r="K2250" s="133"/>
      <c r="L2250" s="133"/>
      <c r="M2250" s="133"/>
      <c r="N2250" s="147"/>
      <c r="P2250" s="140"/>
    </row>
    <row r="2251" spans="1:16" hidden="1" x14ac:dyDescent="0.35">
      <c r="A2251" s="146">
        <v>228</v>
      </c>
      <c r="B2251" s="143">
        <v>45627</v>
      </c>
      <c r="C2251" s="133" t="s">
        <v>1525</v>
      </c>
      <c r="D2251" s="133" t="s">
        <v>1135</v>
      </c>
      <c r="E2251" s="145" t="s">
        <v>1075</v>
      </c>
      <c r="F2251" s="145">
        <v>3354</v>
      </c>
      <c r="G2251" s="133" t="s">
        <v>1034</v>
      </c>
      <c r="H2251" s="144" t="s">
        <v>1341</v>
      </c>
      <c r="I2251" s="133" t="s">
        <v>1092</v>
      </c>
      <c r="J2251" s="133" t="s">
        <v>1516</v>
      </c>
      <c r="K2251" s="143">
        <v>45658</v>
      </c>
      <c r="L2251" s="133" t="s">
        <v>1092</v>
      </c>
      <c r="M2251" s="133">
        <v>3184</v>
      </c>
      <c r="N2251" s="147">
        <f>+F2251-M2251-M2252</f>
        <v>0</v>
      </c>
      <c r="O2251" s="141"/>
      <c r="P2251" s="140"/>
    </row>
    <row r="2252" spans="1:16" hidden="1" x14ac:dyDescent="0.35">
      <c r="A2252" s="146"/>
      <c r="B2252" s="143"/>
      <c r="C2252" s="133"/>
      <c r="D2252" s="133"/>
      <c r="E2252" s="145"/>
      <c r="F2252" s="145"/>
      <c r="G2252" s="133" t="s">
        <v>1034</v>
      </c>
      <c r="H2252" s="144" t="s">
        <v>1341</v>
      </c>
      <c r="I2252" s="133" t="s">
        <v>1092</v>
      </c>
      <c r="J2252" s="133" t="s">
        <v>1515</v>
      </c>
      <c r="K2252" s="143">
        <v>45658</v>
      </c>
      <c r="L2252" s="133" t="s">
        <v>1241</v>
      </c>
      <c r="M2252" s="133">
        <v>170</v>
      </c>
      <c r="N2252" s="147"/>
      <c r="P2252" s="140"/>
    </row>
    <row r="2253" spans="1:16" hidden="1" x14ac:dyDescent="0.35">
      <c r="A2253" s="146"/>
      <c r="B2253" s="143"/>
      <c r="C2253" s="133"/>
      <c r="D2253" s="133"/>
      <c r="E2253" s="145"/>
      <c r="F2253" s="145"/>
      <c r="G2253" s="133"/>
      <c r="H2253" s="144"/>
      <c r="I2253" s="133"/>
      <c r="J2253" s="133"/>
      <c r="K2253" s="143"/>
      <c r="L2253" s="133"/>
      <c r="M2253" s="133"/>
      <c r="N2253" s="142"/>
      <c r="P2253" s="140"/>
    </row>
    <row r="2254" spans="1:16" hidden="1" x14ac:dyDescent="0.35">
      <c r="A2254" s="146">
        <v>229</v>
      </c>
      <c r="B2254" s="143">
        <v>45627</v>
      </c>
      <c r="C2254" s="133" t="s">
        <v>1524</v>
      </c>
      <c r="D2254" s="133" t="s">
        <v>1523</v>
      </c>
      <c r="E2254" s="145" t="s">
        <v>1118</v>
      </c>
      <c r="F2254" s="145">
        <v>3321.7</v>
      </c>
      <c r="G2254" s="133" t="s">
        <v>1034</v>
      </c>
      <c r="H2254" s="144" t="s">
        <v>1341</v>
      </c>
      <c r="I2254" s="133" t="s">
        <v>1092</v>
      </c>
      <c r="J2254" s="133" t="s">
        <v>1516</v>
      </c>
      <c r="K2254" s="143">
        <v>45658</v>
      </c>
      <c r="L2254" s="133" t="s">
        <v>1092</v>
      </c>
      <c r="M2254" s="133">
        <v>5777.3</v>
      </c>
      <c r="N2254" s="142">
        <f>+F2254+F2255+F2256-M2254-M2255</f>
        <v>0</v>
      </c>
      <c r="O2254" s="141"/>
      <c r="P2254" s="140"/>
    </row>
    <row r="2255" spans="1:16" hidden="1" x14ac:dyDescent="0.35">
      <c r="A2255" s="146"/>
      <c r="B2255" s="143"/>
      <c r="C2255" s="133"/>
      <c r="D2255" s="133"/>
      <c r="E2255" s="145" t="s">
        <v>1075</v>
      </c>
      <c r="F2255" s="145">
        <v>896.6</v>
      </c>
      <c r="G2255" s="133" t="s">
        <v>1034</v>
      </c>
      <c r="H2255" s="144" t="s">
        <v>1341</v>
      </c>
      <c r="I2255" s="133" t="s">
        <v>1092</v>
      </c>
      <c r="J2255" s="133" t="s">
        <v>1515</v>
      </c>
      <c r="K2255" s="143">
        <v>45658</v>
      </c>
      <c r="L2255" s="133" t="s">
        <v>1241</v>
      </c>
      <c r="M2255" s="133">
        <v>305</v>
      </c>
      <c r="N2255" s="142"/>
      <c r="O2255" s="141"/>
      <c r="P2255" s="140"/>
    </row>
    <row r="2256" spans="1:16" hidden="1" x14ac:dyDescent="0.35">
      <c r="A2256" s="146"/>
      <c r="B2256" s="143"/>
      <c r="C2256" s="133"/>
      <c r="D2256" s="133"/>
      <c r="E2256" s="145" t="s">
        <v>1067</v>
      </c>
      <c r="F2256" s="145">
        <v>1864</v>
      </c>
      <c r="G2256" s="133"/>
      <c r="H2256" s="144"/>
      <c r="I2256" s="133"/>
      <c r="J2256" s="133"/>
      <c r="K2256" s="133"/>
      <c r="L2256" s="133"/>
      <c r="M2256" s="133"/>
      <c r="N2256" s="142"/>
      <c r="P2256" s="140"/>
    </row>
    <row r="2257" spans="1:18" hidden="1" x14ac:dyDescent="0.35">
      <c r="A2257" s="146"/>
      <c r="B2257" s="143"/>
      <c r="C2257" s="133"/>
      <c r="D2257" s="133"/>
      <c r="E2257" s="145"/>
      <c r="F2257" s="145"/>
      <c r="G2257" s="133"/>
      <c r="H2257" s="144"/>
      <c r="I2257" s="133"/>
      <c r="J2257" s="133"/>
      <c r="K2257" s="133"/>
      <c r="L2257" s="133"/>
      <c r="M2257" s="133"/>
      <c r="N2257" s="142"/>
      <c r="P2257" s="140"/>
    </row>
    <row r="2258" spans="1:18" hidden="1" x14ac:dyDescent="0.35">
      <c r="A2258" s="156"/>
      <c r="B2258" s="152"/>
      <c r="C2258" s="151"/>
      <c r="D2258" s="151"/>
      <c r="E2258" s="154"/>
      <c r="F2258" s="154"/>
      <c r="G2258" s="151"/>
      <c r="H2258" s="153"/>
      <c r="I2258" s="151"/>
      <c r="J2258" s="151"/>
      <c r="K2258" s="151"/>
      <c r="L2258" s="151"/>
      <c r="M2258" s="151"/>
      <c r="N2258" s="150"/>
      <c r="P2258" s="140"/>
    </row>
    <row r="2259" spans="1:18" hidden="1" x14ac:dyDescent="0.35">
      <c r="A2259" s="146"/>
      <c r="B2259" s="143"/>
      <c r="C2259" s="133"/>
      <c r="D2259" s="133"/>
      <c r="E2259" s="145"/>
      <c r="F2259" s="145"/>
      <c r="G2259" s="133"/>
      <c r="H2259" s="144"/>
      <c r="I2259" s="133"/>
      <c r="J2259" s="133"/>
      <c r="K2259" s="133"/>
      <c r="L2259" s="133"/>
      <c r="M2259" s="133"/>
      <c r="N2259" s="142"/>
      <c r="P2259" s="140"/>
    </row>
    <row r="2260" spans="1:18" hidden="1" x14ac:dyDescent="0.35">
      <c r="A2260" s="146">
        <v>230</v>
      </c>
      <c r="B2260" s="143">
        <v>45658</v>
      </c>
      <c r="C2260" s="133" t="s">
        <v>1522</v>
      </c>
      <c r="D2260" s="133" t="s">
        <v>1521</v>
      </c>
      <c r="E2260" s="145" t="s">
        <v>1342</v>
      </c>
      <c r="F2260" s="145">
        <v>190</v>
      </c>
      <c r="G2260" s="133" t="s">
        <v>1034</v>
      </c>
      <c r="H2260" s="144" t="s">
        <v>1341</v>
      </c>
      <c r="I2260" s="133" t="s">
        <v>1092</v>
      </c>
      <c r="J2260" s="133" t="s">
        <v>1516</v>
      </c>
      <c r="K2260" s="143">
        <v>45658</v>
      </c>
      <c r="L2260" s="133" t="s">
        <v>1092</v>
      </c>
      <c r="M2260" s="133">
        <f>5925+1289</f>
        <v>7214</v>
      </c>
      <c r="N2260" s="147">
        <f>+F2260+F2261+F2262-M2260-M2261-M2262</f>
        <v>0</v>
      </c>
      <c r="O2260" s="141"/>
      <c r="P2260" s="140"/>
    </row>
    <row r="2261" spans="1:18" hidden="1" x14ac:dyDescent="0.35">
      <c r="A2261" s="146"/>
      <c r="B2261" s="143"/>
      <c r="C2261" s="133"/>
      <c r="D2261" s="133"/>
      <c r="E2261" s="145" t="s">
        <v>1075</v>
      </c>
      <c r="F2261" s="145">
        <v>6315</v>
      </c>
      <c r="G2261" s="133" t="s">
        <v>1034</v>
      </c>
      <c r="H2261" s="144" t="s">
        <v>1341</v>
      </c>
      <c r="I2261" s="133" t="s">
        <v>1092</v>
      </c>
      <c r="J2261" s="133" t="s">
        <v>1515</v>
      </c>
      <c r="K2261" s="143">
        <v>45658</v>
      </c>
      <c r="L2261" s="133" t="s">
        <v>1241</v>
      </c>
      <c r="M2261" s="133">
        <v>390</v>
      </c>
      <c r="N2261" s="142"/>
      <c r="O2261" s="141"/>
      <c r="P2261" s="140"/>
    </row>
    <row r="2262" spans="1:18" hidden="1" x14ac:dyDescent="0.35">
      <c r="A2262" s="146"/>
      <c r="B2262" s="143"/>
      <c r="C2262" s="133"/>
      <c r="D2262" s="133"/>
      <c r="E2262" s="145" t="s">
        <v>1067</v>
      </c>
      <c r="F2262" s="145">
        <v>1289</v>
      </c>
      <c r="G2262" s="133" t="s">
        <v>1034</v>
      </c>
      <c r="H2262" s="144" t="s">
        <v>1341</v>
      </c>
      <c r="I2262" s="133" t="s">
        <v>1092</v>
      </c>
      <c r="J2262" s="133" t="s">
        <v>1463</v>
      </c>
      <c r="K2262" s="143">
        <v>45689</v>
      </c>
      <c r="L2262" s="133" t="s">
        <v>1092</v>
      </c>
      <c r="M2262" s="133">
        <v>190</v>
      </c>
      <c r="N2262" s="142"/>
      <c r="P2262" s="140"/>
      <c r="R2262" s="140"/>
    </row>
    <row r="2263" spans="1:18" hidden="1" x14ac:dyDescent="0.35">
      <c r="A2263" s="146"/>
      <c r="B2263" s="143"/>
      <c r="C2263" s="133"/>
      <c r="D2263" s="133"/>
      <c r="E2263" s="145"/>
      <c r="F2263" s="145"/>
      <c r="G2263" s="133"/>
      <c r="H2263" s="144"/>
      <c r="I2263" s="133"/>
      <c r="J2263" s="133"/>
      <c r="K2263" s="133"/>
      <c r="L2263" s="133"/>
      <c r="M2263" s="133"/>
      <c r="N2263" s="142"/>
      <c r="P2263" s="140"/>
    </row>
    <row r="2264" spans="1:18" hidden="1" x14ac:dyDescent="0.35">
      <c r="A2264" s="146">
        <v>231</v>
      </c>
      <c r="B2264" s="143">
        <v>45658</v>
      </c>
      <c r="C2264" s="133" t="s">
        <v>1520</v>
      </c>
      <c r="D2264" s="133" t="s">
        <v>1519</v>
      </c>
      <c r="E2264" s="145" t="s">
        <v>1342</v>
      </c>
      <c r="F2264" s="145">
        <v>3224</v>
      </c>
      <c r="G2264" s="133" t="s">
        <v>1034</v>
      </c>
      <c r="H2264" s="144" t="s">
        <v>1341</v>
      </c>
      <c r="I2264" s="133" t="s">
        <v>1092</v>
      </c>
      <c r="J2264" s="133" t="s">
        <v>1516</v>
      </c>
      <c r="K2264" s="143">
        <v>45658</v>
      </c>
      <c r="L2264" s="133" t="s">
        <v>1092</v>
      </c>
      <c r="M2264" s="133">
        <f>842.9+1680.5+5636.54</f>
        <v>8159.9400000000005</v>
      </c>
      <c r="N2264" s="147">
        <f>+F2264+F2265+F2266+F2267-M2264-M2265-M2266</f>
        <v>0</v>
      </c>
      <c r="O2264" s="141"/>
      <c r="P2264" s="140"/>
    </row>
    <row r="2265" spans="1:18" hidden="1" x14ac:dyDescent="0.35">
      <c r="A2265" s="146"/>
      <c r="B2265" s="143"/>
      <c r="C2265" s="133"/>
      <c r="D2265" s="133"/>
      <c r="E2265" s="145" t="s">
        <v>1075</v>
      </c>
      <c r="F2265" s="145">
        <v>842.9</v>
      </c>
      <c r="G2265" s="133" t="s">
        <v>1034</v>
      </c>
      <c r="H2265" s="144" t="s">
        <v>1341</v>
      </c>
      <c r="I2265" s="133" t="s">
        <v>1092</v>
      </c>
      <c r="J2265" s="133" t="s">
        <v>1515</v>
      </c>
      <c r="K2265" s="143">
        <v>45658</v>
      </c>
      <c r="L2265" s="133" t="s">
        <v>1241</v>
      </c>
      <c r="M2265" s="133">
        <v>599</v>
      </c>
      <c r="N2265" s="142"/>
      <c r="O2265" s="141"/>
      <c r="P2265" s="140"/>
    </row>
    <row r="2266" spans="1:18" hidden="1" x14ac:dyDescent="0.35">
      <c r="A2266" s="146"/>
      <c r="B2266" s="143"/>
      <c r="C2266" s="133"/>
      <c r="D2266" s="133"/>
      <c r="E2266" s="145" t="s">
        <v>1067</v>
      </c>
      <c r="F2266" s="145">
        <v>5636.54</v>
      </c>
      <c r="G2266" s="133" t="s">
        <v>1034</v>
      </c>
      <c r="H2266" s="144" t="s">
        <v>1341</v>
      </c>
      <c r="I2266" s="133" t="s">
        <v>1092</v>
      </c>
      <c r="J2266" s="133" t="s">
        <v>1448</v>
      </c>
      <c r="K2266" s="143">
        <v>45717</v>
      </c>
      <c r="L2266" s="133" t="s">
        <v>1092</v>
      </c>
      <c r="M2266" s="133">
        <v>3224</v>
      </c>
      <c r="N2266" s="142"/>
      <c r="P2266" s="140"/>
    </row>
    <row r="2267" spans="1:18" hidden="1" x14ac:dyDescent="0.35">
      <c r="A2267" s="146"/>
      <c r="B2267" s="143"/>
      <c r="C2267" s="133"/>
      <c r="D2267" s="133"/>
      <c r="E2267" s="145" t="s">
        <v>1064</v>
      </c>
      <c r="F2267" s="145">
        <v>2279.5</v>
      </c>
      <c r="G2267" s="133"/>
      <c r="H2267" s="144"/>
      <c r="I2267" s="133"/>
      <c r="J2267" s="133"/>
      <c r="K2267" s="133"/>
      <c r="L2267" s="133"/>
      <c r="M2267" s="133"/>
      <c r="N2267" s="142"/>
      <c r="P2267" s="140"/>
    </row>
    <row r="2268" spans="1:18" hidden="1" x14ac:dyDescent="0.35">
      <c r="A2268" s="146"/>
      <c r="B2268" s="143"/>
      <c r="C2268" s="133"/>
      <c r="D2268" s="133"/>
      <c r="E2268" s="145"/>
      <c r="F2268" s="145"/>
      <c r="G2268" s="133"/>
      <c r="H2268" s="144"/>
      <c r="I2268" s="133"/>
      <c r="J2268" s="133"/>
      <c r="K2268" s="133"/>
      <c r="L2268" s="133"/>
      <c r="M2268" s="133"/>
      <c r="N2268" s="142"/>
      <c r="P2268" s="140"/>
    </row>
    <row r="2269" spans="1:18" hidden="1" x14ac:dyDescent="0.35">
      <c r="A2269" s="146">
        <v>232</v>
      </c>
      <c r="B2269" s="143">
        <v>45658</v>
      </c>
      <c r="C2269" s="133" t="s">
        <v>1518</v>
      </c>
      <c r="D2269" s="133" t="s">
        <v>1517</v>
      </c>
      <c r="E2269" s="145" t="s">
        <v>1075</v>
      </c>
      <c r="F2269" s="145">
        <v>4883</v>
      </c>
      <c r="G2269" s="133" t="s">
        <v>1034</v>
      </c>
      <c r="H2269" s="144" t="s">
        <v>1341</v>
      </c>
      <c r="I2269" s="133" t="s">
        <v>1092</v>
      </c>
      <c r="J2269" s="133" t="s">
        <v>1516</v>
      </c>
      <c r="K2269" s="143">
        <v>45658</v>
      </c>
      <c r="L2269" s="133" t="s">
        <v>1092</v>
      </c>
      <c r="M2269" s="133">
        <v>5149</v>
      </c>
      <c r="N2269" s="142">
        <f>+F2269+F2270-M2269-M2270</f>
        <v>0</v>
      </c>
      <c r="O2269" s="141"/>
      <c r="P2269" s="140"/>
    </row>
    <row r="2270" spans="1:18" hidden="1" x14ac:dyDescent="0.35">
      <c r="A2270" s="146"/>
      <c r="B2270" s="143"/>
      <c r="C2270" s="133"/>
      <c r="D2270" s="133"/>
      <c r="E2270" s="145" t="s">
        <v>1118</v>
      </c>
      <c r="F2270" s="145">
        <v>537</v>
      </c>
      <c r="G2270" s="133" t="s">
        <v>1034</v>
      </c>
      <c r="H2270" s="144" t="s">
        <v>1341</v>
      </c>
      <c r="I2270" s="133" t="s">
        <v>1092</v>
      </c>
      <c r="J2270" s="133" t="s">
        <v>1515</v>
      </c>
      <c r="K2270" s="143">
        <v>45658</v>
      </c>
      <c r="L2270" s="133" t="s">
        <v>1241</v>
      </c>
      <c r="M2270" s="133">
        <v>271</v>
      </c>
      <c r="N2270" s="142"/>
      <c r="O2270" s="141"/>
      <c r="P2270" s="140"/>
    </row>
    <row r="2271" spans="1:18" hidden="1" x14ac:dyDescent="0.35">
      <c r="A2271" s="146"/>
      <c r="B2271" s="143"/>
      <c r="C2271" s="133"/>
      <c r="D2271" s="133"/>
      <c r="E2271" s="145"/>
      <c r="F2271" s="145"/>
      <c r="G2271" s="133"/>
      <c r="H2271" s="144"/>
      <c r="I2271" s="133"/>
      <c r="J2271" s="133"/>
      <c r="K2271" s="133"/>
      <c r="L2271" s="133"/>
      <c r="M2271" s="133"/>
      <c r="N2271" s="142"/>
      <c r="P2271" s="140"/>
    </row>
    <row r="2272" spans="1:18" hidden="1" x14ac:dyDescent="0.35">
      <c r="A2272" s="146">
        <v>233</v>
      </c>
      <c r="B2272" s="143">
        <v>45658</v>
      </c>
      <c r="C2272" s="133" t="s">
        <v>1514</v>
      </c>
      <c r="D2272" s="133" t="s">
        <v>1513</v>
      </c>
      <c r="E2272" s="148" t="s">
        <v>1059</v>
      </c>
      <c r="F2272" s="145">
        <v>75000</v>
      </c>
      <c r="G2272" s="133" t="s">
        <v>1034</v>
      </c>
      <c r="H2272" s="144" t="s">
        <v>1341</v>
      </c>
      <c r="I2272" s="133" t="s">
        <v>1092</v>
      </c>
      <c r="J2272" s="133" t="s">
        <v>1499</v>
      </c>
      <c r="K2272" s="143">
        <v>45689</v>
      </c>
      <c r="L2272" s="133" t="s">
        <v>1092</v>
      </c>
      <c r="M2272" s="133">
        <v>15544</v>
      </c>
      <c r="N2272" s="147">
        <f>+F2272-M2272-M2273-M2274-M2275-M2276</f>
        <v>0</v>
      </c>
      <c r="O2272" s="141"/>
      <c r="P2272" s="140"/>
    </row>
    <row r="2273" spans="1:16" hidden="1" x14ac:dyDescent="0.35">
      <c r="A2273" s="146"/>
      <c r="B2273" s="143"/>
      <c r="C2273" s="133"/>
      <c r="D2273" s="133"/>
      <c r="E2273" s="145"/>
      <c r="F2273" s="145"/>
      <c r="G2273" s="133" t="s">
        <v>1034</v>
      </c>
      <c r="H2273" s="144" t="s">
        <v>1341</v>
      </c>
      <c r="I2273" s="133" t="s">
        <v>1092</v>
      </c>
      <c r="J2273" s="133" t="s">
        <v>1492</v>
      </c>
      <c r="K2273" s="143">
        <v>45689</v>
      </c>
      <c r="L2273" s="133" t="s">
        <v>1092</v>
      </c>
      <c r="M2273" s="133">
        <v>27927</v>
      </c>
      <c r="N2273" s="142"/>
      <c r="O2273" s="141"/>
      <c r="P2273" s="140"/>
    </row>
    <row r="2274" spans="1:16" hidden="1" x14ac:dyDescent="0.35">
      <c r="A2274" s="146"/>
      <c r="B2274" s="143"/>
      <c r="C2274" s="133"/>
      <c r="D2274" s="133"/>
      <c r="E2274" s="145"/>
      <c r="F2274" s="145"/>
      <c r="G2274" s="133" t="s">
        <v>1034</v>
      </c>
      <c r="H2274" s="144" t="s">
        <v>1341</v>
      </c>
      <c r="I2274" s="133" t="s">
        <v>1092</v>
      </c>
      <c r="J2274" s="133" t="s">
        <v>1487</v>
      </c>
      <c r="K2274" s="143">
        <v>45689</v>
      </c>
      <c r="L2274" s="133" t="s">
        <v>1241</v>
      </c>
      <c r="M2274" s="133">
        <v>3500</v>
      </c>
      <c r="N2274" s="142"/>
      <c r="O2274" s="141"/>
      <c r="P2274" s="140"/>
    </row>
    <row r="2275" spans="1:16" hidden="1" x14ac:dyDescent="0.35">
      <c r="A2275" s="146"/>
      <c r="B2275" s="143"/>
      <c r="C2275" s="133"/>
      <c r="D2275" s="133"/>
      <c r="E2275" s="145"/>
      <c r="F2275" s="145"/>
      <c r="G2275" s="133" t="s">
        <v>1034</v>
      </c>
      <c r="H2275" s="144" t="s">
        <v>1341</v>
      </c>
      <c r="I2275" s="133" t="s">
        <v>1092</v>
      </c>
      <c r="J2275" s="133" t="s">
        <v>1448</v>
      </c>
      <c r="K2275" s="143">
        <v>45717</v>
      </c>
      <c r="L2275" s="133" t="s">
        <v>1092</v>
      </c>
      <c r="M2275" s="133">
        <v>8563</v>
      </c>
      <c r="N2275" s="142"/>
      <c r="O2275" s="141"/>
      <c r="P2275" s="140"/>
    </row>
    <row r="2276" spans="1:16" hidden="1" x14ac:dyDescent="0.35">
      <c r="A2276" s="146"/>
      <c r="B2276" s="143"/>
      <c r="C2276" s="133"/>
      <c r="D2276" s="133"/>
      <c r="E2276" s="145"/>
      <c r="F2276" s="145"/>
      <c r="G2276" s="133" t="s">
        <v>1034</v>
      </c>
      <c r="H2276" s="144" t="s">
        <v>1341</v>
      </c>
      <c r="I2276" s="133" t="s">
        <v>1092</v>
      </c>
      <c r="J2276" s="133" t="s">
        <v>1445</v>
      </c>
      <c r="K2276" s="143">
        <v>45717</v>
      </c>
      <c r="L2276" s="133" t="s">
        <v>1092</v>
      </c>
      <c r="M2276" s="133">
        <v>19466</v>
      </c>
      <c r="N2276" s="142"/>
      <c r="O2276" s="141"/>
      <c r="P2276" s="140"/>
    </row>
    <row r="2277" spans="1:16" hidden="1" x14ac:dyDescent="0.35">
      <c r="A2277" s="146"/>
      <c r="B2277" s="143"/>
      <c r="C2277" s="133"/>
      <c r="D2277" s="133"/>
      <c r="E2277" s="145"/>
      <c r="F2277" s="145"/>
      <c r="G2277" s="133"/>
      <c r="H2277" s="144"/>
      <c r="I2277" s="133"/>
      <c r="J2277" s="133"/>
      <c r="K2277" s="143"/>
      <c r="L2277" s="133"/>
      <c r="M2277" s="133"/>
      <c r="N2277" s="142"/>
      <c r="O2277" s="141"/>
      <c r="P2277" s="140"/>
    </row>
    <row r="2278" spans="1:16" hidden="1" x14ac:dyDescent="0.35">
      <c r="A2278" s="146">
        <v>234</v>
      </c>
      <c r="B2278" s="143">
        <v>45658</v>
      </c>
      <c r="C2278" s="133" t="s">
        <v>1512</v>
      </c>
      <c r="D2278" s="133" t="s">
        <v>1511</v>
      </c>
      <c r="E2278" s="145" t="s">
        <v>1342</v>
      </c>
      <c r="F2278" s="145">
        <v>3756</v>
      </c>
      <c r="G2278" s="133" t="s">
        <v>1034</v>
      </c>
      <c r="H2278" s="144" t="s">
        <v>1341</v>
      </c>
      <c r="I2278" s="133" t="s">
        <v>1092</v>
      </c>
      <c r="J2278" s="133" t="s">
        <v>1500</v>
      </c>
      <c r="K2278" s="143">
        <v>45658</v>
      </c>
      <c r="L2278" s="133" t="s">
        <v>1092</v>
      </c>
      <c r="M2278" s="133">
        <f>4930+2751.9+1728.7+1401+5072.32</f>
        <v>15883.92</v>
      </c>
      <c r="N2278" s="147">
        <f>+F2278+F2279+F2280+F2281+F2282+F2283+F2284-M2278-M2279-M2280-M2281</f>
        <v>0</v>
      </c>
      <c r="O2278" s="141"/>
      <c r="P2278" s="140"/>
    </row>
    <row r="2279" spans="1:16" hidden="1" x14ac:dyDescent="0.35">
      <c r="A2279" s="146"/>
      <c r="B2279" s="143"/>
      <c r="C2279" s="133"/>
      <c r="D2279" s="133"/>
      <c r="E2279" s="145" t="s">
        <v>1075</v>
      </c>
      <c r="F2279" s="145">
        <v>6020</v>
      </c>
      <c r="G2279" s="133" t="s">
        <v>1034</v>
      </c>
      <c r="H2279" s="144" t="s">
        <v>1341</v>
      </c>
      <c r="I2279" s="133" t="s">
        <v>1092</v>
      </c>
      <c r="J2279" s="133" t="s">
        <v>1499</v>
      </c>
      <c r="K2279" s="143">
        <v>45689</v>
      </c>
      <c r="L2279" s="133" t="s">
        <v>1092</v>
      </c>
      <c r="M2279" s="133">
        <f>1090+1206.63</f>
        <v>2296.63</v>
      </c>
      <c r="N2279" s="142"/>
      <c r="O2279" s="141"/>
      <c r="P2279" s="140"/>
    </row>
    <row r="2280" spans="1:16" hidden="1" x14ac:dyDescent="0.35">
      <c r="A2280" s="146"/>
      <c r="B2280" s="143"/>
      <c r="C2280" s="133"/>
      <c r="D2280" s="133"/>
      <c r="E2280" s="145" t="s">
        <v>1067</v>
      </c>
      <c r="F2280" s="145">
        <v>1401</v>
      </c>
      <c r="G2280" s="133" t="s">
        <v>1034</v>
      </c>
      <c r="H2280" s="144" t="s">
        <v>1341</v>
      </c>
      <c r="I2280" s="133" t="s">
        <v>1092</v>
      </c>
      <c r="J2280" s="133" t="s">
        <v>1487</v>
      </c>
      <c r="K2280" s="143">
        <v>45689</v>
      </c>
      <c r="L2280" s="133" t="s">
        <v>1241</v>
      </c>
      <c r="M2280" s="133">
        <v>1090</v>
      </c>
      <c r="N2280" s="142"/>
      <c r="P2280" s="140"/>
    </row>
    <row r="2281" spans="1:16" hidden="1" x14ac:dyDescent="0.35">
      <c r="A2281" s="146"/>
      <c r="B2281" s="143"/>
      <c r="C2281" s="133"/>
      <c r="D2281" s="133"/>
      <c r="E2281" s="145" t="s">
        <v>1118</v>
      </c>
      <c r="F2281" s="145">
        <v>1728.7</v>
      </c>
      <c r="G2281" s="133" t="s">
        <v>1034</v>
      </c>
      <c r="H2281" s="144" t="s">
        <v>1341</v>
      </c>
      <c r="I2281" s="133" t="s">
        <v>1092</v>
      </c>
      <c r="J2281" s="133" t="s">
        <v>1448</v>
      </c>
      <c r="K2281" s="143">
        <v>45717</v>
      </c>
      <c r="L2281" s="133" t="s">
        <v>1092</v>
      </c>
      <c r="M2281" s="133">
        <v>2666</v>
      </c>
      <c r="N2281" s="142"/>
      <c r="P2281" s="140"/>
    </row>
    <row r="2282" spans="1:16" hidden="1" x14ac:dyDescent="0.35">
      <c r="A2282" s="146"/>
      <c r="B2282" s="143"/>
      <c r="C2282" s="133"/>
      <c r="D2282" s="133"/>
      <c r="E2282" s="145" t="s">
        <v>1118</v>
      </c>
      <c r="F2282" s="145">
        <v>1206.6300000000001</v>
      </c>
      <c r="G2282" s="133"/>
      <c r="H2282" s="144"/>
      <c r="I2282" s="133"/>
      <c r="J2282" s="133"/>
      <c r="K2282" s="133"/>
      <c r="L2282" s="133"/>
      <c r="M2282" s="133"/>
      <c r="N2282" s="142"/>
      <c r="P2282" s="140"/>
    </row>
    <row r="2283" spans="1:16" hidden="1" x14ac:dyDescent="0.35">
      <c r="A2283" s="146"/>
      <c r="B2283" s="143"/>
      <c r="C2283" s="133"/>
      <c r="D2283" s="133"/>
      <c r="E2283" s="145" t="s">
        <v>1078</v>
      </c>
      <c r="F2283" s="145">
        <v>5072.32</v>
      </c>
      <c r="G2283" s="133"/>
      <c r="H2283" s="144"/>
      <c r="I2283" s="133"/>
      <c r="J2283" s="133"/>
      <c r="K2283" s="133"/>
      <c r="L2283" s="133"/>
      <c r="M2283" s="133"/>
      <c r="N2283" s="142"/>
      <c r="P2283" s="140"/>
    </row>
    <row r="2284" spans="1:16" hidden="1" x14ac:dyDescent="0.35">
      <c r="A2284" s="146"/>
      <c r="B2284" s="143"/>
      <c r="C2284" s="133"/>
      <c r="D2284" s="133"/>
      <c r="E2284" s="145" t="s">
        <v>1064</v>
      </c>
      <c r="F2284" s="145">
        <v>2751.9</v>
      </c>
      <c r="G2284" s="133"/>
      <c r="H2284" s="144"/>
      <c r="I2284" s="133"/>
      <c r="J2284" s="133"/>
      <c r="K2284" s="133"/>
      <c r="L2284" s="133"/>
      <c r="M2284" s="133"/>
      <c r="N2284" s="142"/>
      <c r="P2284" s="140"/>
    </row>
    <row r="2285" spans="1:16" hidden="1" x14ac:dyDescent="0.35">
      <c r="A2285" s="146"/>
      <c r="B2285" s="143"/>
      <c r="C2285" s="133"/>
      <c r="D2285" s="133"/>
      <c r="E2285" s="145"/>
      <c r="F2285" s="145"/>
      <c r="G2285" s="133"/>
      <c r="H2285" s="144"/>
      <c r="I2285" s="133"/>
      <c r="J2285" s="133"/>
      <c r="K2285" s="133"/>
      <c r="L2285" s="133"/>
      <c r="M2285" s="133"/>
      <c r="N2285" s="142"/>
      <c r="P2285" s="140"/>
    </row>
    <row r="2286" spans="1:16" hidden="1" x14ac:dyDescent="0.35">
      <c r="A2286" s="146">
        <v>235</v>
      </c>
      <c r="B2286" s="143">
        <v>45658</v>
      </c>
      <c r="C2286" s="133" t="s">
        <v>1510</v>
      </c>
      <c r="D2286" s="133" t="s">
        <v>1509</v>
      </c>
      <c r="E2286" s="145" t="s">
        <v>1067</v>
      </c>
      <c r="F2286" s="145">
        <v>1309</v>
      </c>
      <c r="G2286" s="133" t="s">
        <v>1034</v>
      </c>
      <c r="H2286" s="144" t="s">
        <v>1341</v>
      </c>
      <c r="I2286" s="133" t="s">
        <v>1092</v>
      </c>
      <c r="J2286" s="133" t="s">
        <v>1500</v>
      </c>
      <c r="K2286" s="143">
        <v>45658</v>
      </c>
      <c r="L2286" s="133" t="s">
        <v>1092</v>
      </c>
      <c r="M2286" s="133">
        <v>6430</v>
      </c>
      <c r="N2286" s="147">
        <f>+F2286+F2287-M2286-M2287</f>
        <v>0</v>
      </c>
      <c r="O2286" s="141"/>
      <c r="P2286" s="140"/>
    </row>
    <row r="2287" spans="1:16" hidden="1" x14ac:dyDescent="0.35">
      <c r="A2287" s="146"/>
      <c r="B2287" s="143"/>
      <c r="C2287" s="133"/>
      <c r="D2287" s="133"/>
      <c r="E2287" s="145" t="s">
        <v>1064</v>
      </c>
      <c r="F2287" s="145">
        <v>5460</v>
      </c>
      <c r="G2287" s="133" t="s">
        <v>1034</v>
      </c>
      <c r="H2287" s="144" t="s">
        <v>1341</v>
      </c>
      <c r="I2287" s="133" t="s">
        <v>1092</v>
      </c>
      <c r="J2287" s="133" t="s">
        <v>1487</v>
      </c>
      <c r="K2287" s="143">
        <v>45689</v>
      </c>
      <c r="L2287" s="133" t="s">
        <v>1241</v>
      </c>
      <c r="M2287" s="133">
        <v>339</v>
      </c>
      <c r="N2287" s="142"/>
      <c r="O2287" s="141"/>
      <c r="P2287" s="140"/>
    </row>
    <row r="2288" spans="1:16" hidden="1" x14ac:dyDescent="0.35">
      <c r="A2288" s="146"/>
      <c r="B2288" s="143"/>
      <c r="C2288" s="133"/>
      <c r="D2288" s="133"/>
      <c r="E2288" s="145"/>
      <c r="F2288" s="145"/>
      <c r="G2288" s="133"/>
      <c r="H2288" s="144"/>
      <c r="I2288" s="133"/>
      <c r="J2288" s="133"/>
      <c r="K2288" s="133"/>
      <c r="L2288" s="133"/>
      <c r="M2288" s="133"/>
      <c r="N2288" s="142"/>
      <c r="P2288" s="140"/>
    </row>
    <row r="2289" spans="1:18" hidden="1" x14ac:dyDescent="0.35">
      <c r="A2289" s="146">
        <v>236</v>
      </c>
      <c r="B2289" s="143">
        <v>45658</v>
      </c>
      <c r="C2289" s="133" t="s">
        <v>1508</v>
      </c>
      <c r="D2289" s="133" t="s">
        <v>1131</v>
      </c>
      <c r="E2289" s="145" t="s">
        <v>1342</v>
      </c>
      <c r="F2289" s="145">
        <v>5804</v>
      </c>
      <c r="G2289" s="133" t="s">
        <v>1034</v>
      </c>
      <c r="H2289" s="144" t="s">
        <v>1341</v>
      </c>
      <c r="I2289" s="133" t="s">
        <v>1092</v>
      </c>
      <c r="J2289" s="133" t="s">
        <v>1500</v>
      </c>
      <c r="K2289" s="143">
        <v>45658</v>
      </c>
      <c r="L2289" s="133" t="s">
        <v>1092</v>
      </c>
      <c r="M2289" s="133">
        <f>2533.5+3763.7</f>
        <v>6297.2</v>
      </c>
      <c r="N2289" s="147">
        <f>+F2289+F2290+F2291+F2292+F2293-M2289-M2290-M2291-M2292</f>
        <v>0</v>
      </c>
      <c r="O2289" s="141"/>
      <c r="P2289" s="140"/>
    </row>
    <row r="2290" spans="1:18" hidden="1" x14ac:dyDescent="0.35">
      <c r="A2290" s="146"/>
      <c r="B2290" s="143"/>
      <c r="C2290" s="133"/>
      <c r="D2290" s="133"/>
      <c r="E2290" s="145" t="s">
        <v>1075</v>
      </c>
      <c r="F2290" s="145">
        <v>7452</v>
      </c>
      <c r="G2290" s="133" t="s">
        <v>1034</v>
      </c>
      <c r="H2290" s="144" t="s">
        <v>1341</v>
      </c>
      <c r="I2290" s="133" t="s">
        <v>1092</v>
      </c>
      <c r="J2290" s="133" t="s">
        <v>1499</v>
      </c>
      <c r="K2290" s="143">
        <v>45689</v>
      </c>
      <c r="L2290" s="133" t="s">
        <v>1092</v>
      </c>
      <c r="M2290" s="133">
        <f>7452+3525.75</f>
        <v>10977.75</v>
      </c>
      <c r="N2290" s="142"/>
      <c r="O2290" s="141"/>
      <c r="P2290" s="140"/>
    </row>
    <row r="2291" spans="1:18" hidden="1" x14ac:dyDescent="0.35">
      <c r="A2291" s="146"/>
      <c r="B2291" s="143"/>
      <c r="C2291" s="133"/>
      <c r="D2291" s="133"/>
      <c r="E2291" s="145" t="s">
        <v>1067</v>
      </c>
      <c r="F2291" s="145">
        <v>2533.5</v>
      </c>
      <c r="G2291" s="133" t="s">
        <v>1034</v>
      </c>
      <c r="H2291" s="144" t="s">
        <v>1341</v>
      </c>
      <c r="I2291" s="133" t="s">
        <v>1092</v>
      </c>
      <c r="J2291" s="133" t="s">
        <v>1487</v>
      </c>
      <c r="K2291" s="143">
        <v>45689</v>
      </c>
      <c r="L2291" s="133" t="s">
        <v>1241</v>
      </c>
      <c r="M2291" s="133">
        <v>1215</v>
      </c>
      <c r="N2291" s="142"/>
      <c r="P2291" s="140"/>
    </row>
    <row r="2292" spans="1:18" hidden="1" x14ac:dyDescent="0.35">
      <c r="A2292" s="146"/>
      <c r="B2292" s="143"/>
      <c r="C2292" s="133"/>
      <c r="D2292" s="133"/>
      <c r="E2292" s="145" t="s">
        <v>1064</v>
      </c>
      <c r="F2292" s="145">
        <v>4978.7</v>
      </c>
      <c r="G2292" s="133" t="s">
        <v>1034</v>
      </c>
      <c r="H2292" s="144" t="s">
        <v>1341</v>
      </c>
      <c r="I2292" s="133" t="s">
        <v>1092</v>
      </c>
      <c r="J2292" s="133" t="s">
        <v>1445</v>
      </c>
      <c r="K2292" s="143">
        <v>45717</v>
      </c>
      <c r="L2292" s="133" t="s">
        <v>1092</v>
      </c>
      <c r="M2292" s="133">
        <v>5804</v>
      </c>
      <c r="N2292" s="142"/>
      <c r="P2292" s="140"/>
    </row>
    <row r="2293" spans="1:18" hidden="1" x14ac:dyDescent="0.35">
      <c r="A2293" s="146"/>
      <c r="B2293" s="143"/>
      <c r="C2293" s="133"/>
      <c r="D2293" s="133"/>
      <c r="E2293" s="145" t="s">
        <v>1118</v>
      </c>
      <c r="F2293" s="145">
        <v>3525.75</v>
      </c>
      <c r="G2293" s="133"/>
      <c r="H2293" s="144"/>
      <c r="I2293" s="133"/>
      <c r="J2293" s="133"/>
      <c r="K2293" s="133"/>
      <c r="L2293" s="133"/>
      <c r="M2293" s="133"/>
      <c r="N2293" s="142"/>
      <c r="P2293" s="140"/>
    </row>
    <row r="2294" spans="1:18" hidden="1" x14ac:dyDescent="0.35">
      <c r="A2294" s="146"/>
      <c r="B2294" s="143"/>
      <c r="C2294" s="133"/>
      <c r="D2294" s="133"/>
      <c r="E2294" s="145"/>
      <c r="F2294" s="145"/>
      <c r="G2294" s="133"/>
      <c r="H2294" s="144"/>
      <c r="I2294" s="133"/>
      <c r="J2294" s="133"/>
      <c r="K2294" s="133"/>
      <c r="L2294" s="133"/>
      <c r="M2294" s="133"/>
      <c r="N2294" s="142"/>
      <c r="P2294" s="140"/>
    </row>
    <row r="2295" spans="1:18" hidden="1" x14ac:dyDescent="0.35">
      <c r="A2295" s="146">
        <v>237</v>
      </c>
      <c r="B2295" s="143">
        <v>45658</v>
      </c>
      <c r="C2295" s="133" t="s">
        <v>1507</v>
      </c>
      <c r="D2295" s="133" t="s">
        <v>1506</v>
      </c>
      <c r="E2295" s="145" t="s">
        <v>1067</v>
      </c>
      <c r="F2295" s="145">
        <v>6630.34</v>
      </c>
      <c r="G2295" s="133" t="s">
        <v>1034</v>
      </c>
      <c r="H2295" s="144" t="s">
        <v>1341</v>
      </c>
      <c r="I2295" s="133" t="s">
        <v>1092</v>
      </c>
      <c r="J2295" s="133" t="s">
        <v>1503</v>
      </c>
      <c r="K2295" s="143">
        <v>45658</v>
      </c>
      <c r="L2295" s="133" t="s">
        <v>1092</v>
      </c>
      <c r="M2295" s="133">
        <v>10268</v>
      </c>
      <c r="N2295" s="147">
        <f>+F2295+F2296-M2295-M2296-M2297</f>
        <v>0</v>
      </c>
      <c r="O2295" s="141"/>
      <c r="P2295" s="140"/>
    </row>
    <row r="2296" spans="1:18" hidden="1" x14ac:dyDescent="0.35">
      <c r="A2296" s="146"/>
      <c r="B2296" s="143"/>
      <c r="C2296" s="133"/>
      <c r="D2296" s="133"/>
      <c r="E2296" s="145" t="s">
        <v>1064</v>
      </c>
      <c r="F2296" s="145">
        <v>10268</v>
      </c>
      <c r="G2296" s="133"/>
      <c r="H2296" s="144"/>
      <c r="I2296" s="133"/>
      <c r="J2296" s="133" t="s">
        <v>1500</v>
      </c>
      <c r="K2296" s="143">
        <v>45658</v>
      </c>
      <c r="L2296" s="133" t="s">
        <v>1092</v>
      </c>
      <c r="M2296" s="133">
        <v>6310.34</v>
      </c>
      <c r="N2296" s="142"/>
      <c r="O2296" s="141"/>
      <c r="P2296" s="140"/>
    </row>
    <row r="2297" spans="1:18" hidden="1" x14ac:dyDescent="0.35">
      <c r="A2297" s="146"/>
      <c r="B2297" s="143"/>
      <c r="C2297" s="133"/>
      <c r="D2297" s="133"/>
      <c r="E2297" s="145"/>
      <c r="F2297" s="145"/>
      <c r="G2297" s="133" t="s">
        <v>1034</v>
      </c>
      <c r="H2297" s="144" t="s">
        <v>1341</v>
      </c>
      <c r="I2297" s="133" t="s">
        <v>1092</v>
      </c>
      <c r="J2297" s="133" t="s">
        <v>1487</v>
      </c>
      <c r="K2297" s="143">
        <v>45689</v>
      </c>
      <c r="L2297" s="133" t="s">
        <v>1241</v>
      </c>
      <c r="M2297" s="133">
        <v>320</v>
      </c>
      <c r="N2297" s="142"/>
      <c r="O2297" s="141"/>
      <c r="P2297" s="140"/>
    </row>
    <row r="2298" spans="1:18" hidden="1" x14ac:dyDescent="0.35">
      <c r="A2298" s="146"/>
      <c r="B2298" s="143"/>
      <c r="C2298" s="133"/>
      <c r="D2298" s="133"/>
      <c r="E2298" s="145"/>
      <c r="F2298" s="145"/>
      <c r="G2298" s="133"/>
      <c r="H2298" s="144"/>
      <c r="I2298" s="133"/>
      <c r="J2298" s="133"/>
      <c r="K2298" s="133"/>
      <c r="L2298" s="133"/>
      <c r="M2298" s="133"/>
      <c r="N2298" s="142"/>
      <c r="P2298" s="140"/>
    </row>
    <row r="2299" spans="1:18" hidden="1" x14ac:dyDescent="0.35">
      <c r="A2299" s="146">
        <v>238</v>
      </c>
      <c r="B2299" s="143">
        <v>45658</v>
      </c>
      <c r="C2299" s="133" t="s">
        <v>1505</v>
      </c>
      <c r="D2299" s="133" t="s">
        <v>1504</v>
      </c>
      <c r="E2299" s="145" t="s">
        <v>1075</v>
      </c>
      <c r="F2299" s="145">
        <v>3843</v>
      </c>
      <c r="G2299" s="133" t="s">
        <v>1034</v>
      </c>
      <c r="H2299" s="144" t="s">
        <v>1341</v>
      </c>
      <c r="I2299" s="133" t="s">
        <v>1092</v>
      </c>
      <c r="J2299" s="133" t="s">
        <v>1503</v>
      </c>
      <c r="K2299" s="143">
        <v>45658</v>
      </c>
      <c r="L2299" s="133" t="s">
        <v>1092</v>
      </c>
      <c r="M2299" s="133">
        <v>11663</v>
      </c>
      <c r="N2299" s="147">
        <f>+F2299+F2300+F2301-M2299-M2300-M2301</f>
        <v>0</v>
      </c>
      <c r="O2299" s="141"/>
      <c r="P2299" s="140"/>
    </row>
    <row r="2300" spans="1:18" hidden="1" x14ac:dyDescent="0.35">
      <c r="A2300" s="146"/>
      <c r="B2300" s="143"/>
      <c r="C2300" s="133"/>
      <c r="D2300" s="133"/>
      <c r="E2300" s="145" t="s">
        <v>1067</v>
      </c>
      <c r="F2300" s="145">
        <v>648.5</v>
      </c>
      <c r="G2300" s="133" t="s">
        <v>1034</v>
      </c>
      <c r="H2300" s="144" t="s">
        <v>1341</v>
      </c>
      <c r="I2300" s="133" t="s">
        <v>1092</v>
      </c>
      <c r="J2300" s="133" t="s">
        <v>1487</v>
      </c>
      <c r="K2300" s="143">
        <v>45689</v>
      </c>
      <c r="L2300" s="133" t="s">
        <v>1241</v>
      </c>
      <c r="M2300" s="133">
        <v>840</v>
      </c>
      <c r="N2300" s="142"/>
      <c r="O2300" s="141"/>
      <c r="P2300" s="140"/>
    </row>
    <row r="2301" spans="1:18" hidden="1" x14ac:dyDescent="0.35">
      <c r="A2301" s="146"/>
      <c r="B2301" s="143"/>
      <c r="C2301" s="133"/>
      <c r="D2301" s="133"/>
      <c r="E2301" s="145" t="s">
        <v>1064</v>
      </c>
      <c r="F2301" s="145">
        <v>12503</v>
      </c>
      <c r="G2301" s="133" t="s">
        <v>1034</v>
      </c>
      <c r="H2301" s="144" t="s">
        <v>1341</v>
      </c>
      <c r="I2301" s="133" t="s">
        <v>1092</v>
      </c>
      <c r="J2301" s="133" t="s">
        <v>1463</v>
      </c>
      <c r="K2301" s="143">
        <v>45689</v>
      </c>
      <c r="L2301" s="133" t="s">
        <v>1092</v>
      </c>
      <c r="M2301" s="133">
        <f>3843+648.5</f>
        <v>4491.5</v>
      </c>
      <c r="N2301" s="142"/>
      <c r="P2301" s="140"/>
      <c r="R2301" s="140"/>
    </row>
    <row r="2302" spans="1:18" hidden="1" x14ac:dyDescent="0.35">
      <c r="A2302" s="146"/>
      <c r="B2302" s="143"/>
      <c r="C2302" s="133"/>
      <c r="D2302" s="133"/>
      <c r="E2302" s="145"/>
      <c r="F2302" s="145"/>
      <c r="G2302" s="133"/>
      <c r="H2302" s="144"/>
      <c r="I2302" s="133"/>
      <c r="J2302" s="133"/>
      <c r="K2302" s="133"/>
      <c r="L2302" s="133"/>
      <c r="M2302" s="133"/>
      <c r="N2302" s="142"/>
      <c r="P2302" s="140"/>
    </row>
    <row r="2303" spans="1:18" hidden="1" x14ac:dyDescent="0.35">
      <c r="A2303" s="146">
        <v>239</v>
      </c>
      <c r="B2303" s="143">
        <v>45658</v>
      </c>
      <c r="C2303" s="133" t="s">
        <v>1502</v>
      </c>
      <c r="D2303" s="133" t="s">
        <v>1501</v>
      </c>
      <c r="E2303" s="145" t="s">
        <v>1075</v>
      </c>
      <c r="F2303" s="145">
        <v>8965.6</v>
      </c>
      <c r="G2303" s="133" t="s">
        <v>1034</v>
      </c>
      <c r="H2303" s="144" t="s">
        <v>1341</v>
      </c>
      <c r="I2303" s="133" t="s">
        <v>1092</v>
      </c>
      <c r="J2303" s="133" t="s">
        <v>1500</v>
      </c>
      <c r="K2303" s="143">
        <v>45658</v>
      </c>
      <c r="L2303" s="133" t="s">
        <v>1092</v>
      </c>
      <c r="M2303" s="133">
        <v>10278.4</v>
      </c>
      <c r="N2303" s="147">
        <f>+F2303+F2304+F2305+F2306-M2303-M2304-M2305-M2306</f>
        <v>-1.4779288903810084E-12</v>
      </c>
      <c r="O2303" s="141"/>
      <c r="P2303" s="140"/>
    </row>
    <row r="2304" spans="1:18" hidden="1" x14ac:dyDescent="0.35">
      <c r="A2304" s="146"/>
      <c r="B2304" s="143"/>
      <c r="C2304" s="133"/>
      <c r="D2304" s="133"/>
      <c r="E2304" s="145" t="s">
        <v>1067</v>
      </c>
      <c r="F2304" s="145">
        <v>2536</v>
      </c>
      <c r="G2304" s="133" t="s">
        <v>1034</v>
      </c>
      <c r="H2304" s="144" t="s">
        <v>1341</v>
      </c>
      <c r="I2304" s="133" t="s">
        <v>1092</v>
      </c>
      <c r="J2304" s="133" t="s">
        <v>1499</v>
      </c>
      <c r="K2304" s="143">
        <v>45689</v>
      </c>
      <c r="L2304" s="133" t="s">
        <v>1092</v>
      </c>
      <c r="M2304" s="133">
        <f>11412+8965.6+2536</f>
        <v>22913.599999999999</v>
      </c>
      <c r="N2304" s="142"/>
      <c r="O2304" s="141"/>
      <c r="P2304" s="140"/>
    </row>
    <row r="2305" spans="1:16" hidden="1" x14ac:dyDescent="0.35">
      <c r="A2305" s="146"/>
      <c r="B2305" s="143"/>
      <c r="C2305" s="133"/>
      <c r="D2305" s="133"/>
      <c r="E2305" s="145" t="s">
        <v>1064</v>
      </c>
      <c r="F2305" s="145">
        <v>22925.4</v>
      </c>
      <c r="G2305" s="133" t="s">
        <v>1034</v>
      </c>
      <c r="H2305" s="144" t="s">
        <v>1341</v>
      </c>
      <c r="I2305" s="133" t="s">
        <v>1092</v>
      </c>
      <c r="J2305" s="133" t="s">
        <v>1487</v>
      </c>
      <c r="K2305" s="143">
        <v>45689</v>
      </c>
      <c r="L2305" s="133" t="s">
        <v>1241</v>
      </c>
      <c r="M2305" s="133">
        <v>1235</v>
      </c>
      <c r="N2305" s="142"/>
      <c r="P2305" s="140"/>
    </row>
    <row r="2306" spans="1:16" hidden="1" x14ac:dyDescent="0.35">
      <c r="A2306" s="146"/>
      <c r="B2306" s="143"/>
      <c r="C2306" s="133"/>
      <c r="D2306" s="133"/>
      <c r="E2306" s="145" t="s">
        <v>1071</v>
      </c>
      <c r="F2306" s="145">
        <v>557.6</v>
      </c>
      <c r="G2306" s="133" t="s">
        <v>1034</v>
      </c>
      <c r="H2306" s="144" t="s">
        <v>1341</v>
      </c>
      <c r="I2306" s="133" t="s">
        <v>1092</v>
      </c>
      <c r="J2306" s="133" t="s">
        <v>1445</v>
      </c>
      <c r="K2306" s="143">
        <v>45717</v>
      </c>
      <c r="L2306" s="133" t="s">
        <v>1092</v>
      </c>
      <c r="M2306" s="133">
        <v>557.6</v>
      </c>
      <c r="N2306" s="142"/>
      <c r="P2306" s="140"/>
    </row>
    <row r="2307" spans="1:16" hidden="1" x14ac:dyDescent="0.35">
      <c r="A2307" s="146"/>
      <c r="B2307" s="143"/>
      <c r="C2307" s="133"/>
      <c r="D2307" s="133"/>
      <c r="E2307" s="145"/>
      <c r="F2307" s="145"/>
      <c r="G2307" s="133"/>
      <c r="H2307" s="144"/>
      <c r="I2307" s="133"/>
      <c r="J2307" s="133"/>
      <c r="K2307" s="133"/>
      <c r="L2307" s="133"/>
      <c r="M2307" s="133"/>
      <c r="N2307" s="142"/>
      <c r="P2307" s="140"/>
    </row>
    <row r="2308" spans="1:16" hidden="1" x14ac:dyDescent="0.35">
      <c r="A2308" s="146">
        <v>240</v>
      </c>
      <c r="B2308" s="143">
        <v>45658</v>
      </c>
      <c r="C2308" s="133" t="s">
        <v>1498</v>
      </c>
      <c r="D2308" s="133" t="s">
        <v>1497</v>
      </c>
      <c r="E2308" s="145" t="s">
        <v>1075</v>
      </c>
      <c r="F2308" s="145">
        <v>1634</v>
      </c>
      <c r="G2308" s="133" t="s">
        <v>1034</v>
      </c>
      <c r="H2308" s="144" t="s">
        <v>1341</v>
      </c>
      <c r="I2308" s="133" t="s">
        <v>1092</v>
      </c>
      <c r="J2308" s="133" t="s">
        <v>1492</v>
      </c>
      <c r="K2308" s="143">
        <v>45689</v>
      </c>
      <c r="L2308" s="133" t="s">
        <v>1092</v>
      </c>
      <c r="M2308" s="133">
        <f>2170.8+1634+1317+5062</f>
        <v>10183.799999999999</v>
      </c>
      <c r="N2308" s="147">
        <f>+F2308+F2309+F2310+F2311+F2312-M2308-M2309-M2310</f>
        <v>0</v>
      </c>
      <c r="O2308" s="141"/>
      <c r="P2308" s="140"/>
    </row>
    <row r="2309" spans="1:16" hidden="1" x14ac:dyDescent="0.35">
      <c r="A2309" s="146"/>
      <c r="B2309" s="143"/>
      <c r="C2309" s="133"/>
      <c r="D2309" s="133"/>
      <c r="E2309" s="145" t="s">
        <v>1067</v>
      </c>
      <c r="F2309" s="145">
        <v>1317</v>
      </c>
      <c r="G2309" s="133" t="s">
        <v>1034</v>
      </c>
      <c r="H2309" s="144" t="s">
        <v>1341</v>
      </c>
      <c r="I2309" s="133" t="s">
        <v>1092</v>
      </c>
      <c r="J2309" s="133" t="s">
        <v>1487</v>
      </c>
      <c r="K2309" s="143">
        <v>45689</v>
      </c>
      <c r="L2309" s="133" t="s">
        <v>1241</v>
      </c>
      <c r="M2309" s="133">
        <v>573</v>
      </c>
      <c r="N2309" s="142"/>
      <c r="O2309" s="141"/>
      <c r="P2309" s="140"/>
    </row>
    <row r="2310" spans="1:16" hidden="1" x14ac:dyDescent="0.35">
      <c r="A2310" s="146"/>
      <c r="B2310" s="143"/>
      <c r="C2310" s="133"/>
      <c r="D2310" s="133"/>
      <c r="E2310" s="145" t="s">
        <v>1064</v>
      </c>
      <c r="F2310" s="145">
        <v>5635</v>
      </c>
      <c r="G2310" s="133" t="s">
        <v>1034</v>
      </c>
      <c r="H2310" s="144" t="s">
        <v>1341</v>
      </c>
      <c r="I2310" s="133" t="s">
        <v>1092</v>
      </c>
      <c r="J2310" s="133" t="s">
        <v>1445</v>
      </c>
      <c r="K2310" s="143">
        <v>45717</v>
      </c>
      <c r="L2310" s="133" t="s">
        <v>1092</v>
      </c>
      <c r="M2310" s="133">
        <v>702</v>
      </c>
      <c r="N2310" s="142"/>
      <c r="P2310" s="140"/>
    </row>
    <row r="2311" spans="1:16" hidden="1" x14ac:dyDescent="0.35">
      <c r="A2311" s="146"/>
      <c r="B2311" s="143"/>
      <c r="C2311" s="133"/>
      <c r="D2311" s="133"/>
      <c r="E2311" s="145" t="s">
        <v>1342</v>
      </c>
      <c r="F2311" s="145">
        <v>702</v>
      </c>
      <c r="G2311" s="133"/>
      <c r="H2311" s="144"/>
      <c r="I2311" s="133"/>
      <c r="J2311" s="133"/>
      <c r="K2311" s="133"/>
      <c r="L2311" s="133"/>
      <c r="M2311" s="133"/>
      <c r="N2311" s="142"/>
      <c r="P2311" s="140"/>
    </row>
    <row r="2312" spans="1:16" hidden="1" x14ac:dyDescent="0.35">
      <c r="A2312" s="146"/>
      <c r="B2312" s="143"/>
      <c r="C2312" s="133"/>
      <c r="D2312" s="133"/>
      <c r="E2312" s="145" t="s">
        <v>1118</v>
      </c>
      <c r="F2312" s="145">
        <v>2170.8000000000002</v>
      </c>
      <c r="G2312" s="133"/>
      <c r="H2312" s="144"/>
      <c r="I2312" s="133"/>
      <c r="J2312" s="133"/>
      <c r="K2312" s="133"/>
      <c r="L2312" s="133"/>
      <c r="M2312" s="133"/>
      <c r="N2312" s="142"/>
      <c r="P2312" s="140"/>
    </row>
    <row r="2313" spans="1:16" hidden="1" x14ac:dyDescent="0.35">
      <c r="A2313" s="146"/>
      <c r="B2313" s="143"/>
      <c r="C2313" s="133"/>
      <c r="D2313" s="133"/>
      <c r="E2313" s="145"/>
      <c r="F2313" s="145"/>
      <c r="G2313" s="133"/>
      <c r="H2313" s="144"/>
      <c r="I2313" s="133"/>
      <c r="J2313" s="133"/>
      <c r="K2313" s="133"/>
      <c r="L2313" s="133"/>
      <c r="M2313" s="133"/>
      <c r="N2313" s="142"/>
      <c r="P2313" s="140"/>
    </row>
    <row r="2314" spans="1:16" hidden="1" x14ac:dyDescent="0.35">
      <c r="A2314" s="146">
        <v>241</v>
      </c>
      <c r="B2314" s="143">
        <v>45658</v>
      </c>
      <c r="C2314" s="133" t="s">
        <v>1496</v>
      </c>
      <c r="D2314" s="133" t="s">
        <v>1495</v>
      </c>
      <c r="E2314" s="145" t="s">
        <v>1075</v>
      </c>
      <c r="F2314" s="145">
        <v>3050.9</v>
      </c>
      <c r="G2314" s="133" t="s">
        <v>1034</v>
      </c>
      <c r="H2314" s="144" t="s">
        <v>1341</v>
      </c>
      <c r="I2314" s="133" t="s">
        <v>1092</v>
      </c>
      <c r="J2314" s="133" t="s">
        <v>1492</v>
      </c>
      <c r="K2314" s="143">
        <v>45689</v>
      </c>
      <c r="L2314" s="133" t="s">
        <v>1092</v>
      </c>
      <c r="M2314" s="133">
        <v>17627.3</v>
      </c>
      <c r="N2314" s="147">
        <f>+F2314+F2315-M2314-M2315</f>
        <v>0</v>
      </c>
      <c r="O2314" s="141"/>
      <c r="P2314" s="140"/>
    </row>
    <row r="2315" spans="1:16" hidden="1" x14ac:dyDescent="0.35">
      <c r="A2315" s="146"/>
      <c r="B2315" s="143"/>
      <c r="C2315" s="133"/>
      <c r="D2315" s="133"/>
      <c r="E2315" s="145" t="s">
        <v>1064</v>
      </c>
      <c r="F2315" s="145">
        <v>15504.4</v>
      </c>
      <c r="G2315" s="133" t="s">
        <v>1034</v>
      </c>
      <c r="H2315" s="144" t="s">
        <v>1341</v>
      </c>
      <c r="I2315" s="133" t="s">
        <v>1092</v>
      </c>
      <c r="J2315" s="133" t="s">
        <v>1487</v>
      </c>
      <c r="K2315" s="143">
        <v>45689</v>
      </c>
      <c r="L2315" s="133" t="s">
        <v>1241</v>
      </c>
      <c r="M2315" s="133">
        <v>928</v>
      </c>
      <c r="N2315" s="142"/>
      <c r="O2315" s="141"/>
      <c r="P2315" s="140"/>
    </row>
    <row r="2316" spans="1:16" hidden="1" x14ac:dyDescent="0.35">
      <c r="A2316" s="146"/>
      <c r="B2316" s="143"/>
      <c r="C2316" s="133"/>
      <c r="D2316" s="133"/>
      <c r="E2316" s="145"/>
      <c r="F2316" s="145"/>
      <c r="G2316" s="133"/>
      <c r="H2316" s="144"/>
      <c r="I2316" s="133"/>
      <c r="J2316" s="133"/>
      <c r="K2316" s="133"/>
      <c r="L2316" s="133"/>
      <c r="M2316" s="133"/>
      <c r="N2316" s="142"/>
      <c r="P2316" s="140"/>
    </row>
    <row r="2317" spans="1:16" hidden="1" x14ac:dyDescent="0.35">
      <c r="A2317" s="146">
        <v>242</v>
      </c>
      <c r="B2317" s="143">
        <v>45658</v>
      </c>
      <c r="C2317" s="133" t="s">
        <v>1494</v>
      </c>
      <c r="D2317" s="133" t="s">
        <v>1493</v>
      </c>
      <c r="E2317" s="145" t="s">
        <v>1075</v>
      </c>
      <c r="F2317" s="145">
        <v>417</v>
      </c>
      <c r="G2317" s="133" t="s">
        <v>1034</v>
      </c>
      <c r="H2317" s="144" t="s">
        <v>1341</v>
      </c>
      <c r="I2317" s="133" t="s">
        <v>1092</v>
      </c>
      <c r="J2317" s="133" t="s">
        <v>1492</v>
      </c>
      <c r="K2317" s="143">
        <v>45689</v>
      </c>
      <c r="L2317" s="133" t="s">
        <v>1092</v>
      </c>
      <c r="M2317" s="133">
        <v>16286.66</v>
      </c>
      <c r="N2317" s="147">
        <f>+F2317+F2318+F2319-M2317-M2318</f>
        <v>0</v>
      </c>
      <c r="O2317" s="141"/>
      <c r="P2317" s="140"/>
    </row>
    <row r="2318" spans="1:16" hidden="1" x14ac:dyDescent="0.35">
      <c r="A2318" s="146"/>
      <c r="B2318" s="143"/>
      <c r="C2318" s="133"/>
      <c r="D2318" s="133"/>
      <c r="E2318" s="145" t="s">
        <v>1064</v>
      </c>
      <c r="F2318" s="145">
        <v>8711</v>
      </c>
      <c r="G2318" s="133" t="s">
        <v>1034</v>
      </c>
      <c r="H2318" s="144" t="s">
        <v>1341</v>
      </c>
      <c r="I2318" s="133" t="s">
        <v>1092</v>
      </c>
      <c r="J2318" s="133" t="s">
        <v>1487</v>
      </c>
      <c r="K2318" s="143">
        <v>45689</v>
      </c>
      <c r="L2318" s="133" t="s">
        <v>1241</v>
      </c>
      <c r="M2318" s="133">
        <v>850</v>
      </c>
      <c r="N2318" s="142"/>
      <c r="O2318" s="141"/>
      <c r="P2318" s="140"/>
    </row>
    <row r="2319" spans="1:16" hidden="1" x14ac:dyDescent="0.35">
      <c r="A2319" s="146"/>
      <c r="B2319" s="143"/>
      <c r="C2319" s="133"/>
      <c r="D2319" s="133"/>
      <c r="E2319" s="145" t="s">
        <v>1067</v>
      </c>
      <c r="F2319" s="145">
        <v>8008.66</v>
      </c>
      <c r="G2319" s="133"/>
      <c r="H2319" s="144"/>
      <c r="I2319" s="133"/>
      <c r="J2319" s="133"/>
      <c r="K2319" s="133"/>
      <c r="L2319" s="133"/>
      <c r="M2319" s="133"/>
      <c r="N2319" s="142"/>
      <c r="P2319" s="140"/>
    </row>
    <row r="2320" spans="1:16" hidden="1" x14ac:dyDescent="0.35">
      <c r="A2320" s="146"/>
      <c r="B2320" s="143"/>
      <c r="C2320" s="133"/>
      <c r="D2320" s="133"/>
      <c r="E2320" s="145"/>
      <c r="F2320" s="145"/>
      <c r="G2320" s="133"/>
      <c r="H2320" s="144"/>
      <c r="I2320" s="133"/>
      <c r="J2320" s="133"/>
      <c r="K2320" s="133"/>
      <c r="L2320" s="133"/>
      <c r="M2320" s="133"/>
      <c r="N2320" s="142"/>
      <c r="P2320" s="140"/>
    </row>
    <row r="2321" spans="1:18" hidden="1" x14ac:dyDescent="0.35">
      <c r="A2321" s="146">
        <v>243</v>
      </c>
      <c r="B2321" s="143">
        <v>45658</v>
      </c>
      <c r="C2321" s="133" t="s">
        <v>1491</v>
      </c>
      <c r="D2321" s="133" t="s">
        <v>1129</v>
      </c>
      <c r="E2321" s="145" t="s">
        <v>1075</v>
      </c>
      <c r="F2321" s="145">
        <v>13372</v>
      </c>
      <c r="G2321" s="133" t="s">
        <v>1034</v>
      </c>
      <c r="H2321" s="144" t="s">
        <v>1341</v>
      </c>
      <c r="I2321" s="133" t="s">
        <v>1092</v>
      </c>
      <c r="J2321" s="133" t="s">
        <v>1488</v>
      </c>
      <c r="K2321" s="143">
        <v>45689</v>
      </c>
      <c r="L2321" s="133" t="s">
        <v>1092</v>
      </c>
      <c r="M2321" s="133">
        <v>27710.400000000001</v>
      </c>
      <c r="N2321" s="147">
        <f>+F2321+F2322+F2323+F2324-M2321-M2322</f>
        <v>0</v>
      </c>
      <c r="O2321" s="141"/>
      <c r="P2321" s="140"/>
    </row>
    <row r="2322" spans="1:18" hidden="1" x14ac:dyDescent="0.35">
      <c r="A2322" s="146"/>
      <c r="B2322" s="143"/>
      <c r="C2322" s="133"/>
      <c r="D2322" s="133"/>
      <c r="E2322" s="145" t="s">
        <v>1064</v>
      </c>
      <c r="F2322" s="145">
        <v>12546</v>
      </c>
      <c r="G2322" s="133" t="s">
        <v>1034</v>
      </c>
      <c r="H2322" s="144" t="s">
        <v>1341</v>
      </c>
      <c r="I2322" s="133" t="s">
        <v>1092</v>
      </c>
      <c r="J2322" s="133" t="s">
        <v>1487</v>
      </c>
      <c r="K2322" s="143">
        <v>45689</v>
      </c>
      <c r="L2322" s="133" t="s">
        <v>1241</v>
      </c>
      <c r="M2322" s="133">
        <v>1459</v>
      </c>
      <c r="N2322" s="142"/>
      <c r="O2322" s="141"/>
      <c r="P2322" s="140"/>
    </row>
    <row r="2323" spans="1:18" hidden="1" x14ac:dyDescent="0.35">
      <c r="A2323" s="146"/>
      <c r="B2323" s="143"/>
      <c r="C2323" s="133"/>
      <c r="D2323" s="133"/>
      <c r="E2323" s="145" t="s">
        <v>1067</v>
      </c>
      <c r="F2323" s="145">
        <v>1795</v>
      </c>
      <c r="G2323" s="133"/>
      <c r="H2323" s="144"/>
      <c r="I2323" s="133"/>
      <c r="J2323" s="133"/>
      <c r="K2323" s="133"/>
      <c r="L2323" s="133"/>
      <c r="M2323" s="133"/>
      <c r="N2323" s="142"/>
      <c r="P2323" s="140"/>
    </row>
    <row r="2324" spans="1:18" hidden="1" x14ac:dyDescent="0.35">
      <c r="A2324" s="146"/>
      <c r="B2324" s="143"/>
      <c r="C2324" s="133"/>
      <c r="D2324" s="133"/>
      <c r="E2324" s="145" t="s">
        <v>1118</v>
      </c>
      <c r="F2324" s="145">
        <v>1456.4</v>
      </c>
      <c r="G2324" s="133"/>
      <c r="H2324" s="144"/>
      <c r="I2324" s="133"/>
      <c r="J2324" s="133"/>
      <c r="K2324" s="133"/>
      <c r="L2324" s="133"/>
      <c r="M2324" s="133"/>
      <c r="N2324" s="142"/>
      <c r="P2324" s="140"/>
    </row>
    <row r="2325" spans="1:18" hidden="1" x14ac:dyDescent="0.35">
      <c r="A2325" s="146"/>
      <c r="B2325" s="143"/>
      <c r="C2325" s="133"/>
      <c r="D2325" s="133"/>
      <c r="E2325" s="145"/>
      <c r="F2325" s="145"/>
      <c r="G2325" s="133"/>
      <c r="H2325" s="144"/>
      <c r="I2325" s="133"/>
      <c r="J2325" s="133"/>
      <c r="K2325" s="133"/>
      <c r="L2325" s="133"/>
      <c r="M2325" s="133"/>
      <c r="N2325" s="142"/>
      <c r="P2325" s="140"/>
    </row>
    <row r="2326" spans="1:18" hidden="1" x14ac:dyDescent="0.35">
      <c r="A2326" s="146">
        <v>244</v>
      </c>
      <c r="B2326" s="143">
        <v>45658</v>
      </c>
      <c r="C2326" s="133" t="s">
        <v>1490</v>
      </c>
      <c r="D2326" s="133" t="s">
        <v>1127</v>
      </c>
      <c r="E2326" s="145" t="s">
        <v>1075</v>
      </c>
      <c r="F2326" s="145">
        <v>911.5</v>
      </c>
      <c r="G2326" s="133" t="s">
        <v>1034</v>
      </c>
      <c r="H2326" s="144" t="s">
        <v>1341</v>
      </c>
      <c r="I2326" s="133" t="s">
        <v>1092</v>
      </c>
      <c r="J2326" s="133" t="s">
        <v>1488</v>
      </c>
      <c r="K2326" s="143">
        <v>45689</v>
      </c>
      <c r="L2326" s="133" t="s">
        <v>1092</v>
      </c>
      <c r="M2326" s="133">
        <v>11663.5</v>
      </c>
      <c r="N2326" s="147">
        <f>+F2326+F2327-M2326-M2327</f>
        <v>0</v>
      </c>
      <c r="O2326" s="141"/>
      <c r="P2326" s="140"/>
    </row>
    <row r="2327" spans="1:18" hidden="1" x14ac:dyDescent="0.35">
      <c r="A2327" s="146"/>
      <c r="B2327" s="143"/>
      <c r="C2327" s="133"/>
      <c r="D2327" s="133"/>
      <c r="E2327" s="145" t="s">
        <v>1064</v>
      </c>
      <c r="F2327" s="145">
        <v>11367</v>
      </c>
      <c r="G2327" s="133" t="s">
        <v>1034</v>
      </c>
      <c r="H2327" s="144" t="s">
        <v>1341</v>
      </c>
      <c r="I2327" s="133" t="s">
        <v>1092</v>
      </c>
      <c r="J2327" s="133" t="s">
        <v>1487</v>
      </c>
      <c r="K2327" s="143">
        <v>45689</v>
      </c>
      <c r="L2327" s="133" t="s">
        <v>1241</v>
      </c>
      <c r="M2327" s="133">
        <v>615</v>
      </c>
      <c r="N2327" s="142"/>
      <c r="O2327" s="141"/>
      <c r="P2327" s="140"/>
    </row>
    <row r="2328" spans="1:18" hidden="1" x14ac:dyDescent="0.35">
      <c r="A2328" s="146"/>
      <c r="B2328" s="143"/>
      <c r="C2328" s="133"/>
      <c r="D2328" s="133"/>
      <c r="E2328" s="145"/>
      <c r="F2328" s="145"/>
      <c r="G2328" s="133"/>
      <c r="H2328" s="144"/>
      <c r="I2328" s="133"/>
      <c r="J2328" s="133"/>
      <c r="K2328" s="133"/>
      <c r="L2328" s="133"/>
      <c r="M2328" s="133"/>
      <c r="N2328" s="142"/>
      <c r="P2328" s="140"/>
    </row>
    <row r="2329" spans="1:18" hidden="1" x14ac:dyDescent="0.35">
      <c r="A2329" s="146">
        <v>245</v>
      </c>
      <c r="B2329" s="143">
        <v>45658</v>
      </c>
      <c r="C2329" s="133" t="s">
        <v>1489</v>
      </c>
      <c r="D2329" s="133" t="s">
        <v>1125</v>
      </c>
      <c r="E2329" s="145" t="s">
        <v>1075</v>
      </c>
      <c r="F2329" s="145">
        <v>8475.5</v>
      </c>
      <c r="G2329" s="133" t="s">
        <v>1034</v>
      </c>
      <c r="H2329" s="144" t="s">
        <v>1341</v>
      </c>
      <c r="I2329" s="133" t="s">
        <v>1092</v>
      </c>
      <c r="J2329" s="133" t="s">
        <v>1488</v>
      </c>
      <c r="K2329" s="143">
        <v>45689</v>
      </c>
      <c r="L2329" s="133" t="s">
        <v>1092</v>
      </c>
      <c r="M2329" s="133">
        <f>6375.5+14811.9+35.3+5945</f>
        <v>27167.7</v>
      </c>
      <c r="N2329" s="147">
        <f>+F2329+F2330+F2331+F2332+F2333-M2329-M2330-M2331-M2332</f>
        <v>3.637978807091713E-12</v>
      </c>
      <c r="O2329" s="141"/>
      <c r="P2329" s="140"/>
    </row>
    <row r="2330" spans="1:18" hidden="1" x14ac:dyDescent="0.35">
      <c r="A2330" s="146"/>
      <c r="B2330" s="143"/>
      <c r="C2330" s="133"/>
      <c r="D2330" s="133"/>
      <c r="E2330" s="145" t="s">
        <v>1064</v>
      </c>
      <c r="F2330" s="145">
        <v>24811.9</v>
      </c>
      <c r="G2330" s="133" t="s">
        <v>1034</v>
      </c>
      <c r="H2330" s="144" t="s">
        <v>1341</v>
      </c>
      <c r="I2330" s="133" t="s">
        <v>1092</v>
      </c>
      <c r="J2330" s="133" t="s">
        <v>1487</v>
      </c>
      <c r="K2330" s="143">
        <v>45689</v>
      </c>
      <c r="L2330" s="133" t="s">
        <v>1241</v>
      </c>
      <c r="M2330" s="133">
        <v>2100</v>
      </c>
      <c r="N2330" s="142"/>
      <c r="O2330" s="141"/>
      <c r="P2330" s="140"/>
    </row>
    <row r="2331" spans="1:18" hidden="1" x14ac:dyDescent="0.35">
      <c r="A2331" s="146"/>
      <c r="B2331" s="143"/>
      <c r="C2331" s="133"/>
      <c r="D2331" s="133"/>
      <c r="E2331" s="145" t="s">
        <v>1342</v>
      </c>
      <c r="F2331" s="145">
        <v>1703</v>
      </c>
      <c r="G2331" s="133" t="s">
        <v>1034</v>
      </c>
      <c r="H2331" s="144" t="s">
        <v>1341</v>
      </c>
      <c r="I2331" s="133" t="s">
        <v>1092</v>
      </c>
      <c r="J2331" s="133" t="s">
        <v>1463</v>
      </c>
      <c r="K2331" s="143">
        <v>45689</v>
      </c>
      <c r="L2331" s="133" t="s">
        <v>1092</v>
      </c>
      <c r="M2331" s="133">
        <v>10000</v>
      </c>
      <c r="N2331" s="142"/>
      <c r="P2331" s="140"/>
      <c r="R2331" s="140"/>
    </row>
    <row r="2332" spans="1:18" hidden="1" x14ac:dyDescent="0.35">
      <c r="A2332" s="146"/>
      <c r="B2332" s="143"/>
      <c r="C2332" s="133"/>
      <c r="D2332" s="133"/>
      <c r="E2332" s="145" t="s">
        <v>1118</v>
      </c>
      <c r="F2332" s="145">
        <v>35.299999999999997</v>
      </c>
      <c r="G2332" s="133" t="s">
        <v>1034</v>
      </c>
      <c r="H2332" s="144" t="s">
        <v>1341</v>
      </c>
      <c r="I2332" s="133" t="s">
        <v>1092</v>
      </c>
      <c r="J2332" s="133" t="s">
        <v>1448</v>
      </c>
      <c r="K2332" s="143">
        <v>45717</v>
      </c>
      <c r="L2332" s="133" t="s">
        <v>1092</v>
      </c>
      <c r="M2332" s="133">
        <v>1703</v>
      </c>
      <c r="N2332" s="142"/>
      <c r="P2332" s="140"/>
    </row>
    <row r="2333" spans="1:18" hidden="1" x14ac:dyDescent="0.35">
      <c r="A2333" s="146"/>
      <c r="B2333" s="143"/>
      <c r="C2333" s="133"/>
      <c r="D2333" s="133"/>
      <c r="E2333" s="145" t="s">
        <v>1067</v>
      </c>
      <c r="F2333" s="145">
        <v>5945</v>
      </c>
      <c r="G2333" s="133"/>
      <c r="H2333" s="144"/>
      <c r="I2333" s="133"/>
      <c r="J2333" s="133"/>
      <c r="K2333" s="133"/>
      <c r="L2333" s="133"/>
      <c r="M2333" s="133"/>
      <c r="N2333" s="142"/>
      <c r="P2333" s="140"/>
    </row>
    <row r="2334" spans="1:18" hidden="1" x14ac:dyDescent="0.35">
      <c r="A2334" s="146"/>
      <c r="B2334" s="143"/>
      <c r="C2334" s="133"/>
      <c r="D2334" s="133"/>
      <c r="E2334" s="145"/>
      <c r="F2334" s="145"/>
      <c r="G2334" s="133"/>
      <c r="H2334" s="144"/>
      <c r="I2334" s="133"/>
      <c r="J2334" s="133"/>
      <c r="K2334" s="133"/>
      <c r="L2334" s="133"/>
      <c r="M2334" s="133"/>
      <c r="N2334" s="142"/>
      <c r="P2334" s="140"/>
    </row>
    <row r="2335" spans="1:18" hidden="1" x14ac:dyDescent="0.35">
      <c r="A2335" s="146">
        <v>246</v>
      </c>
      <c r="B2335" s="143">
        <v>45658</v>
      </c>
      <c r="C2335" s="133" t="s">
        <v>1486</v>
      </c>
      <c r="D2335" s="133" t="s">
        <v>1485</v>
      </c>
      <c r="E2335" s="145" t="s">
        <v>1075</v>
      </c>
      <c r="F2335" s="145">
        <v>4060</v>
      </c>
      <c r="G2335" s="133" t="s">
        <v>1034</v>
      </c>
      <c r="H2335" s="144" t="s">
        <v>1341</v>
      </c>
      <c r="I2335" s="133" t="s">
        <v>1092</v>
      </c>
      <c r="J2335" s="133" t="s">
        <v>1463</v>
      </c>
      <c r="K2335" s="143">
        <v>45689</v>
      </c>
      <c r="L2335" s="133" t="s">
        <v>1092</v>
      </c>
      <c r="M2335" s="133">
        <f>2929+1067.5+12426</f>
        <v>16422.5</v>
      </c>
      <c r="N2335" s="147">
        <f>+F2335+F2336+F2337+F2338-M2335-M2336</f>
        <v>0</v>
      </c>
      <c r="O2335" s="141"/>
      <c r="P2335" s="140"/>
      <c r="R2335" s="140"/>
    </row>
    <row r="2336" spans="1:18" hidden="1" x14ac:dyDescent="0.35">
      <c r="A2336" s="146"/>
      <c r="B2336" s="143"/>
      <c r="C2336" s="133"/>
      <c r="D2336" s="133"/>
      <c r="E2336" s="145" t="s">
        <v>1064</v>
      </c>
      <c r="F2336" s="145">
        <v>12426</v>
      </c>
      <c r="G2336" s="133" t="s">
        <v>1034</v>
      </c>
      <c r="H2336" s="144" t="s">
        <v>1341</v>
      </c>
      <c r="I2336" s="133" t="s">
        <v>1092</v>
      </c>
      <c r="J2336" s="133" t="s">
        <v>1458</v>
      </c>
      <c r="K2336" s="143">
        <v>45717</v>
      </c>
      <c r="L2336" s="133" t="s">
        <v>1092</v>
      </c>
      <c r="M2336" s="133">
        <f>5117.5+1131</f>
        <v>6248.5</v>
      </c>
      <c r="N2336" s="142"/>
      <c r="O2336" s="141"/>
      <c r="P2336" s="140"/>
    </row>
    <row r="2337" spans="1:18" hidden="1" x14ac:dyDescent="0.35">
      <c r="A2337" s="146"/>
      <c r="B2337" s="143"/>
      <c r="C2337" s="133"/>
      <c r="D2337" s="133"/>
      <c r="E2337" s="145" t="s">
        <v>1118</v>
      </c>
      <c r="F2337" s="145">
        <v>1067.5</v>
      </c>
      <c r="G2337" s="133"/>
      <c r="H2337" s="144"/>
      <c r="I2337" s="133"/>
      <c r="J2337" s="133"/>
      <c r="K2337" s="133"/>
      <c r="L2337" s="133"/>
      <c r="M2337" s="133"/>
      <c r="N2337" s="142"/>
      <c r="P2337" s="140"/>
    </row>
    <row r="2338" spans="1:18" hidden="1" x14ac:dyDescent="0.35">
      <c r="A2338" s="146"/>
      <c r="B2338" s="143"/>
      <c r="C2338" s="133"/>
      <c r="D2338" s="133"/>
      <c r="E2338" s="145" t="s">
        <v>1067</v>
      </c>
      <c r="F2338" s="145">
        <v>5117.5</v>
      </c>
      <c r="G2338" s="133"/>
      <c r="H2338" s="144"/>
      <c r="I2338" s="133"/>
      <c r="J2338" s="133"/>
      <c r="K2338" s="133"/>
      <c r="L2338" s="133"/>
      <c r="M2338" s="133"/>
      <c r="N2338" s="142"/>
      <c r="P2338" s="140"/>
    </row>
    <row r="2339" spans="1:18" hidden="1" x14ac:dyDescent="0.35">
      <c r="A2339" s="146"/>
      <c r="B2339" s="143"/>
      <c r="C2339" s="133"/>
      <c r="D2339" s="133"/>
      <c r="E2339" s="145"/>
      <c r="F2339" s="145"/>
      <c r="G2339" s="133"/>
      <c r="H2339" s="144"/>
      <c r="I2339" s="133"/>
      <c r="J2339" s="133"/>
      <c r="K2339" s="133"/>
      <c r="L2339" s="133"/>
      <c r="M2339" s="133"/>
      <c r="N2339" s="142"/>
      <c r="P2339" s="140"/>
    </row>
    <row r="2340" spans="1:18" hidden="1" x14ac:dyDescent="0.35">
      <c r="A2340" s="146">
        <v>247</v>
      </c>
      <c r="B2340" s="143">
        <v>45658</v>
      </c>
      <c r="C2340" s="133" t="s">
        <v>1484</v>
      </c>
      <c r="D2340" s="133" t="s">
        <v>1483</v>
      </c>
      <c r="E2340" s="145" t="s">
        <v>1075</v>
      </c>
      <c r="F2340" s="145">
        <v>902</v>
      </c>
      <c r="G2340" s="133" t="s">
        <v>1034</v>
      </c>
      <c r="H2340" s="144" t="s">
        <v>1341</v>
      </c>
      <c r="I2340" s="133" t="s">
        <v>1092</v>
      </c>
      <c r="J2340" s="133" t="s">
        <v>1463</v>
      </c>
      <c r="K2340" s="143">
        <v>45689</v>
      </c>
      <c r="L2340" s="133" t="s">
        <v>1092</v>
      </c>
      <c r="M2340" s="133">
        <f>902+14073.5</f>
        <v>14975.5</v>
      </c>
      <c r="N2340" s="147">
        <f>+F2340+F2341+F2342+F2343+F2344-M2340-M2341-M2342-M2343</f>
        <v>1.8189894035458565E-12</v>
      </c>
      <c r="O2340" s="141"/>
      <c r="P2340" s="140"/>
      <c r="R2340" s="140"/>
    </row>
    <row r="2341" spans="1:18" hidden="1" x14ac:dyDescent="0.35">
      <c r="A2341" s="146"/>
      <c r="B2341" s="143"/>
      <c r="C2341" s="133"/>
      <c r="D2341" s="133"/>
      <c r="E2341" s="145" t="s">
        <v>1064</v>
      </c>
      <c r="F2341" s="145">
        <v>15194.5</v>
      </c>
      <c r="G2341" s="133" t="s">
        <v>1034</v>
      </c>
      <c r="H2341" s="144" t="s">
        <v>1341</v>
      </c>
      <c r="I2341" s="133" t="s">
        <v>1092</v>
      </c>
      <c r="J2341" s="133" t="s">
        <v>1458</v>
      </c>
      <c r="K2341" s="143">
        <v>45717</v>
      </c>
      <c r="L2341" s="133" t="s">
        <v>1092</v>
      </c>
      <c r="M2341" s="133">
        <v>2900</v>
      </c>
      <c r="N2341" s="147"/>
      <c r="O2341" s="141"/>
      <c r="P2341" s="140"/>
    </row>
    <row r="2342" spans="1:18" hidden="1" x14ac:dyDescent="0.35">
      <c r="A2342" s="146"/>
      <c r="B2342" s="143"/>
      <c r="C2342" s="133"/>
      <c r="D2342" s="133"/>
      <c r="E2342" s="145" t="s">
        <v>1342</v>
      </c>
      <c r="F2342" s="145">
        <v>2365</v>
      </c>
      <c r="G2342" s="133" t="s">
        <v>1034</v>
      </c>
      <c r="H2342" s="144" t="s">
        <v>1341</v>
      </c>
      <c r="I2342" s="133" t="s">
        <v>1092</v>
      </c>
      <c r="J2342" s="133" t="s">
        <v>1445</v>
      </c>
      <c r="K2342" s="143">
        <v>45717</v>
      </c>
      <c r="L2342" s="133" t="s">
        <v>1092</v>
      </c>
      <c r="M2342" s="133">
        <f>4531.9-1121</f>
        <v>3410.8999999999996</v>
      </c>
      <c r="N2342" s="147"/>
      <c r="P2342" s="140"/>
    </row>
    <row r="2343" spans="1:18" hidden="1" x14ac:dyDescent="0.35">
      <c r="A2343" s="146"/>
      <c r="B2343" s="143"/>
      <c r="C2343" s="133"/>
      <c r="D2343" s="133"/>
      <c r="E2343" s="145" t="s">
        <v>1071</v>
      </c>
      <c r="F2343" s="145">
        <v>1045.9000000000001</v>
      </c>
      <c r="G2343" s="133" t="s">
        <v>1034</v>
      </c>
      <c r="H2343" s="144" t="s">
        <v>1341</v>
      </c>
      <c r="I2343" s="133" t="s">
        <v>1092</v>
      </c>
      <c r="J2343" s="133" t="s">
        <v>1444</v>
      </c>
      <c r="K2343" s="143">
        <v>45717</v>
      </c>
      <c r="L2343" s="133" t="s">
        <v>1241</v>
      </c>
      <c r="M2343" s="133">
        <v>1121</v>
      </c>
      <c r="N2343" s="147"/>
      <c r="P2343" s="140"/>
    </row>
    <row r="2344" spans="1:18" hidden="1" x14ac:dyDescent="0.35">
      <c r="A2344" s="146"/>
      <c r="B2344" s="143"/>
      <c r="C2344" s="133"/>
      <c r="D2344" s="133"/>
      <c r="E2344" s="145" t="s">
        <v>1067</v>
      </c>
      <c r="F2344" s="145">
        <v>2900</v>
      </c>
      <c r="G2344" s="133"/>
      <c r="H2344" s="144"/>
      <c r="I2344" s="133"/>
      <c r="J2344" s="133"/>
      <c r="K2344" s="133"/>
      <c r="L2344" s="133"/>
      <c r="M2344" s="133"/>
      <c r="N2344" s="147"/>
      <c r="P2344" s="140"/>
    </row>
    <row r="2345" spans="1:18" hidden="1" x14ac:dyDescent="0.35">
      <c r="A2345" s="146"/>
      <c r="B2345" s="143"/>
      <c r="C2345" s="133"/>
      <c r="D2345" s="133"/>
      <c r="E2345" s="145"/>
      <c r="F2345" s="145"/>
      <c r="G2345" s="133"/>
      <c r="H2345" s="144"/>
      <c r="I2345" s="133"/>
      <c r="J2345" s="133"/>
      <c r="K2345" s="133"/>
      <c r="L2345" s="133"/>
      <c r="M2345" s="133"/>
      <c r="N2345" s="147"/>
      <c r="P2345" s="140"/>
    </row>
    <row r="2346" spans="1:18" hidden="1" x14ac:dyDescent="0.35">
      <c r="A2346" s="146">
        <v>248</v>
      </c>
      <c r="B2346" s="143">
        <v>45658</v>
      </c>
      <c r="C2346" s="133" t="s">
        <v>1482</v>
      </c>
      <c r="D2346" s="133" t="s">
        <v>1481</v>
      </c>
      <c r="E2346" s="145" t="s">
        <v>1075</v>
      </c>
      <c r="F2346" s="145">
        <v>8422.9</v>
      </c>
      <c r="G2346" s="133" t="s">
        <v>1034</v>
      </c>
      <c r="H2346" s="144" t="s">
        <v>1341</v>
      </c>
      <c r="I2346" s="133" t="s">
        <v>1092</v>
      </c>
      <c r="J2346" s="133" t="s">
        <v>1463</v>
      </c>
      <c r="K2346" s="143">
        <v>45689</v>
      </c>
      <c r="L2346" s="133" t="s">
        <v>1092</v>
      </c>
      <c r="M2346" s="133">
        <v>11316.2</v>
      </c>
      <c r="N2346" s="147">
        <f>+F2346+F2347+F2348-M2346-M2347</f>
        <v>0</v>
      </c>
      <c r="O2346" s="141"/>
      <c r="P2346" s="140"/>
      <c r="R2346" s="140"/>
    </row>
    <row r="2347" spans="1:18" hidden="1" x14ac:dyDescent="0.35">
      <c r="A2347" s="146"/>
      <c r="B2347" s="143"/>
      <c r="C2347" s="133"/>
      <c r="D2347" s="133"/>
      <c r="E2347" s="145" t="s">
        <v>1067</v>
      </c>
      <c r="F2347" s="145">
        <v>639</v>
      </c>
      <c r="G2347" s="133" t="s">
        <v>1034</v>
      </c>
      <c r="H2347" s="144" t="s">
        <v>1341</v>
      </c>
      <c r="I2347" s="133" t="s">
        <v>1092</v>
      </c>
      <c r="J2347" s="133" t="s">
        <v>1444</v>
      </c>
      <c r="K2347" s="143">
        <v>45717</v>
      </c>
      <c r="L2347" s="133" t="s">
        <v>1241</v>
      </c>
      <c r="M2347" s="133">
        <v>590</v>
      </c>
      <c r="N2347" s="147"/>
      <c r="O2347" s="141"/>
      <c r="P2347" s="140"/>
    </row>
    <row r="2348" spans="1:18" hidden="1" x14ac:dyDescent="0.35">
      <c r="A2348" s="146"/>
      <c r="B2348" s="143"/>
      <c r="C2348" s="133"/>
      <c r="D2348" s="133"/>
      <c r="E2348" s="145" t="s">
        <v>1118</v>
      </c>
      <c r="F2348" s="145">
        <v>2844.3</v>
      </c>
      <c r="G2348" s="133"/>
      <c r="H2348" s="144"/>
      <c r="I2348" s="133"/>
      <c r="J2348" s="133"/>
      <c r="K2348" s="133"/>
      <c r="L2348" s="133"/>
      <c r="M2348" s="133"/>
      <c r="N2348" s="147"/>
      <c r="P2348" s="140"/>
    </row>
    <row r="2349" spans="1:18" hidden="1" x14ac:dyDescent="0.35">
      <c r="A2349" s="146"/>
      <c r="B2349" s="143"/>
      <c r="C2349" s="133"/>
      <c r="D2349" s="133"/>
      <c r="E2349" s="145"/>
      <c r="F2349" s="145"/>
      <c r="G2349" s="133"/>
      <c r="H2349" s="144"/>
      <c r="I2349" s="133"/>
      <c r="J2349" s="133"/>
      <c r="K2349" s="133"/>
      <c r="L2349" s="133"/>
      <c r="M2349" s="133"/>
      <c r="N2349" s="147"/>
      <c r="P2349" s="140"/>
    </row>
    <row r="2350" spans="1:18" hidden="1" x14ac:dyDescent="0.35">
      <c r="A2350" s="146">
        <v>249</v>
      </c>
      <c r="B2350" s="143">
        <v>45658</v>
      </c>
      <c r="C2350" s="133" t="s">
        <v>1480</v>
      </c>
      <c r="D2350" s="133" t="s">
        <v>1479</v>
      </c>
      <c r="E2350" s="145" t="s">
        <v>1064</v>
      </c>
      <c r="F2350" s="145">
        <v>11538</v>
      </c>
      <c r="G2350" s="133" t="s">
        <v>1034</v>
      </c>
      <c r="H2350" s="144" t="s">
        <v>1341</v>
      </c>
      <c r="I2350" s="133" t="s">
        <v>1092</v>
      </c>
      <c r="J2350" s="133" t="s">
        <v>1463</v>
      </c>
      <c r="K2350" s="143">
        <v>45689</v>
      </c>
      <c r="L2350" s="133" t="s">
        <v>1092</v>
      </c>
      <c r="M2350" s="133">
        <f>10613+7022.94</f>
        <v>17635.939999999999</v>
      </c>
      <c r="N2350" s="147">
        <f>+F2350+F2351-M2350-M2351</f>
        <v>0</v>
      </c>
      <c r="O2350" s="141"/>
      <c r="P2350" s="140"/>
      <c r="R2350" s="140"/>
    </row>
    <row r="2351" spans="1:18" hidden="1" x14ac:dyDescent="0.35">
      <c r="A2351" s="146"/>
      <c r="B2351" s="143"/>
      <c r="C2351" s="133"/>
      <c r="D2351" s="133"/>
      <c r="E2351" s="145" t="s">
        <v>1078</v>
      </c>
      <c r="F2351" s="145">
        <v>7022.94</v>
      </c>
      <c r="G2351" s="133" t="s">
        <v>1034</v>
      </c>
      <c r="H2351" s="144" t="s">
        <v>1341</v>
      </c>
      <c r="I2351" s="133" t="s">
        <v>1092</v>
      </c>
      <c r="J2351" s="133" t="s">
        <v>1444</v>
      </c>
      <c r="K2351" s="143">
        <v>45717</v>
      </c>
      <c r="L2351" s="133" t="s">
        <v>1241</v>
      </c>
      <c r="M2351" s="133">
        <v>925</v>
      </c>
      <c r="N2351" s="147"/>
      <c r="O2351" s="141"/>
      <c r="P2351" s="140"/>
    </row>
    <row r="2352" spans="1:18" hidden="1" x14ac:dyDescent="0.35">
      <c r="A2352" s="146"/>
      <c r="B2352" s="143"/>
      <c r="C2352" s="133"/>
      <c r="D2352" s="133"/>
      <c r="E2352" s="145"/>
      <c r="F2352" s="145"/>
      <c r="G2352" s="133"/>
      <c r="H2352" s="144"/>
      <c r="I2352" s="133"/>
      <c r="J2352" s="133"/>
      <c r="K2352" s="133"/>
      <c r="L2352" s="133"/>
      <c r="M2352" s="133"/>
      <c r="N2352" s="147"/>
      <c r="P2352" s="140"/>
    </row>
    <row r="2353" spans="1:16" hidden="1" x14ac:dyDescent="0.35">
      <c r="A2353" s="146">
        <v>250</v>
      </c>
      <c r="B2353" s="143">
        <v>45658</v>
      </c>
      <c r="C2353" s="133" t="s">
        <v>1478</v>
      </c>
      <c r="D2353" s="133" t="s">
        <v>1477</v>
      </c>
      <c r="E2353" s="145" t="s">
        <v>1075</v>
      </c>
      <c r="F2353" s="145">
        <v>6100</v>
      </c>
      <c r="G2353" s="133" t="s">
        <v>1034</v>
      </c>
      <c r="H2353" s="144" t="s">
        <v>1341</v>
      </c>
      <c r="I2353" s="133" t="s">
        <v>1092</v>
      </c>
      <c r="J2353" s="133" t="s">
        <v>1448</v>
      </c>
      <c r="K2353" s="143">
        <v>45717</v>
      </c>
      <c r="L2353" s="133" t="s">
        <v>1092</v>
      </c>
      <c r="M2353" s="133">
        <v>5584</v>
      </c>
      <c r="N2353" s="147">
        <f>+F2353+F2354-M2353-M2354-M2355</f>
        <v>0</v>
      </c>
      <c r="O2353" s="141"/>
      <c r="P2353" s="140"/>
    </row>
    <row r="2354" spans="1:16" hidden="1" x14ac:dyDescent="0.35">
      <c r="A2354" s="146"/>
      <c r="B2354" s="143"/>
      <c r="C2354" s="133"/>
      <c r="D2354" s="133"/>
      <c r="E2354" s="145" t="s">
        <v>1342</v>
      </c>
      <c r="F2354" s="145">
        <v>4269</v>
      </c>
      <c r="G2354" s="133" t="s">
        <v>1034</v>
      </c>
      <c r="H2354" s="144" t="s">
        <v>1341</v>
      </c>
      <c r="I2354" s="133" t="s">
        <v>1092</v>
      </c>
      <c r="J2354" s="133" t="s">
        <v>1445</v>
      </c>
      <c r="K2354" s="143">
        <v>45717</v>
      </c>
      <c r="L2354" s="133" t="s">
        <v>1092</v>
      </c>
      <c r="M2354" s="133">
        <v>4269</v>
      </c>
      <c r="N2354" s="147"/>
      <c r="O2354" s="141"/>
      <c r="P2354" s="140"/>
    </row>
    <row r="2355" spans="1:16" hidden="1" x14ac:dyDescent="0.35">
      <c r="A2355" s="146"/>
      <c r="B2355" s="143"/>
      <c r="C2355" s="133"/>
      <c r="D2355" s="133"/>
      <c r="E2355" s="145"/>
      <c r="F2355" s="145"/>
      <c r="G2355" s="133" t="s">
        <v>1034</v>
      </c>
      <c r="H2355" s="144" t="s">
        <v>1341</v>
      </c>
      <c r="I2355" s="133" t="s">
        <v>1092</v>
      </c>
      <c r="J2355" s="133" t="s">
        <v>1444</v>
      </c>
      <c r="K2355" s="143">
        <v>45717</v>
      </c>
      <c r="L2355" s="133" t="s">
        <v>1241</v>
      </c>
      <c r="M2355" s="133">
        <v>516</v>
      </c>
      <c r="N2355" s="147"/>
      <c r="P2355" s="140"/>
    </row>
    <row r="2356" spans="1:16" hidden="1" x14ac:dyDescent="0.35">
      <c r="A2356" s="146"/>
      <c r="B2356" s="143"/>
      <c r="C2356" s="133"/>
      <c r="D2356" s="133"/>
      <c r="E2356" s="145"/>
      <c r="F2356" s="145"/>
      <c r="G2356" s="133"/>
      <c r="H2356" s="144"/>
      <c r="I2356" s="133"/>
      <c r="J2356" s="133"/>
      <c r="K2356" s="143"/>
      <c r="L2356" s="133"/>
      <c r="M2356" s="133"/>
      <c r="N2356" s="147"/>
      <c r="P2356" s="140"/>
    </row>
    <row r="2357" spans="1:16" hidden="1" x14ac:dyDescent="0.35">
      <c r="A2357" s="146">
        <v>251</v>
      </c>
      <c r="B2357" s="143">
        <v>45658</v>
      </c>
      <c r="C2357" s="133" t="s">
        <v>1476</v>
      </c>
      <c r="D2357" s="133" t="s">
        <v>1475</v>
      </c>
      <c r="E2357" s="145" t="s">
        <v>1075</v>
      </c>
      <c r="F2357" s="145">
        <v>7309.7</v>
      </c>
      <c r="G2357" s="133" t="s">
        <v>1034</v>
      </c>
      <c r="H2357" s="144" t="s">
        <v>1341</v>
      </c>
      <c r="I2357" s="133" t="s">
        <v>1092</v>
      </c>
      <c r="J2357" s="133" t="s">
        <v>1448</v>
      </c>
      <c r="K2357" s="143">
        <v>45717</v>
      </c>
      <c r="L2357" s="133" t="s">
        <v>1092</v>
      </c>
      <c r="M2357" s="133">
        <v>6943.7</v>
      </c>
      <c r="N2357" s="147">
        <f>+F2357-M2357-M2358</f>
        <v>0</v>
      </c>
      <c r="O2357" s="141"/>
      <c r="P2357" s="140"/>
    </row>
    <row r="2358" spans="1:16" hidden="1" x14ac:dyDescent="0.35">
      <c r="A2358" s="146"/>
      <c r="B2358" s="143"/>
      <c r="C2358" s="133"/>
      <c r="D2358" s="133"/>
      <c r="E2358" s="145"/>
      <c r="F2358" s="145"/>
      <c r="G2358" s="133" t="s">
        <v>1034</v>
      </c>
      <c r="H2358" s="144" t="s">
        <v>1341</v>
      </c>
      <c r="I2358" s="133" t="s">
        <v>1092</v>
      </c>
      <c r="J2358" s="133" t="s">
        <v>1444</v>
      </c>
      <c r="K2358" s="143">
        <v>45717</v>
      </c>
      <c r="L2358" s="133" t="s">
        <v>1241</v>
      </c>
      <c r="M2358" s="133">
        <v>366</v>
      </c>
      <c r="N2358" s="147"/>
      <c r="O2358" s="141"/>
      <c r="P2358" s="140"/>
    </row>
    <row r="2359" spans="1:16" hidden="1" x14ac:dyDescent="0.35">
      <c r="A2359" s="146"/>
      <c r="B2359" s="143"/>
      <c r="C2359" s="133"/>
      <c r="D2359" s="133"/>
      <c r="E2359" s="145"/>
      <c r="F2359" s="145"/>
      <c r="G2359" s="133"/>
      <c r="H2359" s="144"/>
      <c r="I2359" s="133"/>
      <c r="J2359" s="133"/>
      <c r="K2359" s="143"/>
      <c r="L2359" s="133"/>
      <c r="M2359" s="133"/>
      <c r="N2359" s="147"/>
      <c r="O2359" s="141"/>
      <c r="P2359" s="140"/>
    </row>
    <row r="2360" spans="1:16" hidden="1" x14ac:dyDescent="0.35">
      <c r="A2360" s="146">
        <v>252</v>
      </c>
      <c r="B2360" s="143">
        <v>45658</v>
      </c>
      <c r="C2360" s="133" t="s">
        <v>1474</v>
      </c>
      <c r="D2360" s="133" t="s">
        <v>1473</v>
      </c>
      <c r="E2360" s="145" t="s">
        <v>1075</v>
      </c>
      <c r="F2360" s="145">
        <v>1455</v>
      </c>
      <c r="G2360" s="133" t="s">
        <v>1034</v>
      </c>
      <c r="H2360" s="144" t="s">
        <v>1341</v>
      </c>
      <c r="I2360" s="133" t="s">
        <v>1092</v>
      </c>
      <c r="J2360" s="133" t="s">
        <v>1458</v>
      </c>
      <c r="K2360" s="143">
        <v>45717</v>
      </c>
      <c r="L2360" s="133" t="s">
        <v>1092</v>
      </c>
      <c r="M2360" s="133">
        <f>1305+1283+301.4</f>
        <v>2889.4</v>
      </c>
      <c r="N2360" s="147">
        <f>+F2360+F2361+F2362-M2360-M2361</f>
        <v>0</v>
      </c>
      <c r="O2360" s="141"/>
      <c r="P2360" s="140"/>
    </row>
    <row r="2361" spans="1:16" hidden="1" x14ac:dyDescent="0.35">
      <c r="A2361" s="146"/>
      <c r="B2361" s="143"/>
      <c r="C2361" s="133"/>
      <c r="D2361" s="133"/>
      <c r="E2361" s="145" t="s">
        <v>1067</v>
      </c>
      <c r="F2361" s="145">
        <v>1283</v>
      </c>
      <c r="G2361" s="133" t="s">
        <v>1034</v>
      </c>
      <c r="H2361" s="144" t="s">
        <v>1341</v>
      </c>
      <c r="I2361" s="133" t="s">
        <v>1092</v>
      </c>
      <c r="J2361" s="133" t="s">
        <v>1444</v>
      </c>
      <c r="K2361" s="143">
        <v>45717</v>
      </c>
      <c r="L2361" s="133" t="s">
        <v>1241</v>
      </c>
      <c r="M2361" s="133">
        <v>150</v>
      </c>
      <c r="N2361" s="147"/>
      <c r="O2361" s="141"/>
      <c r="P2361" s="140"/>
    </row>
    <row r="2362" spans="1:16" hidden="1" x14ac:dyDescent="0.35">
      <c r="A2362" s="146"/>
      <c r="B2362" s="143"/>
      <c r="C2362" s="133"/>
      <c r="D2362" s="133"/>
      <c r="E2362" s="145" t="s">
        <v>1118</v>
      </c>
      <c r="F2362" s="145">
        <v>301.39999999999998</v>
      </c>
      <c r="G2362" s="133"/>
      <c r="H2362" s="144"/>
      <c r="I2362" s="133"/>
      <c r="J2362" s="133"/>
      <c r="K2362" s="133"/>
      <c r="L2362" s="133"/>
      <c r="M2362" s="133"/>
      <c r="N2362" s="147"/>
      <c r="P2362" s="140"/>
    </row>
    <row r="2363" spans="1:16" hidden="1" x14ac:dyDescent="0.35">
      <c r="A2363" s="146"/>
      <c r="B2363" s="143"/>
      <c r="C2363" s="133"/>
      <c r="D2363" s="133"/>
      <c r="E2363" s="145"/>
      <c r="F2363" s="145"/>
      <c r="G2363" s="133"/>
      <c r="H2363" s="144"/>
      <c r="I2363" s="133"/>
      <c r="J2363" s="133"/>
      <c r="K2363" s="133"/>
      <c r="L2363" s="133"/>
      <c r="M2363" s="133"/>
      <c r="N2363" s="147"/>
      <c r="P2363" s="140"/>
    </row>
    <row r="2364" spans="1:16" hidden="1" x14ac:dyDescent="0.35">
      <c r="A2364" s="146">
        <v>253</v>
      </c>
      <c r="B2364" s="143">
        <v>45658</v>
      </c>
      <c r="C2364" s="133" t="s">
        <v>1472</v>
      </c>
      <c r="D2364" s="133" t="s">
        <v>1121</v>
      </c>
      <c r="E2364" s="145" t="s">
        <v>1067</v>
      </c>
      <c r="F2364" s="145">
        <v>2831</v>
      </c>
      <c r="G2364" s="133" t="s">
        <v>1034</v>
      </c>
      <c r="H2364" s="144" t="s">
        <v>1341</v>
      </c>
      <c r="I2364" s="133" t="s">
        <v>1092</v>
      </c>
      <c r="J2364" s="133" t="s">
        <v>1445</v>
      </c>
      <c r="K2364" s="143">
        <v>45717</v>
      </c>
      <c r="L2364" s="133" t="s">
        <v>1092</v>
      </c>
      <c r="M2364" s="133">
        <v>7801.5</v>
      </c>
      <c r="N2364" s="147">
        <f>+F2364+F2365+F2366-M2364-M2365</f>
        <v>0</v>
      </c>
      <c r="O2364" s="141"/>
      <c r="P2364" s="140"/>
    </row>
    <row r="2365" spans="1:16" hidden="1" x14ac:dyDescent="0.35">
      <c r="A2365" s="146"/>
      <c r="B2365" s="143"/>
      <c r="C2365" s="133"/>
      <c r="D2365" s="133"/>
      <c r="E2365" s="145" t="s">
        <v>1071</v>
      </c>
      <c r="F2365" s="145">
        <v>380.5</v>
      </c>
      <c r="G2365" s="133" t="s">
        <v>1034</v>
      </c>
      <c r="H2365" s="144" t="s">
        <v>1341</v>
      </c>
      <c r="I2365" s="133" t="s">
        <v>1092</v>
      </c>
      <c r="J2365" s="133" t="s">
        <v>1444</v>
      </c>
      <c r="K2365" s="143">
        <v>45717</v>
      </c>
      <c r="L2365" s="133" t="s">
        <v>1241</v>
      </c>
      <c r="M2365" s="133">
        <v>411</v>
      </c>
      <c r="N2365" s="147"/>
      <c r="O2365" s="141"/>
      <c r="P2365" s="140"/>
    </row>
    <row r="2366" spans="1:16" hidden="1" x14ac:dyDescent="0.35">
      <c r="A2366" s="146"/>
      <c r="B2366" s="143"/>
      <c r="C2366" s="133"/>
      <c r="D2366" s="133"/>
      <c r="E2366" s="145" t="s">
        <v>1075</v>
      </c>
      <c r="F2366" s="145">
        <v>5001</v>
      </c>
      <c r="G2366" s="133"/>
      <c r="H2366" s="144"/>
      <c r="I2366" s="133"/>
      <c r="J2366" s="133"/>
      <c r="K2366" s="133"/>
      <c r="L2366" s="133"/>
      <c r="M2366" s="133"/>
      <c r="N2366" s="147"/>
      <c r="P2366" s="140"/>
    </row>
    <row r="2367" spans="1:16" hidden="1" x14ac:dyDescent="0.35">
      <c r="A2367" s="146"/>
      <c r="B2367" s="143"/>
      <c r="C2367" s="133"/>
      <c r="D2367" s="133"/>
      <c r="E2367" s="145"/>
      <c r="F2367" s="145"/>
      <c r="G2367" s="133"/>
      <c r="H2367" s="144"/>
      <c r="I2367" s="133"/>
      <c r="J2367" s="133"/>
      <c r="K2367" s="133"/>
      <c r="L2367" s="133"/>
      <c r="M2367" s="133"/>
      <c r="N2367" s="147"/>
      <c r="P2367" s="140"/>
    </row>
    <row r="2368" spans="1:16" hidden="1" x14ac:dyDescent="0.35">
      <c r="A2368" s="146">
        <v>254</v>
      </c>
      <c r="B2368" s="143">
        <v>45658</v>
      </c>
      <c r="C2368" s="133" t="s">
        <v>1471</v>
      </c>
      <c r="D2368" s="133" t="s">
        <v>1470</v>
      </c>
      <c r="E2368" s="145" t="s">
        <v>1067</v>
      </c>
      <c r="F2368" s="145">
        <v>10526.2</v>
      </c>
      <c r="G2368" s="133" t="s">
        <v>1034</v>
      </c>
      <c r="H2368" s="144" t="s">
        <v>1341</v>
      </c>
      <c r="I2368" s="133" t="s">
        <v>1092</v>
      </c>
      <c r="J2368" s="133" t="s">
        <v>1448</v>
      </c>
      <c r="K2368" s="143">
        <v>45717</v>
      </c>
      <c r="L2368" s="133" t="s">
        <v>1092</v>
      </c>
      <c r="M2368" s="133">
        <v>4309</v>
      </c>
      <c r="N2368" s="147">
        <f>+F2368+F2369+F2370-M2368-M2369-M2370</f>
        <v>0</v>
      </c>
      <c r="O2368" s="141"/>
      <c r="P2368" s="140"/>
    </row>
    <row r="2369" spans="1:18" hidden="1" x14ac:dyDescent="0.35">
      <c r="A2369" s="146"/>
      <c r="B2369" s="143"/>
      <c r="C2369" s="133"/>
      <c r="D2369" s="133"/>
      <c r="E2369" s="145" t="s">
        <v>1342</v>
      </c>
      <c r="F2369" s="145">
        <v>6361</v>
      </c>
      <c r="G2369" s="133" t="s">
        <v>1034</v>
      </c>
      <c r="H2369" s="144" t="s">
        <v>1341</v>
      </c>
      <c r="I2369" s="133" t="s">
        <v>1092</v>
      </c>
      <c r="J2369" s="133" t="s">
        <v>1445</v>
      </c>
      <c r="K2369" s="143">
        <v>45717</v>
      </c>
      <c r="L2369" s="133" t="s">
        <v>1092</v>
      </c>
      <c r="M2369" s="133">
        <v>16887.2</v>
      </c>
      <c r="N2369" s="147"/>
      <c r="O2369" s="141"/>
      <c r="P2369" s="140"/>
    </row>
    <row r="2370" spans="1:18" hidden="1" x14ac:dyDescent="0.35">
      <c r="A2370" s="146"/>
      <c r="B2370" s="143"/>
      <c r="C2370" s="133"/>
      <c r="D2370" s="133"/>
      <c r="E2370" s="145" t="s">
        <v>1075</v>
      </c>
      <c r="F2370" s="145">
        <v>5334</v>
      </c>
      <c r="G2370" s="133" t="s">
        <v>1034</v>
      </c>
      <c r="H2370" s="144" t="s">
        <v>1341</v>
      </c>
      <c r="I2370" s="133" t="s">
        <v>1092</v>
      </c>
      <c r="J2370" s="133" t="s">
        <v>1444</v>
      </c>
      <c r="K2370" s="143">
        <v>45717</v>
      </c>
      <c r="L2370" s="133" t="s">
        <v>1241</v>
      </c>
      <c r="M2370" s="133">
        <v>1025</v>
      </c>
      <c r="N2370" s="142"/>
      <c r="P2370" s="140"/>
    </row>
    <row r="2371" spans="1:18" hidden="1" x14ac:dyDescent="0.35">
      <c r="A2371" s="146"/>
      <c r="B2371" s="143"/>
      <c r="C2371" s="133"/>
      <c r="D2371" s="133"/>
      <c r="E2371" s="145"/>
      <c r="F2371" s="145"/>
      <c r="G2371" s="133"/>
      <c r="H2371" s="144"/>
      <c r="I2371" s="133"/>
      <c r="J2371" s="133"/>
      <c r="K2371" s="133"/>
      <c r="L2371" s="133"/>
      <c r="M2371" s="133"/>
      <c r="N2371" s="142"/>
      <c r="P2371" s="140"/>
    </row>
    <row r="2372" spans="1:18" hidden="1" x14ac:dyDescent="0.35">
      <c r="A2372" s="156"/>
      <c r="B2372" s="152"/>
      <c r="C2372" s="151"/>
      <c r="D2372" s="151"/>
      <c r="E2372" s="154"/>
      <c r="F2372" s="154"/>
      <c r="G2372" s="151"/>
      <c r="H2372" s="153"/>
      <c r="I2372" s="151"/>
      <c r="J2372" s="151"/>
      <c r="K2372" s="151"/>
      <c r="L2372" s="151"/>
      <c r="M2372" s="151"/>
      <c r="N2372" s="150"/>
      <c r="P2372" s="140"/>
    </row>
    <row r="2373" spans="1:18" hidden="1" x14ac:dyDescent="0.35">
      <c r="A2373" s="146"/>
      <c r="B2373" s="143"/>
      <c r="C2373" s="133"/>
      <c r="D2373" s="133"/>
      <c r="E2373" s="145"/>
      <c r="F2373" s="145"/>
      <c r="G2373" s="133"/>
      <c r="H2373" s="144"/>
      <c r="I2373" s="133"/>
      <c r="J2373" s="133"/>
      <c r="K2373" s="133"/>
      <c r="L2373" s="133"/>
      <c r="M2373" s="133"/>
      <c r="N2373" s="142"/>
      <c r="P2373" s="140"/>
    </row>
    <row r="2374" spans="1:18" hidden="1" x14ac:dyDescent="0.35">
      <c r="A2374" s="146">
        <v>255</v>
      </c>
      <c r="B2374" s="143">
        <v>45689</v>
      </c>
      <c r="C2374" s="133" t="s">
        <v>1469</v>
      </c>
      <c r="D2374" s="133" t="s">
        <v>1468</v>
      </c>
      <c r="E2374" s="145" t="s">
        <v>1067</v>
      </c>
      <c r="F2374" s="145">
        <v>571</v>
      </c>
      <c r="G2374" s="133" t="s">
        <v>1034</v>
      </c>
      <c r="H2374" s="144" t="s">
        <v>1341</v>
      </c>
      <c r="I2374" s="133" t="s">
        <v>1092</v>
      </c>
      <c r="J2374" s="133" t="s">
        <v>1458</v>
      </c>
      <c r="K2374" s="143">
        <v>45717</v>
      </c>
      <c r="L2374" s="133" t="s">
        <v>1092</v>
      </c>
      <c r="M2374" s="133">
        <v>907.3</v>
      </c>
      <c r="N2374" s="147">
        <f>+F2374+F2375+F2376+F2377-M2374-M2375-M2376-M2377</f>
        <v>0</v>
      </c>
      <c r="O2374" s="141"/>
      <c r="P2374" s="140"/>
    </row>
    <row r="2375" spans="1:18" hidden="1" x14ac:dyDescent="0.35">
      <c r="A2375" s="146"/>
      <c r="B2375" s="143"/>
      <c r="C2375" s="133"/>
      <c r="D2375" s="133"/>
      <c r="E2375" s="145" t="s">
        <v>1342</v>
      </c>
      <c r="F2375" s="145">
        <v>3007</v>
      </c>
      <c r="G2375" s="133" t="s">
        <v>1034</v>
      </c>
      <c r="H2375" s="144" t="s">
        <v>1341</v>
      </c>
      <c r="I2375" s="133" t="s">
        <v>1092</v>
      </c>
      <c r="J2375" s="133" t="s">
        <v>1401</v>
      </c>
      <c r="K2375" s="143">
        <v>45717</v>
      </c>
      <c r="L2375" s="133" t="s">
        <v>1092</v>
      </c>
      <c r="M2375" s="133">
        <f>4407+571</f>
        <v>4978</v>
      </c>
      <c r="N2375" s="142"/>
      <c r="O2375" s="141"/>
      <c r="P2375" s="140"/>
    </row>
    <row r="2376" spans="1:18" hidden="1" x14ac:dyDescent="0.35">
      <c r="A2376" s="146"/>
      <c r="B2376" s="143"/>
      <c r="C2376" s="133"/>
      <c r="D2376" s="133"/>
      <c r="E2376" s="145" t="s">
        <v>1075</v>
      </c>
      <c r="F2376" s="145">
        <v>4826</v>
      </c>
      <c r="G2376" s="133" t="s">
        <v>1034</v>
      </c>
      <c r="H2376" s="144" t="s">
        <v>1341</v>
      </c>
      <c r="I2376" s="133" t="s">
        <v>1092</v>
      </c>
      <c r="J2376" s="133" t="s">
        <v>1444</v>
      </c>
      <c r="K2376" s="143">
        <v>45717</v>
      </c>
      <c r="L2376" s="133" t="s">
        <v>1241</v>
      </c>
      <c r="M2376" s="133">
        <v>419</v>
      </c>
      <c r="N2376" s="142"/>
      <c r="P2376" s="140"/>
    </row>
    <row r="2377" spans="1:18" hidden="1" x14ac:dyDescent="0.35">
      <c r="A2377" s="146"/>
      <c r="B2377" s="143"/>
      <c r="C2377" s="133"/>
      <c r="D2377" s="133"/>
      <c r="E2377" s="145" t="s">
        <v>1118</v>
      </c>
      <c r="F2377" s="145">
        <v>907.3</v>
      </c>
      <c r="G2377" s="133" t="s">
        <v>1034</v>
      </c>
      <c r="H2377" s="144" t="s">
        <v>1341</v>
      </c>
      <c r="I2377" s="133" t="s">
        <v>1092</v>
      </c>
      <c r="J2377" s="133" t="s">
        <v>1391</v>
      </c>
      <c r="K2377" s="143">
        <v>45748</v>
      </c>
      <c r="L2377" s="133" t="s">
        <v>1092</v>
      </c>
      <c r="M2377" s="133">
        <v>3007</v>
      </c>
      <c r="N2377" s="142"/>
      <c r="P2377" s="140"/>
    </row>
    <row r="2378" spans="1:18" hidden="1" x14ac:dyDescent="0.35">
      <c r="A2378" s="146"/>
      <c r="B2378" s="143"/>
      <c r="C2378" s="133"/>
      <c r="D2378" s="133"/>
      <c r="E2378" s="145"/>
      <c r="F2378" s="145"/>
      <c r="G2378" s="133"/>
      <c r="H2378" s="144"/>
      <c r="I2378" s="133"/>
      <c r="J2378" s="133"/>
      <c r="K2378" s="133"/>
      <c r="L2378" s="133"/>
      <c r="M2378" s="133"/>
      <c r="N2378" s="142"/>
      <c r="P2378" s="140"/>
    </row>
    <row r="2379" spans="1:18" hidden="1" x14ac:dyDescent="0.35">
      <c r="A2379" s="146">
        <v>256</v>
      </c>
      <c r="B2379" s="143">
        <v>45689</v>
      </c>
      <c r="C2379" s="133" t="s">
        <v>1467</v>
      </c>
      <c r="D2379" s="133" t="s">
        <v>1466</v>
      </c>
      <c r="E2379" s="145" t="s">
        <v>1067</v>
      </c>
      <c r="F2379" s="145">
        <v>410.7</v>
      </c>
      <c r="G2379" s="133" t="s">
        <v>1034</v>
      </c>
      <c r="H2379" s="144" t="s">
        <v>1341</v>
      </c>
      <c r="I2379" s="133" t="s">
        <v>1092</v>
      </c>
      <c r="J2379" s="133" t="s">
        <v>1463</v>
      </c>
      <c r="K2379" s="143">
        <v>45689</v>
      </c>
      <c r="L2379" s="133" t="s">
        <v>1092</v>
      </c>
      <c r="M2379" s="133">
        <v>8555</v>
      </c>
      <c r="N2379" s="147">
        <f>+F2379+F2380+F2381+F2382+F2383-M2379-M2380-M2381-M2382-M2383</f>
        <v>0</v>
      </c>
      <c r="O2379" s="141"/>
      <c r="P2379" s="140"/>
      <c r="R2379" s="140"/>
    </row>
    <row r="2380" spans="1:18" hidden="1" x14ac:dyDescent="0.35">
      <c r="A2380" s="146"/>
      <c r="B2380" s="143"/>
      <c r="C2380" s="133"/>
      <c r="D2380" s="133"/>
      <c r="E2380" s="145" t="s">
        <v>1342</v>
      </c>
      <c r="F2380" s="145">
        <v>3096</v>
      </c>
      <c r="G2380" s="133" t="s">
        <v>1034</v>
      </c>
      <c r="H2380" s="144" t="s">
        <v>1341</v>
      </c>
      <c r="I2380" s="133" t="s">
        <v>1092</v>
      </c>
      <c r="J2380" s="133" t="s">
        <v>1448</v>
      </c>
      <c r="K2380" s="143">
        <v>45717</v>
      </c>
      <c r="L2380" s="133" t="s">
        <v>1092</v>
      </c>
      <c r="M2380" s="133">
        <v>1600.6</v>
      </c>
      <c r="N2380" s="142"/>
      <c r="O2380" s="141"/>
      <c r="P2380" s="140"/>
    </row>
    <row r="2381" spans="1:18" hidden="1" x14ac:dyDescent="0.35">
      <c r="A2381" s="146"/>
      <c r="B2381" s="143"/>
      <c r="C2381" s="133"/>
      <c r="D2381" s="133"/>
      <c r="E2381" s="145" t="s">
        <v>1075</v>
      </c>
      <c r="F2381" s="145">
        <v>1383</v>
      </c>
      <c r="G2381" s="133" t="s">
        <v>1034</v>
      </c>
      <c r="H2381" s="144" t="s">
        <v>1341</v>
      </c>
      <c r="I2381" s="133" t="s">
        <v>1092</v>
      </c>
      <c r="J2381" s="133" t="s">
        <v>1401</v>
      </c>
      <c r="K2381" s="143">
        <v>45717</v>
      </c>
      <c r="L2381" s="133" t="s">
        <v>1092</v>
      </c>
      <c r="M2381" s="133">
        <f>1058+410.7</f>
        <v>1468.7</v>
      </c>
      <c r="N2381" s="142"/>
      <c r="P2381" s="140"/>
    </row>
    <row r="2382" spans="1:18" hidden="1" x14ac:dyDescent="0.35">
      <c r="A2382" s="146"/>
      <c r="B2382" s="143"/>
      <c r="C2382" s="133"/>
      <c r="D2382" s="133"/>
      <c r="E2382" s="145" t="s">
        <v>1064</v>
      </c>
      <c r="F2382" s="145">
        <v>8555</v>
      </c>
      <c r="G2382" s="133" t="s">
        <v>1034</v>
      </c>
      <c r="H2382" s="144" t="s">
        <v>1341</v>
      </c>
      <c r="I2382" s="133" t="s">
        <v>1092</v>
      </c>
      <c r="J2382" s="133" t="s">
        <v>1444</v>
      </c>
      <c r="K2382" s="143">
        <v>45717</v>
      </c>
      <c r="L2382" s="133" t="s">
        <v>1241</v>
      </c>
      <c r="M2382" s="133">
        <v>325</v>
      </c>
      <c r="N2382" s="142"/>
      <c r="P2382" s="140"/>
    </row>
    <row r="2383" spans="1:18" hidden="1" x14ac:dyDescent="0.35">
      <c r="A2383" s="146"/>
      <c r="B2383" s="143"/>
      <c r="C2383" s="133"/>
      <c r="D2383" s="133"/>
      <c r="E2383" s="145" t="s">
        <v>1118</v>
      </c>
      <c r="F2383" s="145">
        <v>1600.6</v>
      </c>
      <c r="G2383" s="133" t="s">
        <v>1034</v>
      </c>
      <c r="H2383" s="144" t="s">
        <v>1341</v>
      </c>
      <c r="I2383" s="133" t="s">
        <v>1092</v>
      </c>
      <c r="J2383" s="133" t="s">
        <v>1391</v>
      </c>
      <c r="K2383" s="143">
        <v>45748</v>
      </c>
      <c r="L2383" s="133" t="s">
        <v>1092</v>
      </c>
      <c r="M2383" s="133">
        <v>3096</v>
      </c>
      <c r="N2383" s="142"/>
      <c r="P2383" s="140"/>
    </row>
    <row r="2384" spans="1:18" hidden="1" x14ac:dyDescent="0.35">
      <c r="A2384" s="146"/>
      <c r="B2384" s="143"/>
      <c r="C2384" s="133"/>
      <c r="D2384" s="133"/>
      <c r="E2384" s="145"/>
      <c r="F2384" s="145"/>
      <c r="G2384" s="133"/>
      <c r="H2384" s="144"/>
      <c r="I2384" s="133"/>
      <c r="J2384" s="133"/>
      <c r="K2384" s="133"/>
      <c r="L2384" s="133"/>
      <c r="M2384" s="133"/>
      <c r="N2384" s="142"/>
      <c r="P2384" s="140"/>
    </row>
    <row r="2385" spans="1:18" hidden="1" x14ac:dyDescent="0.35">
      <c r="A2385" s="146">
        <v>257</v>
      </c>
      <c r="B2385" s="143">
        <v>45689</v>
      </c>
      <c r="C2385" s="133" t="s">
        <v>1465</v>
      </c>
      <c r="D2385" s="133" t="s">
        <v>1464</v>
      </c>
      <c r="E2385" s="145" t="s">
        <v>1067</v>
      </c>
      <c r="F2385" s="145">
        <v>366.5</v>
      </c>
      <c r="G2385" s="133" t="s">
        <v>1034</v>
      </c>
      <c r="H2385" s="144" t="s">
        <v>1341</v>
      </c>
      <c r="I2385" s="133" t="s">
        <v>1092</v>
      </c>
      <c r="J2385" s="133" t="s">
        <v>1463</v>
      </c>
      <c r="K2385" s="143">
        <v>45689</v>
      </c>
      <c r="L2385" s="133" t="s">
        <v>1092</v>
      </c>
      <c r="M2385" s="133">
        <v>10654.5</v>
      </c>
      <c r="N2385" s="147">
        <f>+F2385+F2386+F2387-M2385-M2386-M2387</f>
        <v>0</v>
      </c>
      <c r="O2385" s="141"/>
      <c r="P2385" s="140"/>
      <c r="R2385" s="140"/>
    </row>
    <row r="2386" spans="1:18" hidden="1" x14ac:dyDescent="0.35">
      <c r="A2386" s="146"/>
      <c r="B2386" s="143"/>
      <c r="C2386" s="133"/>
      <c r="D2386" s="133"/>
      <c r="E2386" s="145" t="s">
        <v>1075</v>
      </c>
      <c r="F2386" s="145">
        <v>3207</v>
      </c>
      <c r="G2386" s="133" t="s">
        <v>1034</v>
      </c>
      <c r="H2386" s="144" t="s">
        <v>1341</v>
      </c>
      <c r="I2386" s="133" t="s">
        <v>1092</v>
      </c>
      <c r="J2386" s="133" t="s">
        <v>1401</v>
      </c>
      <c r="K2386" s="143">
        <v>45717</v>
      </c>
      <c r="L2386" s="133" t="s">
        <v>1092</v>
      </c>
      <c r="M2386" s="133">
        <f>366.5+2517</f>
        <v>2883.5</v>
      </c>
      <c r="N2386" s="142"/>
      <c r="P2386" s="140"/>
    </row>
    <row r="2387" spans="1:18" hidden="1" x14ac:dyDescent="0.35">
      <c r="A2387" s="146"/>
      <c r="B2387" s="143"/>
      <c r="C2387" s="133"/>
      <c r="D2387" s="133"/>
      <c r="E2387" s="145" t="s">
        <v>1064</v>
      </c>
      <c r="F2387" s="145">
        <v>10654.5</v>
      </c>
      <c r="G2387" s="133" t="s">
        <v>1034</v>
      </c>
      <c r="H2387" s="144" t="s">
        <v>1341</v>
      </c>
      <c r="I2387" s="133" t="s">
        <v>1092</v>
      </c>
      <c r="J2387" s="133" t="s">
        <v>1444</v>
      </c>
      <c r="K2387" s="143">
        <v>45717</v>
      </c>
      <c r="L2387" s="133" t="s">
        <v>1241</v>
      </c>
      <c r="M2387" s="133">
        <v>690</v>
      </c>
      <c r="N2387" s="142"/>
      <c r="P2387" s="140"/>
    </row>
    <row r="2388" spans="1:18" hidden="1" x14ac:dyDescent="0.35">
      <c r="A2388" s="146"/>
      <c r="B2388" s="143"/>
      <c r="C2388" s="133"/>
      <c r="D2388" s="133"/>
      <c r="E2388" s="145"/>
      <c r="F2388" s="145"/>
      <c r="G2388" s="133"/>
      <c r="H2388" s="144"/>
      <c r="I2388" s="133"/>
      <c r="J2388" s="133"/>
      <c r="K2388" s="133"/>
      <c r="L2388" s="133"/>
      <c r="M2388" s="133"/>
      <c r="N2388" s="142"/>
      <c r="P2388" s="140"/>
    </row>
    <row r="2389" spans="1:18" hidden="1" x14ac:dyDescent="0.35">
      <c r="A2389" s="146">
        <v>258</v>
      </c>
      <c r="B2389" s="143">
        <v>45689</v>
      </c>
      <c r="C2389" s="133" t="s">
        <v>1462</v>
      </c>
      <c r="D2389" s="133" t="s">
        <v>1461</v>
      </c>
      <c r="E2389" s="145" t="s">
        <v>1067</v>
      </c>
      <c r="F2389" s="145">
        <v>110</v>
      </c>
      <c r="G2389" s="133" t="s">
        <v>1034</v>
      </c>
      <c r="H2389" s="144" t="s">
        <v>1341</v>
      </c>
      <c r="I2389" s="133" t="s">
        <v>1092</v>
      </c>
      <c r="J2389" s="133" t="s">
        <v>1458</v>
      </c>
      <c r="K2389" s="143">
        <v>45717</v>
      </c>
      <c r="L2389" s="133" t="s">
        <v>1092</v>
      </c>
      <c r="M2389" s="133">
        <f>5186.1+110+10000</f>
        <v>15296.1</v>
      </c>
      <c r="N2389" s="147">
        <f>+F2389+F2390+F2391+F2392-M2389-M2390-M2391</f>
        <v>0</v>
      </c>
      <c r="O2389" s="141"/>
      <c r="P2389" s="140"/>
    </row>
    <row r="2390" spans="1:18" hidden="1" x14ac:dyDescent="0.35">
      <c r="A2390" s="146"/>
      <c r="B2390" s="143"/>
      <c r="C2390" s="133"/>
      <c r="D2390" s="133"/>
      <c r="E2390" s="145" t="s">
        <v>1342</v>
      </c>
      <c r="F2390" s="145">
        <v>3492</v>
      </c>
      <c r="G2390" s="133" t="s">
        <v>1034</v>
      </c>
      <c r="H2390" s="144" t="s">
        <v>1341</v>
      </c>
      <c r="I2390" s="133" t="s">
        <v>1092</v>
      </c>
      <c r="J2390" s="133" t="s">
        <v>1444</v>
      </c>
      <c r="K2390" s="143">
        <v>45717</v>
      </c>
      <c r="L2390" s="133" t="s">
        <v>1241</v>
      </c>
      <c r="M2390" s="133">
        <f>492+283</f>
        <v>775</v>
      </c>
      <c r="N2390" s="142"/>
      <c r="O2390" s="141"/>
      <c r="P2390" s="140"/>
    </row>
    <row r="2391" spans="1:18" hidden="1" x14ac:dyDescent="0.35">
      <c r="A2391" s="146"/>
      <c r="B2391" s="143"/>
      <c r="C2391" s="133"/>
      <c r="D2391" s="133"/>
      <c r="E2391" s="145" t="s">
        <v>1075</v>
      </c>
      <c r="F2391" s="145">
        <v>5186.1000000000004</v>
      </c>
      <c r="G2391" s="133" t="s">
        <v>1034</v>
      </c>
      <c r="H2391" s="144" t="s">
        <v>1341</v>
      </c>
      <c r="I2391" s="133" t="s">
        <v>1092</v>
      </c>
      <c r="J2391" s="133" t="s">
        <v>1391</v>
      </c>
      <c r="K2391" s="143">
        <v>45748</v>
      </c>
      <c r="L2391" s="133" t="s">
        <v>1092</v>
      </c>
      <c r="M2391" s="133">
        <v>3000</v>
      </c>
      <c r="N2391" s="142"/>
      <c r="P2391" s="140"/>
    </row>
    <row r="2392" spans="1:18" hidden="1" x14ac:dyDescent="0.35">
      <c r="A2392" s="146"/>
      <c r="B2392" s="143"/>
      <c r="C2392" s="133"/>
      <c r="D2392" s="133"/>
      <c r="E2392" s="145" t="s">
        <v>1064</v>
      </c>
      <c r="F2392" s="145">
        <v>10283</v>
      </c>
      <c r="G2392" s="133"/>
      <c r="H2392" s="144"/>
      <c r="I2392" s="133"/>
      <c r="J2392" s="133"/>
      <c r="K2392" s="133"/>
      <c r="L2392" s="133"/>
      <c r="M2392" s="133"/>
      <c r="N2392" s="142"/>
      <c r="P2392" s="140"/>
    </row>
    <row r="2393" spans="1:18" hidden="1" x14ac:dyDescent="0.35">
      <c r="A2393" s="146"/>
      <c r="B2393" s="143"/>
      <c r="C2393" s="133"/>
      <c r="D2393" s="133"/>
      <c r="E2393" s="145"/>
      <c r="F2393" s="145"/>
      <c r="G2393" s="133"/>
      <c r="H2393" s="144"/>
      <c r="I2393" s="133"/>
      <c r="J2393" s="133"/>
      <c r="K2393" s="133"/>
      <c r="L2393" s="133"/>
      <c r="M2393" s="133"/>
      <c r="N2393" s="142"/>
      <c r="P2393" s="140"/>
    </row>
    <row r="2394" spans="1:18" hidden="1" x14ac:dyDescent="0.35">
      <c r="A2394" s="146">
        <v>259</v>
      </c>
      <c r="B2394" s="143">
        <v>45689</v>
      </c>
      <c r="C2394" s="133" t="s">
        <v>1460</v>
      </c>
      <c r="D2394" s="133" t="s">
        <v>1459</v>
      </c>
      <c r="E2394" s="145" t="s">
        <v>1342</v>
      </c>
      <c r="F2394" s="145">
        <v>6516</v>
      </c>
      <c r="G2394" s="133" t="s">
        <v>1034</v>
      </c>
      <c r="H2394" s="144" t="s">
        <v>1341</v>
      </c>
      <c r="I2394" s="133" t="s">
        <v>1092</v>
      </c>
      <c r="J2394" s="133" t="s">
        <v>1458</v>
      </c>
      <c r="K2394" s="143">
        <v>45717</v>
      </c>
      <c r="L2394" s="133" t="s">
        <v>1092</v>
      </c>
      <c r="M2394" s="133">
        <f>200+5825</f>
        <v>6025</v>
      </c>
      <c r="N2394" s="147">
        <f>+F2394+F2395+F2396-M2394-M2395-M2396</f>
        <v>0</v>
      </c>
      <c r="O2394" s="141"/>
      <c r="P2394" s="140"/>
    </row>
    <row r="2395" spans="1:18" hidden="1" x14ac:dyDescent="0.35">
      <c r="A2395" s="146"/>
      <c r="B2395" s="143"/>
      <c r="C2395" s="133"/>
      <c r="D2395" s="133"/>
      <c r="E2395" s="145" t="s">
        <v>1075</v>
      </c>
      <c r="F2395" s="145">
        <v>507</v>
      </c>
      <c r="G2395" s="133" t="s">
        <v>1034</v>
      </c>
      <c r="H2395" s="144" t="s">
        <v>1341</v>
      </c>
      <c r="I2395" s="133" t="s">
        <v>1092</v>
      </c>
      <c r="J2395" s="133" t="s">
        <v>1444</v>
      </c>
      <c r="K2395" s="143">
        <v>45717</v>
      </c>
      <c r="L2395" s="133" t="s">
        <v>1241</v>
      </c>
      <c r="M2395" s="133">
        <v>307</v>
      </c>
      <c r="N2395" s="142"/>
      <c r="P2395" s="140"/>
    </row>
    <row r="2396" spans="1:18" hidden="1" x14ac:dyDescent="0.35">
      <c r="A2396" s="146"/>
      <c r="B2396" s="143"/>
      <c r="C2396" s="133"/>
      <c r="D2396" s="133"/>
      <c r="E2396" s="145" t="s">
        <v>1064</v>
      </c>
      <c r="F2396" s="145">
        <v>5825</v>
      </c>
      <c r="G2396" s="133" t="s">
        <v>1034</v>
      </c>
      <c r="H2396" s="144" t="s">
        <v>1341</v>
      </c>
      <c r="I2396" s="133" t="s">
        <v>1092</v>
      </c>
      <c r="J2396" s="133" t="s">
        <v>1391</v>
      </c>
      <c r="K2396" s="143">
        <v>45748</v>
      </c>
      <c r="L2396" s="133" t="s">
        <v>1092</v>
      </c>
      <c r="M2396" s="133">
        <v>6516</v>
      </c>
      <c r="N2396" s="142"/>
      <c r="P2396" s="140"/>
    </row>
    <row r="2397" spans="1:18" hidden="1" x14ac:dyDescent="0.35">
      <c r="A2397" s="146"/>
      <c r="B2397" s="143"/>
      <c r="C2397" s="133"/>
      <c r="D2397" s="133"/>
      <c r="E2397" s="145"/>
      <c r="F2397" s="145"/>
      <c r="G2397" s="133"/>
      <c r="H2397" s="144"/>
      <c r="I2397" s="133"/>
      <c r="J2397" s="133"/>
      <c r="K2397" s="133"/>
      <c r="L2397" s="133"/>
      <c r="M2397" s="133"/>
      <c r="N2397" s="142"/>
      <c r="P2397" s="140"/>
    </row>
    <row r="2398" spans="1:18" hidden="1" x14ac:dyDescent="0.35">
      <c r="A2398" s="146">
        <v>260</v>
      </c>
      <c r="B2398" s="143">
        <v>45689</v>
      </c>
      <c r="C2398" s="133" t="s">
        <v>1457</v>
      </c>
      <c r="D2398" s="133" t="s">
        <v>1119</v>
      </c>
      <c r="E2398" s="145" t="s">
        <v>1342</v>
      </c>
      <c r="F2398" s="145">
        <v>2175</v>
      </c>
      <c r="G2398" s="133" t="s">
        <v>1034</v>
      </c>
      <c r="H2398" s="144" t="s">
        <v>1341</v>
      </c>
      <c r="I2398" s="133" t="s">
        <v>1092</v>
      </c>
      <c r="J2398" s="133" t="s">
        <v>1448</v>
      </c>
      <c r="K2398" s="143">
        <v>45717</v>
      </c>
      <c r="L2398" s="133" t="s">
        <v>1092</v>
      </c>
      <c r="M2398" s="133">
        <v>6736</v>
      </c>
      <c r="N2398" s="147">
        <f>+F2398+F2399+F2400-M2398-M2399-M2400-M2401</f>
        <v>0</v>
      </c>
      <c r="O2398" s="141"/>
      <c r="P2398" s="140"/>
    </row>
    <row r="2399" spans="1:18" hidden="1" x14ac:dyDescent="0.35">
      <c r="A2399" s="146"/>
      <c r="B2399" s="143"/>
      <c r="C2399" s="133"/>
      <c r="D2399" s="133"/>
      <c r="E2399" s="145" t="s">
        <v>1067</v>
      </c>
      <c r="F2399" s="145">
        <v>522</v>
      </c>
      <c r="G2399" s="133" t="s">
        <v>1034</v>
      </c>
      <c r="H2399" s="144" t="s">
        <v>1341</v>
      </c>
      <c r="I2399" s="133" t="s">
        <v>1092</v>
      </c>
      <c r="J2399" s="133" t="s">
        <v>1401</v>
      </c>
      <c r="K2399" s="143">
        <v>45717</v>
      </c>
      <c r="L2399" s="133" t="s">
        <v>1092</v>
      </c>
      <c r="M2399" s="133">
        <v>522</v>
      </c>
      <c r="N2399" s="142"/>
      <c r="P2399" s="140"/>
    </row>
    <row r="2400" spans="1:18" hidden="1" x14ac:dyDescent="0.35">
      <c r="A2400" s="146"/>
      <c r="B2400" s="143"/>
      <c r="C2400" s="133"/>
      <c r="D2400" s="133"/>
      <c r="E2400" s="145" t="s">
        <v>1064</v>
      </c>
      <c r="F2400" s="145">
        <v>7228</v>
      </c>
      <c r="G2400" s="133" t="s">
        <v>1034</v>
      </c>
      <c r="H2400" s="144" t="s">
        <v>1341</v>
      </c>
      <c r="I2400" s="133" t="s">
        <v>1092</v>
      </c>
      <c r="J2400" s="133" t="s">
        <v>1444</v>
      </c>
      <c r="K2400" s="143">
        <v>45717</v>
      </c>
      <c r="L2400" s="133" t="s">
        <v>1241</v>
      </c>
      <c r="M2400" s="133">
        <v>492</v>
      </c>
      <c r="N2400" s="142"/>
      <c r="P2400" s="140"/>
    </row>
    <row r="2401" spans="1:16" hidden="1" x14ac:dyDescent="0.35">
      <c r="A2401" s="146"/>
      <c r="B2401" s="143"/>
      <c r="C2401" s="133"/>
      <c r="D2401" s="133"/>
      <c r="E2401" s="145"/>
      <c r="F2401" s="145"/>
      <c r="G2401" s="133" t="s">
        <v>1034</v>
      </c>
      <c r="H2401" s="144" t="s">
        <v>1341</v>
      </c>
      <c r="I2401" s="133" t="s">
        <v>1092</v>
      </c>
      <c r="J2401" s="133" t="s">
        <v>2374</v>
      </c>
      <c r="K2401" s="143">
        <v>45748</v>
      </c>
      <c r="L2401" s="133" t="s">
        <v>1092</v>
      </c>
      <c r="M2401" s="133">
        <v>2175</v>
      </c>
      <c r="N2401" s="142"/>
      <c r="P2401" s="140"/>
    </row>
    <row r="2402" spans="1:16" hidden="1" x14ac:dyDescent="0.35">
      <c r="A2402" s="146"/>
      <c r="B2402" s="143"/>
      <c r="C2402" s="133"/>
      <c r="D2402" s="133"/>
      <c r="E2402" s="145"/>
      <c r="F2402" s="145"/>
      <c r="G2402" s="133"/>
      <c r="H2402" s="144"/>
      <c r="I2402" s="133"/>
      <c r="J2402" s="133"/>
      <c r="K2402" s="143"/>
      <c r="L2402" s="133"/>
      <c r="M2402" s="133"/>
      <c r="N2402" s="142"/>
      <c r="P2402" s="140"/>
    </row>
    <row r="2403" spans="1:16" hidden="1" x14ac:dyDescent="0.35">
      <c r="A2403" s="146">
        <v>261</v>
      </c>
      <c r="B2403" s="143">
        <v>45689</v>
      </c>
      <c r="C2403" s="133" t="s">
        <v>1456</v>
      </c>
      <c r="D2403" s="133" t="s">
        <v>1455</v>
      </c>
      <c r="E2403" s="145" t="s">
        <v>1071</v>
      </c>
      <c r="F2403" s="145">
        <v>907.2</v>
      </c>
      <c r="G2403" s="133" t="s">
        <v>1034</v>
      </c>
      <c r="H2403" s="144" t="s">
        <v>1341</v>
      </c>
      <c r="I2403" s="133" t="s">
        <v>1092</v>
      </c>
      <c r="J2403" s="133" t="s">
        <v>1448</v>
      </c>
      <c r="K2403" s="143">
        <v>45717</v>
      </c>
      <c r="L2403" s="133" t="s">
        <v>1092</v>
      </c>
      <c r="M2403" s="133">
        <f>7156+1062</f>
        <v>8218</v>
      </c>
      <c r="N2403" s="147">
        <f>+F2403+F2404+F2405+F2406+F2407-M2403-M2404-M2405-M2406</f>
        <v>0</v>
      </c>
      <c r="O2403" s="141"/>
      <c r="P2403" s="140"/>
    </row>
    <row r="2404" spans="1:16" hidden="1" x14ac:dyDescent="0.35">
      <c r="A2404" s="146"/>
      <c r="B2404" s="143"/>
      <c r="C2404" s="133"/>
      <c r="D2404" s="133"/>
      <c r="E2404" s="145" t="s">
        <v>1342</v>
      </c>
      <c r="F2404" s="145">
        <v>2960</v>
      </c>
      <c r="G2404" s="133" t="s">
        <v>1034</v>
      </c>
      <c r="H2404" s="144" t="s">
        <v>1341</v>
      </c>
      <c r="I2404" s="133" t="s">
        <v>1092</v>
      </c>
      <c r="J2404" s="133" t="s">
        <v>1401</v>
      </c>
      <c r="K2404" s="143">
        <v>45717</v>
      </c>
      <c r="L2404" s="133" t="s">
        <v>1092</v>
      </c>
      <c r="M2404" s="133">
        <v>4882</v>
      </c>
      <c r="N2404" s="142"/>
      <c r="O2404" s="141"/>
      <c r="P2404" s="140"/>
    </row>
    <row r="2405" spans="1:16" hidden="1" x14ac:dyDescent="0.35">
      <c r="A2405" s="146"/>
      <c r="B2405" s="143"/>
      <c r="C2405" s="133"/>
      <c r="D2405" s="133"/>
      <c r="E2405" s="145" t="s">
        <v>1075</v>
      </c>
      <c r="F2405" s="145">
        <v>4882</v>
      </c>
      <c r="G2405" s="133" t="s">
        <v>1034</v>
      </c>
      <c r="H2405" s="144" t="s">
        <v>1341</v>
      </c>
      <c r="I2405" s="133" t="s">
        <v>1092</v>
      </c>
      <c r="J2405" s="133" t="s">
        <v>1444</v>
      </c>
      <c r="K2405" s="143">
        <v>45717</v>
      </c>
      <c r="L2405" s="133" t="s">
        <v>1241</v>
      </c>
      <c r="M2405" s="133">
        <v>760</v>
      </c>
      <c r="N2405" s="142"/>
      <c r="P2405" s="140"/>
    </row>
    <row r="2406" spans="1:16" hidden="1" x14ac:dyDescent="0.35">
      <c r="A2406" s="146"/>
      <c r="B2406" s="143"/>
      <c r="C2406" s="133"/>
      <c r="D2406" s="133"/>
      <c r="E2406" s="145" t="s">
        <v>1064</v>
      </c>
      <c r="F2406" s="145">
        <v>7156</v>
      </c>
      <c r="G2406" s="133" t="s">
        <v>1034</v>
      </c>
      <c r="H2406" s="144" t="s">
        <v>1341</v>
      </c>
      <c r="I2406" s="133" t="s">
        <v>1092</v>
      </c>
      <c r="J2406" s="133" t="s">
        <v>2374</v>
      </c>
      <c r="K2406" s="143">
        <v>45748</v>
      </c>
      <c r="L2406" s="133" t="s">
        <v>1092</v>
      </c>
      <c r="M2406" s="133">
        <v>3107.2</v>
      </c>
      <c r="N2406" s="142"/>
      <c r="P2406" s="140"/>
    </row>
    <row r="2407" spans="1:16" hidden="1" x14ac:dyDescent="0.35">
      <c r="A2407" s="146"/>
      <c r="B2407" s="143"/>
      <c r="C2407" s="133"/>
      <c r="D2407" s="133"/>
      <c r="E2407" s="145" t="s">
        <v>1118</v>
      </c>
      <c r="F2407" s="145">
        <v>1062</v>
      </c>
      <c r="G2407" s="133"/>
      <c r="H2407" s="144"/>
      <c r="I2407" s="133"/>
      <c r="J2407" s="133"/>
      <c r="K2407" s="133"/>
      <c r="L2407" s="133"/>
      <c r="M2407" s="133"/>
      <c r="N2407" s="142"/>
      <c r="P2407" s="140"/>
    </row>
    <row r="2408" spans="1:16" hidden="1" x14ac:dyDescent="0.35">
      <c r="A2408" s="146"/>
      <c r="B2408" s="143"/>
      <c r="C2408" s="133"/>
      <c r="D2408" s="133"/>
      <c r="E2408" s="145"/>
      <c r="F2408" s="145"/>
      <c r="G2408" s="133"/>
      <c r="H2408" s="144"/>
      <c r="I2408" s="133"/>
      <c r="J2408" s="133"/>
      <c r="K2408" s="133"/>
      <c r="L2408" s="133"/>
      <c r="M2408" s="133"/>
      <c r="N2408" s="142"/>
      <c r="P2408" s="140"/>
    </row>
    <row r="2409" spans="1:16" hidden="1" x14ac:dyDescent="0.35">
      <c r="A2409" s="146">
        <v>262</v>
      </c>
      <c r="B2409" s="143">
        <v>45689</v>
      </c>
      <c r="C2409" s="133" t="s">
        <v>1454</v>
      </c>
      <c r="D2409" s="133" t="s">
        <v>1453</v>
      </c>
      <c r="E2409" s="145" t="s">
        <v>1078</v>
      </c>
      <c r="F2409" s="145">
        <v>6152.52</v>
      </c>
      <c r="G2409" s="133" t="s">
        <v>1034</v>
      </c>
      <c r="H2409" s="144" t="s">
        <v>1341</v>
      </c>
      <c r="I2409" s="133" t="s">
        <v>1092</v>
      </c>
      <c r="J2409" s="133" t="s">
        <v>1448</v>
      </c>
      <c r="K2409" s="143">
        <v>45717</v>
      </c>
      <c r="L2409" s="133" t="s">
        <v>1092</v>
      </c>
      <c r="M2409" s="133">
        <f>6797.9+2529.07+6152.52</f>
        <v>15479.49</v>
      </c>
      <c r="N2409" s="147">
        <f>+F2409+F2410+F2411+F2412+F2413+F2414-M2409-M2410-M2411-M2412-M2413</f>
        <v>0</v>
      </c>
      <c r="O2409" s="141"/>
      <c r="P2409" s="140"/>
    </row>
    <row r="2410" spans="1:16" hidden="1" x14ac:dyDescent="0.35">
      <c r="A2410" s="146"/>
      <c r="B2410" s="143"/>
      <c r="C2410" s="133"/>
      <c r="D2410" s="133"/>
      <c r="E2410" s="145" t="s">
        <v>1342</v>
      </c>
      <c r="F2410" s="145">
        <v>12054</v>
      </c>
      <c r="G2410" s="133" t="s">
        <v>1034</v>
      </c>
      <c r="H2410" s="144" t="s">
        <v>1341</v>
      </c>
      <c r="I2410" s="133" t="s">
        <v>1092</v>
      </c>
      <c r="J2410" s="133" t="s">
        <v>1401</v>
      </c>
      <c r="K2410" s="143">
        <v>45717</v>
      </c>
      <c r="L2410" s="133" t="s">
        <v>1092</v>
      </c>
      <c r="M2410" s="133">
        <v>4526.1000000000004</v>
      </c>
      <c r="N2410" s="142"/>
      <c r="O2410" s="141"/>
      <c r="P2410" s="140"/>
    </row>
    <row r="2411" spans="1:16" hidden="1" x14ac:dyDescent="0.35">
      <c r="A2411" s="146"/>
      <c r="B2411" s="143"/>
      <c r="C2411" s="133"/>
      <c r="D2411" s="133"/>
      <c r="E2411" s="145" t="s">
        <v>1075</v>
      </c>
      <c r="F2411" s="145">
        <v>4526.1000000000004</v>
      </c>
      <c r="G2411" s="133" t="s">
        <v>1034</v>
      </c>
      <c r="H2411" s="144" t="s">
        <v>1341</v>
      </c>
      <c r="I2411" s="133" t="s">
        <v>1092</v>
      </c>
      <c r="J2411" s="133" t="s">
        <v>1444</v>
      </c>
      <c r="K2411" s="143">
        <v>45717</v>
      </c>
      <c r="L2411" s="133" t="s">
        <v>1241</v>
      </c>
      <c r="M2411" s="133">
        <v>1054</v>
      </c>
      <c r="N2411" s="142"/>
      <c r="P2411" s="140"/>
    </row>
    <row r="2412" spans="1:16" hidden="1" x14ac:dyDescent="0.35">
      <c r="A2412" s="146"/>
      <c r="B2412" s="143"/>
      <c r="C2412" s="133"/>
      <c r="D2412" s="133"/>
      <c r="E2412" s="145" t="s">
        <v>1064</v>
      </c>
      <c r="F2412" s="145">
        <v>6797.9</v>
      </c>
      <c r="G2412" s="133" t="s">
        <v>1034</v>
      </c>
      <c r="H2412" s="144" t="s">
        <v>1341</v>
      </c>
      <c r="I2412" s="133" t="s">
        <v>1092</v>
      </c>
      <c r="J2412" s="133" t="s">
        <v>1391</v>
      </c>
      <c r="K2412" s="143">
        <v>45748</v>
      </c>
      <c r="L2412" s="133" t="s">
        <v>1092</v>
      </c>
      <c r="M2412" s="133">
        <v>4329.18</v>
      </c>
      <c r="N2412" s="142"/>
      <c r="P2412" s="140"/>
    </row>
    <row r="2413" spans="1:16" hidden="1" x14ac:dyDescent="0.35">
      <c r="A2413" s="146"/>
      <c r="B2413" s="143"/>
      <c r="C2413" s="133"/>
      <c r="D2413" s="133"/>
      <c r="E2413" s="145" t="s">
        <v>1118</v>
      </c>
      <c r="F2413" s="145">
        <v>2529.0700000000002</v>
      </c>
      <c r="G2413" s="133" t="s">
        <v>1034</v>
      </c>
      <c r="H2413" s="144" t="s">
        <v>1341</v>
      </c>
      <c r="I2413" s="133" t="s">
        <v>1092</v>
      </c>
      <c r="J2413" s="133" t="s">
        <v>2374</v>
      </c>
      <c r="K2413" s="143">
        <v>45748</v>
      </c>
      <c r="L2413" s="133" t="s">
        <v>1092</v>
      </c>
      <c r="M2413" s="133">
        <v>11000</v>
      </c>
      <c r="N2413" s="142"/>
      <c r="P2413" s="140"/>
    </row>
    <row r="2414" spans="1:16" hidden="1" x14ac:dyDescent="0.35">
      <c r="A2414" s="146"/>
      <c r="B2414" s="143"/>
      <c r="C2414" s="133"/>
      <c r="D2414" s="133"/>
      <c r="E2414" s="145" t="s">
        <v>1067</v>
      </c>
      <c r="F2414" s="145">
        <v>4329.18</v>
      </c>
      <c r="G2414" s="133"/>
      <c r="H2414" s="144"/>
      <c r="I2414" s="133"/>
      <c r="J2414" s="133"/>
      <c r="K2414" s="133"/>
      <c r="L2414" s="133"/>
      <c r="M2414" s="133"/>
      <c r="N2414" s="142"/>
      <c r="P2414" s="140"/>
    </row>
    <row r="2415" spans="1:16" hidden="1" x14ac:dyDescent="0.35">
      <c r="A2415" s="146"/>
      <c r="B2415" s="143"/>
      <c r="C2415" s="133"/>
      <c r="D2415" s="133"/>
      <c r="E2415" s="145"/>
      <c r="F2415" s="145"/>
      <c r="G2415" s="133"/>
      <c r="H2415" s="144"/>
      <c r="I2415" s="133"/>
      <c r="J2415" s="133"/>
      <c r="K2415" s="133"/>
      <c r="L2415" s="133"/>
      <c r="M2415" s="133"/>
      <c r="N2415" s="142"/>
      <c r="P2415" s="140"/>
    </row>
    <row r="2416" spans="1:16" hidden="1" x14ac:dyDescent="0.35">
      <c r="A2416" s="146">
        <v>263</v>
      </c>
      <c r="B2416" s="143">
        <v>45689</v>
      </c>
      <c r="C2416" s="133" t="s">
        <v>1452</v>
      </c>
      <c r="D2416" s="133" t="s">
        <v>1451</v>
      </c>
      <c r="E2416" s="145" t="s">
        <v>1075</v>
      </c>
      <c r="F2416" s="145">
        <v>7375</v>
      </c>
      <c r="G2416" s="133" t="s">
        <v>1034</v>
      </c>
      <c r="H2416" s="144" t="s">
        <v>1341</v>
      </c>
      <c r="I2416" s="133" t="s">
        <v>1092</v>
      </c>
      <c r="J2416" s="133" t="s">
        <v>1448</v>
      </c>
      <c r="K2416" s="143">
        <v>45717</v>
      </c>
      <c r="L2416" s="133" t="s">
        <v>1092</v>
      </c>
      <c r="M2416" s="133">
        <v>4024</v>
      </c>
      <c r="N2416" s="147">
        <f>+F2416+F2417+F2418-M2416-M2417-M2418-M2419</f>
        <v>0</v>
      </c>
      <c r="O2416" s="141"/>
      <c r="P2416" s="140"/>
    </row>
    <row r="2417" spans="1:16" hidden="1" x14ac:dyDescent="0.35">
      <c r="A2417" s="146"/>
      <c r="B2417" s="143"/>
      <c r="C2417" s="133"/>
      <c r="D2417" s="133"/>
      <c r="E2417" s="145" t="s">
        <v>1067</v>
      </c>
      <c r="F2417" s="145">
        <v>440</v>
      </c>
      <c r="G2417" s="133" t="s">
        <v>1034</v>
      </c>
      <c r="H2417" s="144" t="s">
        <v>1341</v>
      </c>
      <c r="I2417" s="133" t="s">
        <v>1092</v>
      </c>
      <c r="J2417" s="133" t="s">
        <v>1444</v>
      </c>
      <c r="K2417" s="143">
        <v>45717</v>
      </c>
      <c r="L2417" s="133" t="s">
        <v>1241</v>
      </c>
      <c r="M2417" s="133">
        <v>620</v>
      </c>
      <c r="N2417" s="142"/>
      <c r="P2417" s="140"/>
    </row>
    <row r="2418" spans="1:16" hidden="1" x14ac:dyDescent="0.35">
      <c r="A2418" s="146"/>
      <c r="B2418" s="143"/>
      <c r="C2418" s="133"/>
      <c r="D2418" s="133"/>
      <c r="E2418" s="145" t="s">
        <v>1064</v>
      </c>
      <c r="F2418" s="145">
        <v>4644</v>
      </c>
      <c r="G2418" s="133" t="s">
        <v>1034</v>
      </c>
      <c r="H2418" s="144" t="s">
        <v>1341</v>
      </c>
      <c r="I2418" s="133" t="s">
        <v>1092</v>
      </c>
      <c r="J2418" s="133" t="s">
        <v>1391</v>
      </c>
      <c r="K2418" s="143">
        <v>45748</v>
      </c>
      <c r="L2418" s="133" t="s">
        <v>1092</v>
      </c>
      <c r="M2418" s="133">
        <v>440</v>
      </c>
      <c r="N2418" s="142"/>
      <c r="P2418" s="140"/>
    </row>
    <row r="2419" spans="1:16" hidden="1" x14ac:dyDescent="0.35">
      <c r="A2419" s="146"/>
      <c r="B2419" s="143"/>
      <c r="C2419" s="133"/>
      <c r="D2419" s="133"/>
      <c r="E2419" s="145"/>
      <c r="F2419" s="145"/>
      <c r="G2419" s="133" t="s">
        <v>1034</v>
      </c>
      <c r="H2419" s="144" t="s">
        <v>1341</v>
      </c>
      <c r="I2419" s="133" t="s">
        <v>1092</v>
      </c>
      <c r="J2419" s="133" t="s">
        <v>1376</v>
      </c>
      <c r="K2419" s="143">
        <v>45748</v>
      </c>
      <c r="L2419" s="133" t="s">
        <v>1092</v>
      </c>
      <c r="M2419" s="133">
        <v>7375</v>
      </c>
      <c r="N2419" s="142"/>
      <c r="P2419" s="140"/>
    </row>
    <row r="2420" spans="1:16" hidden="1" x14ac:dyDescent="0.35">
      <c r="A2420" s="146"/>
      <c r="B2420" s="143"/>
      <c r="C2420" s="133"/>
      <c r="D2420" s="133"/>
      <c r="E2420" s="145"/>
      <c r="F2420" s="145"/>
      <c r="G2420" s="133"/>
      <c r="H2420" s="144"/>
      <c r="I2420" s="133"/>
      <c r="J2420" s="133"/>
      <c r="K2420" s="133"/>
      <c r="L2420" s="133"/>
      <c r="M2420" s="133"/>
      <c r="N2420" s="142"/>
      <c r="P2420" s="140"/>
    </row>
    <row r="2421" spans="1:16" hidden="1" x14ac:dyDescent="0.35">
      <c r="A2421" s="146">
        <v>264</v>
      </c>
      <c r="B2421" s="143">
        <v>45689</v>
      </c>
      <c r="C2421" s="133" t="s">
        <v>1450</v>
      </c>
      <c r="D2421" s="133" t="s">
        <v>1449</v>
      </c>
      <c r="E2421" s="145" t="s">
        <v>1075</v>
      </c>
      <c r="F2421" s="145">
        <v>447</v>
      </c>
      <c r="G2421" s="133" t="s">
        <v>1034</v>
      </c>
      <c r="H2421" s="144" t="s">
        <v>1341</v>
      </c>
      <c r="I2421" s="133" t="s">
        <v>1092</v>
      </c>
      <c r="J2421" s="133" t="s">
        <v>1448</v>
      </c>
      <c r="K2421" s="143">
        <v>45717</v>
      </c>
      <c r="L2421" s="133" t="s">
        <v>1092</v>
      </c>
      <c r="M2421" s="133">
        <v>7806.4</v>
      </c>
      <c r="N2421" s="147">
        <f>+F2421+F2422+F2423+F2424-M2421-M2422-M2423-M2424</f>
        <v>0</v>
      </c>
      <c r="O2421" s="141"/>
      <c r="P2421" s="140"/>
    </row>
    <row r="2422" spans="1:16" hidden="1" x14ac:dyDescent="0.35">
      <c r="A2422" s="146"/>
      <c r="B2422" s="143"/>
      <c r="C2422" s="133"/>
      <c r="D2422" s="133"/>
      <c r="E2422" s="145" t="s">
        <v>1067</v>
      </c>
      <c r="F2422" s="145">
        <v>440</v>
      </c>
      <c r="G2422" s="133" t="s">
        <v>1034</v>
      </c>
      <c r="H2422" s="144" t="s">
        <v>1341</v>
      </c>
      <c r="I2422" s="133" t="s">
        <v>1092</v>
      </c>
      <c r="J2422" s="133" t="s">
        <v>1444</v>
      </c>
      <c r="K2422" s="143">
        <v>45717</v>
      </c>
      <c r="L2422" s="133" t="s">
        <v>1241</v>
      </c>
      <c r="M2422" s="133">
        <v>810</v>
      </c>
      <c r="N2422" s="142"/>
      <c r="P2422" s="140"/>
    </row>
    <row r="2423" spans="1:16" hidden="1" x14ac:dyDescent="0.35">
      <c r="A2423" s="146"/>
      <c r="B2423" s="143"/>
      <c r="C2423" s="133"/>
      <c r="D2423" s="133"/>
      <c r="E2423" s="145" t="s">
        <v>1064</v>
      </c>
      <c r="F2423" s="145">
        <v>8616.4</v>
      </c>
      <c r="G2423" s="133" t="s">
        <v>1034</v>
      </c>
      <c r="H2423" s="144" t="s">
        <v>1341</v>
      </c>
      <c r="I2423" s="133" t="s">
        <v>1092</v>
      </c>
      <c r="J2423" s="133" t="s">
        <v>1391</v>
      </c>
      <c r="K2423" s="143">
        <v>45748</v>
      </c>
      <c r="L2423" s="133" t="s">
        <v>1092</v>
      </c>
      <c r="M2423" s="133">
        <f>447+440</f>
        <v>887</v>
      </c>
      <c r="N2423" s="142"/>
      <c r="P2423" s="140"/>
    </row>
    <row r="2424" spans="1:16" hidden="1" x14ac:dyDescent="0.35">
      <c r="A2424" s="146"/>
      <c r="B2424" s="143"/>
      <c r="C2424" s="133"/>
      <c r="D2424" s="133"/>
      <c r="E2424" s="145" t="s">
        <v>1342</v>
      </c>
      <c r="F2424" s="145">
        <v>6927</v>
      </c>
      <c r="G2424" s="133" t="s">
        <v>1034</v>
      </c>
      <c r="H2424" s="144" t="s">
        <v>1341</v>
      </c>
      <c r="I2424" s="133" t="s">
        <v>1092</v>
      </c>
      <c r="J2424" s="133" t="s">
        <v>2374</v>
      </c>
      <c r="K2424" s="143">
        <v>45748</v>
      </c>
      <c r="L2424" s="133" t="s">
        <v>1092</v>
      </c>
      <c r="M2424" s="133">
        <v>6927</v>
      </c>
      <c r="N2424" s="142"/>
      <c r="P2424" s="140"/>
    </row>
    <row r="2425" spans="1:16" hidden="1" x14ac:dyDescent="0.35">
      <c r="A2425" s="146"/>
      <c r="B2425" s="143"/>
      <c r="C2425" s="133"/>
      <c r="D2425" s="133"/>
      <c r="E2425" s="145"/>
      <c r="F2425" s="145"/>
      <c r="G2425" s="133"/>
      <c r="H2425" s="144"/>
      <c r="I2425" s="133"/>
      <c r="J2425" s="133"/>
      <c r="K2425" s="143"/>
      <c r="L2425" s="133"/>
      <c r="M2425" s="133"/>
      <c r="N2425" s="142"/>
      <c r="P2425" s="140"/>
    </row>
    <row r="2426" spans="1:16" hidden="1" x14ac:dyDescent="0.35">
      <c r="A2426" s="146"/>
      <c r="B2426" s="143"/>
      <c r="C2426" s="133"/>
      <c r="D2426" s="133"/>
      <c r="E2426" s="145"/>
      <c r="F2426" s="145"/>
      <c r="G2426" s="133"/>
      <c r="H2426" s="144"/>
      <c r="I2426" s="133"/>
      <c r="J2426" s="133"/>
      <c r="K2426" s="133"/>
      <c r="L2426" s="133"/>
      <c r="M2426" s="133"/>
      <c r="N2426" s="142"/>
      <c r="P2426" s="140"/>
    </row>
    <row r="2427" spans="1:16" hidden="1" x14ac:dyDescent="0.35">
      <c r="A2427" s="146">
        <v>265</v>
      </c>
      <c r="B2427" s="143">
        <v>45689</v>
      </c>
      <c r="C2427" s="133" t="s">
        <v>1447</v>
      </c>
      <c r="D2427" s="133" t="s">
        <v>1446</v>
      </c>
      <c r="E2427" s="145" t="s">
        <v>1078</v>
      </c>
      <c r="F2427" s="145">
        <v>5047.2</v>
      </c>
      <c r="G2427" s="133" t="s">
        <v>1034</v>
      </c>
      <c r="H2427" s="144" t="s">
        <v>1341</v>
      </c>
      <c r="I2427" s="133" t="s">
        <v>1092</v>
      </c>
      <c r="J2427" s="133" t="s">
        <v>1445</v>
      </c>
      <c r="K2427" s="143">
        <v>45717</v>
      </c>
      <c r="L2427" s="133" t="s">
        <v>1092</v>
      </c>
      <c r="M2427" s="133">
        <v>19337.599999999999</v>
      </c>
      <c r="N2427" s="147">
        <f>+F2427+F2428+F2429-M2427-M2428</f>
        <v>0</v>
      </c>
      <c r="O2427" s="141"/>
      <c r="P2427" s="140"/>
    </row>
    <row r="2428" spans="1:16" hidden="1" x14ac:dyDescent="0.35">
      <c r="A2428" s="146"/>
      <c r="B2428" s="143"/>
      <c r="C2428" s="133"/>
      <c r="D2428" s="133"/>
      <c r="E2428" s="145" t="s">
        <v>1118</v>
      </c>
      <c r="F2428" s="145">
        <v>2224</v>
      </c>
      <c r="G2428" s="133" t="s">
        <v>1034</v>
      </c>
      <c r="H2428" s="144" t="s">
        <v>1341</v>
      </c>
      <c r="I2428" s="133" t="s">
        <v>1092</v>
      </c>
      <c r="J2428" s="133" t="s">
        <v>1444</v>
      </c>
      <c r="K2428" s="143">
        <v>45717</v>
      </c>
      <c r="L2428" s="133" t="s">
        <v>1241</v>
      </c>
      <c r="M2428" s="133">
        <v>950</v>
      </c>
      <c r="N2428" s="142"/>
      <c r="P2428" s="140"/>
    </row>
    <row r="2429" spans="1:16" hidden="1" x14ac:dyDescent="0.35">
      <c r="A2429" s="146"/>
      <c r="B2429" s="143"/>
      <c r="C2429" s="133"/>
      <c r="D2429" s="133"/>
      <c r="E2429" s="145" t="s">
        <v>1064</v>
      </c>
      <c r="F2429" s="145">
        <v>13016.4</v>
      </c>
      <c r="G2429" s="133"/>
      <c r="H2429" s="144"/>
      <c r="I2429" s="133"/>
      <c r="J2429" s="133"/>
      <c r="K2429" s="133"/>
      <c r="L2429" s="133"/>
      <c r="M2429" s="133"/>
      <c r="N2429" s="142"/>
      <c r="P2429" s="140"/>
    </row>
    <row r="2430" spans="1:16" hidden="1" x14ac:dyDescent="0.35">
      <c r="A2430" s="146"/>
      <c r="B2430" s="143"/>
      <c r="C2430" s="133"/>
      <c r="D2430" s="133"/>
      <c r="E2430" s="145"/>
      <c r="F2430" s="145"/>
      <c r="G2430" s="133"/>
      <c r="H2430" s="144"/>
      <c r="I2430" s="133"/>
      <c r="J2430" s="133"/>
      <c r="K2430" s="133"/>
      <c r="L2430" s="133"/>
      <c r="M2430" s="133"/>
      <c r="N2430" s="142"/>
      <c r="P2430" s="140"/>
    </row>
    <row r="2431" spans="1:16" hidden="1" x14ac:dyDescent="0.35">
      <c r="A2431" s="146">
        <v>266</v>
      </c>
      <c r="B2431" s="143">
        <v>45689</v>
      </c>
      <c r="C2431" s="133" t="s">
        <v>1443</v>
      </c>
      <c r="D2431" s="133" t="s">
        <v>1442</v>
      </c>
      <c r="E2431" s="145" t="s">
        <v>1342</v>
      </c>
      <c r="F2431" s="145">
        <v>4643</v>
      </c>
      <c r="G2431" s="133" t="s">
        <v>1034</v>
      </c>
      <c r="H2431" s="144" t="s">
        <v>1341</v>
      </c>
      <c r="I2431" s="133" t="s">
        <v>1092</v>
      </c>
      <c r="J2431" s="133" t="s">
        <v>2380</v>
      </c>
      <c r="K2431" s="143">
        <v>45748</v>
      </c>
      <c r="L2431" s="133" t="s">
        <v>1092</v>
      </c>
      <c r="M2431" s="133">
        <v>4643</v>
      </c>
      <c r="N2431" s="142">
        <f>+F2431-M2431</f>
        <v>0</v>
      </c>
      <c r="O2431" s="141"/>
      <c r="P2431" s="140"/>
    </row>
    <row r="2432" spans="1:16" hidden="1" x14ac:dyDescent="0.35">
      <c r="A2432" s="146"/>
      <c r="B2432" s="143"/>
      <c r="C2432" s="133"/>
      <c r="D2432" s="133"/>
      <c r="E2432" s="145"/>
      <c r="F2432" s="145"/>
      <c r="G2432" s="133"/>
      <c r="H2432" s="144"/>
      <c r="I2432" s="133"/>
      <c r="J2432" s="133"/>
      <c r="K2432" s="133"/>
      <c r="L2432" s="133"/>
      <c r="M2432" s="133"/>
      <c r="N2432" s="142"/>
      <c r="P2432" s="140"/>
    </row>
    <row r="2433" spans="1:16" hidden="1" x14ac:dyDescent="0.35">
      <c r="A2433" s="146">
        <v>267</v>
      </c>
      <c r="B2433" s="143">
        <v>45689</v>
      </c>
      <c r="C2433" s="133" t="s">
        <v>1441</v>
      </c>
      <c r="D2433" s="133" t="s">
        <v>1440</v>
      </c>
      <c r="E2433" s="145" t="s">
        <v>1075</v>
      </c>
      <c r="F2433" s="145">
        <v>2473</v>
      </c>
      <c r="G2433" s="133" t="s">
        <v>1034</v>
      </c>
      <c r="H2433" s="144" t="s">
        <v>1341</v>
      </c>
      <c r="I2433" s="133" t="s">
        <v>1092</v>
      </c>
      <c r="J2433" s="133" t="s">
        <v>1394</v>
      </c>
      <c r="K2433" s="143">
        <v>45717</v>
      </c>
      <c r="L2433" s="133" t="s">
        <v>1092</v>
      </c>
      <c r="M2433" s="133">
        <v>2193</v>
      </c>
      <c r="N2433" s="147">
        <f>+F2433+F2434+F2435-M2433-M2434-M2435-M2436</f>
        <v>0</v>
      </c>
      <c r="O2433" s="141"/>
      <c r="P2433" s="140"/>
    </row>
    <row r="2434" spans="1:16" hidden="1" x14ac:dyDescent="0.35">
      <c r="A2434" s="146"/>
      <c r="B2434" s="143"/>
      <c r="C2434" s="133"/>
      <c r="D2434" s="133"/>
      <c r="E2434" s="145" t="s">
        <v>1342</v>
      </c>
      <c r="F2434" s="145">
        <v>2137</v>
      </c>
      <c r="G2434" s="133" t="s">
        <v>1034</v>
      </c>
      <c r="H2434" s="144" t="s">
        <v>1341</v>
      </c>
      <c r="I2434" s="133" t="s">
        <v>1092</v>
      </c>
      <c r="J2434" s="133" t="s">
        <v>1391</v>
      </c>
      <c r="K2434" s="143">
        <v>45748</v>
      </c>
      <c r="L2434" s="133" t="s">
        <v>1092</v>
      </c>
      <c r="M2434" s="133">
        <v>1148</v>
      </c>
      <c r="N2434" s="147"/>
      <c r="P2434" s="140"/>
    </row>
    <row r="2435" spans="1:16" hidden="1" x14ac:dyDescent="0.35">
      <c r="A2435" s="146"/>
      <c r="B2435" s="143"/>
      <c r="C2435" s="133"/>
      <c r="D2435" s="133"/>
      <c r="E2435" s="145" t="s">
        <v>1067</v>
      </c>
      <c r="F2435" s="145">
        <v>1148</v>
      </c>
      <c r="G2435" s="133" t="s">
        <v>1034</v>
      </c>
      <c r="H2435" s="144" t="s">
        <v>1341</v>
      </c>
      <c r="I2435" s="133" t="s">
        <v>1092</v>
      </c>
      <c r="J2435" s="133" t="s">
        <v>2375</v>
      </c>
      <c r="K2435" s="143">
        <v>45748</v>
      </c>
      <c r="L2435" s="133" t="s">
        <v>1241</v>
      </c>
      <c r="M2435" s="133">
        <v>280</v>
      </c>
      <c r="N2435" s="147"/>
      <c r="P2435" s="140"/>
    </row>
    <row r="2436" spans="1:16" hidden="1" x14ac:dyDescent="0.35">
      <c r="A2436" s="146"/>
      <c r="B2436" s="143"/>
      <c r="C2436" s="133"/>
      <c r="D2436" s="133"/>
      <c r="E2436" s="145"/>
      <c r="F2436" s="145"/>
      <c r="G2436" s="133" t="s">
        <v>1034</v>
      </c>
      <c r="H2436" s="144" t="s">
        <v>1341</v>
      </c>
      <c r="I2436" s="133" t="s">
        <v>1092</v>
      </c>
      <c r="J2436" s="133" t="s">
        <v>2380</v>
      </c>
      <c r="K2436" s="143">
        <v>45748</v>
      </c>
      <c r="L2436" s="133" t="s">
        <v>1092</v>
      </c>
      <c r="M2436" s="133">
        <v>2137</v>
      </c>
      <c r="N2436" s="147"/>
      <c r="P2436" s="140"/>
    </row>
    <row r="2437" spans="1:16" hidden="1" x14ac:dyDescent="0.35">
      <c r="A2437" s="146"/>
      <c r="B2437" s="143"/>
      <c r="C2437" s="133"/>
      <c r="D2437" s="133"/>
      <c r="E2437" s="145"/>
      <c r="F2437" s="145"/>
      <c r="G2437" s="133"/>
      <c r="H2437" s="144"/>
      <c r="I2437" s="133"/>
      <c r="J2437" s="133"/>
      <c r="K2437" s="143"/>
      <c r="L2437" s="133"/>
      <c r="M2437" s="133"/>
      <c r="N2437" s="147"/>
      <c r="P2437" s="140"/>
    </row>
    <row r="2438" spans="1:16" hidden="1" x14ac:dyDescent="0.35">
      <c r="A2438" s="146">
        <v>268</v>
      </c>
      <c r="B2438" s="143">
        <v>45689</v>
      </c>
      <c r="C2438" s="133" t="s">
        <v>1439</v>
      </c>
      <c r="D2438" s="133" t="s">
        <v>1438</v>
      </c>
      <c r="E2438" s="145" t="s">
        <v>1075</v>
      </c>
      <c r="F2438" s="145">
        <v>2579.4</v>
      </c>
      <c r="G2438" s="133" t="s">
        <v>1034</v>
      </c>
      <c r="H2438" s="144" t="s">
        <v>1341</v>
      </c>
      <c r="I2438" s="133" t="s">
        <v>1092</v>
      </c>
      <c r="J2438" s="133" t="s">
        <v>1394</v>
      </c>
      <c r="K2438" s="143">
        <v>45717</v>
      </c>
      <c r="L2438" s="133" t="s">
        <v>1092</v>
      </c>
      <c r="M2438" s="133">
        <v>2338.4</v>
      </c>
      <c r="N2438" s="147">
        <f>+F2438+F2439+F2440-M2438-M2439-M2440</f>
        <v>0</v>
      </c>
      <c r="O2438" s="141"/>
      <c r="P2438" s="140"/>
    </row>
    <row r="2439" spans="1:16" hidden="1" x14ac:dyDescent="0.35">
      <c r="A2439" s="146"/>
      <c r="B2439" s="143"/>
      <c r="C2439" s="133"/>
      <c r="D2439" s="133"/>
      <c r="E2439" s="145" t="s">
        <v>1342</v>
      </c>
      <c r="F2439" s="145">
        <v>1711</v>
      </c>
      <c r="G2439" s="133" t="s">
        <v>1034</v>
      </c>
      <c r="H2439" s="144" t="s">
        <v>1341</v>
      </c>
      <c r="I2439" s="133" t="s">
        <v>1092</v>
      </c>
      <c r="J2439" s="133" t="s">
        <v>2375</v>
      </c>
      <c r="K2439" s="143">
        <v>45748</v>
      </c>
      <c r="L2439" s="133" t="s">
        <v>1241</v>
      </c>
      <c r="M2439" s="133">
        <v>241</v>
      </c>
      <c r="N2439" s="147"/>
      <c r="P2439" s="140"/>
    </row>
    <row r="2440" spans="1:16" hidden="1" x14ac:dyDescent="0.35">
      <c r="A2440" s="146"/>
      <c r="B2440" s="143"/>
      <c r="C2440" s="133"/>
      <c r="D2440" s="133"/>
      <c r="E2440" s="145" t="s">
        <v>1067</v>
      </c>
      <c r="F2440" s="145">
        <v>548</v>
      </c>
      <c r="G2440" s="133" t="s">
        <v>1034</v>
      </c>
      <c r="H2440" s="144" t="s">
        <v>1341</v>
      </c>
      <c r="I2440" s="133" t="s">
        <v>1092</v>
      </c>
      <c r="J2440" s="133" t="s">
        <v>2380</v>
      </c>
      <c r="K2440" s="143">
        <v>45748</v>
      </c>
      <c r="L2440" s="133" t="s">
        <v>1092</v>
      </c>
      <c r="M2440" s="133">
        <v>2259</v>
      </c>
      <c r="N2440" s="147"/>
      <c r="P2440" s="140"/>
    </row>
    <row r="2441" spans="1:16" hidden="1" x14ac:dyDescent="0.35">
      <c r="A2441" s="146"/>
      <c r="B2441" s="143"/>
      <c r="C2441" s="133"/>
      <c r="D2441" s="133"/>
      <c r="E2441" s="145"/>
      <c r="F2441" s="145"/>
      <c r="G2441" s="133"/>
      <c r="H2441" s="144"/>
      <c r="I2441" s="133"/>
      <c r="J2441" s="133"/>
      <c r="K2441" s="133"/>
      <c r="L2441" s="133"/>
      <c r="M2441" s="133"/>
      <c r="N2441" s="147"/>
      <c r="P2441" s="140"/>
    </row>
    <row r="2442" spans="1:16" hidden="1" x14ac:dyDescent="0.35">
      <c r="A2442" s="146">
        <v>269</v>
      </c>
      <c r="B2442" s="143">
        <v>45689</v>
      </c>
      <c r="C2442" s="133" t="s">
        <v>1437</v>
      </c>
      <c r="D2442" s="133" t="s">
        <v>1436</v>
      </c>
      <c r="E2442" s="145" t="s">
        <v>1075</v>
      </c>
      <c r="F2442" s="145">
        <v>3591</v>
      </c>
      <c r="G2442" s="133" t="s">
        <v>1034</v>
      </c>
      <c r="H2442" s="144" t="s">
        <v>1341</v>
      </c>
      <c r="I2442" s="133" t="s">
        <v>1092</v>
      </c>
      <c r="J2442" s="133" t="s">
        <v>1401</v>
      </c>
      <c r="K2442" s="143">
        <v>45717</v>
      </c>
      <c r="L2442" s="133" t="s">
        <v>1092</v>
      </c>
      <c r="M2442" s="133">
        <f>1614.4+3953</f>
        <v>5567.4</v>
      </c>
      <c r="N2442" s="147">
        <f>+F2442+F2443+F2444+F2445-M2442-M2443-M2444-M2445</f>
        <v>0</v>
      </c>
      <c r="O2442" s="141"/>
      <c r="P2442" s="140"/>
    </row>
    <row r="2443" spans="1:16" hidden="1" x14ac:dyDescent="0.35">
      <c r="A2443" s="146"/>
      <c r="B2443" s="143"/>
      <c r="C2443" s="133"/>
      <c r="D2443" s="133"/>
      <c r="E2443" s="145" t="s">
        <v>1342</v>
      </c>
      <c r="F2443" s="145">
        <v>5931</v>
      </c>
      <c r="G2443" s="133" t="s">
        <v>1034</v>
      </c>
      <c r="H2443" s="144" t="s">
        <v>1341</v>
      </c>
      <c r="I2443" s="133" t="s">
        <v>1092</v>
      </c>
      <c r="J2443" s="133" t="s">
        <v>1394</v>
      </c>
      <c r="K2443" s="143">
        <v>45717</v>
      </c>
      <c r="L2443" s="133" t="s">
        <v>1092</v>
      </c>
      <c r="M2443" s="133">
        <v>3591</v>
      </c>
      <c r="N2443" s="142"/>
      <c r="P2443" s="140"/>
    </row>
    <row r="2444" spans="1:16" hidden="1" x14ac:dyDescent="0.35">
      <c r="A2444" s="146"/>
      <c r="B2444" s="143"/>
      <c r="C2444" s="133"/>
      <c r="D2444" s="133"/>
      <c r="E2444" s="145" t="s">
        <v>1118</v>
      </c>
      <c r="F2444" s="145">
        <v>1614.4</v>
      </c>
      <c r="G2444" s="133" t="s">
        <v>1034</v>
      </c>
      <c r="H2444" s="144" t="s">
        <v>1341</v>
      </c>
      <c r="I2444" s="133" t="s">
        <v>1092</v>
      </c>
      <c r="J2444" s="133" t="s">
        <v>2375</v>
      </c>
      <c r="K2444" s="143">
        <v>45748</v>
      </c>
      <c r="L2444" s="133" t="s">
        <v>1241</v>
      </c>
      <c r="M2444" s="133">
        <v>470</v>
      </c>
      <c r="N2444" s="142"/>
      <c r="P2444" s="140"/>
    </row>
    <row r="2445" spans="1:16" hidden="1" x14ac:dyDescent="0.35">
      <c r="A2445" s="146"/>
      <c r="B2445" s="143"/>
      <c r="C2445" s="133"/>
      <c r="D2445" s="133"/>
      <c r="E2445" s="145" t="s">
        <v>1078</v>
      </c>
      <c r="F2445" s="145">
        <v>3953</v>
      </c>
      <c r="G2445" s="133" t="s">
        <v>1034</v>
      </c>
      <c r="H2445" s="144" t="s">
        <v>1341</v>
      </c>
      <c r="I2445" s="133" t="s">
        <v>1092</v>
      </c>
      <c r="J2445" s="133" t="s">
        <v>2380</v>
      </c>
      <c r="K2445" s="143">
        <v>45748</v>
      </c>
      <c r="L2445" s="133" t="s">
        <v>1092</v>
      </c>
      <c r="M2445" s="133">
        <v>5461</v>
      </c>
      <c r="N2445" s="142"/>
      <c r="P2445" s="140"/>
    </row>
    <row r="2446" spans="1:16" hidden="1" x14ac:dyDescent="0.35">
      <c r="A2446" s="146"/>
      <c r="B2446" s="143"/>
      <c r="C2446" s="133"/>
      <c r="D2446" s="133"/>
      <c r="E2446" s="145"/>
      <c r="F2446" s="145"/>
      <c r="G2446" s="133"/>
      <c r="H2446" s="144"/>
      <c r="I2446" s="133"/>
      <c r="J2446" s="133"/>
      <c r="K2446" s="133"/>
      <c r="L2446" s="133"/>
      <c r="M2446" s="133"/>
      <c r="N2446" s="142"/>
      <c r="P2446" s="140"/>
    </row>
    <row r="2447" spans="1:16" hidden="1" x14ac:dyDescent="0.35">
      <c r="A2447" s="146">
        <v>270</v>
      </c>
      <c r="B2447" s="143">
        <v>45689</v>
      </c>
      <c r="C2447" s="133" t="s">
        <v>1435</v>
      </c>
      <c r="D2447" s="133" t="s">
        <v>1434</v>
      </c>
      <c r="E2447" s="145" t="s">
        <v>1075</v>
      </c>
      <c r="F2447" s="145">
        <v>2053</v>
      </c>
      <c r="G2447" s="133" t="s">
        <v>1034</v>
      </c>
      <c r="H2447" s="144" t="s">
        <v>1341</v>
      </c>
      <c r="I2447" s="133" t="s">
        <v>1092</v>
      </c>
      <c r="J2447" s="133" t="s">
        <v>1394</v>
      </c>
      <c r="K2447" s="143">
        <v>45717</v>
      </c>
      <c r="L2447" s="133" t="s">
        <v>1092</v>
      </c>
      <c r="M2447" s="133">
        <f>2053+1082</f>
        <v>3135</v>
      </c>
      <c r="N2447" s="215">
        <f>+F2447+F2448-M2447-M2448</f>
        <v>0</v>
      </c>
      <c r="O2447" s="141"/>
      <c r="P2447" s="140"/>
    </row>
    <row r="2448" spans="1:16" hidden="1" x14ac:dyDescent="0.35">
      <c r="A2448" s="146"/>
      <c r="B2448" s="143"/>
      <c r="C2448" s="133"/>
      <c r="D2448" s="133"/>
      <c r="E2448" s="145" t="s">
        <v>1342</v>
      </c>
      <c r="F2448" s="145">
        <v>1248</v>
      </c>
      <c r="G2448" s="133" t="s">
        <v>1034</v>
      </c>
      <c r="H2448" s="144" t="s">
        <v>1341</v>
      </c>
      <c r="I2448" s="133" t="s">
        <v>1092</v>
      </c>
      <c r="J2448" s="133" t="s">
        <v>2375</v>
      </c>
      <c r="K2448" s="143">
        <v>45748</v>
      </c>
      <c r="L2448" s="133" t="s">
        <v>1241</v>
      </c>
      <c r="M2448" s="133">
        <v>166</v>
      </c>
      <c r="N2448" s="142"/>
      <c r="P2448" s="140"/>
    </row>
    <row r="2449" spans="1:16" hidden="1" x14ac:dyDescent="0.35">
      <c r="A2449" s="146"/>
      <c r="B2449" s="143"/>
      <c r="C2449" s="133"/>
      <c r="D2449" s="133"/>
      <c r="E2449" s="145"/>
      <c r="F2449" s="145"/>
      <c r="G2449" s="133"/>
      <c r="H2449" s="144"/>
      <c r="I2449" s="133"/>
      <c r="J2449" s="133"/>
      <c r="K2449" s="133"/>
      <c r="L2449" s="133"/>
      <c r="M2449" s="133"/>
      <c r="N2449" s="142"/>
      <c r="P2449" s="140"/>
    </row>
    <row r="2450" spans="1:16" hidden="1" x14ac:dyDescent="0.35">
      <c r="A2450" s="146">
        <v>271</v>
      </c>
      <c r="B2450" s="143">
        <v>45689</v>
      </c>
      <c r="C2450" s="133" t="s">
        <v>1433</v>
      </c>
      <c r="D2450" s="133" t="s">
        <v>1432</v>
      </c>
      <c r="E2450" s="145" t="s">
        <v>1342</v>
      </c>
      <c r="F2450" s="145">
        <v>1580.5</v>
      </c>
      <c r="G2450" s="133" t="s">
        <v>1034</v>
      </c>
      <c r="H2450" s="144" t="s">
        <v>1341</v>
      </c>
      <c r="I2450" s="133" t="s">
        <v>1092</v>
      </c>
      <c r="J2450" s="133" t="s">
        <v>2380</v>
      </c>
      <c r="K2450" s="143">
        <v>45748</v>
      </c>
      <c r="L2450" s="133" t="s">
        <v>1092</v>
      </c>
      <c r="M2450" s="133">
        <v>1580.5</v>
      </c>
      <c r="N2450" s="142">
        <f>+F2450-M2450</f>
        <v>0</v>
      </c>
      <c r="O2450" s="141"/>
      <c r="P2450" s="140"/>
    </row>
    <row r="2451" spans="1:16" hidden="1" x14ac:dyDescent="0.35">
      <c r="A2451" s="146"/>
      <c r="B2451" s="143"/>
      <c r="C2451" s="133"/>
      <c r="D2451" s="133"/>
      <c r="E2451" s="145"/>
      <c r="F2451" s="145"/>
      <c r="G2451" s="133"/>
      <c r="H2451" s="144"/>
      <c r="I2451" s="133"/>
      <c r="J2451" s="133"/>
      <c r="K2451" s="133"/>
      <c r="L2451" s="133"/>
      <c r="M2451" s="133"/>
      <c r="N2451" s="142"/>
      <c r="P2451" s="140"/>
    </row>
    <row r="2452" spans="1:16" hidden="1" x14ac:dyDescent="0.35">
      <c r="A2452" s="146">
        <v>272</v>
      </c>
      <c r="B2452" s="143">
        <v>45689</v>
      </c>
      <c r="C2452" s="133" t="s">
        <v>1431</v>
      </c>
      <c r="D2452" s="133" t="s">
        <v>1430</v>
      </c>
      <c r="E2452" s="145" t="s">
        <v>1342</v>
      </c>
      <c r="F2452" s="145">
        <v>2072</v>
      </c>
      <c r="G2452" s="133" t="s">
        <v>1034</v>
      </c>
      <c r="H2452" s="144" t="s">
        <v>1341</v>
      </c>
      <c r="I2452" s="133" t="s">
        <v>1092</v>
      </c>
      <c r="J2452" s="133" t="s">
        <v>1394</v>
      </c>
      <c r="K2452" s="143">
        <v>45717</v>
      </c>
      <c r="L2452" s="133" t="s">
        <v>1092</v>
      </c>
      <c r="M2452" s="133">
        <v>1798.1</v>
      </c>
      <c r="N2452" s="147">
        <f>+F2452+F2453+F2454-M2452-M2453-M2454-M2455</f>
        <v>0</v>
      </c>
      <c r="O2452" s="141"/>
      <c r="P2452" s="140"/>
    </row>
    <row r="2453" spans="1:16" hidden="1" x14ac:dyDescent="0.35">
      <c r="A2453" s="146"/>
      <c r="B2453" s="143"/>
      <c r="C2453" s="133"/>
      <c r="D2453" s="133"/>
      <c r="E2453" s="145" t="s">
        <v>1075</v>
      </c>
      <c r="F2453" s="145">
        <v>2002.1</v>
      </c>
      <c r="G2453" s="133" t="s">
        <v>1034</v>
      </c>
      <c r="H2453" s="144" t="s">
        <v>1341</v>
      </c>
      <c r="I2453" s="133" t="s">
        <v>1092</v>
      </c>
      <c r="J2453" s="133" t="s">
        <v>1376</v>
      </c>
      <c r="K2453" s="143">
        <v>45748</v>
      </c>
      <c r="L2453" s="133" t="s">
        <v>1092</v>
      </c>
      <c r="M2453" s="133">
        <v>4</v>
      </c>
      <c r="N2453" s="142"/>
      <c r="P2453" s="140"/>
    </row>
    <row r="2454" spans="1:16" hidden="1" x14ac:dyDescent="0.35">
      <c r="A2454" s="146"/>
      <c r="B2454" s="143"/>
      <c r="C2454" s="133"/>
      <c r="D2454" s="133"/>
      <c r="E2454" s="145" t="s">
        <v>1067</v>
      </c>
      <c r="F2454" s="145">
        <v>4</v>
      </c>
      <c r="G2454" s="133" t="s">
        <v>1034</v>
      </c>
      <c r="H2454" s="144" t="s">
        <v>1341</v>
      </c>
      <c r="I2454" s="133" t="s">
        <v>1092</v>
      </c>
      <c r="J2454" s="133" t="s">
        <v>2375</v>
      </c>
      <c r="K2454" s="143">
        <v>45748</v>
      </c>
      <c r="L2454" s="133" t="s">
        <v>1241</v>
      </c>
      <c r="M2454" s="133">
        <v>204</v>
      </c>
      <c r="N2454" s="142"/>
      <c r="P2454" s="140"/>
    </row>
    <row r="2455" spans="1:16" hidden="1" x14ac:dyDescent="0.35">
      <c r="A2455" s="146"/>
      <c r="B2455" s="143"/>
      <c r="C2455" s="133"/>
      <c r="D2455" s="133"/>
      <c r="E2455" s="145"/>
      <c r="F2455" s="145"/>
      <c r="G2455" s="133" t="s">
        <v>1034</v>
      </c>
      <c r="H2455" s="144" t="s">
        <v>1341</v>
      </c>
      <c r="I2455" s="133" t="s">
        <v>1092</v>
      </c>
      <c r="J2455" s="133" t="s">
        <v>2395</v>
      </c>
      <c r="K2455" s="143">
        <v>45778</v>
      </c>
      <c r="L2455" s="133" t="s">
        <v>1092</v>
      </c>
      <c r="M2455" s="133">
        <v>2072</v>
      </c>
      <c r="N2455" s="142"/>
      <c r="P2455" s="140"/>
    </row>
    <row r="2456" spans="1:16" hidden="1" x14ac:dyDescent="0.35">
      <c r="A2456" s="146"/>
      <c r="B2456" s="143"/>
      <c r="C2456" s="133"/>
      <c r="D2456" s="133"/>
      <c r="E2456" s="145"/>
      <c r="F2456" s="145"/>
      <c r="G2456" s="133"/>
      <c r="H2456" s="144"/>
      <c r="I2456" s="133"/>
      <c r="J2456" s="133"/>
      <c r="K2456" s="133"/>
      <c r="L2456" s="133"/>
      <c r="M2456" s="133"/>
      <c r="N2456" s="142"/>
      <c r="P2456" s="140"/>
    </row>
    <row r="2457" spans="1:16" hidden="1" x14ac:dyDescent="0.35">
      <c r="A2457" s="146">
        <v>273</v>
      </c>
      <c r="B2457" s="143">
        <v>45689</v>
      </c>
      <c r="C2457" s="133" t="s">
        <v>1429</v>
      </c>
      <c r="D2457" s="133" t="s">
        <v>1428</v>
      </c>
      <c r="E2457" s="145" t="s">
        <v>1342</v>
      </c>
      <c r="F2457" s="145">
        <v>3571</v>
      </c>
      <c r="G2457" s="133" t="s">
        <v>1034</v>
      </c>
      <c r="H2457" s="144" t="s">
        <v>1341</v>
      </c>
      <c r="I2457" s="133" t="s">
        <v>1092</v>
      </c>
      <c r="J2457" s="133" t="s">
        <v>1401</v>
      </c>
      <c r="K2457" s="143">
        <v>45717</v>
      </c>
      <c r="L2457" s="133" t="s">
        <v>1092</v>
      </c>
      <c r="M2457" s="133">
        <v>3411</v>
      </c>
      <c r="N2457" s="147">
        <f>+F2457+F2458+F2459-M2457-M2458-M2459-M2460</f>
        <v>0</v>
      </c>
      <c r="O2457" s="141"/>
      <c r="P2457" s="140"/>
    </row>
    <row r="2458" spans="1:16" hidden="1" x14ac:dyDescent="0.35">
      <c r="A2458" s="146"/>
      <c r="B2458" s="143"/>
      <c r="C2458" s="133"/>
      <c r="D2458" s="133"/>
      <c r="E2458" s="145" t="s">
        <v>1075</v>
      </c>
      <c r="F2458" s="145">
        <v>4386</v>
      </c>
      <c r="G2458" s="133" t="s">
        <v>1034</v>
      </c>
      <c r="H2458" s="144" t="s">
        <v>1341</v>
      </c>
      <c r="I2458" s="133" t="s">
        <v>1092</v>
      </c>
      <c r="J2458" s="133" t="s">
        <v>1394</v>
      </c>
      <c r="K2458" s="143">
        <v>45717</v>
      </c>
      <c r="L2458" s="133" t="s">
        <v>1092</v>
      </c>
      <c r="M2458" s="133">
        <v>3996</v>
      </c>
      <c r="N2458" s="142"/>
      <c r="P2458" s="140"/>
    </row>
    <row r="2459" spans="1:16" hidden="1" x14ac:dyDescent="0.35">
      <c r="A2459" s="146"/>
      <c r="B2459" s="143"/>
      <c r="C2459" s="133"/>
      <c r="D2459" s="133"/>
      <c r="E2459" s="145" t="s">
        <v>1118</v>
      </c>
      <c r="F2459" s="145">
        <v>3411</v>
      </c>
      <c r="G2459" s="133" t="s">
        <v>1034</v>
      </c>
      <c r="H2459" s="144" t="s">
        <v>1341</v>
      </c>
      <c r="I2459" s="133" t="s">
        <v>1092</v>
      </c>
      <c r="J2459" s="133" t="s">
        <v>2375</v>
      </c>
      <c r="K2459" s="143">
        <v>45748</v>
      </c>
      <c r="L2459" s="133" t="s">
        <v>1241</v>
      </c>
      <c r="M2459" s="133">
        <v>390</v>
      </c>
      <c r="N2459" s="142"/>
      <c r="P2459" s="140"/>
    </row>
    <row r="2460" spans="1:16" hidden="1" x14ac:dyDescent="0.35">
      <c r="A2460" s="146"/>
      <c r="B2460" s="143"/>
      <c r="C2460" s="133"/>
      <c r="D2460" s="133"/>
      <c r="E2460" s="145"/>
      <c r="F2460" s="145"/>
      <c r="G2460" s="133" t="s">
        <v>1034</v>
      </c>
      <c r="H2460" s="144" t="s">
        <v>1341</v>
      </c>
      <c r="I2460" s="133" t="s">
        <v>1092</v>
      </c>
      <c r="J2460" s="133" t="s">
        <v>2395</v>
      </c>
      <c r="K2460" s="143">
        <v>45778</v>
      </c>
      <c r="L2460" s="133" t="s">
        <v>1092</v>
      </c>
      <c r="M2460" s="133">
        <v>3571</v>
      </c>
      <c r="N2460" s="142"/>
      <c r="P2460" s="140"/>
    </row>
    <row r="2461" spans="1:16" hidden="1" x14ac:dyDescent="0.35">
      <c r="A2461" s="146"/>
      <c r="B2461" s="143"/>
      <c r="C2461" s="133"/>
      <c r="D2461" s="133"/>
      <c r="E2461" s="145"/>
      <c r="F2461" s="145"/>
      <c r="G2461" s="133"/>
      <c r="H2461" s="144"/>
      <c r="I2461" s="133"/>
      <c r="J2461" s="133"/>
      <c r="K2461" s="133"/>
      <c r="L2461" s="133"/>
      <c r="M2461" s="133"/>
      <c r="N2461" s="142"/>
      <c r="P2461" s="140"/>
    </row>
    <row r="2462" spans="1:16" hidden="1" x14ac:dyDescent="0.35">
      <c r="A2462" s="146">
        <v>274</v>
      </c>
      <c r="B2462" s="143">
        <v>45689</v>
      </c>
      <c r="C2462" s="133" t="s">
        <v>1427</v>
      </c>
      <c r="D2462" s="133" t="s">
        <v>1426</v>
      </c>
      <c r="E2462" s="145" t="s">
        <v>1067</v>
      </c>
      <c r="F2462" s="145">
        <v>1009</v>
      </c>
      <c r="G2462" s="133" t="s">
        <v>1034</v>
      </c>
      <c r="H2462" s="144" t="s">
        <v>1341</v>
      </c>
      <c r="I2462" s="133" t="s">
        <v>1092</v>
      </c>
      <c r="J2462" s="133" t="s">
        <v>1401</v>
      </c>
      <c r="K2462" s="143">
        <v>45717</v>
      </c>
      <c r="L2462" s="133" t="s">
        <v>1092</v>
      </c>
      <c r="M2462" s="133">
        <v>5374.19</v>
      </c>
      <c r="N2462" s="147">
        <f>+F2462+F2463+F2464+F2465-M2462-M2463-M2464-M2465</f>
        <v>1.8189894035458565E-12</v>
      </c>
      <c r="O2462" s="141"/>
      <c r="P2462" s="140"/>
    </row>
    <row r="2463" spans="1:16" hidden="1" x14ac:dyDescent="0.35">
      <c r="A2463" s="146"/>
      <c r="B2463" s="143"/>
      <c r="C2463" s="133"/>
      <c r="D2463" s="133"/>
      <c r="E2463" s="145" t="s">
        <v>1342</v>
      </c>
      <c r="F2463" s="145">
        <v>4430</v>
      </c>
      <c r="G2463" s="133" t="s">
        <v>1034</v>
      </c>
      <c r="H2463" s="144" t="s">
        <v>1341</v>
      </c>
      <c r="I2463" s="133" t="s">
        <v>1092</v>
      </c>
      <c r="J2463" s="133" t="s">
        <v>1376</v>
      </c>
      <c r="K2463" s="143">
        <v>45748</v>
      </c>
      <c r="L2463" s="133" t="s">
        <v>1092</v>
      </c>
      <c r="M2463" s="133">
        <f>1911.1+1009</f>
        <v>2920.1</v>
      </c>
      <c r="N2463" s="142"/>
      <c r="P2463" s="140"/>
    </row>
    <row r="2464" spans="1:16" hidden="1" x14ac:dyDescent="0.35">
      <c r="A2464" s="146"/>
      <c r="B2464" s="143"/>
      <c r="C2464" s="133"/>
      <c r="D2464" s="133"/>
      <c r="E2464" s="145" t="s">
        <v>1075</v>
      </c>
      <c r="F2464" s="145">
        <v>1911.1</v>
      </c>
      <c r="G2464" s="133" t="s">
        <v>1034</v>
      </c>
      <c r="H2464" s="144" t="s">
        <v>1341</v>
      </c>
      <c r="I2464" s="133" t="s">
        <v>1092</v>
      </c>
      <c r="J2464" s="133" t="s">
        <v>2374</v>
      </c>
      <c r="K2464" s="143">
        <v>45748</v>
      </c>
      <c r="L2464" s="133" t="s">
        <v>1092</v>
      </c>
      <c r="M2464" s="133">
        <v>4430</v>
      </c>
      <c r="N2464" s="142"/>
      <c r="P2464" s="140"/>
    </row>
    <row r="2465" spans="1:16" hidden="1" x14ac:dyDescent="0.35">
      <c r="A2465" s="146"/>
      <c r="B2465" s="143"/>
      <c r="C2465" s="133"/>
      <c r="D2465" s="133"/>
      <c r="E2465" s="145" t="s">
        <v>1064</v>
      </c>
      <c r="F2465" s="145">
        <v>6024.19</v>
      </c>
      <c r="G2465" s="133" t="s">
        <v>1034</v>
      </c>
      <c r="H2465" s="144" t="s">
        <v>1341</v>
      </c>
      <c r="I2465" s="133" t="s">
        <v>1092</v>
      </c>
      <c r="J2465" s="133" t="s">
        <v>2375</v>
      </c>
      <c r="K2465" s="143">
        <v>45748</v>
      </c>
      <c r="L2465" s="133" t="s">
        <v>1241</v>
      </c>
      <c r="M2465" s="133">
        <v>650</v>
      </c>
      <c r="N2465" s="142"/>
      <c r="P2465" s="140"/>
    </row>
    <row r="2466" spans="1:16" hidden="1" x14ac:dyDescent="0.35">
      <c r="A2466" s="146"/>
      <c r="B2466" s="143"/>
      <c r="C2466" s="133"/>
      <c r="D2466" s="133"/>
      <c r="E2466" s="145"/>
      <c r="F2466" s="145"/>
      <c r="G2466" s="133"/>
      <c r="H2466" s="144"/>
      <c r="I2466" s="133"/>
      <c r="J2466" s="133"/>
      <c r="K2466" s="133"/>
      <c r="L2466" s="133"/>
      <c r="M2466" s="133"/>
      <c r="N2466" s="142"/>
      <c r="P2466" s="140"/>
    </row>
    <row r="2467" spans="1:16" hidden="1" x14ac:dyDescent="0.35">
      <c r="A2467" s="146">
        <v>275</v>
      </c>
      <c r="B2467" s="143">
        <v>45689</v>
      </c>
      <c r="C2467" s="133" t="s">
        <v>1425</v>
      </c>
      <c r="D2467" s="133" t="s">
        <v>1424</v>
      </c>
      <c r="E2467" s="145" t="s">
        <v>1342</v>
      </c>
      <c r="F2467" s="145">
        <v>2622</v>
      </c>
      <c r="G2467" s="133" t="s">
        <v>1034</v>
      </c>
      <c r="H2467" s="144" t="s">
        <v>1341</v>
      </c>
      <c r="I2467" s="133" t="s">
        <v>1092</v>
      </c>
      <c r="J2467" s="133" t="s">
        <v>1394</v>
      </c>
      <c r="K2467" s="143">
        <v>45717</v>
      </c>
      <c r="L2467" s="133" t="s">
        <v>1092</v>
      </c>
      <c r="M2467" s="133">
        <f>8766+3776.7</f>
        <v>12542.7</v>
      </c>
      <c r="N2467" s="147">
        <f>+F2467+F2468+F2469+F2470-M2467-M2468-M2469-M2470</f>
        <v>0</v>
      </c>
      <c r="O2467" s="141"/>
      <c r="P2467" s="140"/>
    </row>
    <row r="2468" spans="1:16" hidden="1" x14ac:dyDescent="0.35">
      <c r="A2468" s="146"/>
      <c r="B2468" s="143"/>
      <c r="C2468" s="133"/>
      <c r="D2468" s="133"/>
      <c r="E2468" s="145" t="s">
        <v>1075</v>
      </c>
      <c r="F2468" s="145">
        <v>9626</v>
      </c>
      <c r="G2468" s="133" t="s">
        <v>1034</v>
      </c>
      <c r="H2468" s="144" t="s">
        <v>1341</v>
      </c>
      <c r="I2468" s="133" t="s">
        <v>1092</v>
      </c>
      <c r="J2468" s="133" t="s">
        <v>1376</v>
      </c>
      <c r="K2468" s="143">
        <v>45748</v>
      </c>
      <c r="L2468" s="133" t="s">
        <v>1092</v>
      </c>
      <c r="M2468" s="133">
        <v>1238</v>
      </c>
      <c r="N2468" s="147"/>
      <c r="P2468" s="140"/>
    </row>
    <row r="2469" spans="1:16" hidden="1" x14ac:dyDescent="0.35">
      <c r="A2469" s="146"/>
      <c r="B2469" s="143"/>
      <c r="C2469" s="133"/>
      <c r="D2469" s="133"/>
      <c r="E2469" s="145" t="s">
        <v>1118</v>
      </c>
      <c r="F2469" s="145">
        <v>3776.7</v>
      </c>
      <c r="G2469" s="133" t="s">
        <v>1034</v>
      </c>
      <c r="H2469" s="144" t="s">
        <v>1341</v>
      </c>
      <c r="I2469" s="133" t="s">
        <v>1092</v>
      </c>
      <c r="J2469" s="133" t="s">
        <v>2375</v>
      </c>
      <c r="K2469" s="143">
        <v>45748</v>
      </c>
      <c r="L2469" s="133" t="s">
        <v>1241</v>
      </c>
      <c r="M2469" s="133">
        <v>860</v>
      </c>
      <c r="N2469" s="147"/>
      <c r="P2469" s="140"/>
    </row>
    <row r="2470" spans="1:16" hidden="1" x14ac:dyDescent="0.35">
      <c r="A2470" s="146"/>
      <c r="B2470" s="143"/>
      <c r="C2470" s="133"/>
      <c r="D2470" s="133"/>
      <c r="E2470" s="145" t="s">
        <v>1067</v>
      </c>
      <c r="F2470" s="145">
        <v>1238</v>
      </c>
      <c r="G2470" s="133" t="s">
        <v>1034</v>
      </c>
      <c r="H2470" s="144" t="s">
        <v>1341</v>
      </c>
      <c r="I2470" s="133" t="s">
        <v>1092</v>
      </c>
      <c r="J2470" s="133" t="s">
        <v>2395</v>
      </c>
      <c r="K2470" s="143">
        <v>45778</v>
      </c>
      <c r="L2470" s="133" t="s">
        <v>1092</v>
      </c>
      <c r="M2470" s="133">
        <v>2622</v>
      </c>
      <c r="N2470" s="147"/>
      <c r="P2470" s="140"/>
    </row>
    <row r="2471" spans="1:16" hidden="1" x14ac:dyDescent="0.35">
      <c r="A2471" s="146"/>
      <c r="B2471" s="143"/>
      <c r="C2471" s="133"/>
      <c r="D2471" s="133"/>
      <c r="E2471" s="145"/>
      <c r="F2471" s="145"/>
      <c r="G2471" s="133"/>
      <c r="H2471" s="144"/>
      <c r="I2471" s="133"/>
      <c r="J2471" s="133"/>
      <c r="K2471" s="133"/>
      <c r="L2471" s="133"/>
      <c r="M2471" s="133"/>
      <c r="N2471" s="147"/>
      <c r="P2471" s="140"/>
    </row>
    <row r="2472" spans="1:16" hidden="1" x14ac:dyDescent="0.35">
      <c r="A2472" s="146">
        <v>276</v>
      </c>
      <c r="B2472" s="143">
        <v>45689</v>
      </c>
      <c r="C2472" s="133" t="s">
        <v>1423</v>
      </c>
      <c r="D2472" s="133" t="s">
        <v>1422</v>
      </c>
      <c r="E2472" s="145" t="s">
        <v>1342</v>
      </c>
      <c r="F2472" s="145">
        <v>3190</v>
      </c>
      <c r="G2472" s="133" t="s">
        <v>1034</v>
      </c>
      <c r="H2472" s="144" t="s">
        <v>1341</v>
      </c>
      <c r="I2472" s="133" t="s">
        <v>1092</v>
      </c>
      <c r="J2472" s="133" t="s">
        <v>1391</v>
      </c>
      <c r="K2472" s="143">
        <v>45748</v>
      </c>
      <c r="L2472" s="133" t="s">
        <v>1092</v>
      </c>
      <c r="M2472" s="133">
        <v>1467</v>
      </c>
      <c r="N2472" s="147">
        <f>+F2472+F2473-M2472-M2473-M2474</f>
        <v>0</v>
      </c>
      <c r="O2472" s="141"/>
      <c r="P2472" s="140"/>
    </row>
    <row r="2473" spans="1:16" hidden="1" x14ac:dyDescent="0.35">
      <c r="A2473" s="146"/>
      <c r="B2473" s="143"/>
      <c r="C2473" s="133"/>
      <c r="D2473" s="133"/>
      <c r="E2473" s="145" t="s">
        <v>1075</v>
      </c>
      <c r="F2473" s="145">
        <v>1708</v>
      </c>
      <c r="G2473" s="133" t="s">
        <v>1034</v>
      </c>
      <c r="H2473" s="144" t="s">
        <v>1341</v>
      </c>
      <c r="I2473" s="133" t="s">
        <v>1092</v>
      </c>
      <c r="J2473" s="133" t="s">
        <v>2375</v>
      </c>
      <c r="K2473" s="143">
        <v>45748</v>
      </c>
      <c r="L2473" s="133" t="s">
        <v>1241</v>
      </c>
      <c r="M2473" s="133">
        <v>241</v>
      </c>
      <c r="N2473" s="147"/>
      <c r="P2473" s="140"/>
    </row>
    <row r="2474" spans="1:16" hidden="1" x14ac:dyDescent="0.35">
      <c r="A2474" s="146"/>
      <c r="B2474" s="143"/>
      <c r="C2474" s="133"/>
      <c r="D2474" s="133"/>
      <c r="E2474" s="145"/>
      <c r="F2474" s="145"/>
      <c r="G2474" s="133" t="s">
        <v>1034</v>
      </c>
      <c r="H2474" s="144" t="s">
        <v>1341</v>
      </c>
      <c r="I2474" s="133" t="s">
        <v>1092</v>
      </c>
      <c r="J2474" s="133" t="s">
        <v>2395</v>
      </c>
      <c r="K2474" s="143">
        <v>45778</v>
      </c>
      <c r="L2474" s="133" t="s">
        <v>1092</v>
      </c>
      <c r="M2474" s="133">
        <v>3190</v>
      </c>
      <c r="N2474" s="147"/>
      <c r="P2474" s="140"/>
    </row>
    <row r="2475" spans="1:16" hidden="1" x14ac:dyDescent="0.35">
      <c r="A2475" s="146"/>
      <c r="B2475" s="143"/>
      <c r="C2475" s="133"/>
      <c r="D2475" s="133"/>
      <c r="E2475" s="145"/>
      <c r="F2475" s="145"/>
      <c r="G2475" s="133"/>
      <c r="H2475" s="144"/>
      <c r="I2475" s="133"/>
      <c r="J2475" s="133"/>
      <c r="K2475" s="143"/>
      <c r="L2475" s="133"/>
      <c r="M2475" s="133"/>
      <c r="N2475" s="147"/>
      <c r="P2475" s="140"/>
    </row>
    <row r="2476" spans="1:16" hidden="1" x14ac:dyDescent="0.35">
      <c r="A2476" s="146">
        <v>277</v>
      </c>
      <c r="B2476" s="143">
        <v>45689</v>
      </c>
      <c r="C2476" s="133" t="s">
        <v>1421</v>
      </c>
      <c r="D2476" s="133" t="s">
        <v>1420</v>
      </c>
      <c r="E2476" s="145" t="s">
        <v>1342</v>
      </c>
      <c r="F2476" s="145">
        <v>1848</v>
      </c>
      <c r="G2476" s="133" t="s">
        <v>1034</v>
      </c>
      <c r="H2476" s="144" t="s">
        <v>1341</v>
      </c>
      <c r="I2476" s="133" t="s">
        <v>1092</v>
      </c>
      <c r="J2476" s="133" t="s">
        <v>1391</v>
      </c>
      <c r="K2476" s="143">
        <v>45748</v>
      </c>
      <c r="L2476" s="133" t="s">
        <v>1092</v>
      </c>
      <c r="M2476" s="133">
        <f>7677+350</f>
        <v>8027</v>
      </c>
      <c r="N2476" s="147">
        <f>+F2476+F2477+F2478-M2476-M2477-M2478</f>
        <v>0</v>
      </c>
      <c r="O2476" s="141"/>
      <c r="P2476" s="140"/>
    </row>
    <row r="2477" spans="1:16" hidden="1" x14ac:dyDescent="0.35">
      <c r="A2477" s="146"/>
      <c r="B2477" s="143"/>
      <c r="C2477" s="133"/>
      <c r="D2477" s="133"/>
      <c r="E2477" s="145" t="s">
        <v>1075</v>
      </c>
      <c r="F2477" s="145">
        <v>8197</v>
      </c>
      <c r="G2477" s="133" t="s">
        <v>1034</v>
      </c>
      <c r="H2477" s="144" t="s">
        <v>1341</v>
      </c>
      <c r="I2477" s="133" t="s">
        <v>1092</v>
      </c>
      <c r="J2477" s="133" t="s">
        <v>2375</v>
      </c>
      <c r="K2477" s="143">
        <v>45748</v>
      </c>
      <c r="L2477" s="133" t="s">
        <v>1241</v>
      </c>
      <c r="M2477" s="133">
        <v>520</v>
      </c>
      <c r="N2477" s="142"/>
      <c r="P2477" s="140"/>
    </row>
    <row r="2478" spans="1:16" hidden="1" x14ac:dyDescent="0.35">
      <c r="A2478" s="146"/>
      <c r="B2478" s="143"/>
      <c r="C2478" s="133"/>
      <c r="D2478" s="133"/>
      <c r="E2478" s="145" t="s">
        <v>1067</v>
      </c>
      <c r="F2478" s="145">
        <v>350</v>
      </c>
      <c r="G2478" s="133" t="s">
        <v>1034</v>
      </c>
      <c r="H2478" s="144" t="s">
        <v>1341</v>
      </c>
      <c r="I2478" s="133" t="s">
        <v>1092</v>
      </c>
      <c r="J2478" s="133" t="s">
        <v>2395</v>
      </c>
      <c r="K2478" s="143">
        <v>45778</v>
      </c>
      <c r="L2478" s="133" t="s">
        <v>1092</v>
      </c>
      <c r="M2478" s="133">
        <v>1848</v>
      </c>
      <c r="N2478" s="142"/>
      <c r="P2478" s="140"/>
    </row>
    <row r="2479" spans="1:16" hidden="1" x14ac:dyDescent="0.35">
      <c r="A2479" s="146"/>
      <c r="B2479" s="143"/>
      <c r="C2479" s="133"/>
      <c r="D2479" s="133"/>
      <c r="E2479" s="145"/>
      <c r="F2479" s="145"/>
      <c r="G2479" s="133"/>
      <c r="H2479" s="144"/>
      <c r="I2479" s="133"/>
      <c r="J2479" s="133"/>
      <c r="K2479" s="133"/>
      <c r="L2479" s="133"/>
      <c r="M2479" s="133"/>
      <c r="N2479" s="142"/>
      <c r="P2479" s="140"/>
    </row>
    <row r="2480" spans="1:16" hidden="1" x14ac:dyDescent="0.35">
      <c r="A2480" s="146">
        <v>278</v>
      </c>
      <c r="B2480" s="143">
        <v>45689</v>
      </c>
      <c r="C2480" s="133" t="s">
        <v>1419</v>
      </c>
      <c r="D2480" s="133" t="s">
        <v>1418</v>
      </c>
      <c r="E2480" s="145" t="s">
        <v>1342</v>
      </c>
      <c r="F2480" s="145">
        <v>1780</v>
      </c>
      <c r="G2480" s="133" t="s">
        <v>1034</v>
      </c>
      <c r="H2480" s="144" t="s">
        <v>1341</v>
      </c>
      <c r="I2480" s="133" t="s">
        <v>1092</v>
      </c>
      <c r="J2480" s="133" t="s">
        <v>1401</v>
      </c>
      <c r="K2480" s="143">
        <v>45717</v>
      </c>
      <c r="L2480" s="133" t="s">
        <v>1092</v>
      </c>
      <c r="M2480" s="133">
        <f>199.1+8364.49</f>
        <v>8563.59</v>
      </c>
      <c r="N2480" s="147">
        <f>+F2480+F2481+F2482+F2483+F2484-M2480-M2481-M2482-M2483</f>
        <v>0</v>
      </c>
      <c r="O2480" s="141"/>
      <c r="P2480" s="140"/>
    </row>
    <row r="2481" spans="1:16" hidden="1" x14ac:dyDescent="0.35">
      <c r="A2481" s="146"/>
      <c r="B2481" s="143"/>
      <c r="C2481" s="133"/>
      <c r="D2481" s="133"/>
      <c r="E2481" s="145" t="s">
        <v>1075</v>
      </c>
      <c r="F2481" s="145">
        <v>800</v>
      </c>
      <c r="G2481" s="133" t="s">
        <v>1034</v>
      </c>
      <c r="H2481" s="144" t="s">
        <v>1341</v>
      </c>
      <c r="I2481" s="133" t="s">
        <v>1092</v>
      </c>
      <c r="J2481" s="133" t="s">
        <v>1391</v>
      </c>
      <c r="K2481" s="143">
        <v>45748</v>
      </c>
      <c r="L2481" s="133" t="s">
        <v>1092</v>
      </c>
      <c r="M2481" s="133">
        <f>800+902</f>
        <v>1702</v>
      </c>
      <c r="N2481" s="142"/>
      <c r="P2481" s="140"/>
    </row>
    <row r="2482" spans="1:16" hidden="1" x14ac:dyDescent="0.35">
      <c r="A2482" s="146"/>
      <c r="B2482" s="143"/>
      <c r="C2482" s="133"/>
      <c r="D2482" s="133"/>
      <c r="E2482" s="145" t="s">
        <v>1067</v>
      </c>
      <c r="F2482" s="145">
        <v>902</v>
      </c>
      <c r="G2482" s="133" t="s">
        <v>1034</v>
      </c>
      <c r="H2482" s="144" t="s">
        <v>1341</v>
      </c>
      <c r="I2482" s="133" t="s">
        <v>1092</v>
      </c>
      <c r="J2482" s="133" t="s">
        <v>2375</v>
      </c>
      <c r="K2482" s="143">
        <v>45748</v>
      </c>
      <c r="L2482" s="133" t="s">
        <v>1241</v>
      </c>
      <c r="M2482" s="133">
        <v>603</v>
      </c>
      <c r="N2482" s="142"/>
      <c r="P2482" s="140"/>
    </row>
    <row r="2483" spans="1:16" hidden="1" x14ac:dyDescent="0.35">
      <c r="A2483" s="146"/>
      <c r="B2483" s="143"/>
      <c r="C2483" s="133"/>
      <c r="D2483" s="133"/>
      <c r="E2483" s="145" t="s">
        <v>1078</v>
      </c>
      <c r="F2483" s="145">
        <v>8364.49</v>
      </c>
      <c r="G2483" s="133" t="s">
        <v>1034</v>
      </c>
      <c r="H2483" s="144" t="s">
        <v>1341</v>
      </c>
      <c r="I2483" s="133" t="s">
        <v>1092</v>
      </c>
      <c r="J2483" s="133" t="s">
        <v>2380</v>
      </c>
      <c r="K2483" s="143">
        <v>45748</v>
      </c>
      <c r="L2483" s="133" t="s">
        <v>1092</v>
      </c>
      <c r="M2483" s="133">
        <v>1177</v>
      </c>
      <c r="N2483" s="142"/>
      <c r="P2483" s="140"/>
    </row>
    <row r="2484" spans="1:16" hidden="1" x14ac:dyDescent="0.35">
      <c r="A2484" s="146"/>
      <c r="B2484" s="143"/>
      <c r="C2484" s="133"/>
      <c r="D2484" s="133"/>
      <c r="E2484" s="145" t="s">
        <v>1118</v>
      </c>
      <c r="F2484" s="145">
        <v>199.1</v>
      </c>
      <c r="G2484" s="133"/>
      <c r="H2484" s="144"/>
      <c r="I2484" s="133"/>
      <c r="J2484" s="133"/>
      <c r="K2484" s="133"/>
      <c r="L2484" s="133"/>
      <c r="M2484" s="133"/>
      <c r="N2484" s="142"/>
      <c r="P2484" s="140"/>
    </row>
    <row r="2485" spans="1:16" hidden="1" x14ac:dyDescent="0.35">
      <c r="A2485" s="146"/>
      <c r="B2485" s="143"/>
      <c r="C2485" s="133"/>
      <c r="D2485" s="133"/>
      <c r="E2485" s="145"/>
      <c r="F2485" s="145"/>
      <c r="G2485" s="133"/>
      <c r="H2485" s="144"/>
      <c r="I2485" s="133"/>
      <c r="J2485" s="133"/>
      <c r="K2485" s="133"/>
      <c r="L2485" s="133"/>
      <c r="M2485" s="133"/>
      <c r="N2485" s="142"/>
      <c r="P2485" s="140"/>
    </row>
    <row r="2486" spans="1:16" hidden="1" x14ac:dyDescent="0.35">
      <c r="A2486" s="156"/>
      <c r="B2486" s="152"/>
      <c r="C2486" s="151"/>
      <c r="D2486" s="151"/>
      <c r="E2486" s="154"/>
      <c r="F2486" s="154"/>
      <c r="G2486" s="151"/>
      <c r="H2486" s="153"/>
      <c r="I2486" s="151"/>
      <c r="J2486" s="151"/>
      <c r="K2486" s="151"/>
      <c r="L2486" s="151"/>
      <c r="M2486" s="151"/>
      <c r="N2486" s="150"/>
      <c r="P2486" s="140"/>
    </row>
    <row r="2487" spans="1:16" hidden="1" x14ac:dyDescent="0.35">
      <c r="A2487" s="146"/>
      <c r="B2487" s="143"/>
      <c r="C2487" s="133"/>
      <c r="D2487" s="133"/>
      <c r="E2487" s="145"/>
      <c r="F2487" s="145"/>
      <c r="G2487" s="133"/>
      <c r="H2487" s="144"/>
      <c r="I2487" s="133"/>
      <c r="J2487" s="133"/>
      <c r="K2487" s="133"/>
      <c r="L2487" s="133"/>
      <c r="M2487" s="133"/>
      <c r="N2487" s="142"/>
      <c r="P2487" s="140"/>
    </row>
    <row r="2488" spans="1:16" hidden="1" x14ac:dyDescent="0.35">
      <c r="A2488" s="146">
        <v>279</v>
      </c>
      <c r="B2488" s="143">
        <v>45717</v>
      </c>
      <c r="C2488" s="133" t="s">
        <v>1417</v>
      </c>
      <c r="D2488" s="133" t="s">
        <v>1416</v>
      </c>
      <c r="E2488" s="145" t="s">
        <v>1342</v>
      </c>
      <c r="F2488" s="145">
        <v>5067</v>
      </c>
      <c r="G2488" s="133" t="s">
        <v>1034</v>
      </c>
      <c r="H2488" s="144" t="s">
        <v>1341</v>
      </c>
      <c r="I2488" s="133" t="s">
        <v>1092</v>
      </c>
      <c r="J2488" s="133" t="s">
        <v>1391</v>
      </c>
      <c r="K2488" s="143">
        <v>45748</v>
      </c>
      <c r="L2488" s="133" t="s">
        <v>1092</v>
      </c>
      <c r="M2488" s="133">
        <v>1217</v>
      </c>
      <c r="N2488" s="147">
        <f>+F2488+F2489+F2490-M2488-M2489-M2490</f>
        <v>0</v>
      </c>
      <c r="O2488" s="141"/>
      <c r="P2488" s="140"/>
    </row>
    <row r="2489" spans="1:16" hidden="1" x14ac:dyDescent="0.35">
      <c r="A2489" s="146"/>
      <c r="B2489" s="143"/>
      <c r="C2489" s="133"/>
      <c r="D2489" s="133"/>
      <c r="E2489" s="145" t="s">
        <v>1075</v>
      </c>
      <c r="F2489" s="145">
        <v>1217</v>
      </c>
      <c r="G2489" s="133" t="s">
        <v>1034</v>
      </c>
      <c r="H2489" s="144" t="s">
        <v>1341</v>
      </c>
      <c r="I2489" s="133" t="s">
        <v>1092</v>
      </c>
      <c r="J2489" s="133" t="s">
        <v>2375</v>
      </c>
      <c r="K2489" s="143">
        <v>45748</v>
      </c>
      <c r="L2489" s="133" t="s">
        <v>1241</v>
      </c>
      <c r="M2489" s="133">
        <v>471</v>
      </c>
      <c r="N2489" s="147"/>
      <c r="P2489" s="140"/>
    </row>
    <row r="2490" spans="1:16" hidden="1" x14ac:dyDescent="0.35">
      <c r="A2490" s="146"/>
      <c r="B2490" s="143"/>
      <c r="C2490" s="133"/>
      <c r="D2490" s="133"/>
      <c r="E2490" s="145" t="s">
        <v>1071</v>
      </c>
      <c r="F2490" s="145">
        <v>3161.1</v>
      </c>
      <c r="G2490" s="133" t="s">
        <v>1034</v>
      </c>
      <c r="H2490" s="144" t="s">
        <v>1341</v>
      </c>
      <c r="I2490" s="133" t="s">
        <v>1092</v>
      </c>
      <c r="J2490" s="133" t="s">
        <v>2401</v>
      </c>
      <c r="K2490" s="143">
        <v>45778</v>
      </c>
      <c r="L2490" s="133" t="s">
        <v>1092</v>
      </c>
      <c r="M2490" s="133">
        <v>7757.1</v>
      </c>
      <c r="N2490" s="147"/>
      <c r="P2490" s="140"/>
    </row>
    <row r="2491" spans="1:16" hidden="1" x14ac:dyDescent="0.35">
      <c r="A2491" s="146"/>
      <c r="B2491" s="143"/>
      <c r="C2491" s="133"/>
      <c r="D2491" s="133"/>
      <c r="E2491" s="145"/>
      <c r="F2491" s="145"/>
      <c r="G2491" s="133"/>
      <c r="H2491" s="144"/>
      <c r="I2491" s="133"/>
      <c r="J2491" s="133"/>
      <c r="K2491" s="133"/>
      <c r="L2491" s="133"/>
      <c r="M2491" s="133"/>
      <c r="N2491" s="147"/>
      <c r="P2491" s="140"/>
    </row>
    <row r="2492" spans="1:16" hidden="1" x14ac:dyDescent="0.35">
      <c r="A2492" s="146">
        <v>280</v>
      </c>
      <c r="B2492" s="143">
        <v>45717</v>
      </c>
      <c r="C2492" s="133" t="s">
        <v>1415</v>
      </c>
      <c r="D2492" s="133" t="s">
        <v>1414</v>
      </c>
      <c r="E2492" s="145" t="s">
        <v>1342</v>
      </c>
      <c r="F2492" s="145">
        <v>4386</v>
      </c>
      <c r="G2492" s="133" t="s">
        <v>1034</v>
      </c>
      <c r="H2492" s="144" t="s">
        <v>1341</v>
      </c>
      <c r="I2492" s="133" t="s">
        <v>1092</v>
      </c>
      <c r="J2492" s="133" t="s">
        <v>1394</v>
      </c>
      <c r="K2492" s="143">
        <v>45717</v>
      </c>
      <c r="L2492" s="133" t="s">
        <v>1092</v>
      </c>
      <c r="M2492" s="133">
        <f>8432+2282.3</f>
        <v>10714.3</v>
      </c>
      <c r="N2492" s="147">
        <f>+F2492+F2493+F2494+F2495-M2492-M2493-M2494</f>
        <v>0</v>
      </c>
      <c r="O2492" s="141"/>
      <c r="P2492" s="140"/>
    </row>
    <row r="2493" spans="1:16" hidden="1" x14ac:dyDescent="0.35">
      <c r="A2493" s="146"/>
      <c r="B2493" s="143"/>
      <c r="C2493" s="133"/>
      <c r="D2493" s="133"/>
      <c r="E2493" s="145" t="s">
        <v>1075</v>
      </c>
      <c r="F2493" s="145">
        <v>9282</v>
      </c>
      <c r="G2493" s="133" t="s">
        <v>1034</v>
      </c>
      <c r="H2493" s="144" t="s">
        <v>1341</v>
      </c>
      <c r="I2493" s="133" t="s">
        <v>1092</v>
      </c>
      <c r="J2493" s="133" t="s">
        <v>2375</v>
      </c>
      <c r="K2493" s="143">
        <v>45748</v>
      </c>
      <c r="L2493" s="133" t="s">
        <v>1241</v>
      </c>
      <c r="M2493" s="133">
        <v>850</v>
      </c>
      <c r="N2493" s="147"/>
      <c r="P2493" s="140"/>
    </row>
    <row r="2494" spans="1:16" hidden="1" x14ac:dyDescent="0.35">
      <c r="A2494" s="146"/>
      <c r="B2494" s="143"/>
      <c r="C2494" s="133"/>
      <c r="D2494" s="133"/>
      <c r="E2494" s="145" t="s">
        <v>1071</v>
      </c>
      <c r="F2494" s="145">
        <v>1100.3</v>
      </c>
      <c r="G2494" s="133" t="s">
        <v>1034</v>
      </c>
      <c r="H2494" s="144" t="s">
        <v>1341</v>
      </c>
      <c r="I2494" s="133" t="s">
        <v>1092</v>
      </c>
      <c r="J2494" s="133" t="s">
        <v>2401</v>
      </c>
      <c r="K2494" s="143">
        <v>45778</v>
      </c>
      <c r="L2494" s="133" t="s">
        <v>1092</v>
      </c>
      <c r="M2494" s="133">
        <v>5486.3</v>
      </c>
      <c r="N2494" s="147"/>
      <c r="P2494" s="140"/>
    </row>
    <row r="2495" spans="1:16" hidden="1" x14ac:dyDescent="0.35">
      <c r="A2495" s="146"/>
      <c r="B2495" s="143"/>
      <c r="C2495" s="133"/>
      <c r="D2495" s="133"/>
      <c r="E2495" s="145" t="s">
        <v>1118</v>
      </c>
      <c r="F2495" s="145">
        <v>2282.3000000000002</v>
      </c>
      <c r="G2495" s="133"/>
      <c r="H2495" s="144"/>
      <c r="I2495" s="133"/>
      <c r="J2495" s="133"/>
      <c r="K2495" s="133"/>
      <c r="L2495" s="133"/>
      <c r="M2495" s="133"/>
      <c r="N2495" s="147"/>
      <c r="P2495" s="140"/>
    </row>
    <row r="2496" spans="1:16" hidden="1" x14ac:dyDescent="0.35">
      <c r="A2496" s="146"/>
      <c r="B2496" s="143"/>
      <c r="C2496" s="133"/>
      <c r="D2496" s="133"/>
      <c r="E2496" s="145"/>
      <c r="F2496" s="145"/>
      <c r="G2496" s="133"/>
      <c r="H2496" s="144"/>
      <c r="I2496" s="133"/>
      <c r="J2496" s="133"/>
      <c r="K2496" s="133"/>
      <c r="L2496" s="133"/>
      <c r="M2496" s="133"/>
      <c r="N2496" s="147"/>
      <c r="P2496" s="140"/>
    </row>
    <row r="2497" spans="1:16" hidden="1" x14ac:dyDescent="0.35">
      <c r="A2497" s="146">
        <v>281</v>
      </c>
      <c r="B2497" s="143">
        <v>45717</v>
      </c>
      <c r="C2497" s="133" t="s">
        <v>1413</v>
      </c>
      <c r="D2497" s="133" t="s">
        <v>1412</v>
      </c>
      <c r="E2497" s="145" t="s">
        <v>1075</v>
      </c>
      <c r="F2497" s="145">
        <v>2319</v>
      </c>
      <c r="G2497" s="133" t="s">
        <v>1034</v>
      </c>
      <c r="H2497" s="144" t="s">
        <v>1341</v>
      </c>
      <c r="I2497" s="133" t="s">
        <v>1092</v>
      </c>
      <c r="J2497" s="133" t="s">
        <v>1394</v>
      </c>
      <c r="K2497" s="143">
        <v>45717</v>
      </c>
      <c r="L2497" s="133" t="s">
        <v>1092</v>
      </c>
      <c r="M2497" s="133">
        <v>2204</v>
      </c>
      <c r="N2497" s="147">
        <f>+F2497-M2497-M2498</f>
        <v>0</v>
      </c>
      <c r="O2497" s="141"/>
      <c r="P2497" s="140"/>
    </row>
    <row r="2498" spans="1:16" hidden="1" x14ac:dyDescent="0.35">
      <c r="A2498" s="146"/>
      <c r="B2498" s="143"/>
      <c r="C2498" s="133"/>
      <c r="D2498" s="133"/>
      <c r="E2498" s="145"/>
      <c r="F2498" s="145"/>
      <c r="G2498" s="133"/>
      <c r="H2498" s="144"/>
      <c r="I2498" s="133"/>
      <c r="J2498" s="133" t="s">
        <v>2375</v>
      </c>
      <c r="K2498" s="143">
        <v>45748</v>
      </c>
      <c r="L2498" s="133" t="s">
        <v>1241</v>
      </c>
      <c r="M2498" s="133">
        <v>115</v>
      </c>
      <c r="N2498" s="147"/>
      <c r="P2498" s="140"/>
    </row>
    <row r="2499" spans="1:16" hidden="1" x14ac:dyDescent="0.35">
      <c r="A2499" s="146"/>
      <c r="B2499" s="143"/>
      <c r="C2499" s="133"/>
      <c r="D2499" s="133"/>
      <c r="E2499" s="145"/>
      <c r="F2499" s="145"/>
      <c r="G2499" s="133"/>
      <c r="H2499" s="144"/>
      <c r="I2499" s="133"/>
      <c r="J2499" s="133"/>
      <c r="K2499" s="143"/>
      <c r="L2499" s="133"/>
      <c r="M2499" s="133"/>
      <c r="N2499" s="147"/>
      <c r="P2499" s="140"/>
    </row>
    <row r="2500" spans="1:16" hidden="1" x14ac:dyDescent="0.35">
      <c r="A2500" s="146">
        <v>282</v>
      </c>
      <c r="B2500" s="143">
        <v>45717</v>
      </c>
      <c r="C2500" s="133" t="s">
        <v>1411</v>
      </c>
      <c r="D2500" s="133" t="s">
        <v>1410</v>
      </c>
      <c r="E2500" s="145" t="s">
        <v>1075</v>
      </c>
      <c r="F2500" s="145">
        <v>4876.53</v>
      </c>
      <c r="G2500" s="133" t="s">
        <v>1034</v>
      </c>
      <c r="H2500" s="144" t="s">
        <v>1341</v>
      </c>
      <c r="I2500" s="133" t="s">
        <v>1092</v>
      </c>
      <c r="J2500" s="133" t="s">
        <v>1391</v>
      </c>
      <c r="K2500" s="143">
        <v>45748</v>
      </c>
      <c r="L2500" s="133" t="s">
        <v>1092</v>
      </c>
      <c r="M2500" s="133">
        <f>1030.47+4346.43</f>
        <v>5376.9000000000005</v>
      </c>
      <c r="N2500" s="147">
        <f>+F2500+F2501+F2502-M2500-M2501-M2502</f>
        <v>0</v>
      </c>
      <c r="O2500" s="141"/>
      <c r="P2500" s="140"/>
    </row>
    <row r="2501" spans="1:16" hidden="1" x14ac:dyDescent="0.35">
      <c r="A2501" s="146"/>
      <c r="B2501" s="143"/>
      <c r="C2501" s="133"/>
      <c r="D2501" s="133"/>
      <c r="E2501" s="145" t="s">
        <v>1075</v>
      </c>
      <c r="F2501" s="145">
        <v>1030.47</v>
      </c>
      <c r="G2501" s="133" t="s">
        <v>1034</v>
      </c>
      <c r="H2501" s="144" t="s">
        <v>1341</v>
      </c>
      <c r="I2501" s="133" t="s">
        <v>1092</v>
      </c>
      <c r="J2501" s="133" t="s">
        <v>2375</v>
      </c>
      <c r="K2501" s="143">
        <v>45748</v>
      </c>
      <c r="L2501" s="133" t="s">
        <v>1241</v>
      </c>
      <c r="M2501" s="133">
        <v>530.1</v>
      </c>
      <c r="N2501" s="147"/>
      <c r="P2501" s="140"/>
    </row>
    <row r="2502" spans="1:16" hidden="1" x14ac:dyDescent="0.35">
      <c r="A2502" s="146"/>
      <c r="B2502" s="143"/>
      <c r="C2502" s="133"/>
      <c r="D2502" s="133"/>
      <c r="E2502" s="145" t="s">
        <v>1342</v>
      </c>
      <c r="F2502" s="145">
        <v>4695</v>
      </c>
      <c r="G2502" s="133" t="s">
        <v>1034</v>
      </c>
      <c r="H2502" s="144" t="s">
        <v>1341</v>
      </c>
      <c r="I2502" s="133" t="s">
        <v>1092</v>
      </c>
      <c r="J2502" s="133" t="s">
        <v>2401</v>
      </c>
      <c r="K2502" s="143">
        <v>45778</v>
      </c>
      <c r="L2502" s="133" t="s">
        <v>1092</v>
      </c>
      <c r="M2502" s="133">
        <v>4695</v>
      </c>
      <c r="N2502" s="147"/>
      <c r="P2502" s="140"/>
    </row>
    <row r="2503" spans="1:16" hidden="1" x14ac:dyDescent="0.35">
      <c r="A2503" s="146"/>
      <c r="B2503" s="143"/>
      <c r="C2503" s="133"/>
      <c r="D2503" s="133"/>
      <c r="E2503" s="145"/>
      <c r="F2503" s="145"/>
      <c r="G2503" s="133"/>
      <c r="H2503" s="144"/>
      <c r="I2503" s="133"/>
      <c r="J2503" s="133"/>
      <c r="K2503" s="133"/>
      <c r="L2503" s="133"/>
      <c r="M2503" s="133"/>
      <c r="N2503" s="147"/>
      <c r="P2503" s="140"/>
    </row>
    <row r="2504" spans="1:16" hidden="1" x14ac:dyDescent="0.35">
      <c r="A2504" s="146">
        <v>283</v>
      </c>
      <c r="B2504" s="143">
        <v>45717</v>
      </c>
      <c r="C2504" s="133" t="s">
        <v>1409</v>
      </c>
      <c r="D2504" s="133" t="s">
        <v>1408</v>
      </c>
      <c r="E2504" s="145" t="s">
        <v>1118</v>
      </c>
      <c r="F2504" s="145">
        <v>2169.8000000000002</v>
      </c>
      <c r="G2504" s="133" t="s">
        <v>1034</v>
      </c>
      <c r="H2504" s="144" t="s">
        <v>1341</v>
      </c>
      <c r="I2504" s="133" t="s">
        <v>1092</v>
      </c>
      <c r="J2504" s="133" t="s">
        <v>1394</v>
      </c>
      <c r="K2504" s="143">
        <v>45717</v>
      </c>
      <c r="L2504" s="133" t="s">
        <v>1092</v>
      </c>
      <c r="M2504" s="133">
        <v>2169.8000000000002</v>
      </c>
      <c r="N2504" s="147">
        <f>+F2504+F2505-M2504-M2505</f>
        <v>0</v>
      </c>
      <c r="O2504" s="141"/>
      <c r="P2504" s="140"/>
    </row>
    <row r="2505" spans="1:16" hidden="1" x14ac:dyDescent="0.35">
      <c r="A2505" s="146"/>
      <c r="B2505" s="143"/>
      <c r="C2505" s="133"/>
      <c r="D2505" s="133"/>
      <c r="E2505" s="145" t="s">
        <v>1342</v>
      </c>
      <c r="F2505" s="145">
        <v>1582</v>
      </c>
      <c r="G2505" s="133" t="s">
        <v>1034</v>
      </c>
      <c r="H2505" s="144" t="s">
        <v>1341</v>
      </c>
      <c r="I2505" s="133" t="s">
        <v>1092</v>
      </c>
      <c r="J2505" s="133" t="s">
        <v>2401</v>
      </c>
      <c r="K2505" s="143">
        <v>45778</v>
      </c>
      <c r="L2505" s="133" t="s">
        <v>1092</v>
      </c>
      <c r="M2505" s="133">
        <v>1582</v>
      </c>
      <c r="N2505" s="147"/>
      <c r="P2505" s="140"/>
    </row>
    <row r="2506" spans="1:16" hidden="1" x14ac:dyDescent="0.35">
      <c r="A2506" s="146"/>
      <c r="B2506" s="143"/>
      <c r="C2506" s="133"/>
      <c r="D2506" s="133"/>
      <c r="E2506" s="145"/>
      <c r="F2506" s="145"/>
      <c r="G2506" s="133"/>
      <c r="H2506" s="144"/>
      <c r="I2506" s="133"/>
      <c r="J2506" s="133"/>
      <c r="K2506" s="133"/>
      <c r="L2506" s="133"/>
      <c r="M2506" s="133"/>
      <c r="N2506" s="147"/>
      <c r="P2506" s="140"/>
    </row>
    <row r="2507" spans="1:16" hidden="1" x14ac:dyDescent="0.35">
      <c r="A2507" s="146">
        <v>284</v>
      </c>
      <c r="B2507" s="143">
        <v>45717</v>
      </c>
      <c r="C2507" s="133" t="s">
        <v>1407</v>
      </c>
      <c r="D2507" s="133" t="s">
        <v>1406</v>
      </c>
      <c r="E2507" s="145" t="s">
        <v>1075</v>
      </c>
      <c r="F2507" s="145">
        <v>261</v>
      </c>
      <c r="G2507" s="133" t="s">
        <v>1034</v>
      </c>
      <c r="H2507" s="144" t="s">
        <v>1341</v>
      </c>
      <c r="I2507" s="133" t="s">
        <v>1092</v>
      </c>
      <c r="J2507" s="133" t="s">
        <v>1401</v>
      </c>
      <c r="K2507" s="143">
        <v>45717</v>
      </c>
      <c r="L2507" s="133" t="s">
        <v>1092</v>
      </c>
      <c r="M2507" s="133">
        <v>5451.61</v>
      </c>
      <c r="N2507" s="147">
        <f>+F2507+F2508+F2509-M2507-M2508-M2509-M2510</f>
        <v>0</v>
      </c>
      <c r="O2507" s="141"/>
      <c r="P2507" s="140"/>
    </row>
    <row r="2508" spans="1:16" hidden="1" x14ac:dyDescent="0.35">
      <c r="A2508" s="146"/>
      <c r="B2508" s="143"/>
      <c r="C2508" s="133"/>
      <c r="D2508" s="133"/>
      <c r="E2508" s="145" t="s">
        <v>1342</v>
      </c>
      <c r="F2508" s="145">
        <v>1519</v>
      </c>
      <c r="G2508" s="133" t="s">
        <v>1034</v>
      </c>
      <c r="H2508" s="144" t="s">
        <v>1341</v>
      </c>
      <c r="I2508" s="133" t="s">
        <v>1092</v>
      </c>
      <c r="J2508" s="133" t="s">
        <v>1376</v>
      </c>
      <c r="K2508" s="143">
        <v>45748</v>
      </c>
      <c r="L2508" s="133" t="s">
        <v>1092</v>
      </c>
      <c r="M2508" s="133">
        <v>261</v>
      </c>
      <c r="N2508" s="147"/>
      <c r="P2508" s="140"/>
    </row>
    <row r="2509" spans="1:16" hidden="1" x14ac:dyDescent="0.35">
      <c r="A2509" s="146"/>
      <c r="B2509" s="143"/>
      <c r="C2509" s="133"/>
      <c r="D2509" s="133"/>
      <c r="E2509" s="145" t="s">
        <v>1064</v>
      </c>
      <c r="F2509" s="145">
        <v>5832.61</v>
      </c>
      <c r="G2509" s="133" t="s">
        <v>1034</v>
      </c>
      <c r="H2509" s="144" t="s">
        <v>1341</v>
      </c>
      <c r="I2509" s="133" t="s">
        <v>1092</v>
      </c>
      <c r="J2509" s="133" t="s">
        <v>2375</v>
      </c>
      <c r="K2509" s="143">
        <v>45748</v>
      </c>
      <c r="L2509" s="133" t="s">
        <v>1241</v>
      </c>
      <c r="M2509" s="133">
        <v>381</v>
      </c>
      <c r="N2509" s="147"/>
      <c r="P2509" s="140"/>
    </row>
    <row r="2510" spans="1:16" hidden="1" x14ac:dyDescent="0.35">
      <c r="A2510" s="146"/>
      <c r="B2510" s="143"/>
      <c r="C2510" s="133"/>
      <c r="D2510" s="133"/>
      <c r="E2510" s="145"/>
      <c r="F2510" s="145"/>
      <c r="G2510" s="133" t="s">
        <v>1034</v>
      </c>
      <c r="H2510" s="144" t="s">
        <v>1341</v>
      </c>
      <c r="I2510" s="133" t="s">
        <v>1092</v>
      </c>
      <c r="J2510" s="133" t="s">
        <v>2401</v>
      </c>
      <c r="K2510" s="143">
        <v>45778</v>
      </c>
      <c r="L2510" s="133" t="s">
        <v>1092</v>
      </c>
      <c r="M2510" s="133">
        <v>1519</v>
      </c>
      <c r="N2510" s="147"/>
      <c r="P2510" s="140"/>
    </row>
    <row r="2511" spans="1:16" hidden="1" x14ac:dyDescent="0.35">
      <c r="A2511" s="146"/>
      <c r="B2511" s="143"/>
      <c r="C2511" s="133"/>
      <c r="D2511" s="133"/>
      <c r="E2511" s="145"/>
      <c r="F2511" s="145"/>
      <c r="G2511" s="133"/>
      <c r="H2511" s="144"/>
      <c r="I2511" s="133"/>
      <c r="J2511" s="133"/>
      <c r="K2511" s="143"/>
      <c r="L2511" s="133"/>
      <c r="M2511" s="133"/>
      <c r="N2511" s="147"/>
      <c r="P2511" s="140"/>
    </row>
    <row r="2512" spans="1:16" hidden="1" x14ac:dyDescent="0.35">
      <c r="A2512" s="146">
        <v>285</v>
      </c>
      <c r="B2512" s="143">
        <v>45717</v>
      </c>
      <c r="C2512" s="133" t="s">
        <v>1405</v>
      </c>
      <c r="D2512" s="133" t="s">
        <v>1404</v>
      </c>
      <c r="E2512" s="145" t="s">
        <v>1075</v>
      </c>
      <c r="F2512" s="145">
        <v>1403</v>
      </c>
      <c r="G2512" s="133" t="s">
        <v>1034</v>
      </c>
      <c r="H2512" s="144" t="s">
        <v>1341</v>
      </c>
      <c r="I2512" s="133" t="s">
        <v>1092</v>
      </c>
      <c r="J2512" s="133" t="s">
        <v>1401</v>
      </c>
      <c r="K2512" s="143">
        <v>45717</v>
      </c>
      <c r="L2512" s="133" t="s">
        <v>1092</v>
      </c>
      <c r="M2512" s="133">
        <v>11876.96</v>
      </c>
      <c r="N2512" s="147">
        <f>+F2512+F2513+F2514+F2515-M2512-M2513-M2514-M2515</f>
        <v>0</v>
      </c>
      <c r="O2512" s="141"/>
      <c r="P2512" s="140"/>
    </row>
    <row r="2513" spans="1:16" hidden="1" x14ac:dyDescent="0.35">
      <c r="A2513" s="146"/>
      <c r="B2513" s="143"/>
      <c r="C2513" s="133"/>
      <c r="D2513" s="133"/>
      <c r="E2513" s="145" t="s">
        <v>1064</v>
      </c>
      <c r="F2513" s="145">
        <v>12696.96</v>
      </c>
      <c r="G2513" s="133" t="s">
        <v>1034</v>
      </c>
      <c r="H2513" s="144" t="s">
        <v>1341</v>
      </c>
      <c r="I2513" s="133" t="s">
        <v>1092</v>
      </c>
      <c r="J2513" s="133" t="s">
        <v>1391</v>
      </c>
      <c r="K2513" s="143">
        <v>45748</v>
      </c>
      <c r="L2513" s="133" t="s">
        <v>1092</v>
      </c>
      <c r="M2513" s="133">
        <v>87.3</v>
      </c>
      <c r="N2513" s="147"/>
      <c r="P2513" s="140"/>
    </row>
    <row r="2514" spans="1:16" hidden="1" x14ac:dyDescent="0.35">
      <c r="A2514" s="146"/>
      <c r="B2514" s="143"/>
      <c r="C2514" s="133"/>
      <c r="D2514" s="133"/>
      <c r="E2514" s="145" t="s">
        <v>1118</v>
      </c>
      <c r="F2514" s="145">
        <v>410.7</v>
      </c>
      <c r="G2514" s="133" t="s">
        <v>1034</v>
      </c>
      <c r="H2514" s="144" t="s">
        <v>1341</v>
      </c>
      <c r="I2514" s="133" t="s">
        <v>1092</v>
      </c>
      <c r="J2514" s="133" t="s">
        <v>1376</v>
      </c>
      <c r="K2514" s="143">
        <v>45748</v>
      </c>
      <c r="L2514" s="133" t="s">
        <v>1092</v>
      </c>
      <c r="M2514" s="133">
        <f>1403+2012.5+323.4</f>
        <v>3738.9</v>
      </c>
      <c r="N2514" s="147"/>
      <c r="P2514" s="140"/>
    </row>
    <row r="2515" spans="1:16" hidden="1" x14ac:dyDescent="0.35">
      <c r="A2515" s="146"/>
      <c r="B2515" s="143"/>
      <c r="C2515" s="133"/>
      <c r="D2515" s="133"/>
      <c r="E2515" s="145" t="s">
        <v>1067</v>
      </c>
      <c r="F2515" s="145">
        <v>2012.5</v>
      </c>
      <c r="G2515" s="133"/>
      <c r="H2515" s="144"/>
      <c r="I2515" s="133"/>
      <c r="J2515" s="133" t="s">
        <v>2375</v>
      </c>
      <c r="K2515" s="143">
        <v>45748</v>
      </c>
      <c r="L2515" s="133" t="s">
        <v>1241</v>
      </c>
      <c r="M2515" s="133">
        <v>820</v>
      </c>
      <c r="N2515" s="147"/>
      <c r="P2515" s="140"/>
    </row>
    <row r="2516" spans="1:16" hidden="1" x14ac:dyDescent="0.35">
      <c r="A2516" s="146"/>
      <c r="B2516" s="143"/>
      <c r="C2516" s="133"/>
      <c r="D2516" s="133"/>
      <c r="E2516" s="145"/>
      <c r="F2516" s="145"/>
      <c r="G2516" s="133"/>
      <c r="H2516" s="144"/>
      <c r="I2516" s="133"/>
      <c r="J2516" s="133"/>
      <c r="K2516" s="133"/>
      <c r="L2516" s="133"/>
      <c r="M2516" s="133"/>
      <c r="N2516" s="147"/>
      <c r="P2516" s="140"/>
    </row>
    <row r="2517" spans="1:16" hidden="1" x14ac:dyDescent="0.35">
      <c r="A2517" s="146">
        <v>286</v>
      </c>
      <c r="B2517" s="143">
        <v>45717</v>
      </c>
      <c r="C2517" s="133" t="s">
        <v>1403</v>
      </c>
      <c r="D2517" s="133" t="s">
        <v>1402</v>
      </c>
      <c r="E2517" s="145" t="s">
        <v>1075</v>
      </c>
      <c r="F2517" s="145">
        <v>11842.7</v>
      </c>
      <c r="G2517" s="133" t="s">
        <v>1034</v>
      </c>
      <c r="H2517" s="144" t="s">
        <v>1341</v>
      </c>
      <c r="I2517" s="133" t="s">
        <v>1092</v>
      </c>
      <c r="J2517" s="133" t="s">
        <v>1401</v>
      </c>
      <c r="K2517" s="143">
        <v>45717</v>
      </c>
      <c r="L2517" s="133" t="s">
        <v>1092</v>
      </c>
      <c r="M2517" s="133">
        <v>14488.4</v>
      </c>
      <c r="N2517" s="147">
        <f>+F2517+F2518+F2519+F2520+F2521+F2522-M2517-M2518-M2519-M2520-M2521</f>
        <v>-5.4569682106375694E-12</v>
      </c>
      <c r="O2517" s="141"/>
      <c r="P2517" s="140"/>
    </row>
    <row r="2518" spans="1:16" hidden="1" x14ac:dyDescent="0.35">
      <c r="A2518" s="146"/>
      <c r="B2518" s="143"/>
      <c r="C2518" s="133"/>
      <c r="D2518" s="133"/>
      <c r="E2518" s="145" t="s">
        <v>1064</v>
      </c>
      <c r="F2518" s="176">
        <v>14488.4</v>
      </c>
      <c r="G2518" s="133" t="s">
        <v>1034</v>
      </c>
      <c r="H2518" s="144" t="s">
        <v>1341</v>
      </c>
      <c r="I2518" s="133" t="s">
        <v>1092</v>
      </c>
      <c r="J2518" s="133" t="s">
        <v>1394</v>
      </c>
      <c r="K2518" s="143">
        <v>45717</v>
      </c>
      <c r="L2518" s="133" t="s">
        <v>1092</v>
      </c>
      <c r="M2518" s="133">
        <f>10532.7+2666.1+404.9</f>
        <v>13603.7</v>
      </c>
      <c r="N2518" s="147"/>
      <c r="P2518" s="140"/>
    </row>
    <row r="2519" spans="1:16" hidden="1" x14ac:dyDescent="0.35">
      <c r="A2519" s="146"/>
      <c r="B2519" s="143"/>
      <c r="C2519" s="133"/>
      <c r="D2519" s="133"/>
      <c r="E2519" s="145" t="s">
        <v>1118</v>
      </c>
      <c r="F2519" s="145">
        <v>2666.1</v>
      </c>
      <c r="G2519" s="133" t="s">
        <v>1034</v>
      </c>
      <c r="H2519" s="144" t="s">
        <v>1341</v>
      </c>
      <c r="I2519" s="133" t="s">
        <v>1092</v>
      </c>
      <c r="J2519" s="133" t="s">
        <v>1376</v>
      </c>
      <c r="K2519" s="143">
        <v>45748</v>
      </c>
      <c r="L2519" s="133" t="s">
        <v>1092</v>
      </c>
      <c r="M2519" s="133">
        <v>8659.1</v>
      </c>
      <c r="N2519" s="147"/>
      <c r="P2519" s="140"/>
    </row>
    <row r="2520" spans="1:16" hidden="1" x14ac:dyDescent="0.35">
      <c r="A2520" s="146"/>
      <c r="B2520" s="143"/>
      <c r="C2520" s="133"/>
      <c r="D2520" s="133"/>
      <c r="E2520" s="145" t="s">
        <v>1067</v>
      </c>
      <c r="F2520" s="145">
        <v>8659.1</v>
      </c>
      <c r="G2520" s="133" t="s">
        <v>1034</v>
      </c>
      <c r="H2520" s="144" t="s">
        <v>1341</v>
      </c>
      <c r="I2520" s="133" t="s">
        <v>1092</v>
      </c>
      <c r="J2520" s="133" t="s">
        <v>2375</v>
      </c>
      <c r="K2520" s="143">
        <v>45748</v>
      </c>
      <c r="L2520" s="133" t="s">
        <v>1241</v>
      </c>
      <c r="M2520" s="133">
        <v>1310</v>
      </c>
      <c r="N2520" s="147"/>
      <c r="P2520" s="140"/>
    </row>
    <row r="2521" spans="1:16" hidden="1" x14ac:dyDescent="0.35">
      <c r="A2521" s="146"/>
      <c r="B2521" s="143"/>
      <c r="C2521" s="133"/>
      <c r="D2521" s="133"/>
      <c r="E2521" s="145" t="s">
        <v>1342</v>
      </c>
      <c r="F2521" s="145">
        <v>2622</v>
      </c>
      <c r="G2521" s="133" t="s">
        <v>1034</v>
      </c>
      <c r="H2521" s="144" t="s">
        <v>1341</v>
      </c>
      <c r="I2521" s="133" t="s">
        <v>1092</v>
      </c>
      <c r="J2521" s="133" t="s">
        <v>2401</v>
      </c>
      <c r="K2521" s="143">
        <v>45778</v>
      </c>
      <c r="L2521" s="133" t="s">
        <v>1092</v>
      </c>
      <c r="M2521" s="133">
        <v>2622</v>
      </c>
      <c r="N2521" s="147"/>
      <c r="P2521" s="140"/>
    </row>
    <row r="2522" spans="1:16" hidden="1" x14ac:dyDescent="0.35">
      <c r="A2522" s="146"/>
      <c r="B2522" s="143"/>
      <c r="C2522" s="133"/>
      <c r="D2522" s="133"/>
      <c r="E2522" s="145" t="s">
        <v>1118</v>
      </c>
      <c r="F2522" s="145">
        <v>404.9</v>
      </c>
      <c r="G2522" s="133"/>
      <c r="H2522" s="144"/>
      <c r="I2522" s="133"/>
      <c r="J2522" s="133"/>
      <c r="K2522" s="133"/>
      <c r="L2522" s="133"/>
      <c r="M2522" s="133"/>
      <c r="N2522" s="147"/>
      <c r="P2522" s="140"/>
    </row>
    <row r="2523" spans="1:16" hidden="1" x14ac:dyDescent="0.35">
      <c r="A2523" s="146"/>
      <c r="B2523" s="143"/>
      <c r="C2523" s="133"/>
      <c r="D2523" s="133"/>
      <c r="E2523" s="145"/>
      <c r="F2523" s="145"/>
      <c r="G2523" s="133"/>
      <c r="H2523" s="144"/>
      <c r="I2523" s="133"/>
      <c r="J2523" s="133"/>
      <c r="K2523" s="133"/>
      <c r="L2523" s="133"/>
      <c r="M2523" s="133"/>
      <c r="N2523" s="147"/>
      <c r="P2523" s="140"/>
    </row>
    <row r="2524" spans="1:16" hidden="1" x14ac:dyDescent="0.35">
      <c r="A2524" s="146">
        <v>287</v>
      </c>
      <c r="B2524" s="143">
        <v>45717</v>
      </c>
      <c r="C2524" s="133" t="s">
        <v>1400</v>
      </c>
      <c r="D2524" s="133" t="s">
        <v>1399</v>
      </c>
      <c r="E2524" s="145" t="s">
        <v>1075</v>
      </c>
      <c r="F2524" s="145">
        <v>4102.3</v>
      </c>
      <c r="G2524" s="133" t="s">
        <v>1034</v>
      </c>
      <c r="H2524" s="144" t="s">
        <v>1341</v>
      </c>
      <c r="I2524" s="133" t="s">
        <v>1092</v>
      </c>
      <c r="J2524" s="133" t="s">
        <v>1394</v>
      </c>
      <c r="K2524" s="143">
        <v>45717</v>
      </c>
      <c r="L2524" s="133" t="s">
        <v>1092</v>
      </c>
      <c r="M2524" s="133">
        <f>11636.31+4102.3+1553.3</f>
        <v>17291.91</v>
      </c>
      <c r="N2524" s="147">
        <f>+F2524+F2525+F2526+F2527+F2528-M2524-M2525-M2526-M2527</f>
        <v>0</v>
      </c>
      <c r="O2524" s="141"/>
      <c r="P2524" s="140"/>
    </row>
    <row r="2525" spans="1:16" hidden="1" x14ac:dyDescent="0.35">
      <c r="A2525" s="146"/>
      <c r="B2525" s="143"/>
      <c r="C2525" s="133"/>
      <c r="D2525" s="133"/>
      <c r="E2525" s="145" t="s">
        <v>1064</v>
      </c>
      <c r="F2525" s="176">
        <v>13190.31</v>
      </c>
      <c r="G2525" s="133" t="s">
        <v>1034</v>
      </c>
      <c r="H2525" s="144" t="s">
        <v>1341</v>
      </c>
      <c r="I2525" s="133" t="s">
        <v>1092</v>
      </c>
      <c r="J2525" s="133" t="s">
        <v>1376</v>
      </c>
      <c r="K2525" s="143">
        <v>45748</v>
      </c>
      <c r="L2525" s="133" t="s">
        <v>1092</v>
      </c>
      <c r="M2525" s="133">
        <v>6497.27</v>
      </c>
      <c r="N2525" s="142"/>
      <c r="P2525" s="140"/>
    </row>
    <row r="2526" spans="1:16" hidden="1" x14ac:dyDescent="0.35">
      <c r="A2526" s="146"/>
      <c r="B2526" s="143"/>
      <c r="C2526" s="133"/>
      <c r="D2526" s="133"/>
      <c r="E2526" s="145" t="s">
        <v>1118</v>
      </c>
      <c r="F2526" s="145">
        <v>1553.3</v>
      </c>
      <c r="G2526" s="133" t="s">
        <v>1034</v>
      </c>
      <c r="H2526" s="144" t="s">
        <v>1341</v>
      </c>
      <c r="I2526" s="133" t="s">
        <v>1092</v>
      </c>
      <c r="J2526" s="133" t="s">
        <v>2375</v>
      </c>
      <c r="K2526" s="143">
        <v>45748</v>
      </c>
      <c r="L2526" s="133" t="s">
        <v>1241</v>
      </c>
      <c r="M2526" s="133">
        <v>1554</v>
      </c>
      <c r="N2526" s="142"/>
      <c r="P2526" s="140"/>
    </row>
    <row r="2527" spans="1:16" hidden="1" x14ac:dyDescent="0.35">
      <c r="A2527" s="146"/>
      <c r="B2527" s="143"/>
      <c r="C2527" s="133"/>
      <c r="D2527" s="133"/>
      <c r="E2527" s="145" t="s">
        <v>1067</v>
      </c>
      <c r="F2527" s="145">
        <v>6497.27</v>
      </c>
      <c r="G2527" s="133" t="s">
        <v>1034</v>
      </c>
      <c r="H2527" s="144" t="s">
        <v>1341</v>
      </c>
      <c r="I2527" s="133" t="s">
        <v>1092</v>
      </c>
      <c r="J2527" s="133" t="s">
        <v>2401</v>
      </c>
      <c r="K2527" s="143">
        <v>45778</v>
      </c>
      <c r="L2527" s="133" t="s">
        <v>1092</v>
      </c>
      <c r="M2527" s="133">
        <v>5752</v>
      </c>
      <c r="N2527" s="142"/>
      <c r="P2527" s="140"/>
    </row>
    <row r="2528" spans="1:16" hidden="1" x14ac:dyDescent="0.35">
      <c r="A2528" s="146"/>
      <c r="B2528" s="143"/>
      <c r="C2528" s="133"/>
      <c r="D2528" s="133"/>
      <c r="E2528" s="145" t="s">
        <v>1342</v>
      </c>
      <c r="F2528" s="145">
        <v>5752</v>
      </c>
      <c r="G2528" s="133"/>
      <c r="H2528" s="144"/>
      <c r="I2528" s="133"/>
      <c r="J2528" s="133"/>
      <c r="K2528" s="133"/>
      <c r="L2528" s="133"/>
      <c r="M2528" s="133"/>
      <c r="N2528" s="142"/>
      <c r="P2528" s="140"/>
    </row>
    <row r="2529" spans="1:16" hidden="1" x14ac:dyDescent="0.35">
      <c r="A2529" s="146"/>
      <c r="B2529" s="143"/>
      <c r="C2529" s="133"/>
      <c r="D2529" s="133"/>
      <c r="E2529" s="145"/>
      <c r="F2529" s="145"/>
      <c r="G2529" s="133"/>
      <c r="H2529" s="144"/>
      <c r="I2529" s="133"/>
      <c r="J2529" s="133"/>
      <c r="K2529" s="133"/>
      <c r="L2529" s="133"/>
      <c r="M2529" s="133"/>
      <c r="N2529" s="142"/>
      <c r="P2529" s="140"/>
    </row>
    <row r="2530" spans="1:16" hidden="1" x14ac:dyDescent="0.35">
      <c r="A2530" s="146">
        <v>288</v>
      </c>
      <c r="B2530" s="143">
        <v>45717</v>
      </c>
      <c r="C2530" s="133" t="s">
        <v>1398</v>
      </c>
      <c r="D2530" s="133" t="s">
        <v>1397</v>
      </c>
      <c r="E2530" s="145" t="s">
        <v>1078</v>
      </c>
      <c r="F2530" s="145">
        <v>6630.38</v>
      </c>
      <c r="G2530" s="133" t="s">
        <v>1034</v>
      </c>
      <c r="H2530" s="144" t="s">
        <v>1341</v>
      </c>
      <c r="I2530" s="133" t="s">
        <v>1092</v>
      </c>
      <c r="J2530" s="133" t="s">
        <v>1394</v>
      </c>
      <c r="K2530" s="143">
        <v>45717</v>
      </c>
      <c r="L2530" s="133" t="s">
        <v>1092</v>
      </c>
      <c r="M2530" s="133">
        <v>9611.34</v>
      </c>
      <c r="N2530" s="147">
        <f>+F2530+F2531+F2532-M2530-M2531-M2532</f>
        <v>9.0949470177292824E-13</v>
      </c>
      <c r="O2530" s="141"/>
      <c r="P2530" s="140"/>
    </row>
    <row r="2531" spans="1:16" hidden="1" x14ac:dyDescent="0.35">
      <c r="A2531" s="146"/>
      <c r="B2531" s="143"/>
      <c r="C2531" s="133"/>
      <c r="D2531" s="133"/>
      <c r="E2531" s="145" t="s">
        <v>1064</v>
      </c>
      <c r="F2531" s="176">
        <v>9611.34</v>
      </c>
      <c r="G2531" s="133" t="s">
        <v>1034</v>
      </c>
      <c r="H2531" s="144" t="s">
        <v>1341</v>
      </c>
      <c r="I2531" s="133" t="s">
        <v>1092</v>
      </c>
      <c r="J2531" s="133" t="s">
        <v>1376</v>
      </c>
      <c r="K2531" s="143">
        <v>45748</v>
      </c>
      <c r="L2531" s="133" t="s">
        <v>1092</v>
      </c>
      <c r="M2531" s="133">
        <f>597+6630.38</f>
        <v>7227.38</v>
      </c>
      <c r="N2531" s="142"/>
      <c r="P2531" s="140"/>
    </row>
    <row r="2532" spans="1:16" hidden="1" x14ac:dyDescent="0.35">
      <c r="A2532" s="146"/>
      <c r="B2532" s="143"/>
      <c r="C2532" s="133"/>
      <c r="D2532" s="133"/>
      <c r="E2532" s="145" t="s">
        <v>1067</v>
      </c>
      <c r="F2532" s="145">
        <v>966</v>
      </c>
      <c r="G2532" s="133" t="s">
        <v>1034</v>
      </c>
      <c r="H2532" s="144" t="s">
        <v>1341</v>
      </c>
      <c r="I2532" s="133" t="s">
        <v>1092</v>
      </c>
      <c r="J2532" s="133" t="s">
        <v>2375</v>
      </c>
      <c r="K2532" s="143">
        <v>45748</v>
      </c>
      <c r="L2532" s="133" t="s">
        <v>1241</v>
      </c>
      <c r="M2532" s="133">
        <v>369</v>
      </c>
      <c r="N2532" s="142"/>
      <c r="P2532" s="140"/>
    </row>
    <row r="2533" spans="1:16" hidden="1" x14ac:dyDescent="0.35">
      <c r="A2533" s="146"/>
      <c r="B2533" s="143"/>
      <c r="C2533" s="133"/>
      <c r="D2533" s="133"/>
      <c r="E2533" s="145"/>
      <c r="F2533" s="145"/>
      <c r="G2533" s="133"/>
      <c r="H2533" s="144"/>
      <c r="I2533" s="133"/>
      <c r="J2533" s="133"/>
      <c r="K2533" s="133"/>
      <c r="L2533" s="133"/>
      <c r="M2533" s="133"/>
      <c r="N2533" s="142"/>
      <c r="P2533" s="140"/>
    </row>
    <row r="2534" spans="1:16" hidden="1" x14ac:dyDescent="0.35">
      <c r="A2534" s="146">
        <v>289</v>
      </c>
      <c r="B2534" s="143">
        <v>45717</v>
      </c>
      <c r="C2534" s="133" t="s">
        <v>1396</v>
      </c>
      <c r="D2534" s="133" t="s">
        <v>1395</v>
      </c>
      <c r="E2534" s="145" t="s">
        <v>1075</v>
      </c>
      <c r="F2534" s="145">
        <v>9780.9</v>
      </c>
      <c r="G2534" s="133" t="s">
        <v>1034</v>
      </c>
      <c r="H2534" s="144" t="s">
        <v>1341</v>
      </c>
      <c r="I2534" s="133" t="s">
        <v>1092</v>
      </c>
      <c r="J2534" s="133" t="s">
        <v>1394</v>
      </c>
      <c r="K2534" s="143">
        <v>45717</v>
      </c>
      <c r="L2534" s="133" t="s">
        <v>1092</v>
      </c>
      <c r="M2534" s="133">
        <v>10032.41</v>
      </c>
      <c r="N2534" s="147">
        <f>+F2534+F2535+F2536+F2537-M2534-M2535-M2536-M2537</f>
        <v>0</v>
      </c>
      <c r="O2534" s="141"/>
      <c r="P2534" s="140"/>
    </row>
    <row r="2535" spans="1:16" hidden="1" x14ac:dyDescent="0.35">
      <c r="A2535" s="146"/>
      <c r="B2535" s="143"/>
      <c r="C2535" s="133"/>
      <c r="D2535" s="133"/>
      <c r="E2535" s="145" t="s">
        <v>1064</v>
      </c>
      <c r="F2535" s="176">
        <v>17172.78</v>
      </c>
      <c r="G2535" s="133" t="s">
        <v>1034</v>
      </c>
      <c r="H2535" s="144" t="s">
        <v>1341</v>
      </c>
      <c r="I2535" s="133" t="s">
        <v>1092</v>
      </c>
      <c r="J2535" s="133" t="s">
        <v>1391</v>
      </c>
      <c r="K2535" s="143">
        <v>45748</v>
      </c>
      <c r="L2535" s="133" t="s">
        <v>1092</v>
      </c>
      <c r="M2535" s="133">
        <f>7140.37+8189.9+1922.3</f>
        <v>17252.57</v>
      </c>
      <c r="N2535" s="142"/>
      <c r="P2535" s="140"/>
    </row>
    <row r="2536" spans="1:16" hidden="1" x14ac:dyDescent="0.35">
      <c r="A2536" s="146"/>
      <c r="B2536" s="143"/>
      <c r="C2536" s="133"/>
      <c r="D2536" s="133"/>
      <c r="E2536" s="145" t="s">
        <v>1118</v>
      </c>
      <c r="F2536" s="145">
        <v>1922.3</v>
      </c>
      <c r="G2536" s="133" t="s">
        <v>1034</v>
      </c>
      <c r="H2536" s="144" t="s">
        <v>1341</v>
      </c>
      <c r="I2536" s="133" t="s">
        <v>1092</v>
      </c>
      <c r="J2536" s="133" t="s">
        <v>2375</v>
      </c>
      <c r="K2536" s="143">
        <v>45748</v>
      </c>
      <c r="L2536" s="133" t="s">
        <v>1241</v>
      </c>
      <c r="M2536" s="133">
        <v>1591</v>
      </c>
      <c r="N2536" s="142"/>
      <c r="P2536" s="140"/>
    </row>
    <row r="2537" spans="1:16" hidden="1" x14ac:dyDescent="0.35">
      <c r="A2537" s="146"/>
      <c r="B2537" s="143"/>
      <c r="C2537" s="133"/>
      <c r="D2537" s="133"/>
      <c r="E2537" s="145" t="s">
        <v>1342</v>
      </c>
      <c r="F2537" s="145">
        <v>2732</v>
      </c>
      <c r="G2537" s="133" t="s">
        <v>1034</v>
      </c>
      <c r="H2537" s="144" t="s">
        <v>1341</v>
      </c>
      <c r="I2537" s="133" t="s">
        <v>1092</v>
      </c>
      <c r="J2537" s="133" t="s">
        <v>2407</v>
      </c>
      <c r="K2537" s="143">
        <v>45778</v>
      </c>
      <c r="L2537" s="133" t="s">
        <v>1092</v>
      </c>
      <c r="M2537" s="133">
        <v>2732</v>
      </c>
      <c r="N2537" s="142"/>
      <c r="P2537" s="140"/>
    </row>
    <row r="2538" spans="1:16" hidden="1" x14ac:dyDescent="0.35">
      <c r="A2538" s="146"/>
      <c r="B2538" s="143"/>
      <c r="C2538" s="133"/>
      <c r="D2538" s="133"/>
      <c r="E2538" s="145"/>
      <c r="F2538" s="145"/>
      <c r="G2538" s="133"/>
      <c r="H2538" s="144"/>
      <c r="I2538" s="133"/>
      <c r="J2538" s="133"/>
      <c r="K2538" s="133"/>
      <c r="L2538" s="133"/>
      <c r="M2538" s="133"/>
      <c r="N2538" s="142"/>
      <c r="P2538" s="140"/>
    </row>
    <row r="2539" spans="1:16" hidden="1" x14ac:dyDescent="0.35">
      <c r="A2539" s="146">
        <v>290</v>
      </c>
      <c r="B2539" s="143">
        <v>45717</v>
      </c>
      <c r="C2539" s="133" t="s">
        <v>1393</v>
      </c>
      <c r="D2539" s="133" t="s">
        <v>1117</v>
      </c>
      <c r="E2539" s="145" t="s">
        <v>1342</v>
      </c>
      <c r="F2539" s="145">
        <v>4601</v>
      </c>
      <c r="G2539" s="133" t="s">
        <v>1034</v>
      </c>
      <c r="H2539" s="144" t="s">
        <v>1341</v>
      </c>
      <c r="I2539" s="133" t="s">
        <v>1092</v>
      </c>
      <c r="J2539" s="133" t="s">
        <v>1391</v>
      </c>
      <c r="K2539" s="143">
        <v>45748</v>
      </c>
      <c r="L2539" s="133" t="s">
        <v>1092</v>
      </c>
      <c r="M2539" s="133">
        <v>7445.94</v>
      </c>
      <c r="N2539" s="147">
        <f>+F2539+F2540+F2541-M2539-M2540-M2541-M2542</f>
        <v>-7.3896444519050419E-13</v>
      </c>
      <c r="O2539" s="141"/>
      <c r="P2539" s="140"/>
    </row>
    <row r="2540" spans="1:16" hidden="1" x14ac:dyDescent="0.35">
      <c r="A2540" s="146"/>
      <c r="B2540" s="143"/>
      <c r="C2540" s="133"/>
      <c r="D2540" s="133"/>
      <c r="E2540" s="145" t="s">
        <v>1064</v>
      </c>
      <c r="F2540" s="176">
        <v>7445.94</v>
      </c>
      <c r="G2540" s="133" t="s">
        <v>1034</v>
      </c>
      <c r="H2540" s="144" t="s">
        <v>1341</v>
      </c>
      <c r="I2540" s="133" t="s">
        <v>1092</v>
      </c>
      <c r="J2540" s="133" t="s">
        <v>2374</v>
      </c>
      <c r="K2540" s="143">
        <v>45748</v>
      </c>
      <c r="L2540" s="133" t="s">
        <v>1092</v>
      </c>
      <c r="M2540" s="133">
        <v>139</v>
      </c>
      <c r="N2540" s="147"/>
      <c r="P2540" s="140"/>
    </row>
    <row r="2541" spans="1:16" hidden="1" x14ac:dyDescent="0.35">
      <c r="A2541" s="146"/>
      <c r="B2541" s="143"/>
      <c r="C2541" s="133"/>
      <c r="D2541" s="133"/>
      <c r="E2541" s="145" t="s">
        <v>1067</v>
      </c>
      <c r="F2541" s="145">
        <v>139</v>
      </c>
      <c r="G2541" s="133" t="s">
        <v>1034</v>
      </c>
      <c r="H2541" s="144" t="s">
        <v>1341</v>
      </c>
      <c r="I2541" s="133" t="s">
        <v>1092</v>
      </c>
      <c r="J2541" s="133" t="s">
        <v>2407</v>
      </c>
      <c r="K2541" s="143">
        <v>45778</v>
      </c>
      <c r="L2541" s="133" t="s">
        <v>1092</v>
      </c>
      <c r="M2541" s="133">
        <v>4370.95</v>
      </c>
      <c r="N2541" s="147"/>
      <c r="P2541" s="140"/>
    </row>
    <row r="2542" spans="1:16" hidden="1" x14ac:dyDescent="0.35">
      <c r="A2542" s="146"/>
      <c r="B2542" s="143"/>
      <c r="C2542" s="133"/>
      <c r="D2542" s="133"/>
      <c r="E2542" s="145"/>
      <c r="F2542" s="145"/>
      <c r="G2542" s="133" t="s">
        <v>1034</v>
      </c>
      <c r="H2542" s="144" t="s">
        <v>1341</v>
      </c>
      <c r="I2542" s="133" t="s">
        <v>1092</v>
      </c>
      <c r="J2542" s="133" t="s">
        <v>2420</v>
      </c>
      <c r="K2542" s="143">
        <v>45778</v>
      </c>
      <c r="L2542" s="133" t="s">
        <v>1241</v>
      </c>
      <c r="M2542" s="133">
        <v>230.05</v>
      </c>
      <c r="N2542" s="147"/>
      <c r="P2542" s="140"/>
    </row>
    <row r="2543" spans="1:16" hidden="1" x14ac:dyDescent="0.35">
      <c r="A2543" s="146"/>
      <c r="B2543" s="143"/>
      <c r="C2543" s="133"/>
      <c r="D2543" s="133"/>
      <c r="E2543" s="145"/>
      <c r="F2543" s="145"/>
      <c r="G2543" s="133"/>
      <c r="H2543" s="144"/>
      <c r="I2543" s="133"/>
      <c r="J2543" s="133"/>
      <c r="K2543" s="133"/>
      <c r="L2543" s="133"/>
      <c r="M2543" s="133"/>
      <c r="N2543" s="147"/>
      <c r="P2543" s="140"/>
    </row>
    <row r="2544" spans="1:16" hidden="1" x14ac:dyDescent="0.35">
      <c r="A2544" s="146">
        <v>291</v>
      </c>
      <c r="B2544" s="143">
        <v>45717</v>
      </c>
      <c r="C2544" s="133" t="s">
        <v>1392</v>
      </c>
      <c r="D2544" s="133" t="s">
        <v>1116</v>
      </c>
      <c r="E2544" s="145" t="s">
        <v>1075</v>
      </c>
      <c r="F2544" s="145">
        <v>14223.6</v>
      </c>
      <c r="G2544" s="133" t="s">
        <v>1034</v>
      </c>
      <c r="H2544" s="144" t="s">
        <v>1341</v>
      </c>
      <c r="I2544" s="133" t="s">
        <v>1092</v>
      </c>
      <c r="J2544" s="133" t="s">
        <v>1391</v>
      </c>
      <c r="K2544" s="143">
        <v>45748</v>
      </c>
      <c r="L2544" s="133" t="s">
        <v>1092</v>
      </c>
      <c r="M2544" s="133">
        <v>11601.11</v>
      </c>
      <c r="N2544" s="147">
        <f>+F2544+F2545+F2546-M2544-M2545-M2546-M2547</f>
        <v>0</v>
      </c>
      <c r="O2544" s="141"/>
      <c r="P2544" s="140"/>
    </row>
    <row r="2545" spans="1:16" hidden="1" x14ac:dyDescent="0.35">
      <c r="A2545" s="146"/>
      <c r="B2545" s="143"/>
      <c r="C2545" s="133"/>
      <c r="D2545" s="133"/>
      <c r="E2545" s="145" t="s">
        <v>1064</v>
      </c>
      <c r="F2545" s="176">
        <v>17227.84</v>
      </c>
      <c r="G2545" s="133" t="s">
        <v>1034</v>
      </c>
      <c r="H2545" s="144" t="s">
        <v>1341</v>
      </c>
      <c r="I2545" s="133" t="s">
        <v>1092</v>
      </c>
      <c r="J2545" s="133" t="s">
        <v>2374</v>
      </c>
      <c r="K2545" s="143">
        <v>45748</v>
      </c>
      <c r="L2545" s="133" t="s">
        <v>1092</v>
      </c>
      <c r="M2545" s="133">
        <f>5626.73+12353.6</f>
        <v>17980.330000000002</v>
      </c>
      <c r="N2545" s="147"/>
      <c r="P2545" s="140"/>
    </row>
    <row r="2546" spans="1:16" hidden="1" x14ac:dyDescent="0.35">
      <c r="A2546" s="146"/>
      <c r="B2546" s="143"/>
      <c r="C2546" s="133"/>
      <c r="D2546" s="133"/>
      <c r="E2546" s="145" t="s">
        <v>1067</v>
      </c>
      <c r="F2546" s="145">
        <v>6041</v>
      </c>
      <c r="G2546" s="133" t="s">
        <v>1034</v>
      </c>
      <c r="H2546" s="144" t="s">
        <v>1341</v>
      </c>
      <c r="I2546" s="133" t="s">
        <v>1092</v>
      </c>
      <c r="J2546" s="133" t="s">
        <v>2395</v>
      </c>
      <c r="K2546" s="143">
        <v>45778</v>
      </c>
      <c r="L2546" s="133" t="s">
        <v>1092</v>
      </c>
      <c r="M2546" s="133">
        <v>6041</v>
      </c>
      <c r="N2546" s="147"/>
      <c r="P2546" s="140"/>
    </row>
    <row r="2547" spans="1:16" hidden="1" x14ac:dyDescent="0.35">
      <c r="A2547" s="146"/>
      <c r="B2547" s="143"/>
      <c r="C2547" s="133"/>
      <c r="D2547" s="133"/>
      <c r="E2547" s="145"/>
      <c r="F2547" s="145"/>
      <c r="G2547" s="133" t="s">
        <v>1034</v>
      </c>
      <c r="H2547" s="144" t="s">
        <v>1341</v>
      </c>
      <c r="I2547" s="133" t="s">
        <v>1092</v>
      </c>
      <c r="J2547" s="133" t="s">
        <v>2420</v>
      </c>
      <c r="K2547" s="143">
        <v>45778</v>
      </c>
      <c r="L2547" s="133" t="s">
        <v>1241</v>
      </c>
      <c r="M2547" s="133">
        <v>1870</v>
      </c>
      <c r="N2547" s="147"/>
      <c r="P2547" s="140"/>
    </row>
    <row r="2548" spans="1:16" hidden="1" x14ac:dyDescent="0.35">
      <c r="A2548" s="146"/>
      <c r="B2548" s="143"/>
      <c r="C2548" s="133"/>
      <c r="D2548" s="133"/>
      <c r="E2548" s="145"/>
      <c r="F2548" s="145"/>
      <c r="G2548" s="133"/>
      <c r="H2548" s="144"/>
      <c r="I2548" s="133"/>
      <c r="J2548" s="133"/>
      <c r="K2548" s="143"/>
      <c r="L2548" s="133"/>
      <c r="M2548" s="133"/>
      <c r="N2548" s="147"/>
      <c r="P2548" s="140"/>
    </row>
    <row r="2549" spans="1:16" hidden="1" x14ac:dyDescent="0.35">
      <c r="A2549" s="146">
        <v>292</v>
      </c>
      <c r="B2549" s="143">
        <v>45717</v>
      </c>
      <c r="C2549" s="133" t="s">
        <v>1390</v>
      </c>
      <c r="D2549" s="133" t="s">
        <v>1113</v>
      </c>
      <c r="E2549" s="145" t="s">
        <v>1075</v>
      </c>
      <c r="F2549" s="145">
        <v>1507</v>
      </c>
      <c r="G2549" s="133" t="s">
        <v>1034</v>
      </c>
      <c r="H2549" s="144" t="s">
        <v>1341</v>
      </c>
      <c r="I2549" s="133" t="s">
        <v>1092</v>
      </c>
      <c r="J2549" s="133" t="s">
        <v>2374</v>
      </c>
      <c r="K2549" s="143">
        <v>45748</v>
      </c>
      <c r="L2549" s="133" t="s">
        <v>1092</v>
      </c>
      <c r="M2549" s="133">
        <f>3233.1+1507</f>
        <v>4740.1000000000004</v>
      </c>
      <c r="N2549" s="147">
        <f>+F2549+F2550+F2551+F2552-M2549-M2550-M2551</f>
        <v>0</v>
      </c>
      <c r="O2549" s="141"/>
      <c r="P2549" s="140"/>
    </row>
    <row r="2550" spans="1:16" hidden="1" x14ac:dyDescent="0.35">
      <c r="A2550" s="146"/>
      <c r="B2550" s="143"/>
      <c r="C2550" s="133"/>
      <c r="D2550" s="133"/>
      <c r="E2550" s="145" t="s">
        <v>1064</v>
      </c>
      <c r="F2550" s="176">
        <v>6256.42</v>
      </c>
      <c r="G2550" s="133" t="s">
        <v>1034</v>
      </c>
      <c r="H2550" s="144" t="s">
        <v>1341</v>
      </c>
      <c r="I2550" s="133" t="s">
        <v>1092</v>
      </c>
      <c r="J2550" s="133" t="s">
        <v>2407</v>
      </c>
      <c r="K2550" s="143">
        <v>45778</v>
      </c>
      <c r="L2550" s="133" t="s">
        <v>1092</v>
      </c>
      <c r="M2550" s="133">
        <v>1041</v>
      </c>
      <c r="N2550" s="147"/>
      <c r="P2550" s="140"/>
    </row>
    <row r="2551" spans="1:16" hidden="1" x14ac:dyDescent="0.35">
      <c r="A2551" s="146"/>
      <c r="B2551" s="143"/>
      <c r="C2551" s="133"/>
      <c r="D2551" s="133"/>
      <c r="E2551" s="145" t="s">
        <v>1342</v>
      </c>
      <c r="F2551" s="145">
        <v>1041</v>
      </c>
      <c r="G2551" s="133" t="s">
        <v>1034</v>
      </c>
      <c r="H2551" s="144" t="s">
        <v>1341</v>
      </c>
      <c r="I2551" s="133" t="s">
        <v>1092</v>
      </c>
      <c r="J2551" s="133" t="s">
        <v>2428</v>
      </c>
      <c r="K2551" s="143">
        <v>45809</v>
      </c>
      <c r="L2551" s="133" t="s">
        <v>1092</v>
      </c>
      <c r="M2551" s="133">
        <v>6256.42</v>
      </c>
      <c r="N2551" s="147"/>
      <c r="P2551" s="140"/>
    </row>
    <row r="2552" spans="1:16" hidden="1" x14ac:dyDescent="0.35">
      <c r="A2552" s="146"/>
      <c r="B2552" s="143"/>
      <c r="C2552" s="133"/>
      <c r="D2552" s="133"/>
      <c r="E2552" s="145" t="s">
        <v>1118</v>
      </c>
      <c r="F2552" s="145">
        <v>3233.1</v>
      </c>
      <c r="G2552" s="133"/>
      <c r="H2552" s="144"/>
      <c r="I2552" s="133"/>
      <c r="J2552" s="133"/>
      <c r="K2552" s="133"/>
      <c r="L2552" s="133"/>
      <c r="M2552" s="133"/>
      <c r="N2552" s="147"/>
      <c r="P2552" s="140"/>
    </row>
    <row r="2553" spans="1:16" hidden="1" x14ac:dyDescent="0.35">
      <c r="A2553" s="146"/>
      <c r="B2553" s="143"/>
      <c r="C2553" s="133"/>
      <c r="D2553" s="133"/>
      <c r="E2553" s="145"/>
      <c r="F2553" s="145"/>
      <c r="G2553" s="133"/>
      <c r="H2553" s="144"/>
      <c r="I2553" s="133"/>
      <c r="J2553" s="133"/>
      <c r="K2553" s="133"/>
      <c r="L2553" s="133"/>
      <c r="M2553" s="133"/>
      <c r="N2553" s="147"/>
      <c r="P2553" s="140"/>
    </row>
    <row r="2554" spans="1:16" hidden="1" x14ac:dyDescent="0.35">
      <c r="A2554" s="146">
        <v>293</v>
      </c>
      <c r="B2554" s="143">
        <v>45717</v>
      </c>
      <c r="C2554" s="133" t="s">
        <v>1389</v>
      </c>
      <c r="D2554" s="133" t="s">
        <v>1388</v>
      </c>
      <c r="E2554" s="145" t="s">
        <v>1075</v>
      </c>
      <c r="F2554" s="145">
        <v>8293.6</v>
      </c>
      <c r="G2554" s="133" t="s">
        <v>1034</v>
      </c>
      <c r="H2554" s="144" t="s">
        <v>1341</v>
      </c>
      <c r="I2554" s="133" t="s">
        <v>1092</v>
      </c>
      <c r="J2554" s="133" t="s">
        <v>1376</v>
      </c>
      <c r="K2554" s="143">
        <v>45748</v>
      </c>
      <c r="L2554" s="133" t="s">
        <v>1092</v>
      </c>
      <c r="M2554" s="133">
        <v>7746.6</v>
      </c>
      <c r="N2554" s="147">
        <f>+F2554+F2555+F2556-M2554-M2555-M2556-M2557</f>
        <v>0</v>
      </c>
      <c r="O2554" s="141"/>
      <c r="P2554" s="140"/>
    </row>
    <row r="2555" spans="1:16" hidden="1" x14ac:dyDescent="0.35">
      <c r="A2555" s="146"/>
      <c r="B2555" s="143"/>
      <c r="C2555" s="133"/>
      <c r="D2555" s="133"/>
      <c r="E2555" s="145" t="s">
        <v>1067</v>
      </c>
      <c r="F2555" s="176">
        <v>522.5</v>
      </c>
      <c r="G2555" s="133" t="s">
        <v>1034</v>
      </c>
      <c r="H2555" s="144" t="s">
        <v>1341</v>
      </c>
      <c r="I2555" s="133" t="s">
        <v>1092</v>
      </c>
      <c r="J2555" s="133" t="s">
        <v>2395</v>
      </c>
      <c r="K2555" s="143">
        <v>45778</v>
      </c>
      <c r="L2555" s="133" t="s">
        <v>1092</v>
      </c>
      <c r="M2555" s="133">
        <v>522.5</v>
      </c>
      <c r="N2555" s="147"/>
      <c r="P2555" s="140"/>
    </row>
    <row r="2556" spans="1:16" hidden="1" x14ac:dyDescent="0.35">
      <c r="A2556" s="146"/>
      <c r="B2556" s="143"/>
      <c r="C2556" s="133"/>
      <c r="D2556" s="133"/>
      <c r="E2556" s="145" t="s">
        <v>1342</v>
      </c>
      <c r="F2556" s="145">
        <v>2109</v>
      </c>
      <c r="G2556" s="133" t="s">
        <v>1034</v>
      </c>
      <c r="H2556" s="144" t="s">
        <v>1341</v>
      </c>
      <c r="I2556" s="133" t="s">
        <v>1092</v>
      </c>
      <c r="J2556" s="133" t="s">
        <v>2407</v>
      </c>
      <c r="K2556" s="143">
        <v>45778</v>
      </c>
      <c r="L2556" s="133" t="s">
        <v>1092</v>
      </c>
      <c r="M2556" s="133">
        <v>2109</v>
      </c>
      <c r="N2556" s="147"/>
      <c r="P2556" s="140"/>
    </row>
    <row r="2557" spans="1:16" hidden="1" x14ac:dyDescent="0.35">
      <c r="A2557" s="146"/>
      <c r="B2557" s="143"/>
      <c r="C2557" s="133"/>
      <c r="D2557" s="133"/>
      <c r="E2557" s="145"/>
      <c r="F2557" s="145"/>
      <c r="G2557" s="133" t="s">
        <v>1034</v>
      </c>
      <c r="H2557" s="144" t="s">
        <v>1341</v>
      </c>
      <c r="I2557" s="133" t="s">
        <v>1092</v>
      </c>
      <c r="J2557" s="133" t="s">
        <v>2420</v>
      </c>
      <c r="K2557" s="143">
        <v>45778</v>
      </c>
      <c r="L2557" s="133" t="s">
        <v>1241</v>
      </c>
      <c r="M2557" s="133">
        <v>547</v>
      </c>
      <c r="N2557" s="147"/>
      <c r="P2557" s="140"/>
    </row>
    <row r="2558" spans="1:16" hidden="1" x14ac:dyDescent="0.35">
      <c r="A2558" s="146"/>
      <c r="B2558" s="143"/>
      <c r="C2558" s="133"/>
      <c r="D2558" s="133"/>
      <c r="E2558" s="145"/>
      <c r="F2558" s="145"/>
      <c r="G2558" s="133"/>
      <c r="H2558" s="144"/>
      <c r="I2558" s="133"/>
      <c r="J2558" s="133"/>
      <c r="K2558" s="143"/>
      <c r="L2558" s="133"/>
      <c r="M2558" s="133"/>
      <c r="N2558" s="147"/>
      <c r="P2558" s="140"/>
    </row>
    <row r="2559" spans="1:16" hidden="1" x14ac:dyDescent="0.35">
      <c r="A2559" s="146">
        <v>294</v>
      </c>
      <c r="B2559" s="143">
        <v>45717</v>
      </c>
      <c r="C2559" s="133" t="s">
        <v>1387</v>
      </c>
      <c r="D2559" s="133" t="s">
        <v>1111</v>
      </c>
      <c r="E2559" s="145" t="s">
        <v>1075</v>
      </c>
      <c r="F2559" s="145">
        <v>280</v>
      </c>
      <c r="G2559" s="133" t="s">
        <v>1034</v>
      </c>
      <c r="H2559" s="144" t="s">
        <v>1341</v>
      </c>
      <c r="I2559" s="133" t="s">
        <v>1092</v>
      </c>
      <c r="J2559" s="133" t="s">
        <v>2395</v>
      </c>
      <c r="K2559" s="143">
        <v>45778</v>
      </c>
      <c r="L2559" s="133" t="s">
        <v>1092</v>
      </c>
      <c r="M2559" s="133">
        <v>280</v>
      </c>
      <c r="N2559" s="147">
        <f>+F2559+F2560+F2561-M2559-M2560-M2561-M2562</f>
        <v>0</v>
      </c>
      <c r="O2559" s="141"/>
      <c r="P2559" s="140"/>
    </row>
    <row r="2560" spans="1:16" hidden="1" x14ac:dyDescent="0.35">
      <c r="A2560" s="146"/>
      <c r="B2560" s="143"/>
      <c r="C2560" s="133"/>
      <c r="D2560" s="133"/>
      <c r="E2560" s="145" t="s">
        <v>1064</v>
      </c>
      <c r="F2560" s="176">
        <v>5419.17</v>
      </c>
      <c r="G2560" s="133" t="s">
        <v>1034</v>
      </c>
      <c r="H2560" s="144" t="s">
        <v>1341</v>
      </c>
      <c r="I2560" s="133" t="s">
        <v>1092</v>
      </c>
      <c r="J2560" s="133" t="s">
        <v>2419</v>
      </c>
      <c r="K2560" s="143">
        <v>45778</v>
      </c>
      <c r="L2560" s="133" t="s">
        <v>1092</v>
      </c>
      <c r="M2560" s="133">
        <v>1497</v>
      </c>
      <c r="N2560" s="147"/>
      <c r="P2560" s="140"/>
    </row>
    <row r="2561" spans="1:16" hidden="1" x14ac:dyDescent="0.35">
      <c r="A2561" s="146"/>
      <c r="B2561" s="143"/>
      <c r="C2561" s="133"/>
      <c r="D2561" s="133"/>
      <c r="E2561" s="145" t="s">
        <v>1342</v>
      </c>
      <c r="F2561" s="145">
        <v>1857</v>
      </c>
      <c r="G2561" s="133" t="s">
        <v>1034</v>
      </c>
      <c r="H2561" s="144" t="s">
        <v>1341</v>
      </c>
      <c r="I2561" s="133" t="s">
        <v>1092</v>
      </c>
      <c r="J2561" s="133" t="s">
        <v>2420</v>
      </c>
      <c r="K2561" s="143">
        <v>45778</v>
      </c>
      <c r="L2561" s="133" t="s">
        <v>1241</v>
      </c>
      <c r="M2561" s="133">
        <v>360</v>
      </c>
      <c r="N2561" s="147"/>
      <c r="P2561" s="140"/>
    </row>
    <row r="2562" spans="1:16" hidden="1" x14ac:dyDescent="0.35">
      <c r="A2562" s="146"/>
      <c r="B2562" s="143"/>
      <c r="C2562" s="133"/>
      <c r="D2562" s="133"/>
      <c r="E2562" s="145"/>
      <c r="F2562" s="145"/>
      <c r="G2562" s="133" t="s">
        <v>1034</v>
      </c>
      <c r="H2562" s="144" t="s">
        <v>1341</v>
      </c>
      <c r="I2562" s="133" t="s">
        <v>1092</v>
      </c>
      <c r="J2562" s="133" t="s">
        <v>2428</v>
      </c>
      <c r="K2562" s="143">
        <v>45809</v>
      </c>
      <c r="L2562" s="133" t="s">
        <v>1092</v>
      </c>
      <c r="M2562" s="133">
        <v>5419.17</v>
      </c>
      <c r="N2562" s="147"/>
      <c r="P2562" s="140"/>
    </row>
    <row r="2563" spans="1:16" hidden="1" x14ac:dyDescent="0.35">
      <c r="A2563" s="146"/>
      <c r="B2563" s="143"/>
      <c r="C2563" s="133"/>
      <c r="D2563" s="133"/>
      <c r="E2563" s="145"/>
      <c r="F2563" s="145"/>
      <c r="G2563" s="133"/>
      <c r="H2563" s="144"/>
      <c r="I2563" s="133"/>
      <c r="J2563" s="133"/>
      <c r="K2563" s="133"/>
      <c r="L2563" s="133"/>
      <c r="M2563" s="133"/>
      <c r="N2563" s="147"/>
      <c r="P2563" s="140"/>
    </row>
    <row r="2564" spans="1:16" hidden="1" x14ac:dyDescent="0.35">
      <c r="A2564" s="146">
        <v>295</v>
      </c>
      <c r="B2564" s="143">
        <v>45717</v>
      </c>
      <c r="C2564" s="133" t="s">
        <v>1386</v>
      </c>
      <c r="D2564" s="133" t="s">
        <v>1110</v>
      </c>
      <c r="E2564" s="145" t="s">
        <v>1075</v>
      </c>
      <c r="F2564" s="145">
        <v>1946.7</v>
      </c>
      <c r="G2564" s="133" t="s">
        <v>1034</v>
      </c>
      <c r="H2564" s="144" t="s">
        <v>1341</v>
      </c>
      <c r="I2564" s="133" t="s">
        <v>1092</v>
      </c>
      <c r="J2564" s="133" t="s">
        <v>2395</v>
      </c>
      <c r="K2564" s="143">
        <v>45778</v>
      </c>
      <c r="L2564" s="133" t="s">
        <v>1092</v>
      </c>
      <c r="M2564" s="133">
        <v>1776.7</v>
      </c>
      <c r="N2564" s="147">
        <f>+F2564+F2565-M2564-M2565-M2566</f>
        <v>0</v>
      </c>
      <c r="O2564" s="141"/>
      <c r="P2564" s="140"/>
    </row>
    <row r="2565" spans="1:16" hidden="1" x14ac:dyDescent="0.35">
      <c r="A2565" s="146"/>
      <c r="B2565" s="143"/>
      <c r="C2565" s="133"/>
      <c r="D2565" s="133"/>
      <c r="E2565" s="145" t="s">
        <v>1064</v>
      </c>
      <c r="F2565" s="176">
        <v>1610.6</v>
      </c>
      <c r="G2565" s="133" t="s">
        <v>1034</v>
      </c>
      <c r="H2565" s="144" t="s">
        <v>1341</v>
      </c>
      <c r="I2565" s="133" t="s">
        <v>1092</v>
      </c>
      <c r="J2565" s="133" t="s">
        <v>2420</v>
      </c>
      <c r="K2565" s="143">
        <v>45778</v>
      </c>
      <c r="L2565" s="133" t="s">
        <v>1241</v>
      </c>
      <c r="M2565" s="133">
        <v>170</v>
      </c>
      <c r="N2565" s="147"/>
      <c r="P2565" s="140"/>
    </row>
    <row r="2566" spans="1:16" hidden="1" x14ac:dyDescent="0.35">
      <c r="A2566" s="146"/>
      <c r="B2566" s="143"/>
      <c r="C2566" s="133"/>
      <c r="D2566" s="133"/>
      <c r="E2566" s="145"/>
      <c r="F2566" s="176"/>
      <c r="G2566" s="133" t="s">
        <v>1034</v>
      </c>
      <c r="H2566" s="144" t="s">
        <v>1341</v>
      </c>
      <c r="I2566" s="133" t="s">
        <v>1092</v>
      </c>
      <c r="J2566" s="133" t="s">
        <v>2428</v>
      </c>
      <c r="K2566" s="143">
        <v>45809</v>
      </c>
      <c r="L2566" s="133" t="s">
        <v>1092</v>
      </c>
      <c r="M2566" s="133">
        <v>1610.6</v>
      </c>
      <c r="N2566" s="147"/>
      <c r="P2566" s="140"/>
    </row>
    <row r="2567" spans="1:16" hidden="1" x14ac:dyDescent="0.35">
      <c r="A2567" s="146"/>
      <c r="B2567" s="143"/>
      <c r="C2567" s="133"/>
      <c r="D2567" s="133"/>
      <c r="E2567" s="145"/>
      <c r="F2567" s="145"/>
      <c r="G2567" s="133"/>
      <c r="H2567" s="144"/>
      <c r="I2567" s="133"/>
      <c r="J2567" s="133"/>
      <c r="K2567" s="133"/>
      <c r="L2567" s="133"/>
      <c r="M2567" s="133"/>
      <c r="N2567" s="147"/>
      <c r="P2567" s="140"/>
    </row>
    <row r="2568" spans="1:16" hidden="1" x14ac:dyDescent="0.35">
      <c r="A2568" s="146">
        <v>296</v>
      </c>
      <c r="B2568" s="143">
        <v>45717</v>
      </c>
      <c r="C2568" s="133" t="s">
        <v>1385</v>
      </c>
      <c r="D2568" s="133" t="s">
        <v>1107</v>
      </c>
      <c r="E2568" s="145" t="s">
        <v>1075</v>
      </c>
      <c r="F2568" s="145">
        <v>1046</v>
      </c>
      <c r="G2568" s="133" t="s">
        <v>1034</v>
      </c>
      <c r="H2568" s="144" t="s">
        <v>1341</v>
      </c>
      <c r="I2568" s="133" t="s">
        <v>1092</v>
      </c>
      <c r="J2568" s="133" t="s">
        <v>2374</v>
      </c>
      <c r="K2568" s="143">
        <v>45748</v>
      </c>
      <c r="L2568" s="133" t="s">
        <v>1092</v>
      </c>
      <c r="M2568" s="133">
        <f>2009.9+442.5+237.97</f>
        <v>2690.37</v>
      </c>
      <c r="N2568" s="147">
        <f>+F2568+F2569+F2570+F2571-M2568-M2569-M2570-M2571</f>
        <v>0</v>
      </c>
      <c r="O2568" s="141"/>
      <c r="P2568" s="140"/>
    </row>
    <row r="2569" spans="1:16" hidden="1" x14ac:dyDescent="0.35">
      <c r="A2569" s="146"/>
      <c r="B2569" s="143"/>
      <c r="C2569" s="133"/>
      <c r="D2569" s="133"/>
      <c r="E2569" s="145" t="s">
        <v>1064</v>
      </c>
      <c r="F2569" s="176">
        <v>442.5</v>
      </c>
      <c r="G2569" s="133" t="s">
        <v>1034</v>
      </c>
      <c r="H2569" s="144" t="s">
        <v>1341</v>
      </c>
      <c r="I2569" s="133" t="s">
        <v>1092</v>
      </c>
      <c r="J2569" s="133" t="s">
        <v>2419</v>
      </c>
      <c r="K2569" s="143">
        <v>45778</v>
      </c>
      <c r="L2569" s="133" t="s">
        <v>1092</v>
      </c>
      <c r="M2569" s="133">
        <v>628.03</v>
      </c>
      <c r="N2569" s="147"/>
      <c r="P2569" s="140"/>
    </row>
    <row r="2570" spans="1:16" hidden="1" x14ac:dyDescent="0.35">
      <c r="A2570" s="146"/>
      <c r="B2570" s="143"/>
      <c r="C2570" s="133"/>
      <c r="D2570" s="133"/>
      <c r="E2570" s="145" t="s">
        <v>1071</v>
      </c>
      <c r="F2570" s="145">
        <v>128.80000000000001</v>
      </c>
      <c r="G2570" s="133" t="s">
        <v>1034</v>
      </c>
      <c r="H2570" s="144" t="s">
        <v>1341</v>
      </c>
      <c r="I2570" s="133" t="s">
        <v>1092</v>
      </c>
      <c r="J2570" s="133" t="s">
        <v>2420</v>
      </c>
      <c r="K2570" s="143">
        <v>45778</v>
      </c>
      <c r="L2570" s="133" t="s">
        <v>1241</v>
      </c>
      <c r="M2570" s="133">
        <v>180</v>
      </c>
      <c r="N2570" s="147"/>
      <c r="P2570" s="140"/>
    </row>
    <row r="2571" spans="1:16" hidden="1" x14ac:dyDescent="0.35">
      <c r="A2571" s="146"/>
      <c r="B2571" s="143"/>
      <c r="C2571" s="133"/>
      <c r="D2571" s="133"/>
      <c r="E2571" s="145" t="s">
        <v>1118</v>
      </c>
      <c r="F2571" s="145">
        <v>2009.9</v>
      </c>
      <c r="G2571" s="133" t="s">
        <v>1034</v>
      </c>
      <c r="H2571" s="144" t="s">
        <v>1341</v>
      </c>
      <c r="I2571" s="133" t="s">
        <v>1092</v>
      </c>
      <c r="J2571" s="133" t="s">
        <v>2428</v>
      </c>
      <c r="K2571" s="143">
        <v>45809</v>
      </c>
      <c r="L2571" s="133" t="s">
        <v>1092</v>
      </c>
      <c r="M2571" s="133">
        <v>128.80000000000001</v>
      </c>
      <c r="N2571" s="147"/>
      <c r="P2571" s="140"/>
    </row>
    <row r="2572" spans="1:16" hidden="1" x14ac:dyDescent="0.35">
      <c r="A2572" s="146"/>
      <c r="B2572" s="143"/>
      <c r="C2572" s="133"/>
      <c r="D2572" s="133"/>
      <c r="E2572" s="145"/>
      <c r="F2572" s="145"/>
      <c r="G2572" s="133"/>
      <c r="H2572" s="144"/>
      <c r="I2572" s="133"/>
      <c r="J2572" s="133"/>
      <c r="K2572" s="133"/>
      <c r="L2572" s="133"/>
      <c r="M2572" s="133"/>
      <c r="N2572" s="147"/>
      <c r="P2572" s="140"/>
    </row>
    <row r="2573" spans="1:16" hidden="1" x14ac:dyDescent="0.35">
      <c r="A2573" s="146">
        <v>297</v>
      </c>
      <c r="B2573" s="143">
        <v>45717</v>
      </c>
      <c r="C2573" s="133" t="s">
        <v>1384</v>
      </c>
      <c r="D2573" s="133" t="s">
        <v>1106</v>
      </c>
      <c r="E2573" s="145" t="s">
        <v>1075</v>
      </c>
      <c r="F2573" s="145">
        <v>2543.1999999999998</v>
      </c>
      <c r="G2573" s="133" t="s">
        <v>1034</v>
      </c>
      <c r="H2573" s="144" t="s">
        <v>1341</v>
      </c>
      <c r="I2573" s="133" t="s">
        <v>1092</v>
      </c>
      <c r="J2573" s="133" t="s">
        <v>2395</v>
      </c>
      <c r="K2573" s="143">
        <v>45778</v>
      </c>
      <c r="L2573" s="133" t="s">
        <v>1092</v>
      </c>
      <c r="M2573" s="133">
        <f>2017.2+4905</f>
        <v>6922.2</v>
      </c>
      <c r="N2573" s="147">
        <f>+F2573+F2574+F2575+F2576-M2573-M2574-M2575-M2576</f>
        <v>0</v>
      </c>
      <c r="O2573" s="141"/>
      <c r="P2573" s="140"/>
    </row>
    <row r="2574" spans="1:16" hidden="1" x14ac:dyDescent="0.35">
      <c r="A2574" s="146"/>
      <c r="B2574" s="143"/>
      <c r="C2574" s="133"/>
      <c r="D2574" s="133"/>
      <c r="E2574" s="145" t="s">
        <v>1064</v>
      </c>
      <c r="F2574" s="176">
        <v>1371.6</v>
      </c>
      <c r="G2574" s="133" t="s">
        <v>1034</v>
      </c>
      <c r="H2574" s="144" t="s">
        <v>1341</v>
      </c>
      <c r="I2574" s="133" t="s">
        <v>1092</v>
      </c>
      <c r="J2574" s="133" t="s">
        <v>2419</v>
      </c>
      <c r="K2574" s="143">
        <v>45778</v>
      </c>
      <c r="L2574" s="133" t="s">
        <v>1092</v>
      </c>
      <c r="M2574" s="133">
        <v>1691</v>
      </c>
      <c r="N2574" s="147"/>
      <c r="P2574" s="140"/>
    </row>
    <row r="2575" spans="1:16" hidden="1" x14ac:dyDescent="0.35">
      <c r="A2575" s="146"/>
      <c r="B2575" s="143"/>
      <c r="C2575" s="133"/>
      <c r="D2575" s="133"/>
      <c r="E2575" s="145" t="s">
        <v>1342</v>
      </c>
      <c r="F2575" s="145">
        <v>1691</v>
      </c>
      <c r="G2575" s="133" t="s">
        <v>1034</v>
      </c>
      <c r="H2575" s="144" t="s">
        <v>1341</v>
      </c>
      <c r="I2575" s="133" t="s">
        <v>1092</v>
      </c>
      <c r="J2575" s="133" t="s">
        <v>2420</v>
      </c>
      <c r="K2575" s="143">
        <v>45778</v>
      </c>
      <c r="L2575" s="133" t="s">
        <v>1241</v>
      </c>
      <c r="M2575" s="133">
        <v>526</v>
      </c>
      <c r="N2575" s="147"/>
      <c r="P2575" s="140"/>
    </row>
    <row r="2576" spans="1:16" hidden="1" x14ac:dyDescent="0.35">
      <c r="A2576" s="146"/>
      <c r="B2576" s="143"/>
      <c r="C2576" s="133"/>
      <c r="D2576" s="133"/>
      <c r="E2576" s="145" t="s">
        <v>1067</v>
      </c>
      <c r="F2576" s="145">
        <v>4905</v>
      </c>
      <c r="G2576" s="133" t="s">
        <v>1034</v>
      </c>
      <c r="H2576" s="144" t="s">
        <v>1341</v>
      </c>
      <c r="I2576" s="133" t="s">
        <v>1092</v>
      </c>
      <c r="J2576" s="133" t="s">
        <v>2428</v>
      </c>
      <c r="K2576" s="143">
        <v>45809</v>
      </c>
      <c r="L2576" s="133" t="s">
        <v>1092</v>
      </c>
      <c r="M2576" s="133">
        <v>1371.6</v>
      </c>
      <c r="N2576" s="147"/>
      <c r="P2576" s="140"/>
    </row>
    <row r="2577" spans="1:16" hidden="1" x14ac:dyDescent="0.35">
      <c r="A2577" s="146"/>
      <c r="B2577" s="143"/>
      <c r="C2577" s="133"/>
      <c r="D2577" s="133"/>
      <c r="E2577" s="145"/>
      <c r="F2577" s="145"/>
      <c r="G2577" s="133"/>
      <c r="H2577" s="144"/>
      <c r="I2577" s="133"/>
      <c r="J2577" s="133"/>
      <c r="K2577" s="133"/>
      <c r="L2577" s="133"/>
      <c r="M2577" s="133"/>
      <c r="N2577" s="147"/>
      <c r="P2577" s="140"/>
    </row>
    <row r="2578" spans="1:16" hidden="1" x14ac:dyDescent="0.35">
      <c r="A2578" s="146">
        <v>298</v>
      </c>
      <c r="B2578" s="143">
        <v>45717</v>
      </c>
      <c r="C2578" s="133" t="s">
        <v>1383</v>
      </c>
      <c r="D2578" s="133" t="s">
        <v>1105</v>
      </c>
      <c r="E2578" s="145" t="s">
        <v>1067</v>
      </c>
      <c r="F2578" s="145">
        <v>570</v>
      </c>
      <c r="G2578" s="133" t="s">
        <v>1034</v>
      </c>
      <c r="H2578" s="144" t="s">
        <v>1341</v>
      </c>
      <c r="I2578" s="133" t="s">
        <v>1092</v>
      </c>
      <c r="J2578" s="133" t="s">
        <v>1376</v>
      </c>
      <c r="K2578" s="143">
        <v>45748</v>
      </c>
      <c r="L2578" s="133" t="s">
        <v>1092</v>
      </c>
      <c r="M2578" s="133">
        <f>1150+8434</f>
        <v>9584</v>
      </c>
      <c r="N2578" s="147">
        <f>+F2578+F2579+F2580-M2578-M2579-M2580-M2581</f>
        <v>0</v>
      </c>
      <c r="O2578" s="141"/>
      <c r="P2578" s="140"/>
    </row>
    <row r="2579" spans="1:16" hidden="1" x14ac:dyDescent="0.35">
      <c r="A2579" s="146"/>
      <c r="B2579" s="143"/>
      <c r="C2579" s="133"/>
      <c r="D2579" s="133"/>
      <c r="E2579" s="145" t="s">
        <v>1118</v>
      </c>
      <c r="F2579" s="176">
        <v>2035.8</v>
      </c>
      <c r="G2579" s="133" t="s">
        <v>1034</v>
      </c>
      <c r="H2579" s="144" t="s">
        <v>1341</v>
      </c>
      <c r="I2579" s="133" t="s">
        <v>1092</v>
      </c>
      <c r="J2579" s="133" t="s">
        <v>2380</v>
      </c>
      <c r="K2579" s="143">
        <v>45748</v>
      </c>
      <c r="L2579" s="133" t="s">
        <v>1092</v>
      </c>
      <c r="M2579" s="133">
        <v>885.8</v>
      </c>
      <c r="N2579" s="147"/>
      <c r="P2579" s="140"/>
    </row>
    <row r="2580" spans="1:16" hidden="1" x14ac:dyDescent="0.35">
      <c r="A2580" s="146"/>
      <c r="B2580" s="143"/>
      <c r="C2580" s="133"/>
      <c r="D2580" s="133"/>
      <c r="E2580" s="145" t="s">
        <v>1075</v>
      </c>
      <c r="F2580" s="145">
        <v>8994</v>
      </c>
      <c r="G2580" s="133" t="s">
        <v>1034</v>
      </c>
      <c r="H2580" s="144" t="s">
        <v>1341</v>
      </c>
      <c r="I2580" s="133" t="s">
        <v>1092</v>
      </c>
      <c r="J2580" s="133" t="s">
        <v>2419</v>
      </c>
      <c r="K2580" s="143">
        <v>45778</v>
      </c>
      <c r="L2580" s="133" t="s">
        <v>1092</v>
      </c>
      <c r="M2580" s="133">
        <v>570</v>
      </c>
      <c r="N2580" s="147"/>
      <c r="P2580" s="140"/>
    </row>
    <row r="2581" spans="1:16" hidden="1" x14ac:dyDescent="0.35">
      <c r="A2581" s="146"/>
      <c r="B2581" s="143"/>
      <c r="C2581" s="133"/>
      <c r="D2581" s="133"/>
      <c r="E2581" s="145"/>
      <c r="F2581" s="145"/>
      <c r="G2581" s="133" t="s">
        <v>1034</v>
      </c>
      <c r="H2581" s="144" t="s">
        <v>1341</v>
      </c>
      <c r="I2581" s="133" t="s">
        <v>1092</v>
      </c>
      <c r="J2581" s="133" t="s">
        <v>2420</v>
      </c>
      <c r="K2581" s="143">
        <v>45778</v>
      </c>
      <c r="L2581" s="133" t="s">
        <v>1241</v>
      </c>
      <c r="M2581" s="133">
        <v>560</v>
      </c>
      <c r="N2581" s="147"/>
      <c r="P2581" s="140"/>
    </row>
    <row r="2582" spans="1:16" hidden="1" x14ac:dyDescent="0.35">
      <c r="A2582" s="146"/>
      <c r="B2582" s="143"/>
      <c r="C2582" s="133"/>
      <c r="D2582" s="133"/>
      <c r="E2582" s="145"/>
      <c r="F2582" s="145"/>
      <c r="G2582" s="133"/>
      <c r="H2582" s="144"/>
      <c r="I2582" s="133"/>
      <c r="J2582" s="133"/>
      <c r="K2582" s="143"/>
      <c r="L2582" s="133"/>
      <c r="M2582" s="133"/>
      <c r="N2582" s="147"/>
      <c r="P2582" s="140"/>
    </row>
    <row r="2583" spans="1:16" hidden="1" x14ac:dyDescent="0.35">
      <c r="A2583" s="146">
        <v>299</v>
      </c>
      <c r="B2583" s="143">
        <v>45717</v>
      </c>
      <c r="C2583" s="133" t="s">
        <v>1382</v>
      </c>
      <c r="D2583" s="133" t="s">
        <v>1104</v>
      </c>
      <c r="E2583" s="145" t="s">
        <v>1071</v>
      </c>
      <c r="F2583" s="145">
        <v>909.4</v>
      </c>
      <c r="G2583" s="133" t="s">
        <v>1034</v>
      </c>
      <c r="H2583" s="144" t="s">
        <v>1341</v>
      </c>
      <c r="I2583" s="133" t="s">
        <v>1092</v>
      </c>
      <c r="J2583" s="133" t="s">
        <v>1376</v>
      </c>
      <c r="K2583" s="143">
        <v>45748</v>
      </c>
      <c r="L2583" s="133" t="s">
        <v>1092</v>
      </c>
      <c r="M2583" s="133">
        <v>6588.7</v>
      </c>
      <c r="N2583" s="147">
        <f>+F2583+F2584+F2585-M2583-M2584-M2585</f>
        <v>0</v>
      </c>
      <c r="O2583" s="141"/>
      <c r="P2583" s="140"/>
    </row>
    <row r="2584" spans="1:16" hidden="1" x14ac:dyDescent="0.35">
      <c r="A2584" s="146"/>
      <c r="B2584" s="143"/>
      <c r="C2584" s="133"/>
      <c r="D2584" s="133"/>
      <c r="E2584" s="145" t="s">
        <v>1064</v>
      </c>
      <c r="F2584" s="176">
        <v>799.6</v>
      </c>
      <c r="G2584" s="133" t="s">
        <v>1034</v>
      </c>
      <c r="H2584" s="144" t="s">
        <v>1341</v>
      </c>
      <c r="I2584" s="133" t="s">
        <v>1092</v>
      </c>
      <c r="J2584" s="133" t="s">
        <v>2420</v>
      </c>
      <c r="K2584" s="143">
        <v>45778</v>
      </c>
      <c r="L2584" s="133" t="s">
        <v>1241</v>
      </c>
      <c r="M2584" s="133">
        <v>398.6</v>
      </c>
      <c r="N2584" s="147"/>
      <c r="P2584" s="140"/>
    </row>
    <row r="2585" spans="1:16" hidden="1" x14ac:dyDescent="0.35">
      <c r="A2585" s="146"/>
      <c r="B2585" s="143"/>
      <c r="C2585" s="133"/>
      <c r="D2585" s="133"/>
      <c r="E2585" s="145" t="s">
        <v>1075</v>
      </c>
      <c r="F2585" s="145">
        <v>6588.7</v>
      </c>
      <c r="G2585" s="133" t="s">
        <v>1034</v>
      </c>
      <c r="H2585" s="144" t="s">
        <v>1341</v>
      </c>
      <c r="I2585" s="133" t="s">
        <v>1092</v>
      </c>
      <c r="J2585" s="133" t="s">
        <v>2428</v>
      </c>
      <c r="K2585" s="143">
        <v>45809</v>
      </c>
      <c r="L2585" s="133" t="s">
        <v>1092</v>
      </c>
      <c r="M2585" s="133">
        <v>1310.4000000000001</v>
      </c>
      <c r="N2585" s="147"/>
      <c r="P2585" s="140"/>
    </row>
    <row r="2586" spans="1:16" hidden="1" x14ac:dyDescent="0.35">
      <c r="A2586" s="146"/>
      <c r="B2586" s="143"/>
      <c r="C2586" s="133"/>
      <c r="D2586" s="133"/>
      <c r="E2586" s="145"/>
      <c r="F2586" s="145"/>
      <c r="G2586" s="133"/>
      <c r="H2586" s="144"/>
      <c r="I2586" s="133"/>
      <c r="J2586" s="133"/>
      <c r="K2586" s="133"/>
      <c r="L2586" s="133"/>
      <c r="M2586" s="133"/>
      <c r="N2586" s="147"/>
      <c r="P2586" s="140"/>
    </row>
    <row r="2587" spans="1:16" hidden="1" x14ac:dyDescent="0.35">
      <c r="A2587" s="146">
        <v>300</v>
      </c>
      <c r="B2587" s="143">
        <v>45717</v>
      </c>
      <c r="C2587" s="133" t="s">
        <v>1381</v>
      </c>
      <c r="D2587" s="133" t="s">
        <v>1103</v>
      </c>
      <c r="E2587" s="145" t="s">
        <v>1071</v>
      </c>
      <c r="F2587" s="145">
        <v>186.7</v>
      </c>
      <c r="G2587" s="133" t="s">
        <v>1034</v>
      </c>
      <c r="H2587" s="144" t="s">
        <v>1341</v>
      </c>
      <c r="I2587" s="133" t="s">
        <v>1092</v>
      </c>
      <c r="J2587" s="133" t="s">
        <v>1376</v>
      </c>
      <c r="K2587" s="143">
        <v>45748</v>
      </c>
      <c r="L2587" s="133" t="s">
        <v>1092</v>
      </c>
      <c r="M2587" s="133">
        <v>1477</v>
      </c>
      <c r="N2587" s="147">
        <f>+F2587+F2588+F2589-M2587-M2588-M2589-M2590</f>
        <v>0</v>
      </c>
      <c r="O2587" s="141"/>
      <c r="P2587" s="140"/>
    </row>
    <row r="2588" spans="1:16" hidden="1" x14ac:dyDescent="0.35">
      <c r="A2588" s="146"/>
      <c r="B2588" s="143"/>
      <c r="C2588" s="133"/>
      <c r="D2588" s="133"/>
      <c r="E2588" s="145" t="s">
        <v>1342</v>
      </c>
      <c r="F2588" s="176">
        <v>5916</v>
      </c>
      <c r="G2588" s="133" t="s">
        <v>1034</v>
      </c>
      <c r="H2588" s="144" t="s">
        <v>1341</v>
      </c>
      <c r="I2588" s="133" t="s">
        <v>1092</v>
      </c>
      <c r="J2588" s="133" t="s">
        <v>2419</v>
      </c>
      <c r="K2588" s="143">
        <v>45778</v>
      </c>
      <c r="L2588" s="133" t="s">
        <v>1092</v>
      </c>
      <c r="M2588" s="133">
        <v>5916</v>
      </c>
      <c r="N2588" s="147"/>
      <c r="P2588" s="140"/>
    </row>
    <row r="2589" spans="1:16" hidden="1" x14ac:dyDescent="0.35">
      <c r="A2589" s="146"/>
      <c r="B2589" s="143"/>
      <c r="C2589" s="133"/>
      <c r="D2589" s="133"/>
      <c r="E2589" s="145" t="s">
        <v>1075</v>
      </c>
      <c r="F2589" s="145">
        <v>1867</v>
      </c>
      <c r="G2589" s="133" t="s">
        <v>1034</v>
      </c>
      <c r="H2589" s="144" t="s">
        <v>1341</v>
      </c>
      <c r="I2589" s="133" t="s">
        <v>1092</v>
      </c>
      <c r="J2589" s="133" t="s">
        <v>2420</v>
      </c>
      <c r="K2589" s="143">
        <v>45778</v>
      </c>
      <c r="L2589" s="133" t="s">
        <v>1241</v>
      </c>
      <c r="M2589" s="133">
        <v>390</v>
      </c>
      <c r="N2589" s="147"/>
      <c r="P2589" s="140"/>
    </row>
    <row r="2590" spans="1:16" hidden="1" x14ac:dyDescent="0.35">
      <c r="A2590" s="146"/>
      <c r="B2590" s="143"/>
      <c r="C2590" s="133"/>
      <c r="D2590" s="133"/>
      <c r="E2590" s="145"/>
      <c r="F2590" s="145"/>
      <c r="G2590" s="133" t="s">
        <v>1034</v>
      </c>
      <c r="H2590" s="144" t="s">
        <v>1341</v>
      </c>
      <c r="I2590" s="133" t="s">
        <v>1092</v>
      </c>
      <c r="J2590" s="133" t="s">
        <v>2428</v>
      </c>
      <c r="K2590" s="143">
        <v>45809</v>
      </c>
      <c r="L2590" s="133" t="s">
        <v>1092</v>
      </c>
      <c r="M2590" s="133">
        <v>186.7</v>
      </c>
      <c r="N2590" s="147"/>
      <c r="P2590" s="140"/>
    </row>
    <row r="2591" spans="1:16" hidden="1" x14ac:dyDescent="0.35">
      <c r="A2591" s="146"/>
      <c r="B2591" s="143"/>
      <c r="C2591" s="133"/>
      <c r="D2591" s="133"/>
      <c r="E2591" s="145"/>
      <c r="F2591" s="145"/>
      <c r="G2591" s="133"/>
      <c r="H2591" s="144"/>
      <c r="I2591" s="133"/>
      <c r="J2591" s="133"/>
      <c r="K2591" s="143"/>
      <c r="L2591" s="133"/>
      <c r="M2591" s="133"/>
      <c r="N2591" s="147"/>
      <c r="P2591" s="140"/>
    </row>
    <row r="2592" spans="1:16" hidden="1" x14ac:dyDescent="0.35">
      <c r="A2592" s="146">
        <v>301</v>
      </c>
      <c r="B2592" s="143">
        <v>45717</v>
      </c>
      <c r="C2592" s="133" t="s">
        <v>1380</v>
      </c>
      <c r="D2592" s="133" t="s">
        <v>1379</v>
      </c>
      <c r="E2592" s="145" t="s">
        <v>1071</v>
      </c>
      <c r="F2592" s="145">
        <v>1675.6</v>
      </c>
      <c r="G2592" s="133" t="s">
        <v>1034</v>
      </c>
      <c r="H2592" s="144" t="s">
        <v>1341</v>
      </c>
      <c r="I2592" s="133" t="s">
        <v>1092</v>
      </c>
      <c r="J2592" s="133" t="s">
        <v>1376</v>
      </c>
      <c r="K2592" s="143">
        <v>45748</v>
      </c>
      <c r="L2592" s="133" t="s">
        <v>1092</v>
      </c>
      <c r="M2592" s="133">
        <f>2612.4+3163+5656.19</f>
        <v>11431.59</v>
      </c>
      <c r="N2592" s="147">
        <f>+F2592+F2593+F2594+F2595+F2596+F2597-M2592-M2593-M2594-M2595-M2596</f>
        <v>0</v>
      </c>
      <c r="O2592" s="141"/>
      <c r="P2592" s="140"/>
    </row>
    <row r="2593" spans="1:16" hidden="1" x14ac:dyDescent="0.35">
      <c r="A2593" s="146"/>
      <c r="B2593" s="143"/>
      <c r="C2593" s="133"/>
      <c r="D2593" s="133"/>
      <c r="E2593" s="145" t="s">
        <v>1342</v>
      </c>
      <c r="F2593" s="176">
        <v>2177</v>
      </c>
      <c r="G2593" s="133" t="s">
        <v>1034</v>
      </c>
      <c r="H2593" s="144" t="s">
        <v>1341</v>
      </c>
      <c r="I2593" s="133" t="s">
        <v>1092</v>
      </c>
      <c r="J2593" s="133" t="s">
        <v>2407</v>
      </c>
      <c r="K2593" s="143">
        <v>45778</v>
      </c>
      <c r="L2593" s="133" t="s">
        <v>1092</v>
      </c>
      <c r="M2593" s="133">
        <v>142</v>
      </c>
      <c r="N2593" s="147"/>
      <c r="P2593" s="140"/>
    </row>
    <row r="2594" spans="1:16" hidden="1" x14ac:dyDescent="0.35">
      <c r="A2594" s="146"/>
      <c r="B2594" s="143"/>
      <c r="C2594" s="133"/>
      <c r="D2594" s="133"/>
      <c r="E2594" s="145" t="s">
        <v>1075</v>
      </c>
      <c r="F2594" s="145">
        <v>3973</v>
      </c>
      <c r="G2594" s="133" t="s">
        <v>1034</v>
      </c>
      <c r="H2594" s="144" t="s">
        <v>1341</v>
      </c>
      <c r="I2594" s="133" t="s">
        <v>1092</v>
      </c>
      <c r="J2594" s="133" t="s">
        <v>2419</v>
      </c>
      <c r="K2594" s="143">
        <v>45778</v>
      </c>
      <c r="L2594" s="133" t="s">
        <v>1092</v>
      </c>
      <c r="M2594" s="133">
        <v>2177</v>
      </c>
      <c r="N2594" s="147"/>
      <c r="P2594" s="140"/>
    </row>
    <row r="2595" spans="1:16" hidden="1" x14ac:dyDescent="0.35">
      <c r="A2595" s="146"/>
      <c r="B2595" s="143"/>
      <c r="C2595" s="133"/>
      <c r="D2595" s="133"/>
      <c r="E2595" s="145" t="s">
        <v>1118</v>
      </c>
      <c r="F2595" s="145">
        <v>2612.4</v>
      </c>
      <c r="G2595" s="133" t="s">
        <v>1034</v>
      </c>
      <c r="H2595" s="144" t="s">
        <v>1341</v>
      </c>
      <c r="I2595" s="133" t="s">
        <v>1092</v>
      </c>
      <c r="J2595" s="133" t="s">
        <v>2420</v>
      </c>
      <c r="K2595" s="143">
        <v>45778</v>
      </c>
      <c r="L2595" s="133" t="s">
        <v>1241</v>
      </c>
      <c r="M2595" s="133">
        <v>810</v>
      </c>
      <c r="N2595" s="147"/>
      <c r="P2595" s="140"/>
    </row>
    <row r="2596" spans="1:16" hidden="1" x14ac:dyDescent="0.35">
      <c r="A2596" s="146"/>
      <c r="B2596" s="143"/>
      <c r="C2596" s="133"/>
      <c r="D2596" s="133"/>
      <c r="E2596" s="145" t="s">
        <v>1067</v>
      </c>
      <c r="F2596" s="145">
        <v>142</v>
      </c>
      <c r="G2596" s="133" t="s">
        <v>1034</v>
      </c>
      <c r="H2596" s="144" t="s">
        <v>1341</v>
      </c>
      <c r="I2596" s="133" t="s">
        <v>1092</v>
      </c>
      <c r="J2596" s="133" t="s">
        <v>2428</v>
      </c>
      <c r="K2596" s="143">
        <v>45809</v>
      </c>
      <c r="L2596" s="133" t="s">
        <v>1092</v>
      </c>
      <c r="M2596" s="133">
        <v>1675.6</v>
      </c>
      <c r="N2596" s="147"/>
      <c r="P2596" s="140"/>
    </row>
    <row r="2597" spans="1:16" hidden="1" x14ac:dyDescent="0.35">
      <c r="A2597" s="146"/>
      <c r="B2597" s="143"/>
      <c r="C2597" s="133"/>
      <c r="D2597" s="133"/>
      <c r="E2597" s="145" t="s">
        <v>1078</v>
      </c>
      <c r="F2597" s="145">
        <v>5656.19</v>
      </c>
      <c r="G2597" s="133"/>
      <c r="H2597" s="144"/>
      <c r="I2597" s="133"/>
      <c r="J2597" s="133"/>
      <c r="K2597" s="133"/>
      <c r="L2597" s="133"/>
      <c r="M2597" s="133"/>
      <c r="N2597" s="147"/>
      <c r="P2597" s="140"/>
    </row>
    <row r="2598" spans="1:16" hidden="1" x14ac:dyDescent="0.35">
      <c r="A2598" s="146"/>
      <c r="B2598" s="143"/>
      <c r="C2598" s="133"/>
      <c r="D2598" s="133"/>
      <c r="E2598" s="145"/>
      <c r="F2598" s="145"/>
      <c r="G2598" s="133"/>
      <c r="H2598" s="144"/>
      <c r="I2598" s="133"/>
      <c r="J2598" s="133"/>
      <c r="K2598" s="133"/>
      <c r="L2598" s="133"/>
      <c r="M2598" s="133"/>
      <c r="N2598" s="147"/>
      <c r="P2598" s="140"/>
    </row>
    <row r="2599" spans="1:16" hidden="1" x14ac:dyDescent="0.35">
      <c r="A2599" s="146">
        <v>302</v>
      </c>
      <c r="B2599" s="143">
        <v>45717</v>
      </c>
      <c r="C2599" s="133" t="s">
        <v>1378</v>
      </c>
      <c r="D2599" s="133" t="s">
        <v>1377</v>
      </c>
      <c r="E2599" s="145" t="s">
        <v>1064</v>
      </c>
      <c r="F2599" s="145">
        <v>1854.8</v>
      </c>
      <c r="G2599" s="133" t="s">
        <v>1034</v>
      </c>
      <c r="H2599" s="144" t="s">
        <v>1341</v>
      </c>
      <c r="I2599" s="133" t="s">
        <v>1092</v>
      </c>
      <c r="J2599" s="133" t="s">
        <v>1376</v>
      </c>
      <c r="K2599" s="143">
        <v>45748</v>
      </c>
      <c r="L2599" s="133" t="s">
        <v>1092</v>
      </c>
      <c r="M2599" s="133">
        <v>5342</v>
      </c>
      <c r="N2599" s="147">
        <f>+F2599+F2600+F2601+F2602-M2599-M2600-M2601-M2602-M2603</f>
        <v>-2.5011104298755527E-12</v>
      </c>
      <c r="O2599" s="141"/>
      <c r="P2599" s="140"/>
    </row>
    <row r="2600" spans="1:16" hidden="1" x14ac:dyDescent="0.35">
      <c r="A2600" s="146"/>
      <c r="B2600" s="143"/>
      <c r="C2600" s="133"/>
      <c r="D2600" s="133"/>
      <c r="E2600" s="145" t="s">
        <v>1342</v>
      </c>
      <c r="F2600" s="176">
        <v>6136</v>
      </c>
      <c r="G2600" s="133" t="s">
        <v>1034</v>
      </c>
      <c r="H2600" s="144" t="s">
        <v>1341</v>
      </c>
      <c r="I2600" s="133" t="s">
        <v>1092</v>
      </c>
      <c r="J2600" s="133" t="s">
        <v>2407</v>
      </c>
      <c r="K2600" s="143">
        <v>45778</v>
      </c>
      <c r="L2600" s="133" t="s">
        <v>1092</v>
      </c>
      <c r="M2600" s="133">
        <v>3134.1</v>
      </c>
      <c r="N2600" s="142"/>
      <c r="P2600" s="140"/>
    </row>
    <row r="2601" spans="1:16" hidden="1" x14ac:dyDescent="0.35">
      <c r="A2601" s="146"/>
      <c r="B2601" s="143"/>
      <c r="C2601" s="133"/>
      <c r="D2601" s="133"/>
      <c r="E2601" s="145" t="s">
        <v>1075</v>
      </c>
      <c r="F2601" s="145">
        <v>5342</v>
      </c>
      <c r="G2601" s="133" t="s">
        <v>1034</v>
      </c>
      <c r="H2601" s="144" t="s">
        <v>1341</v>
      </c>
      <c r="I2601" s="133" t="s">
        <v>1092</v>
      </c>
      <c r="J2601" s="133" t="s">
        <v>2419</v>
      </c>
      <c r="K2601" s="143">
        <v>45778</v>
      </c>
      <c r="L2601" s="133" t="s">
        <v>1092</v>
      </c>
      <c r="M2601" s="133">
        <v>5317</v>
      </c>
      <c r="N2601" s="142"/>
      <c r="P2601" s="140"/>
    </row>
    <row r="2602" spans="1:16" hidden="1" x14ac:dyDescent="0.35">
      <c r="A2602" s="146"/>
      <c r="B2602" s="143"/>
      <c r="C2602" s="133"/>
      <c r="D2602" s="133"/>
      <c r="E2602" s="145" t="s">
        <v>1067</v>
      </c>
      <c r="F2602" s="145">
        <v>3134.1</v>
      </c>
      <c r="G2602" s="133" t="s">
        <v>1034</v>
      </c>
      <c r="H2602" s="144" t="s">
        <v>1341</v>
      </c>
      <c r="I2602" s="133" t="s">
        <v>1092</v>
      </c>
      <c r="J2602" s="133" t="s">
        <v>2420</v>
      </c>
      <c r="K2602" s="143">
        <v>45778</v>
      </c>
      <c r="L2602" s="133" t="s">
        <v>1241</v>
      </c>
      <c r="M2602" s="133">
        <v>819</v>
      </c>
      <c r="N2602" s="142"/>
      <c r="P2602" s="140"/>
    </row>
    <row r="2603" spans="1:16" hidden="1" x14ac:dyDescent="0.35">
      <c r="A2603" s="146"/>
      <c r="B2603" s="143"/>
      <c r="C2603" s="133"/>
      <c r="D2603" s="133"/>
      <c r="E2603" s="145"/>
      <c r="F2603" s="145"/>
      <c r="G2603" s="133" t="s">
        <v>1034</v>
      </c>
      <c r="H2603" s="144" t="s">
        <v>1341</v>
      </c>
      <c r="I2603" s="133" t="s">
        <v>1092</v>
      </c>
      <c r="J2603" s="133" t="s">
        <v>2428</v>
      </c>
      <c r="K2603" s="143">
        <v>45809</v>
      </c>
      <c r="L2603" s="133" t="s">
        <v>1092</v>
      </c>
      <c r="M2603" s="133">
        <v>1854.8</v>
      </c>
      <c r="N2603" s="142"/>
      <c r="P2603" s="140"/>
    </row>
    <row r="2604" spans="1:16" hidden="1" x14ac:dyDescent="0.35">
      <c r="A2604" s="146"/>
      <c r="B2604" s="143"/>
      <c r="C2604" s="133"/>
      <c r="D2604" s="133"/>
      <c r="E2604" s="145"/>
      <c r="F2604" s="145"/>
      <c r="G2604" s="133"/>
      <c r="H2604" s="144"/>
      <c r="I2604" s="133"/>
      <c r="J2604" s="133"/>
      <c r="K2604" s="143"/>
      <c r="L2604" s="133"/>
      <c r="M2604" s="133"/>
      <c r="N2604" s="142"/>
      <c r="P2604" s="140"/>
    </row>
    <row r="2605" spans="1:16" hidden="1" x14ac:dyDescent="0.35">
      <c r="A2605" s="182"/>
      <c r="B2605" s="181"/>
      <c r="C2605" s="178"/>
      <c r="D2605" s="178"/>
      <c r="E2605" s="180"/>
      <c r="F2605" s="180"/>
      <c r="G2605" s="178"/>
      <c r="H2605" s="179"/>
      <c r="I2605" s="178"/>
      <c r="J2605" s="178"/>
      <c r="K2605" s="178"/>
      <c r="L2605" s="178"/>
      <c r="M2605" s="178"/>
      <c r="N2605" s="177"/>
      <c r="P2605" s="140"/>
    </row>
    <row r="2606" spans="1:16" hidden="1" x14ac:dyDescent="0.35">
      <c r="A2606" s="146"/>
      <c r="B2606" s="143"/>
      <c r="C2606" s="133"/>
      <c r="D2606" s="133"/>
      <c r="E2606" s="145"/>
      <c r="F2606" s="145"/>
      <c r="G2606" s="133"/>
      <c r="H2606" s="144"/>
      <c r="I2606" s="133"/>
      <c r="J2606" s="133"/>
      <c r="K2606" s="133"/>
      <c r="L2606" s="133"/>
      <c r="M2606" s="133"/>
      <c r="N2606" s="142"/>
      <c r="P2606" s="140"/>
    </row>
    <row r="2607" spans="1:16" hidden="1" x14ac:dyDescent="0.35">
      <c r="A2607" s="149" t="s">
        <v>1102</v>
      </c>
      <c r="B2607" s="143">
        <v>45748</v>
      </c>
      <c r="C2607" s="133" t="s">
        <v>1375</v>
      </c>
      <c r="D2607" s="133" t="s">
        <v>1374</v>
      </c>
      <c r="E2607" s="145" t="s">
        <v>1118</v>
      </c>
      <c r="F2607" s="145">
        <v>2973</v>
      </c>
      <c r="G2607" s="133" t="s">
        <v>1034</v>
      </c>
      <c r="H2607" s="144" t="s">
        <v>1341</v>
      </c>
      <c r="I2607" s="133" t="s">
        <v>1092</v>
      </c>
      <c r="J2607" s="133" t="s">
        <v>2380</v>
      </c>
      <c r="K2607" s="143">
        <v>45748</v>
      </c>
      <c r="L2607" s="133" t="s">
        <v>1092</v>
      </c>
      <c r="M2607" s="133">
        <v>2973</v>
      </c>
      <c r="N2607" s="147">
        <f>+F2607+F2608-M2607-M2608-M2609</f>
        <v>0</v>
      </c>
      <c r="O2607" s="141"/>
      <c r="P2607" s="140"/>
    </row>
    <row r="2608" spans="1:16" hidden="1" x14ac:dyDescent="0.35">
      <c r="A2608" s="146"/>
      <c r="B2608" s="143"/>
      <c r="C2608" s="133"/>
      <c r="D2608" s="133"/>
      <c r="E2608" s="145" t="s">
        <v>1342</v>
      </c>
      <c r="F2608" s="148">
        <v>1394</v>
      </c>
      <c r="G2608" s="133" t="s">
        <v>1034</v>
      </c>
      <c r="H2608" s="144" t="s">
        <v>1341</v>
      </c>
      <c r="I2608" s="133" t="s">
        <v>1092</v>
      </c>
      <c r="J2608" s="133" t="s">
        <v>2419</v>
      </c>
      <c r="K2608" s="143">
        <v>45778</v>
      </c>
      <c r="L2608" s="133" t="s">
        <v>1092</v>
      </c>
      <c r="M2608" s="133">
        <v>1175</v>
      </c>
      <c r="N2608" s="147"/>
      <c r="P2608" s="140"/>
    </row>
    <row r="2609" spans="1:16" hidden="1" x14ac:dyDescent="0.35">
      <c r="A2609" s="146"/>
      <c r="B2609" s="143"/>
      <c r="C2609" s="133"/>
      <c r="D2609" s="133"/>
      <c r="E2609" s="145"/>
      <c r="F2609" s="148"/>
      <c r="G2609" s="133" t="s">
        <v>1034</v>
      </c>
      <c r="H2609" s="144" t="s">
        <v>1341</v>
      </c>
      <c r="I2609" s="133" t="s">
        <v>1092</v>
      </c>
      <c r="J2609" s="133" t="s">
        <v>2420</v>
      </c>
      <c r="K2609" s="143">
        <v>45778</v>
      </c>
      <c r="L2609" s="133" t="s">
        <v>1241</v>
      </c>
      <c r="M2609" s="133">
        <v>219</v>
      </c>
      <c r="N2609" s="147"/>
      <c r="P2609" s="140"/>
    </row>
    <row r="2610" spans="1:16" hidden="1" x14ac:dyDescent="0.35">
      <c r="A2610" s="146"/>
      <c r="B2610" s="143"/>
      <c r="C2610" s="133"/>
      <c r="D2610" s="133"/>
      <c r="E2610" s="145"/>
      <c r="F2610" s="145"/>
      <c r="G2610" s="133"/>
      <c r="H2610" s="144"/>
      <c r="I2610" s="133"/>
      <c r="J2610" s="133"/>
      <c r="K2610" s="133"/>
      <c r="L2610" s="133"/>
      <c r="M2610" s="133"/>
      <c r="N2610" s="147"/>
      <c r="P2610" s="140"/>
    </row>
    <row r="2611" spans="1:16" hidden="1" x14ac:dyDescent="0.35">
      <c r="A2611" s="149" t="s">
        <v>1099</v>
      </c>
      <c r="B2611" s="143">
        <v>45748</v>
      </c>
      <c r="C2611" s="133" t="s">
        <v>1373</v>
      </c>
      <c r="D2611" s="133" t="s">
        <v>1372</v>
      </c>
      <c r="E2611" s="145" t="s">
        <v>1067</v>
      </c>
      <c r="F2611" s="145">
        <v>4572</v>
      </c>
      <c r="G2611" s="133" t="s">
        <v>1034</v>
      </c>
      <c r="H2611" s="144" t="s">
        <v>1341</v>
      </c>
      <c r="I2611" s="133" t="s">
        <v>1092</v>
      </c>
      <c r="J2611" s="133" t="s">
        <v>2407</v>
      </c>
      <c r="K2611" s="143">
        <v>45778</v>
      </c>
      <c r="L2611" s="133" t="s">
        <v>1092</v>
      </c>
      <c r="M2611" s="133">
        <f>6775+4222</f>
        <v>10997</v>
      </c>
      <c r="N2611" s="147">
        <f>+F2611+F2612+F2613-M2611-M2612-M2613</f>
        <v>0</v>
      </c>
      <c r="O2611" s="141"/>
      <c r="P2611" s="140"/>
    </row>
    <row r="2612" spans="1:16" hidden="1" x14ac:dyDescent="0.35">
      <c r="A2612" s="146"/>
      <c r="B2612" s="143"/>
      <c r="C2612" s="133"/>
      <c r="D2612" s="133"/>
      <c r="E2612" s="145" t="s">
        <v>1342</v>
      </c>
      <c r="F2612" s="176">
        <v>2309</v>
      </c>
      <c r="G2612" s="133" t="s">
        <v>1034</v>
      </c>
      <c r="H2612" s="144" t="s">
        <v>1341</v>
      </c>
      <c r="I2612" s="133" t="s">
        <v>1092</v>
      </c>
      <c r="J2612" s="133" t="s">
        <v>2419</v>
      </c>
      <c r="K2612" s="143">
        <v>45778</v>
      </c>
      <c r="L2612" s="133" t="s">
        <v>1092</v>
      </c>
      <c r="M2612" s="133">
        <v>2309</v>
      </c>
      <c r="N2612" s="142"/>
      <c r="P2612" s="140"/>
    </row>
    <row r="2613" spans="1:16" hidden="1" x14ac:dyDescent="0.35">
      <c r="A2613" s="146"/>
      <c r="B2613" s="143"/>
      <c r="C2613" s="133"/>
      <c r="D2613" s="133"/>
      <c r="E2613" s="145" t="s">
        <v>1075</v>
      </c>
      <c r="F2613" s="145">
        <v>6775</v>
      </c>
      <c r="G2613" s="133" t="s">
        <v>1034</v>
      </c>
      <c r="H2613" s="144" t="s">
        <v>1341</v>
      </c>
      <c r="I2613" s="133" t="s">
        <v>1092</v>
      </c>
      <c r="J2613" s="133" t="s">
        <v>2420</v>
      </c>
      <c r="K2613" s="143">
        <v>45778</v>
      </c>
      <c r="L2613" s="133" t="s">
        <v>1241</v>
      </c>
      <c r="M2613" s="133">
        <v>350</v>
      </c>
      <c r="N2613" s="142"/>
      <c r="P2613" s="140"/>
    </row>
    <row r="2614" spans="1:16" hidden="1" x14ac:dyDescent="0.35">
      <c r="A2614" s="146"/>
      <c r="B2614" s="143"/>
      <c r="C2614" s="133"/>
      <c r="D2614" s="133"/>
      <c r="E2614" s="145"/>
      <c r="F2614" s="145"/>
      <c r="G2614" s="133"/>
      <c r="H2614" s="144"/>
      <c r="I2614" s="133"/>
      <c r="J2614" s="133"/>
      <c r="K2614" s="133"/>
      <c r="L2614" s="133"/>
      <c r="M2614" s="133"/>
      <c r="N2614" s="142"/>
      <c r="P2614" s="140"/>
    </row>
    <row r="2615" spans="1:16" hidden="1" x14ac:dyDescent="0.35">
      <c r="A2615" s="149" t="s">
        <v>1097</v>
      </c>
      <c r="B2615" s="143">
        <v>45748</v>
      </c>
      <c r="C2615" s="133" t="s">
        <v>1371</v>
      </c>
      <c r="D2615" s="133" t="s">
        <v>1370</v>
      </c>
      <c r="E2615" s="145" t="s">
        <v>1064</v>
      </c>
      <c r="F2615" s="145">
        <v>1288.9000000000001</v>
      </c>
      <c r="G2615" s="133" t="s">
        <v>1034</v>
      </c>
      <c r="H2615" s="144" t="s">
        <v>1341</v>
      </c>
      <c r="I2615" s="133" t="s">
        <v>1092</v>
      </c>
      <c r="J2615" s="133" t="s">
        <v>2420</v>
      </c>
      <c r="K2615" s="143">
        <v>45778</v>
      </c>
      <c r="L2615" s="133" t="s">
        <v>1241</v>
      </c>
      <c r="M2615" s="133">
        <v>35</v>
      </c>
      <c r="N2615" s="147">
        <f>+F2615-M2615-M2616</f>
        <v>0</v>
      </c>
      <c r="O2615" s="141"/>
      <c r="P2615" s="140"/>
    </row>
    <row r="2616" spans="1:16" hidden="1" x14ac:dyDescent="0.35">
      <c r="A2616" s="149"/>
      <c r="B2616" s="143"/>
      <c r="C2616" s="133"/>
      <c r="D2616" s="133"/>
      <c r="E2616" s="145"/>
      <c r="F2616" s="160"/>
      <c r="G2616" s="133"/>
      <c r="H2616" s="144" t="s">
        <v>1341</v>
      </c>
      <c r="I2616" s="133" t="s">
        <v>1092</v>
      </c>
      <c r="J2616" s="133" t="s">
        <v>2444</v>
      </c>
      <c r="K2616" s="143">
        <v>45809</v>
      </c>
      <c r="L2616" s="133" t="s">
        <v>1092</v>
      </c>
      <c r="M2616" s="133">
        <v>1253.9000000000001</v>
      </c>
      <c r="N2616" s="142"/>
      <c r="O2616" s="141"/>
      <c r="P2616" s="140"/>
    </row>
    <row r="2617" spans="1:16" hidden="1" x14ac:dyDescent="0.35">
      <c r="A2617" s="146"/>
      <c r="B2617" s="143"/>
      <c r="C2617" s="133"/>
      <c r="D2617" s="133"/>
      <c r="E2617" s="145"/>
      <c r="F2617" s="176"/>
      <c r="G2617" s="133"/>
      <c r="H2617" s="144"/>
      <c r="I2617" s="133"/>
      <c r="J2617" s="133"/>
      <c r="K2617" s="133"/>
      <c r="L2617" s="133"/>
      <c r="M2617" s="133"/>
      <c r="N2617" s="142"/>
      <c r="P2617" s="140"/>
    </row>
    <row r="2618" spans="1:16" hidden="1" x14ac:dyDescent="0.35">
      <c r="A2618" s="149" t="s">
        <v>1369</v>
      </c>
      <c r="B2618" s="143">
        <v>45748</v>
      </c>
      <c r="C2618" s="133" t="s">
        <v>1368</v>
      </c>
      <c r="D2618" s="133" t="s">
        <v>1367</v>
      </c>
      <c r="E2618" s="145" t="s">
        <v>1075</v>
      </c>
      <c r="F2618" s="145">
        <v>3524</v>
      </c>
      <c r="G2618" s="133" t="s">
        <v>1034</v>
      </c>
      <c r="H2618" s="144" t="s">
        <v>1341</v>
      </c>
      <c r="I2618" s="133" t="s">
        <v>1092</v>
      </c>
      <c r="J2618" s="133" t="s">
        <v>2380</v>
      </c>
      <c r="K2618" s="143">
        <v>45748</v>
      </c>
      <c r="L2618" s="133" t="s">
        <v>1092</v>
      </c>
      <c r="M2618" s="133">
        <v>1216.3</v>
      </c>
      <c r="N2618" s="147">
        <f>+F2618+F2619-M2618-M2619-M2620</f>
        <v>0</v>
      </c>
      <c r="O2618" s="141"/>
      <c r="P2618" s="140"/>
    </row>
    <row r="2619" spans="1:16" hidden="1" x14ac:dyDescent="0.35">
      <c r="A2619" s="146"/>
      <c r="B2619" s="143"/>
      <c r="C2619" s="133"/>
      <c r="D2619" s="133"/>
      <c r="E2619" s="145" t="s">
        <v>1118</v>
      </c>
      <c r="F2619" s="148">
        <v>1216.3</v>
      </c>
      <c r="G2619" s="133" t="s">
        <v>1034</v>
      </c>
      <c r="H2619" s="144" t="s">
        <v>1341</v>
      </c>
      <c r="I2619" s="133" t="s">
        <v>1092</v>
      </c>
      <c r="J2619" s="133" t="s">
        <v>2407</v>
      </c>
      <c r="K2619" s="143">
        <v>45778</v>
      </c>
      <c r="L2619" s="133" t="s">
        <v>1092</v>
      </c>
      <c r="M2619" s="133">
        <v>3293</v>
      </c>
      <c r="N2619" s="142"/>
      <c r="P2619" s="140"/>
    </row>
    <row r="2620" spans="1:16" hidden="1" x14ac:dyDescent="0.35">
      <c r="A2620" s="146"/>
      <c r="B2620" s="143"/>
      <c r="C2620" s="133"/>
      <c r="D2620" s="133"/>
      <c r="E2620" s="145"/>
      <c r="F2620" s="148"/>
      <c r="G2620" s="133" t="s">
        <v>1034</v>
      </c>
      <c r="H2620" s="144" t="s">
        <v>1341</v>
      </c>
      <c r="I2620" s="133" t="s">
        <v>1092</v>
      </c>
      <c r="J2620" s="133" t="s">
        <v>2420</v>
      </c>
      <c r="K2620" s="143">
        <v>45778</v>
      </c>
      <c r="L2620" s="133" t="s">
        <v>1241</v>
      </c>
      <c r="M2620" s="133">
        <v>231</v>
      </c>
      <c r="N2620" s="142"/>
      <c r="P2620" s="140"/>
    </row>
    <row r="2621" spans="1:16" hidden="1" x14ac:dyDescent="0.35">
      <c r="A2621" s="146"/>
      <c r="B2621" s="143"/>
      <c r="C2621" s="133"/>
      <c r="D2621" s="133"/>
      <c r="E2621" s="145"/>
      <c r="F2621" s="145"/>
      <c r="G2621" s="133"/>
      <c r="H2621" s="144"/>
      <c r="I2621" s="133"/>
      <c r="J2621" s="133"/>
      <c r="K2621" s="133"/>
      <c r="L2621" s="133"/>
      <c r="M2621" s="133"/>
      <c r="N2621" s="142"/>
      <c r="P2621" s="140"/>
    </row>
    <row r="2622" spans="1:16" hidden="1" x14ac:dyDescent="0.35">
      <c r="A2622" s="149" t="s">
        <v>1366</v>
      </c>
      <c r="B2622" s="143">
        <v>45748</v>
      </c>
      <c r="C2622" s="133" t="s">
        <v>1365</v>
      </c>
      <c r="D2622" s="133" t="s">
        <v>1100</v>
      </c>
      <c r="E2622" s="145" t="s">
        <v>1118</v>
      </c>
      <c r="F2622" s="145">
        <v>2652.5</v>
      </c>
      <c r="G2622" s="133" t="s">
        <v>1034</v>
      </c>
      <c r="H2622" s="144" t="s">
        <v>1341</v>
      </c>
      <c r="I2622" s="133" t="s">
        <v>1092</v>
      </c>
      <c r="J2622" s="133" t="s">
        <v>2380</v>
      </c>
      <c r="K2622" s="143">
        <v>45748</v>
      </c>
      <c r="L2622" s="133" t="s">
        <v>1092</v>
      </c>
      <c r="M2622" s="133">
        <f>2652.5+1022.5</f>
        <v>3675</v>
      </c>
      <c r="N2622" s="147">
        <f>+F2622+F2623+F2624+F2625+F2626+F2627+F2628-M2622-M2623-M2624-M2625-M2626</f>
        <v>0</v>
      </c>
      <c r="O2622" s="141"/>
      <c r="P2622" s="140"/>
    </row>
    <row r="2623" spans="1:16" hidden="1" x14ac:dyDescent="0.35">
      <c r="A2623" s="146"/>
      <c r="B2623" s="143"/>
      <c r="C2623" s="133"/>
      <c r="D2623" s="133"/>
      <c r="E2623" s="145" t="s">
        <v>1342</v>
      </c>
      <c r="F2623" s="176">
        <v>5271</v>
      </c>
      <c r="G2623" s="133" t="s">
        <v>1034</v>
      </c>
      <c r="H2623" s="144" t="s">
        <v>1341</v>
      </c>
      <c r="I2623" s="133" t="s">
        <v>1092</v>
      </c>
      <c r="J2623" s="133" t="s">
        <v>2419</v>
      </c>
      <c r="K2623" s="143">
        <v>45778</v>
      </c>
      <c r="L2623" s="133" t="s">
        <v>1092</v>
      </c>
      <c r="M2623" s="133">
        <f>1247.3+5999.3</f>
        <v>7246.6</v>
      </c>
      <c r="N2623" s="147"/>
      <c r="P2623" s="140"/>
    </row>
    <row r="2624" spans="1:16" hidden="1" x14ac:dyDescent="0.35">
      <c r="A2624" s="146"/>
      <c r="B2624" s="143"/>
      <c r="C2624" s="133"/>
      <c r="D2624" s="133"/>
      <c r="E2624" s="145" t="s">
        <v>1067</v>
      </c>
      <c r="F2624" s="145">
        <v>5414</v>
      </c>
      <c r="G2624" s="133" t="s">
        <v>1034</v>
      </c>
      <c r="H2624" s="144" t="s">
        <v>1341</v>
      </c>
      <c r="I2624" s="133" t="s">
        <v>1092</v>
      </c>
      <c r="J2624" s="133" t="s">
        <v>2420</v>
      </c>
      <c r="K2624" s="143">
        <v>45778</v>
      </c>
      <c r="L2624" s="133" t="s">
        <v>1241</v>
      </c>
      <c r="M2624" s="133">
        <v>1070</v>
      </c>
      <c r="N2624" s="147"/>
      <c r="P2624" s="140"/>
    </row>
    <row r="2625" spans="1:16" hidden="1" x14ac:dyDescent="0.35">
      <c r="A2625" s="146"/>
      <c r="B2625" s="143"/>
      <c r="C2625" s="133"/>
      <c r="D2625" s="133"/>
      <c r="E2625" s="145" t="s">
        <v>1075</v>
      </c>
      <c r="F2625" s="145">
        <v>5999.3</v>
      </c>
      <c r="G2625" s="133" t="s">
        <v>1034</v>
      </c>
      <c r="H2625" s="144" t="s">
        <v>1341</v>
      </c>
      <c r="I2625" s="133" t="s">
        <v>1092</v>
      </c>
      <c r="J2625" s="133" t="s">
        <v>2422</v>
      </c>
      <c r="K2625" s="143">
        <v>45778</v>
      </c>
      <c r="L2625" s="133" t="s">
        <v>1092</v>
      </c>
      <c r="M2625" s="133">
        <v>3108</v>
      </c>
      <c r="N2625" s="147"/>
      <c r="P2625" s="140"/>
    </row>
    <row r="2626" spans="1:16" hidden="1" x14ac:dyDescent="0.35">
      <c r="A2626" s="146"/>
      <c r="B2626" s="143"/>
      <c r="C2626" s="133"/>
      <c r="D2626" s="133"/>
      <c r="E2626" s="145" t="s">
        <v>1064</v>
      </c>
      <c r="F2626" s="145">
        <v>1162.5</v>
      </c>
      <c r="G2626" s="133" t="s">
        <v>1034</v>
      </c>
      <c r="H2626" s="144" t="s">
        <v>1341</v>
      </c>
      <c r="I2626" s="133" t="s">
        <v>1092</v>
      </c>
      <c r="J2626" s="133" t="s">
        <v>2444</v>
      </c>
      <c r="K2626" s="143">
        <v>45809</v>
      </c>
      <c r="L2626" s="133" t="s">
        <v>1092</v>
      </c>
      <c r="M2626" s="133">
        <v>6442.2</v>
      </c>
      <c r="N2626" s="147"/>
      <c r="P2626" s="140"/>
    </row>
    <row r="2627" spans="1:16" hidden="1" x14ac:dyDescent="0.35">
      <c r="A2627" s="146"/>
      <c r="B2627" s="143"/>
      <c r="C2627" s="133"/>
      <c r="D2627" s="133"/>
      <c r="E2627" s="145" t="s">
        <v>1071</v>
      </c>
      <c r="F2627" s="145">
        <v>20</v>
      </c>
      <c r="G2627" s="133"/>
      <c r="H2627" s="144"/>
      <c r="I2627" s="133"/>
      <c r="J2627" s="133"/>
      <c r="K2627" s="133"/>
      <c r="L2627" s="133"/>
      <c r="M2627" s="133"/>
      <c r="N2627" s="147"/>
      <c r="P2627" s="140"/>
    </row>
    <row r="2628" spans="1:16" hidden="1" x14ac:dyDescent="0.35">
      <c r="A2628" s="146"/>
      <c r="B2628" s="143"/>
      <c r="C2628" s="133"/>
      <c r="D2628" s="133"/>
      <c r="E2628" s="145" t="s">
        <v>1118</v>
      </c>
      <c r="F2628" s="145">
        <v>1022.5</v>
      </c>
      <c r="G2628" s="133"/>
      <c r="H2628" s="144"/>
      <c r="I2628" s="133"/>
      <c r="J2628" s="133"/>
      <c r="K2628" s="133"/>
      <c r="L2628" s="133"/>
      <c r="M2628" s="133"/>
      <c r="N2628" s="147"/>
      <c r="P2628" s="140"/>
    </row>
    <row r="2629" spans="1:16" hidden="1" x14ac:dyDescent="0.35">
      <c r="A2629" s="146"/>
      <c r="B2629" s="143"/>
      <c r="C2629" s="133"/>
      <c r="D2629" s="133"/>
      <c r="E2629" s="145"/>
      <c r="F2629" s="145"/>
      <c r="G2629" s="133"/>
      <c r="H2629" s="144"/>
      <c r="I2629" s="133"/>
      <c r="J2629" s="133"/>
      <c r="K2629" s="133"/>
      <c r="L2629" s="133"/>
      <c r="M2629" s="133"/>
      <c r="N2629" s="147"/>
      <c r="P2629" s="140"/>
    </row>
    <row r="2630" spans="1:16" hidden="1" x14ac:dyDescent="0.35">
      <c r="A2630" s="149" t="s">
        <v>1364</v>
      </c>
      <c r="B2630" s="143">
        <v>45748</v>
      </c>
      <c r="C2630" s="133" t="s">
        <v>1363</v>
      </c>
      <c r="D2630" s="133" t="s">
        <v>1362</v>
      </c>
      <c r="E2630" s="145" t="s">
        <v>1342</v>
      </c>
      <c r="F2630" s="145">
        <v>3890</v>
      </c>
      <c r="G2630" s="133" t="s">
        <v>1034</v>
      </c>
      <c r="H2630" s="144" t="s">
        <v>1341</v>
      </c>
      <c r="I2630" s="133" t="s">
        <v>1092</v>
      </c>
      <c r="J2630" s="133" t="s">
        <v>2395</v>
      </c>
      <c r="K2630" s="143">
        <v>45778</v>
      </c>
      <c r="L2630" s="133" t="s">
        <v>1092</v>
      </c>
      <c r="M2630" s="133">
        <v>6725.87</v>
      </c>
      <c r="N2630" s="147">
        <f>+F2630+F2631+F2632-M2630-M2631-M2632</f>
        <v>9.0949470177292824E-13</v>
      </c>
      <c r="O2630" s="141"/>
      <c r="P2630" s="140"/>
    </row>
    <row r="2631" spans="1:16" hidden="1" x14ac:dyDescent="0.35">
      <c r="A2631" s="146"/>
      <c r="B2631" s="143"/>
      <c r="C2631" s="133"/>
      <c r="D2631" s="133"/>
      <c r="E2631" s="145" t="s">
        <v>1071</v>
      </c>
      <c r="F2631" s="176">
        <v>1874.4</v>
      </c>
      <c r="G2631" s="133" t="s">
        <v>1034</v>
      </c>
      <c r="H2631" s="144" t="s">
        <v>1341</v>
      </c>
      <c r="I2631" s="133" t="s">
        <v>1092</v>
      </c>
      <c r="J2631" s="133" t="s">
        <v>2444</v>
      </c>
      <c r="K2631" s="143">
        <v>45809</v>
      </c>
      <c r="L2631" s="133" t="s">
        <v>1092</v>
      </c>
      <c r="M2631" s="133">
        <v>5144.3999999999996</v>
      </c>
      <c r="N2631" s="147"/>
      <c r="P2631" s="140"/>
    </row>
    <row r="2632" spans="1:16" hidden="1" x14ac:dyDescent="0.35">
      <c r="A2632" s="146"/>
      <c r="B2632" s="143"/>
      <c r="C2632" s="133"/>
      <c r="D2632" s="133"/>
      <c r="E2632" s="145" t="s">
        <v>1078</v>
      </c>
      <c r="F2632" s="145">
        <v>6725.87</v>
      </c>
      <c r="G2632" s="133" t="s">
        <v>1034</v>
      </c>
      <c r="H2632" s="144" t="s">
        <v>1341</v>
      </c>
      <c r="I2632" s="133" t="s">
        <v>1092</v>
      </c>
      <c r="J2632" s="133" t="s">
        <v>2487</v>
      </c>
      <c r="K2632" s="143">
        <v>45839</v>
      </c>
      <c r="L2632" s="133" t="s">
        <v>1241</v>
      </c>
      <c r="M2632" s="133">
        <v>620</v>
      </c>
      <c r="N2632" s="147"/>
      <c r="P2632" s="140"/>
    </row>
    <row r="2633" spans="1:16" hidden="1" x14ac:dyDescent="0.35">
      <c r="A2633" s="146"/>
      <c r="B2633" s="143"/>
      <c r="C2633" s="133"/>
      <c r="D2633" s="133"/>
      <c r="E2633" s="145"/>
      <c r="F2633" s="145"/>
      <c r="G2633" s="133"/>
      <c r="H2633" s="144"/>
      <c r="I2633" s="133"/>
      <c r="J2633" s="133"/>
      <c r="K2633" s="133"/>
      <c r="L2633" s="133"/>
      <c r="M2633" s="133"/>
      <c r="N2633" s="147"/>
      <c r="P2633" s="140"/>
    </row>
    <row r="2634" spans="1:16" hidden="1" x14ac:dyDescent="0.35">
      <c r="A2634" s="149" t="s">
        <v>1361</v>
      </c>
      <c r="B2634" s="143">
        <v>45748</v>
      </c>
      <c r="C2634" s="133" t="s">
        <v>1360</v>
      </c>
      <c r="D2634" s="133" t="s">
        <v>1357</v>
      </c>
      <c r="E2634" s="145" t="s">
        <v>1075</v>
      </c>
      <c r="F2634" s="145">
        <v>7008</v>
      </c>
      <c r="G2634" s="133" t="s">
        <v>1034</v>
      </c>
      <c r="H2634" s="144" t="s">
        <v>1341</v>
      </c>
      <c r="I2634" s="133" t="s">
        <v>1092</v>
      </c>
      <c r="J2634" s="133" t="s">
        <v>2419</v>
      </c>
      <c r="K2634" s="143">
        <v>45778</v>
      </c>
      <c r="L2634" s="133" t="s">
        <v>1092</v>
      </c>
      <c r="M2634" s="133">
        <v>6657</v>
      </c>
      <c r="N2634" s="147">
        <f>+F2634-M2634-M2635</f>
        <v>0</v>
      </c>
      <c r="O2634" s="141"/>
      <c r="P2634" s="140"/>
    </row>
    <row r="2635" spans="1:16" hidden="1" x14ac:dyDescent="0.35">
      <c r="A2635" s="149"/>
      <c r="B2635" s="143"/>
      <c r="C2635" s="133"/>
      <c r="D2635" s="133"/>
      <c r="E2635" s="145"/>
      <c r="F2635" s="160"/>
      <c r="G2635" s="133" t="s">
        <v>1034</v>
      </c>
      <c r="H2635" s="144" t="s">
        <v>1341</v>
      </c>
      <c r="I2635" s="133" t="s">
        <v>1092</v>
      </c>
      <c r="J2635" s="133" t="s">
        <v>2487</v>
      </c>
      <c r="K2635" s="143">
        <v>45839</v>
      </c>
      <c r="L2635" s="133" t="s">
        <v>1241</v>
      </c>
      <c r="M2635" s="133">
        <v>351</v>
      </c>
      <c r="N2635" s="147"/>
      <c r="O2635" s="141"/>
      <c r="P2635" s="140"/>
    </row>
    <row r="2636" spans="1:16" hidden="1" x14ac:dyDescent="0.35">
      <c r="A2636" s="146"/>
      <c r="B2636" s="143"/>
      <c r="C2636" s="133"/>
      <c r="D2636" s="133"/>
      <c r="E2636" s="145"/>
      <c r="F2636" s="176"/>
      <c r="G2636" s="133"/>
      <c r="H2636" s="144"/>
      <c r="I2636" s="133"/>
      <c r="J2636" s="133"/>
      <c r="K2636" s="133"/>
      <c r="L2636" s="133"/>
      <c r="M2636" s="133"/>
      <c r="N2636" s="147"/>
      <c r="P2636" s="140"/>
    </row>
    <row r="2637" spans="1:16" hidden="1" x14ac:dyDescent="0.35">
      <c r="A2637" s="149" t="s">
        <v>1359</v>
      </c>
      <c r="B2637" s="143">
        <v>45748</v>
      </c>
      <c r="C2637" s="133" t="s">
        <v>1358</v>
      </c>
      <c r="D2637" s="133" t="s">
        <v>1357</v>
      </c>
      <c r="E2637" s="148" t="s">
        <v>1059</v>
      </c>
      <c r="F2637" s="145">
        <v>50000</v>
      </c>
      <c r="G2637" s="133" t="s">
        <v>1034</v>
      </c>
      <c r="H2637" s="144" t="s">
        <v>1341</v>
      </c>
      <c r="I2637" s="133" t="s">
        <v>1092</v>
      </c>
      <c r="J2637" s="133" t="s">
        <v>2380</v>
      </c>
      <c r="K2637" s="143">
        <v>45748</v>
      </c>
      <c r="L2637" s="133" t="s">
        <v>1092</v>
      </c>
      <c r="M2637" s="133">
        <v>28552.66</v>
      </c>
      <c r="N2637" s="147">
        <f>+F2637-M2637-M2638-M2639</f>
        <v>0</v>
      </c>
      <c r="O2637" s="141"/>
      <c r="P2637" s="140"/>
    </row>
    <row r="2638" spans="1:16" hidden="1" x14ac:dyDescent="0.35">
      <c r="A2638" s="146"/>
      <c r="B2638" s="143"/>
      <c r="C2638" s="133"/>
      <c r="D2638" s="133"/>
      <c r="E2638" s="145"/>
      <c r="F2638" s="145"/>
      <c r="G2638" s="133" t="s">
        <v>1034</v>
      </c>
      <c r="H2638" s="144" t="s">
        <v>1341</v>
      </c>
      <c r="I2638" s="133" t="s">
        <v>1092</v>
      </c>
      <c r="J2638" s="133" t="s">
        <v>2395</v>
      </c>
      <c r="K2638" s="143">
        <v>45778</v>
      </c>
      <c r="L2638" s="133" t="s">
        <v>1092</v>
      </c>
      <c r="M2638" s="133">
        <v>8156.73</v>
      </c>
      <c r="N2638" s="147"/>
      <c r="P2638" s="140"/>
    </row>
    <row r="2639" spans="1:16" hidden="1" x14ac:dyDescent="0.35">
      <c r="A2639" s="146"/>
      <c r="B2639" s="143"/>
      <c r="C2639" s="133"/>
      <c r="D2639" s="133"/>
      <c r="E2639" s="145"/>
      <c r="F2639" s="145"/>
      <c r="G2639" s="133" t="s">
        <v>1034</v>
      </c>
      <c r="H2639" s="144" t="s">
        <v>1341</v>
      </c>
      <c r="I2639" s="133" t="s">
        <v>1092</v>
      </c>
      <c r="J2639" s="133" t="s">
        <v>2401</v>
      </c>
      <c r="K2639" s="143">
        <v>45778</v>
      </c>
      <c r="L2639" s="133" t="s">
        <v>1092</v>
      </c>
      <c r="M2639" s="133">
        <v>13290.61</v>
      </c>
      <c r="N2639" s="147"/>
      <c r="P2639" s="140"/>
    </row>
    <row r="2640" spans="1:16" hidden="1" x14ac:dyDescent="0.35">
      <c r="A2640" s="146"/>
      <c r="B2640" s="143"/>
      <c r="C2640" s="133"/>
      <c r="D2640" s="133"/>
      <c r="E2640" s="145"/>
      <c r="F2640" s="145"/>
      <c r="G2640" s="133"/>
      <c r="H2640" s="144"/>
      <c r="I2640" s="133"/>
      <c r="J2640" s="133"/>
      <c r="K2640" s="143"/>
      <c r="L2640" s="133"/>
      <c r="M2640" s="133"/>
      <c r="N2640" s="147"/>
      <c r="P2640" s="140"/>
    </row>
    <row r="2641" spans="1:16" hidden="1" x14ac:dyDescent="0.35">
      <c r="A2641" s="149" t="s">
        <v>2381</v>
      </c>
      <c r="B2641" s="143">
        <v>45748</v>
      </c>
      <c r="C2641" s="133" t="s">
        <v>1356</v>
      </c>
      <c r="D2641" s="133" t="s">
        <v>1355</v>
      </c>
      <c r="E2641" s="145" t="s">
        <v>1342</v>
      </c>
      <c r="F2641" s="145">
        <v>5712</v>
      </c>
      <c r="G2641" s="133" t="s">
        <v>1034</v>
      </c>
      <c r="H2641" s="144" t="s">
        <v>1341</v>
      </c>
      <c r="I2641" s="133" t="s">
        <v>1092</v>
      </c>
      <c r="J2641" s="133" t="s">
        <v>2401</v>
      </c>
      <c r="K2641" s="143">
        <v>45778</v>
      </c>
      <c r="L2641" s="133" t="s">
        <v>1092</v>
      </c>
      <c r="M2641" s="133">
        <f>2913.4+30.6</f>
        <v>2944</v>
      </c>
      <c r="N2641" s="147">
        <f>+F2641+F2642+F2643+F2644-M2641-M2642-M2643</f>
        <v>0</v>
      </c>
      <c r="O2641" s="141"/>
      <c r="P2641" s="140"/>
    </row>
    <row r="2642" spans="1:16" hidden="1" x14ac:dyDescent="0.35">
      <c r="A2642" s="146"/>
      <c r="B2642" s="143"/>
      <c r="C2642" s="133"/>
      <c r="D2642" s="133"/>
      <c r="E2642" s="145" t="s">
        <v>1071</v>
      </c>
      <c r="F2642" s="176">
        <v>176.6</v>
      </c>
      <c r="G2642" s="133" t="s">
        <v>1034</v>
      </c>
      <c r="H2642" s="144" t="s">
        <v>1341</v>
      </c>
      <c r="I2642" s="133" t="s">
        <v>1092</v>
      </c>
      <c r="J2642" s="133" t="s">
        <v>2444</v>
      </c>
      <c r="K2642" s="143">
        <v>45809</v>
      </c>
      <c r="L2642" s="133" t="s">
        <v>1092</v>
      </c>
      <c r="M2642" s="133">
        <v>5598.6</v>
      </c>
      <c r="N2642" s="147"/>
      <c r="P2642" s="140"/>
    </row>
    <row r="2643" spans="1:16" hidden="1" x14ac:dyDescent="0.35">
      <c r="A2643" s="146"/>
      <c r="B2643" s="143"/>
      <c r="C2643" s="133"/>
      <c r="D2643" s="133"/>
      <c r="E2643" s="145" t="s">
        <v>1118</v>
      </c>
      <c r="F2643" s="145">
        <v>2913.4</v>
      </c>
      <c r="G2643" s="133" t="s">
        <v>1034</v>
      </c>
      <c r="H2643" s="144" t="s">
        <v>1341</v>
      </c>
      <c r="I2643" s="133" t="s">
        <v>1092</v>
      </c>
      <c r="J2643" s="133" t="s">
        <v>2487</v>
      </c>
      <c r="K2643" s="143">
        <v>45839</v>
      </c>
      <c r="L2643" s="133" t="s">
        <v>1241</v>
      </c>
      <c r="M2643" s="133">
        <v>290</v>
      </c>
      <c r="N2643" s="147"/>
      <c r="P2643" s="140"/>
    </row>
    <row r="2644" spans="1:16" hidden="1" x14ac:dyDescent="0.35">
      <c r="A2644" s="146"/>
      <c r="B2644" s="143"/>
      <c r="C2644" s="133"/>
      <c r="D2644" s="133"/>
      <c r="E2644" s="145" t="s">
        <v>1067</v>
      </c>
      <c r="F2644" s="145">
        <v>30.6</v>
      </c>
      <c r="G2644" s="133"/>
      <c r="H2644" s="144"/>
      <c r="I2644" s="133"/>
      <c r="J2644" s="133"/>
      <c r="K2644" s="133"/>
      <c r="L2644" s="133"/>
      <c r="M2644" s="133"/>
      <c r="N2644" s="147"/>
      <c r="P2644" s="140"/>
    </row>
    <row r="2645" spans="1:16" hidden="1" x14ac:dyDescent="0.35">
      <c r="A2645" s="146"/>
      <c r="B2645" s="143"/>
      <c r="C2645" s="133"/>
      <c r="D2645" s="133"/>
      <c r="E2645" s="145"/>
      <c r="F2645" s="145"/>
      <c r="G2645" s="133"/>
      <c r="H2645" s="144"/>
      <c r="I2645" s="133"/>
      <c r="J2645" s="133"/>
      <c r="K2645" s="133"/>
      <c r="L2645" s="133"/>
      <c r="M2645" s="133"/>
      <c r="N2645" s="147"/>
      <c r="P2645" s="140"/>
    </row>
    <row r="2646" spans="1:16" hidden="1" x14ac:dyDescent="0.35">
      <c r="A2646" s="149" t="s">
        <v>2382</v>
      </c>
      <c r="B2646" s="143">
        <v>45748</v>
      </c>
      <c r="C2646" s="133" t="s">
        <v>1354</v>
      </c>
      <c r="D2646" s="133" t="s">
        <v>1353</v>
      </c>
      <c r="E2646" s="145" t="s">
        <v>1064</v>
      </c>
      <c r="F2646" s="145">
        <v>2636.5</v>
      </c>
      <c r="G2646" s="133" t="s">
        <v>1034</v>
      </c>
      <c r="H2646" s="144" t="s">
        <v>1341</v>
      </c>
      <c r="I2646" s="133" t="s">
        <v>1092</v>
      </c>
      <c r="J2646" s="133" t="s">
        <v>2444</v>
      </c>
      <c r="K2646" s="143">
        <v>45809</v>
      </c>
      <c r="L2646" s="133" t="s">
        <v>1092</v>
      </c>
      <c r="M2646" s="133">
        <v>2845.3</v>
      </c>
      <c r="N2646" s="147">
        <f>+F2646+F2647-M2646-M2647</f>
        <v>0</v>
      </c>
      <c r="O2646" s="141"/>
      <c r="P2646" s="140"/>
    </row>
    <row r="2647" spans="1:16" hidden="1" x14ac:dyDescent="0.35">
      <c r="A2647" s="146"/>
      <c r="B2647" s="143"/>
      <c r="C2647" s="133"/>
      <c r="D2647" s="133"/>
      <c r="E2647" s="145" t="s">
        <v>1075</v>
      </c>
      <c r="F2647" s="176">
        <v>356.8</v>
      </c>
      <c r="G2647" s="133" t="s">
        <v>1034</v>
      </c>
      <c r="H2647" s="144" t="s">
        <v>1341</v>
      </c>
      <c r="I2647" s="133" t="s">
        <v>1092</v>
      </c>
      <c r="J2647" s="133" t="s">
        <v>2487</v>
      </c>
      <c r="K2647" s="143">
        <v>45839</v>
      </c>
      <c r="L2647" s="133" t="s">
        <v>1241</v>
      </c>
      <c r="M2647" s="133">
        <v>148</v>
      </c>
      <c r="N2647" s="147"/>
      <c r="P2647" s="140"/>
    </row>
    <row r="2648" spans="1:16" hidden="1" x14ac:dyDescent="0.35">
      <c r="A2648" s="146"/>
      <c r="B2648" s="143"/>
      <c r="C2648" s="133"/>
      <c r="D2648" s="133"/>
      <c r="E2648" s="145"/>
      <c r="F2648" s="145"/>
      <c r="G2648" s="133"/>
      <c r="H2648" s="144"/>
      <c r="I2648" s="133"/>
      <c r="J2648" s="133"/>
      <c r="K2648" s="133"/>
      <c r="L2648" s="133"/>
      <c r="M2648" s="133"/>
      <c r="N2648" s="147"/>
      <c r="P2648" s="140"/>
    </row>
    <row r="2649" spans="1:16" hidden="1" x14ac:dyDescent="0.35">
      <c r="A2649" s="149" t="s">
        <v>2383</v>
      </c>
      <c r="B2649" s="143">
        <v>45748</v>
      </c>
      <c r="C2649" s="133" t="s">
        <v>1352</v>
      </c>
      <c r="D2649" s="133" t="s">
        <v>1351</v>
      </c>
      <c r="E2649" s="145" t="s">
        <v>1118</v>
      </c>
      <c r="F2649" s="145">
        <v>1371.6</v>
      </c>
      <c r="G2649" s="133" t="s">
        <v>1034</v>
      </c>
      <c r="H2649" s="144" t="s">
        <v>1341</v>
      </c>
      <c r="I2649" s="133" t="s">
        <v>1092</v>
      </c>
      <c r="J2649" s="133" t="s">
        <v>2401</v>
      </c>
      <c r="K2649" s="143">
        <v>45778</v>
      </c>
      <c r="L2649" s="133" t="s">
        <v>1092</v>
      </c>
      <c r="M2649" s="133">
        <f>1371.6+394.3</f>
        <v>1765.8999999999999</v>
      </c>
      <c r="N2649" s="147">
        <f>+F2649+F2650+F2651+F2652-M2649-M2650-M2651</f>
        <v>9.0949470177292824E-13</v>
      </c>
      <c r="O2649" s="141"/>
      <c r="P2649" s="140"/>
    </row>
    <row r="2650" spans="1:16" hidden="1" x14ac:dyDescent="0.35">
      <c r="A2650" s="146"/>
      <c r="B2650" s="143"/>
      <c r="C2650" s="133"/>
      <c r="D2650" s="133"/>
      <c r="E2650" s="145" t="s">
        <v>1075</v>
      </c>
      <c r="F2650" s="176">
        <v>2101</v>
      </c>
      <c r="G2650" s="133" t="s">
        <v>1034</v>
      </c>
      <c r="H2650" s="144" t="s">
        <v>1341</v>
      </c>
      <c r="I2650" s="133" t="s">
        <v>1092</v>
      </c>
      <c r="J2650" s="133" t="s">
        <v>2444</v>
      </c>
      <c r="K2650" s="143">
        <v>45809</v>
      </c>
      <c r="L2650" s="133" t="s">
        <v>1092</v>
      </c>
      <c r="M2650" s="133">
        <v>5244</v>
      </c>
      <c r="N2650" s="147"/>
      <c r="P2650" s="140"/>
    </row>
    <row r="2651" spans="1:16" hidden="1" x14ac:dyDescent="0.35">
      <c r="A2651" s="146"/>
      <c r="B2651" s="143"/>
      <c r="C2651" s="133"/>
      <c r="D2651" s="133"/>
      <c r="E2651" s="145" t="s">
        <v>1342</v>
      </c>
      <c r="F2651" s="145">
        <v>3419</v>
      </c>
      <c r="G2651" s="133" t="s">
        <v>1034</v>
      </c>
      <c r="H2651" s="144" t="s">
        <v>1341</v>
      </c>
      <c r="I2651" s="133" t="s">
        <v>1092</v>
      </c>
      <c r="J2651" s="133" t="s">
        <v>2487</v>
      </c>
      <c r="K2651" s="143">
        <v>45839</v>
      </c>
      <c r="L2651" s="133" t="s">
        <v>1241</v>
      </c>
      <c r="M2651" s="133">
        <v>276</v>
      </c>
      <c r="N2651" s="147"/>
      <c r="P2651" s="140"/>
    </row>
    <row r="2652" spans="1:16" hidden="1" x14ac:dyDescent="0.35">
      <c r="A2652" s="146"/>
      <c r="B2652" s="143"/>
      <c r="C2652" s="133"/>
      <c r="D2652" s="133"/>
      <c r="E2652" s="145" t="s">
        <v>1067</v>
      </c>
      <c r="F2652" s="145">
        <v>394.3</v>
      </c>
      <c r="G2652" s="133"/>
      <c r="H2652" s="144"/>
      <c r="I2652" s="133"/>
      <c r="J2652" s="133"/>
      <c r="K2652" s="133"/>
      <c r="L2652" s="133"/>
      <c r="M2652" s="133"/>
      <c r="N2652" s="147"/>
      <c r="P2652" s="140"/>
    </row>
    <row r="2653" spans="1:16" hidden="1" x14ac:dyDescent="0.35">
      <c r="A2653" s="146"/>
      <c r="B2653" s="143"/>
      <c r="C2653" s="133"/>
      <c r="D2653" s="133"/>
      <c r="E2653" s="145"/>
      <c r="F2653" s="145"/>
      <c r="G2653" s="133"/>
      <c r="H2653" s="144"/>
      <c r="I2653" s="133"/>
      <c r="J2653" s="133"/>
      <c r="K2653" s="133"/>
      <c r="L2653" s="133"/>
      <c r="M2653" s="133"/>
      <c r="N2653" s="147"/>
      <c r="P2653" s="140"/>
    </row>
    <row r="2654" spans="1:16" hidden="1" x14ac:dyDescent="0.35">
      <c r="A2654" s="149" t="s">
        <v>2384</v>
      </c>
      <c r="B2654" s="143">
        <v>45748</v>
      </c>
      <c r="C2654" s="133" t="s">
        <v>1350</v>
      </c>
      <c r="D2654" s="133" t="s">
        <v>1095</v>
      </c>
      <c r="E2654" s="145" t="s">
        <v>1071</v>
      </c>
      <c r="F2654" s="145">
        <v>1359.6</v>
      </c>
      <c r="G2654" s="133" t="s">
        <v>1034</v>
      </c>
      <c r="H2654" s="144" t="s">
        <v>1341</v>
      </c>
      <c r="I2654" s="133" t="s">
        <v>1092</v>
      </c>
      <c r="J2654" s="133" t="s">
        <v>2407</v>
      </c>
      <c r="K2654" s="143">
        <v>45778</v>
      </c>
      <c r="L2654" s="133" t="s">
        <v>1092</v>
      </c>
      <c r="M2654" s="133">
        <v>1827.6</v>
      </c>
      <c r="N2654" s="147">
        <f>+F2654+F2655+F2656+F2657+F2658-M2654-M2655-M2656</f>
        <v>-9.0949470177292824E-13</v>
      </c>
      <c r="O2654" s="141"/>
      <c r="P2654" s="140"/>
    </row>
    <row r="2655" spans="1:16" hidden="1" x14ac:dyDescent="0.35">
      <c r="A2655" s="146"/>
      <c r="B2655" s="143"/>
      <c r="C2655" s="133"/>
      <c r="D2655" s="133"/>
      <c r="E2655" s="145" t="s">
        <v>1118</v>
      </c>
      <c r="F2655" s="176">
        <v>1827.6</v>
      </c>
      <c r="G2655" s="133" t="s">
        <v>1034</v>
      </c>
      <c r="H2655" s="144" t="s">
        <v>1341</v>
      </c>
      <c r="I2655" s="133" t="s">
        <v>1092</v>
      </c>
      <c r="J2655" s="133" t="s">
        <v>2444</v>
      </c>
      <c r="K2655" s="143">
        <v>45809</v>
      </c>
      <c r="L2655" s="133" t="s">
        <v>1092</v>
      </c>
      <c r="M2655" s="133">
        <v>7578.8</v>
      </c>
      <c r="N2655" s="147"/>
      <c r="P2655" s="140"/>
    </row>
    <row r="2656" spans="1:16" hidden="1" x14ac:dyDescent="0.35">
      <c r="A2656" s="146"/>
      <c r="B2656" s="143"/>
      <c r="C2656" s="133"/>
      <c r="D2656" s="133"/>
      <c r="E2656" s="145" t="s">
        <v>1067</v>
      </c>
      <c r="F2656" s="145">
        <v>592.5</v>
      </c>
      <c r="G2656" s="133" t="s">
        <v>1034</v>
      </c>
      <c r="H2656" s="144" t="s">
        <v>1341</v>
      </c>
      <c r="I2656" s="133" t="s">
        <v>1092</v>
      </c>
      <c r="J2656" s="133" t="s">
        <v>2487</v>
      </c>
      <c r="K2656" s="143">
        <v>45839</v>
      </c>
      <c r="L2656" s="133" t="s">
        <v>1241</v>
      </c>
      <c r="M2656" s="133">
        <v>390</v>
      </c>
      <c r="N2656" s="147"/>
      <c r="P2656" s="140"/>
    </row>
    <row r="2657" spans="1:16" hidden="1" x14ac:dyDescent="0.35">
      <c r="A2657" s="146"/>
      <c r="B2657" s="143"/>
      <c r="C2657" s="133"/>
      <c r="D2657" s="133"/>
      <c r="E2657" s="145" t="s">
        <v>1342</v>
      </c>
      <c r="F2657" s="145">
        <v>3924</v>
      </c>
      <c r="G2657" s="133"/>
      <c r="H2657" s="144"/>
      <c r="I2657" s="133"/>
      <c r="J2657" s="133"/>
      <c r="K2657" s="133"/>
      <c r="L2657" s="133"/>
      <c r="M2657" s="133"/>
      <c r="N2657" s="147"/>
      <c r="P2657" s="140"/>
    </row>
    <row r="2658" spans="1:16" hidden="1" x14ac:dyDescent="0.35">
      <c r="A2658" s="146"/>
      <c r="B2658" s="143"/>
      <c r="C2658" s="133"/>
      <c r="D2658" s="133"/>
      <c r="E2658" s="145" t="s">
        <v>1064</v>
      </c>
      <c r="F2658" s="145">
        <v>2092.6999999999998</v>
      </c>
      <c r="G2658" s="133"/>
      <c r="H2658" s="144"/>
      <c r="I2658" s="133"/>
      <c r="J2658" s="133"/>
      <c r="K2658" s="133"/>
      <c r="L2658" s="133"/>
      <c r="M2658" s="133"/>
      <c r="N2658" s="147"/>
      <c r="P2658" s="140"/>
    </row>
    <row r="2659" spans="1:16" hidden="1" x14ac:dyDescent="0.35">
      <c r="A2659" s="146"/>
      <c r="B2659" s="143"/>
      <c r="C2659" s="133"/>
      <c r="D2659" s="133"/>
      <c r="E2659" s="145"/>
      <c r="F2659" s="145"/>
      <c r="G2659" s="133"/>
      <c r="H2659" s="144"/>
      <c r="I2659" s="133"/>
      <c r="J2659" s="133"/>
      <c r="K2659" s="133"/>
      <c r="L2659" s="133"/>
      <c r="M2659" s="133"/>
      <c r="N2659" s="147"/>
      <c r="P2659" s="140"/>
    </row>
    <row r="2660" spans="1:16" hidden="1" x14ac:dyDescent="0.35">
      <c r="A2660" s="149" t="s">
        <v>2385</v>
      </c>
      <c r="B2660" s="143">
        <v>45748</v>
      </c>
      <c r="C2660" s="133" t="s">
        <v>1349</v>
      </c>
      <c r="D2660" s="133" t="s">
        <v>1347</v>
      </c>
      <c r="E2660" s="145" t="s">
        <v>1064</v>
      </c>
      <c r="F2660" s="145">
        <v>2138.9</v>
      </c>
      <c r="G2660" s="133" t="s">
        <v>1034</v>
      </c>
      <c r="H2660" s="144" t="s">
        <v>1341</v>
      </c>
      <c r="I2660" s="133" t="s">
        <v>1092</v>
      </c>
      <c r="J2660" s="133" t="s">
        <v>2444</v>
      </c>
      <c r="K2660" s="143">
        <v>45809</v>
      </c>
      <c r="L2660" s="133" t="s">
        <v>1092</v>
      </c>
      <c r="M2660" s="133">
        <v>2037.9</v>
      </c>
      <c r="N2660" s="147">
        <f>+F2660-M2660-M2661</f>
        <v>0</v>
      </c>
      <c r="O2660" s="141"/>
      <c r="P2660" s="140"/>
    </row>
    <row r="2661" spans="1:16" hidden="1" x14ac:dyDescent="0.35">
      <c r="A2661" s="146"/>
      <c r="B2661" s="143"/>
      <c r="C2661" s="133"/>
      <c r="D2661" s="133"/>
      <c r="E2661" s="145"/>
      <c r="F2661" s="176"/>
      <c r="G2661" s="133" t="s">
        <v>1034</v>
      </c>
      <c r="H2661" s="144" t="s">
        <v>1341</v>
      </c>
      <c r="I2661" s="133" t="s">
        <v>1092</v>
      </c>
      <c r="J2661" s="133" t="s">
        <v>2487</v>
      </c>
      <c r="K2661" s="143">
        <v>45839</v>
      </c>
      <c r="L2661" s="133" t="s">
        <v>1241</v>
      </c>
      <c r="M2661" s="133">
        <v>101</v>
      </c>
      <c r="N2661" s="147"/>
      <c r="P2661" s="140"/>
    </row>
    <row r="2662" spans="1:16" hidden="1" x14ac:dyDescent="0.35">
      <c r="A2662" s="146"/>
      <c r="B2662" s="143"/>
      <c r="C2662" s="133"/>
      <c r="D2662" s="133"/>
      <c r="E2662" s="145"/>
      <c r="F2662" s="176"/>
      <c r="G2662" s="133"/>
      <c r="H2662" s="144"/>
      <c r="I2662" s="133"/>
      <c r="J2662" s="133"/>
      <c r="K2662" s="143"/>
      <c r="L2662" s="133"/>
      <c r="M2662" s="133"/>
      <c r="N2662" s="147"/>
      <c r="P2662" s="140"/>
    </row>
    <row r="2663" spans="1:16" hidden="1" x14ac:dyDescent="0.35">
      <c r="A2663" s="149" t="s">
        <v>2386</v>
      </c>
      <c r="B2663" s="143">
        <v>45748</v>
      </c>
      <c r="C2663" s="133" t="s">
        <v>1348</v>
      </c>
      <c r="D2663" s="133" t="s">
        <v>1347</v>
      </c>
      <c r="E2663" s="148" t="s">
        <v>1059</v>
      </c>
      <c r="F2663" s="145">
        <v>56000</v>
      </c>
      <c r="G2663" s="133" t="s">
        <v>1034</v>
      </c>
      <c r="H2663" s="144" t="s">
        <v>1341</v>
      </c>
      <c r="I2663" s="133" t="s">
        <v>1092</v>
      </c>
      <c r="J2663" s="133" t="s">
        <v>2401</v>
      </c>
      <c r="K2663" s="143">
        <v>45778</v>
      </c>
      <c r="L2663" s="133" t="s">
        <v>1092</v>
      </c>
      <c r="M2663" s="133">
        <v>14778.09</v>
      </c>
      <c r="N2663" s="147">
        <f>+F2663-M2663-M2664-M2665-M2666-M2668-M2669</f>
        <v>0</v>
      </c>
      <c r="O2663" s="141"/>
      <c r="P2663" s="140"/>
    </row>
    <row r="2664" spans="1:16" hidden="1" x14ac:dyDescent="0.35">
      <c r="A2664" s="146"/>
      <c r="B2664" s="143"/>
      <c r="C2664" s="133"/>
      <c r="D2664" s="133"/>
      <c r="E2664" s="145"/>
      <c r="F2664" s="145"/>
      <c r="G2664" s="133" t="s">
        <v>1034</v>
      </c>
      <c r="H2664" s="144" t="s">
        <v>1341</v>
      </c>
      <c r="I2664" s="133" t="s">
        <v>1092</v>
      </c>
      <c r="J2664" s="133" t="s">
        <v>2407</v>
      </c>
      <c r="K2664" s="143">
        <v>45778</v>
      </c>
      <c r="L2664" s="133" t="s">
        <v>1092</v>
      </c>
      <c r="M2664" s="133">
        <v>16601.63</v>
      </c>
      <c r="N2664" s="147"/>
      <c r="P2664" s="140"/>
    </row>
    <row r="2665" spans="1:16" hidden="1" x14ac:dyDescent="0.35">
      <c r="A2665" s="146"/>
      <c r="B2665" s="143"/>
      <c r="C2665" s="133"/>
      <c r="D2665" s="133"/>
      <c r="E2665" s="145"/>
      <c r="F2665" s="145"/>
      <c r="G2665" s="133" t="s">
        <v>1034</v>
      </c>
      <c r="H2665" s="144" t="s">
        <v>1341</v>
      </c>
      <c r="I2665" s="133" t="s">
        <v>1092</v>
      </c>
      <c r="J2665" s="133" t="s">
        <v>2419</v>
      </c>
      <c r="K2665" s="143">
        <v>45778</v>
      </c>
      <c r="L2665" s="133" t="s">
        <v>1092</v>
      </c>
      <c r="M2665" s="133">
        <v>10312.790000000001</v>
      </c>
      <c r="N2665" s="147"/>
      <c r="P2665" s="140"/>
    </row>
    <row r="2666" spans="1:16" hidden="1" x14ac:dyDescent="0.35">
      <c r="A2666" s="146"/>
      <c r="B2666" s="143"/>
      <c r="C2666" s="133"/>
      <c r="D2666" s="133"/>
      <c r="E2666" s="145"/>
      <c r="F2666" s="145"/>
      <c r="G2666" s="133" t="s">
        <v>1034</v>
      </c>
      <c r="H2666" s="144" t="s">
        <v>1341</v>
      </c>
      <c r="I2666" s="133" t="s">
        <v>1092</v>
      </c>
      <c r="J2666" s="133" t="s">
        <v>2420</v>
      </c>
      <c r="K2666" s="143">
        <v>45778</v>
      </c>
      <c r="L2666" s="133" t="s">
        <v>1241</v>
      </c>
      <c r="M2666" s="133">
        <v>1680</v>
      </c>
      <c r="N2666" s="147"/>
      <c r="P2666" s="140"/>
    </row>
    <row r="2667" spans="1:16" hidden="1" x14ac:dyDescent="0.35">
      <c r="A2667" s="146"/>
      <c r="B2667" s="143"/>
      <c r="C2667" s="133"/>
      <c r="D2667" s="133"/>
      <c r="E2667" s="145"/>
      <c r="F2667" s="145"/>
      <c r="G2667" s="133"/>
      <c r="H2667" s="144"/>
      <c r="I2667" s="133"/>
      <c r="J2667" s="133"/>
      <c r="K2667" s="143"/>
      <c r="L2667" s="133"/>
      <c r="M2667" s="133"/>
      <c r="N2667" s="147"/>
      <c r="P2667" s="140"/>
    </row>
    <row r="2668" spans="1:16" hidden="1" x14ac:dyDescent="0.35">
      <c r="A2668" s="146"/>
      <c r="B2668" s="143"/>
      <c r="C2668" s="133"/>
      <c r="D2668" s="133"/>
      <c r="E2668" s="145"/>
      <c r="F2668" s="145"/>
      <c r="G2668" s="133" t="s">
        <v>1034</v>
      </c>
      <c r="H2668" s="144" t="s">
        <v>1341</v>
      </c>
      <c r="I2668" s="133" t="s">
        <v>1092</v>
      </c>
      <c r="J2668" s="133" t="s">
        <v>2422</v>
      </c>
      <c r="K2668" s="143">
        <v>45778</v>
      </c>
      <c r="L2668" s="133" t="s">
        <v>1092</v>
      </c>
      <c r="M2668" s="133">
        <v>10288</v>
      </c>
      <c r="N2668" s="147"/>
      <c r="P2668" s="140"/>
    </row>
    <row r="2669" spans="1:16" hidden="1" x14ac:dyDescent="0.35">
      <c r="A2669" s="146"/>
      <c r="B2669" s="143"/>
      <c r="C2669" s="133"/>
      <c r="D2669" s="133"/>
      <c r="E2669" s="145"/>
      <c r="F2669" s="145"/>
      <c r="G2669" s="133" t="s">
        <v>1034</v>
      </c>
      <c r="H2669" s="144" t="s">
        <v>1341</v>
      </c>
      <c r="I2669" s="133" t="s">
        <v>1092</v>
      </c>
      <c r="J2669" s="133" t="s">
        <v>2428</v>
      </c>
      <c r="K2669" s="143">
        <v>45809</v>
      </c>
      <c r="L2669" s="133" t="s">
        <v>1092</v>
      </c>
      <c r="M2669" s="133">
        <v>2339.4899999999998</v>
      </c>
      <c r="N2669" s="147"/>
      <c r="P2669" s="140"/>
    </row>
    <row r="2670" spans="1:16" hidden="1" x14ac:dyDescent="0.35">
      <c r="A2670" s="146"/>
      <c r="B2670" s="143"/>
      <c r="C2670" s="133"/>
      <c r="D2670" s="133"/>
      <c r="E2670" s="145"/>
      <c r="F2670" s="145"/>
      <c r="G2670" s="133"/>
      <c r="H2670" s="144"/>
      <c r="I2670" s="133"/>
      <c r="J2670" s="133"/>
      <c r="K2670" s="143"/>
      <c r="L2670" s="133"/>
      <c r="M2670" s="133"/>
      <c r="N2670" s="147"/>
      <c r="P2670" s="140"/>
    </row>
    <row r="2671" spans="1:16" hidden="1" x14ac:dyDescent="0.35">
      <c r="A2671" s="149" t="s">
        <v>2387</v>
      </c>
      <c r="B2671" s="143">
        <v>45748</v>
      </c>
      <c r="C2671" s="133" t="s">
        <v>1346</v>
      </c>
      <c r="D2671" s="133" t="s">
        <v>1345</v>
      </c>
      <c r="E2671" s="145" t="s">
        <v>1075</v>
      </c>
      <c r="F2671" s="145">
        <v>7842</v>
      </c>
      <c r="G2671" s="133" t="s">
        <v>1034</v>
      </c>
      <c r="H2671" s="144" t="s">
        <v>1341</v>
      </c>
      <c r="I2671" s="133" t="s">
        <v>1092</v>
      </c>
      <c r="J2671" s="133" t="s">
        <v>2407</v>
      </c>
      <c r="K2671" s="143">
        <v>45778</v>
      </c>
      <c r="L2671" s="133" t="s">
        <v>1092</v>
      </c>
      <c r="M2671" s="133">
        <v>1059.7</v>
      </c>
      <c r="N2671" s="147">
        <f>+F2671+F2672+F2673+F2674-M2671-M2672-M2673</f>
        <v>0</v>
      </c>
      <c r="O2671" s="141"/>
      <c r="P2671" s="140"/>
    </row>
    <row r="2672" spans="1:16" hidden="1" x14ac:dyDescent="0.35">
      <c r="A2672" s="146"/>
      <c r="B2672" s="143"/>
      <c r="C2672" s="133"/>
      <c r="D2672" s="133"/>
      <c r="E2672" s="145" t="s">
        <v>1118</v>
      </c>
      <c r="F2672" s="176">
        <v>1059.7</v>
      </c>
      <c r="G2672" s="133" t="s">
        <v>1034</v>
      </c>
      <c r="H2672" s="144" t="s">
        <v>1341</v>
      </c>
      <c r="I2672" s="133" t="s">
        <v>1092</v>
      </c>
      <c r="J2672" s="133" t="s">
        <v>2444</v>
      </c>
      <c r="K2672" s="143">
        <v>45809</v>
      </c>
      <c r="L2672" s="133" t="s">
        <v>1092</v>
      </c>
      <c r="M2672" s="133">
        <v>12075</v>
      </c>
      <c r="N2672" s="147"/>
      <c r="P2672" s="140"/>
    </row>
    <row r="2673" spans="1:16" hidden="1" x14ac:dyDescent="0.35">
      <c r="A2673" s="146"/>
      <c r="B2673" s="143"/>
      <c r="C2673" s="133"/>
      <c r="D2673" s="133"/>
      <c r="E2673" s="145" t="s">
        <v>1067</v>
      </c>
      <c r="F2673" s="145">
        <v>2121</v>
      </c>
      <c r="G2673" s="133" t="s">
        <v>1034</v>
      </c>
      <c r="H2673" s="144" t="s">
        <v>1341</v>
      </c>
      <c r="I2673" s="133" t="s">
        <v>1092</v>
      </c>
      <c r="J2673" s="133" t="s">
        <v>2487</v>
      </c>
      <c r="K2673" s="143">
        <v>45839</v>
      </c>
      <c r="L2673" s="133" t="s">
        <v>1241</v>
      </c>
      <c r="M2673" s="133">
        <v>621</v>
      </c>
      <c r="N2673" s="147"/>
      <c r="P2673" s="140"/>
    </row>
    <row r="2674" spans="1:16" hidden="1" x14ac:dyDescent="0.35">
      <c r="A2674" s="146"/>
      <c r="B2674" s="143"/>
      <c r="C2674" s="133"/>
      <c r="D2674" s="133"/>
      <c r="E2674" s="145" t="s">
        <v>1342</v>
      </c>
      <c r="F2674" s="145">
        <v>2733</v>
      </c>
      <c r="G2674" s="133"/>
      <c r="H2674" s="144"/>
      <c r="I2674" s="133"/>
      <c r="J2674" s="133"/>
      <c r="K2674" s="133"/>
      <c r="L2674" s="133"/>
      <c r="M2674" s="133"/>
      <c r="N2674" s="147"/>
      <c r="P2674" s="140"/>
    </row>
    <row r="2675" spans="1:16" hidden="1" x14ac:dyDescent="0.35">
      <c r="A2675" s="146"/>
      <c r="B2675" s="143"/>
      <c r="C2675" s="133"/>
      <c r="D2675" s="133"/>
      <c r="E2675" s="145"/>
      <c r="F2675" s="145"/>
      <c r="G2675" s="133"/>
      <c r="H2675" s="144"/>
      <c r="I2675" s="133"/>
      <c r="J2675" s="133"/>
      <c r="K2675" s="133"/>
      <c r="L2675" s="133"/>
      <c r="M2675" s="133"/>
      <c r="N2675" s="147"/>
      <c r="P2675" s="140"/>
    </row>
    <row r="2676" spans="1:16" hidden="1" x14ac:dyDescent="0.35">
      <c r="A2676" s="149" t="s">
        <v>2388</v>
      </c>
      <c r="B2676" s="143">
        <v>45748</v>
      </c>
      <c r="C2676" s="133" t="s">
        <v>1344</v>
      </c>
      <c r="D2676" s="133" t="s">
        <v>1343</v>
      </c>
      <c r="E2676" s="145" t="s">
        <v>1342</v>
      </c>
      <c r="F2676" s="145">
        <v>3490</v>
      </c>
      <c r="G2676" s="133" t="s">
        <v>1034</v>
      </c>
      <c r="H2676" s="144" t="s">
        <v>1341</v>
      </c>
      <c r="I2676" s="133" t="s">
        <v>1092</v>
      </c>
      <c r="J2676" s="133" t="s">
        <v>2444</v>
      </c>
      <c r="K2676" s="143">
        <v>45809</v>
      </c>
      <c r="L2676" s="133" t="s">
        <v>1092</v>
      </c>
      <c r="M2676" s="133">
        <v>7523</v>
      </c>
      <c r="N2676" s="147">
        <f>+F2676+F2677-M2676-M2677</f>
        <v>0</v>
      </c>
      <c r="O2676" s="141"/>
      <c r="P2676" s="140"/>
    </row>
    <row r="2677" spans="1:16" hidden="1" x14ac:dyDescent="0.35">
      <c r="A2677" s="146"/>
      <c r="B2677" s="143"/>
      <c r="C2677" s="133"/>
      <c r="D2677" s="133"/>
      <c r="E2677" s="145" t="s">
        <v>1067</v>
      </c>
      <c r="F2677" s="176">
        <v>4413</v>
      </c>
      <c r="G2677" s="133" t="s">
        <v>1034</v>
      </c>
      <c r="H2677" s="144" t="s">
        <v>1341</v>
      </c>
      <c r="I2677" s="133" t="s">
        <v>1092</v>
      </c>
      <c r="J2677" s="133" t="s">
        <v>2487</v>
      </c>
      <c r="K2677" s="143">
        <v>45839</v>
      </c>
      <c r="L2677" s="133" t="s">
        <v>1241</v>
      </c>
      <c r="M2677" s="133">
        <v>380</v>
      </c>
      <c r="N2677" s="147"/>
      <c r="P2677" s="140"/>
    </row>
    <row r="2678" spans="1:16" hidden="1" x14ac:dyDescent="0.35">
      <c r="A2678" s="146"/>
      <c r="B2678" s="143"/>
      <c r="C2678" s="133"/>
      <c r="D2678" s="133"/>
      <c r="E2678" s="145"/>
      <c r="F2678" s="145"/>
      <c r="G2678" s="133"/>
      <c r="H2678" s="144"/>
      <c r="I2678" s="133"/>
      <c r="J2678" s="133"/>
      <c r="K2678" s="133"/>
      <c r="L2678" s="133"/>
      <c r="M2678" s="133"/>
      <c r="N2678" s="147"/>
      <c r="P2678" s="140"/>
    </row>
    <row r="2679" spans="1:16" hidden="1" x14ac:dyDescent="0.35">
      <c r="A2679" s="149">
        <v>17</v>
      </c>
      <c r="B2679" s="143">
        <v>45748</v>
      </c>
      <c r="C2679" s="133" t="s">
        <v>1910</v>
      </c>
      <c r="D2679" s="133" t="s">
        <v>2357</v>
      </c>
      <c r="E2679" s="145" t="s">
        <v>1075</v>
      </c>
      <c r="F2679" s="145">
        <v>5536</v>
      </c>
      <c r="G2679" s="133" t="s">
        <v>1034</v>
      </c>
      <c r="H2679" s="144" t="s">
        <v>1341</v>
      </c>
      <c r="I2679" s="133" t="s">
        <v>1092</v>
      </c>
      <c r="J2679" s="133" t="s">
        <v>2407</v>
      </c>
      <c r="K2679" s="143">
        <v>45778</v>
      </c>
      <c r="L2679" s="133" t="s">
        <v>1092</v>
      </c>
      <c r="M2679" s="133">
        <v>965.5</v>
      </c>
      <c r="N2679" s="147">
        <f>+F2679+F2680+F2681+F2682-M2679-M2680-M2681</f>
        <v>0</v>
      </c>
      <c r="O2679" s="141"/>
      <c r="P2679" s="140"/>
    </row>
    <row r="2680" spans="1:16" hidden="1" x14ac:dyDescent="0.35">
      <c r="A2680" s="146"/>
      <c r="B2680" s="143"/>
      <c r="C2680" s="133"/>
      <c r="D2680" s="133"/>
      <c r="E2680" s="145" t="s">
        <v>1118</v>
      </c>
      <c r="F2680" s="176">
        <v>965.5</v>
      </c>
      <c r="G2680" s="133" t="s">
        <v>1034</v>
      </c>
      <c r="H2680" s="144" t="s">
        <v>1341</v>
      </c>
      <c r="I2680" s="133" t="s">
        <v>1092</v>
      </c>
      <c r="J2680" s="133" t="s">
        <v>2452</v>
      </c>
      <c r="K2680" s="143">
        <v>45809</v>
      </c>
      <c r="L2680" s="133" t="s">
        <v>1092</v>
      </c>
      <c r="M2680" s="133">
        <v>9690</v>
      </c>
      <c r="N2680" s="147"/>
      <c r="P2680" s="140"/>
    </row>
    <row r="2681" spans="1:16" hidden="1" x14ac:dyDescent="0.35">
      <c r="A2681" s="146"/>
      <c r="B2681" s="143"/>
      <c r="C2681" s="133"/>
      <c r="D2681" s="133"/>
      <c r="E2681" s="145" t="s">
        <v>1067</v>
      </c>
      <c r="F2681" s="145">
        <v>1085</v>
      </c>
      <c r="G2681" s="133" t="s">
        <v>1034</v>
      </c>
      <c r="H2681" s="144" t="s">
        <v>1341</v>
      </c>
      <c r="I2681" s="133" t="s">
        <v>1092</v>
      </c>
      <c r="J2681" s="133" t="s">
        <v>2487</v>
      </c>
      <c r="K2681" s="143">
        <v>45839</v>
      </c>
      <c r="L2681" s="133" t="s">
        <v>1241</v>
      </c>
      <c r="M2681" s="133">
        <v>489</v>
      </c>
      <c r="N2681" s="147"/>
      <c r="P2681" s="140"/>
    </row>
    <row r="2682" spans="1:16" hidden="1" x14ac:dyDescent="0.35">
      <c r="A2682" s="146"/>
      <c r="B2682" s="143"/>
      <c r="C2682" s="133"/>
      <c r="D2682" s="133"/>
      <c r="E2682" s="145" t="s">
        <v>1342</v>
      </c>
      <c r="F2682" s="145">
        <v>3558</v>
      </c>
      <c r="G2682" s="133"/>
      <c r="H2682" s="144"/>
      <c r="I2682" s="133"/>
      <c r="J2682" s="133"/>
      <c r="K2682" s="133"/>
      <c r="L2682" s="133"/>
      <c r="M2682" s="133"/>
      <c r="N2682" s="147"/>
      <c r="P2682" s="140"/>
    </row>
    <row r="2683" spans="1:16" hidden="1" x14ac:dyDescent="0.35">
      <c r="A2683" s="146"/>
      <c r="B2683" s="143"/>
      <c r="C2683" s="133"/>
      <c r="D2683" s="133"/>
      <c r="E2683" s="145"/>
      <c r="F2683" s="145"/>
      <c r="G2683" s="133"/>
      <c r="H2683" s="144"/>
      <c r="I2683" s="133"/>
      <c r="J2683" s="133"/>
      <c r="K2683" s="133"/>
      <c r="L2683" s="133"/>
      <c r="M2683" s="133"/>
      <c r="N2683" s="147"/>
      <c r="P2683" s="140"/>
    </row>
    <row r="2684" spans="1:16" hidden="1" x14ac:dyDescent="0.35">
      <c r="A2684" s="149">
        <v>18</v>
      </c>
      <c r="B2684" s="143">
        <v>45748</v>
      </c>
      <c r="C2684" s="133" t="s">
        <v>1908</v>
      </c>
      <c r="D2684" s="133" t="s">
        <v>2362</v>
      </c>
      <c r="E2684" s="145" t="s">
        <v>1064</v>
      </c>
      <c r="F2684" s="145">
        <v>1769.1</v>
      </c>
      <c r="G2684" s="133" t="s">
        <v>1034</v>
      </c>
      <c r="H2684" s="144" t="s">
        <v>1341</v>
      </c>
      <c r="I2684" s="133" t="s">
        <v>1092</v>
      </c>
      <c r="J2684" s="133" t="s">
        <v>2455</v>
      </c>
      <c r="K2684" s="143">
        <v>45839</v>
      </c>
      <c r="L2684" s="133" t="s">
        <v>1092</v>
      </c>
      <c r="M2684" s="133">
        <v>2834</v>
      </c>
      <c r="N2684" s="147">
        <f>+F2684+F2685-M2684-M2685</f>
        <v>0</v>
      </c>
      <c r="O2684" s="141"/>
      <c r="P2684" s="140"/>
    </row>
    <row r="2685" spans="1:16" hidden="1" x14ac:dyDescent="0.35">
      <c r="A2685" s="146"/>
      <c r="B2685" s="143"/>
      <c r="C2685" s="133"/>
      <c r="D2685" s="133"/>
      <c r="E2685" s="145" t="s">
        <v>1075</v>
      </c>
      <c r="F2685" s="176">
        <v>1204.9000000000001</v>
      </c>
      <c r="G2685" s="133" t="s">
        <v>1034</v>
      </c>
      <c r="H2685" s="144" t="s">
        <v>1341</v>
      </c>
      <c r="I2685" s="133" t="s">
        <v>1092</v>
      </c>
      <c r="J2685" s="133" t="s">
        <v>2487</v>
      </c>
      <c r="K2685" s="143">
        <v>45839</v>
      </c>
      <c r="L2685" s="133" t="s">
        <v>1241</v>
      </c>
      <c r="M2685" s="133">
        <v>140</v>
      </c>
      <c r="N2685" s="147"/>
      <c r="P2685" s="140"/>
    </row>
    <row r="2686" spans="1:16" hidden="1" x14ac:dyDescent="0.35">
      <c r="A2686" s="146"/>
      <c r="B2686" s="143"/>
      <c r="C2686" s="133"/>
      <c r="D2686" s="133"/>
      <c r="E2686" s="145"/>
      <c r="F2686" s="145"/>
      <c r="G2686" s="133"/>
      <c r="H2686" s="144"/>
      <c r="I2686" s="133"/>
      <c r="J2686" s="133"/>
      <c r="K2686" s="133"/>
      <c r="L2686" s="133"/>
      <c r="M2686" s="133"/>
      <c r="N2686" s="147"/>
      <c r="P2686" s="140"/>
    </row>
    <row r="2687" spans="1:16" hidden="1" x14ac:dyDescent="0.35">
      <c r="A2687" s="149">
        <v>19</v>
      </c>
      <c r="B2687" s="143">
        <v>45748</v>
      </c>
      <c r="C2687" s="133" t="s">
        <v>1906</v>
      </c>
      <c r="D2687" s="133" t="s">
        <v>2363</v>
      </c>
      <c r="E2687" s="145" t="s">
        <v>1075</v>
      </c>
      <c r="F2687" s="145">
        <v>8703</v>
      </c>
      <c r="G2687" s="133" t="s">
        <v>1034</v>
      </c>
      <c r="H2687" s="144" t="s">
        <v>1341</v>
      </c>
      <c r="I2687" s="133" t="s">
        <v>1092</v>
      </c>
      <c r="J2687" s="133" t="s">
        <v>2407</v>
      </c>
      <c r="K2687" s="143">
        <v>45778</v>
      </c>
      <c r="L2687" s="133" t="s">
        <v>1092</v>
      </c>
      <c r="M2687" s="133">
        <v>1198.5</v>
      </c>
      <c r="N2687" s="147">
        <f>+F2687+F2688+F2689+F2690-M2687-M2688-M2689-M2690</f>
        <v>0</v>
      </c>
      <c r="O2687" s="141"/>
      <c r="P2687" s="140"/>
    </row>
    <row r="2688" spans="1:16" hidden="1" x14ac:dyDescent="0.35">
      <c r="A2688" s="146"/>
      <c r="B2688" s="143"/>
      <c r="C2688" s="133"/>
      <c r="D2688" s="133"/>
      <c r="E2688" s="145" t="s">
        <v>1118</v>
      </c>
      <c r="F2688" s="176">
        <v>4138.8999999999996</v>
      </c>
      <c r="G2688" s="133" t="s">
        <v>1034</v>
      </c>
      <c r="H2688" s="144" t="s">
        <v>1341</v>
      </c>
      <c r="I2688" s="133" t="s">
        <v>1092</v>
      </c>
      <c r="J2688" s="133" t="s">
        <v>2419</v>
      </c>
      <c r="K2688" s="143">
        <v>45778</v>
      </c>
      <c r="L2688" s="133" t="s">
        <v>1092</v>
      </c>
      <c r="M2688" s="133">
        <v>2940.4</v>
      </c>
      <c r="N2688" s="147"/>
      <c r="P2688" s="140"/>
    </row>
    <row r="2689" spans="1:16" hidden="1" x14ac:dyDescent="0.35">
      <c r="A2689" s="146"/>
      <c r="B2689" s="143"/>
      <c r="C2689" s="133"/>
      <c r="D2689" s="133"/>
      <c r="E2689" s="145" t="s">
        <v>1071</v>
      </c>
      <c r="F2689" s="145">
        <v>691.7</v>
      </c>
      <c r="G2689" s="133" t="s">
        <v>1034</v>
      </c>
      <c r="H2689" s="144" t="s">
        <v>1341</v>
      </c>
      <c r="I2689" s="133" t="s">
        <v>1092</v>
      </c>
      <c r="J2689" s="133" t="s">
        <v>2460</v>
      </c>
      <c r="K2689" s="143">
        <v>45839</v>
      </c>
      <c r="L2689" s="133" t="s">
        <v>1092</v>
      </c>
      <c r="M2689" s="133">
        <v>11603.7</v>
      </c>
      <c r="N2689" s="147"/>
      <c r="P2689" s="140"/>
    </row>
    <row r="2690" spans="1:16" hidden="1" x14ac:dyDescent="0.35">
      <c r="A2690" s="146"/>
      <c r="B2690" s="143"/>
      <c r="C2690" s="133"/>
      <c r="D2690" s="133"/>
      <c r="E2690" s="145" t="s">
        <v>1342</v>
      </c>
      <c r="F2690" s="145">
        <v>2809</v>
      </c>
      <c r="G2690" s="133" t="s">
        <v>1034</v>
      </c>
      <c r="H2690" s="144" t="s">
        <v>1341</v>
      </c>
      <c r="I2690" s="133" t="s">
        <v>1092</v>
      </c>
      <c r="J2690" s="133" t="s">
        <v>2487</v>
      </c>
      <c r="K2690" s="143">
        <v>45839</v>
      </c>
      <c r="L2690" s="133" t="s">
        <v>1241</v>
      </c>
      <c r="M2690" s="133">
        <v>600</v>
      </c>
      <c r="N2690" s="147"/>
      <c r="P2690" s="140"/>
    </row>
    <row r="2691" spans="1:16" hidden="1" x14ac:dyDescent="0.35">
      <c r="A2691" s="146"/>
      <c r="B2691" s="143"/>
      <c r="C2691" s="133"/>
      <c r="D2691" s="133"/>
      <c r="E2691" s="145"/>
      <c r="F2691" s="145"/>
      <c r="G2691" s="133"/>
      <c r="H2691" s="144"/>
      <c r="I2691" s="133"/>
      <c r="J2691" s="133"/>
      <c r="K2691" s="133"/>
      <c r="L2691" s="133"/>
      <c r="M2691" s="133"/>
      <c r="N2691" s="147"/>
      <c r="P2691" s="140"/>
    </row>
    <row r="2692" spans="1:16" hidden="1" x14ac:dyDescent="0.35">
      <c r="A2692" s="149">
        <v>20</v>
      </c>
      <c r="B2692" s="143">
        <v>45748</v>
      </c>
      <c r="C2692" s="133" t="s">
        <v>1904</v>
      </c>
      <c r="D2692" s="133" t="s">
        <v>2368</v>
      </c>
      <c r="E2692" s="145" t="s">
        <v>1118</v>
      </c>
      <c r="F2692" s="145">
        <v>1005.5</v>
      </c>
      <c r="G2692" s="133" t="s">
        <v>1034</v>
      </c>
      <c r="H2692" s="144" t="s">
        <v>1341</v>
      </c>
      <c r="I2692" s="133" t="s">
        <v>1092</v>
      </c>
      <c r="J2692" s="133" t="s">
        <v>2419</v>
      </c>
      <c r="K2692" s="143">
        <v>45778</v>
      </c>
      <c r="L2692" s="133" t="s">
        <v>1092</v>
      </c>
      <c r="M2692" s="133">
        <v>1005.5</v>
      </c>
      <c r="N2692" s="147">
        <f>+F2692+F2693-M2692-M2693-M2694</f>
        <v>0</v>
      </c>
      <c r="O2692" s="141"/>
      <c r="P2692" s="140"/>
    </row>
    <row r="2693" spans="1:16" hidden="1" x14ac:dyDescent="0.35">
      <c r="A2693" s="146"/>
      <c r="B2693" s="143"/>
      <c r="C2693" s="133"/>
      <c r="D2693" s="133"/>
      <c r="E2693" s="145" t="s">
        <v>1075</v>
      </c>
      <c r="F2693" s="176">
        <v>2285</v>
      </c>
      <c r="G2693" s="133" t="s">
        <v>1034</v>
      </c>
      <c r="H2693" s="144" t="s">
        <v>1341</v>
      </c>
      <c r="I2693" s="133" t="s">
        <v>1092</v>
      </c>
      <c r="J2693" s="133" t="s">
        <v>2460</v>
      </c>
      <c r="K2693" s="143">
        <v>45839</v>
      </c>
      <c r="L2693" s="133" t="s">
        <v>1092</v>
      </c>
      <c r="M2693" s="133">
        <v>2175</v>
      </c>
      <c r="N2693" s="147"/>
      <c r="P2693" s="140"/>
    </row>
    <row r="2694" spans="1:16" hidden="1" x14ac:dyDescent="0.35">
      <c r="A2694" s="146"/>
      <c r="B2694" s="143"/>
      <c r="C2694" s="133"/>
      <c r="D2694" s="133"/>
      <c r="E2694" s="145"/>
      <c r="F2694" s="176"/>
      <c r="G2694" s="133" t="s">
        <v>1034</v>
      </c>
      <c r="H2694" s="144" t="s">
        <v>1341</v>
      </c>
      <c r="I2694" s="133" t="s">
        <v>1092</v>
      </c>
      <c r="J2694" s="133" t="s">
        <v>2487</v>
      </c>
      <c r="K2694" s="143">
        <v>45839</v>
      </c>
      <c r="L2694" s="133" t="s">
        <v>1241</v>
      </c>
      <c r="M2694" s="133">
        <v>110</v>
      </c>
      <c r="N2694" s="147"/>
      <c r="P2694" s="140"/>
    </row>
    <row r="2695" spans="1:16" hidden="1" x14ac:dyDescent="0.35">
      <c r="A2695" s="149"/>
      <c r="B2695" s="143"/>
      <c r="C2695" s="133"/>
      <c r="D2695" s="133"/>
      <c r="E2695" s="148"/>
      <c r="F2695" s="145"/>
      <c r="G2695" s="133"/>
      <c r="H2695" s="144"/>
      <c r="I2695" s="133"/>
      <c r="J2695" s="133"/>
      <c r="K2695" s="133"/>
      <c r="L2695" s="133"/>
      <c r="M2695" s="133"/>
      <c r="N2695" s="147"/>
      <c r="O2695" s="141"/>
      <c r="P2695" s="140"/>
    </row>
    <row r="2696" spans="1:16" hidden="1" x14ac:dyDescent="0.35">
      <c r="A2696" s="149">
        <v>21</v>
      </c>
      <c r="B2696" s="143">
        <v>45748</v>
      </c>
      <c r="C2696" s="133" t="s">
        <v>1902</v>
      </c>
      <c r="D2696" s="133" t="s">
        <v>2371</v>
      </c>
      <c r="E2696" s="145" t="s">
        <v>1064</v>
      </c>
      <c r="F2696" s="145">
        <v>2251.8000000000002</v>
      </c>
      <c r="G2696" s="133" t="s">
        <v>1034</v>
      </c>
      <c r="H2696" s="144" t="s">
        <v>1341</v>
      </c>
      <c r="I2696" s="133" t="s">
        <v>1092</v>
      </c>
      <c r="J2696" s="133" t="s">
        <v>2460</v>
      </c>
      <c r="K2696" s="143">
        <v>45839</v>
      </c>
      <c r="L2696" s="133" t="s">
        <v>1092</v>
      </c>
      <c r="M2696" s="133">
        <v>6834.9000000000005</v>
      </c>
      <c r="N2696" s="147">
        <f>+F2696+F2697-M2696-M2697</f>
        <v>0</v>
      </c>
      <c r="O2696" s="141"/>
      <c r="P2696" s="140"/>
    </row>
    <row r="2697" spans="1:16" hidden="1" x14ac:dyDescent="0.35">
      <c r="A2697" s="146"/>
      <c r="B2697" s="143"/>
      <c r="C2697" s="133"/>
      <c r="D2697" s="133"/>
      <c r="E2697" s="145" t="s">
        <v>1075</v>
      </c>
      <c r="F2697" s="176">
        <v>4933.1000000000004</v>
      </c>
      <c r="G2697" s="133" t="s">
        <v>1034</v>
      </c>
      <c r="H2697" s="144" t="s">
        <v>1341</v>
      </c>
      <c r="I2697" s="133" t="s">
        <v>1092</v>
      </c>
      <c r="J2697" s="133" t="s">
        <v>2487</v>
      </c>
      <c r="K2697" s="143">
        <v>45839</v>
      </c>
      <c r="L2697" s="133" t="s">
        <v>1241</v>
      </c>
      <c r="M2697" s="133">
        <v>350</v>
      </c>
      <c r="N2697" s="147"/>
      <c r="P2697" s="140"/>
    </row>
    <row r="2698" spans="1:16" hidden="1" x14ac:dyDescent="0.35">
      <c r="A2698" s="149"/>
      <c r="B2698" s="143"/>
      <c r="C2698" s="133"/>
      <c r="D2698" s="133"/>
      <c r="E2698" s="148"/>
      <c r="F2698" s="145"/>
      <c r="G2698" s="133"/>
      <c r="H2698" s="144"/>
      <c r="I2698" s="133"/>
      <c r="J2698" s="133"/>
      <c r="K2698" s="133"/>
      <c r="L2698" s="133"/>
      <c r="M2698" s="133"/>
      <c r="N2698" s="147"/>
      <c r="O2698" s="141"/>
      <c r="P2698" s="140"/>
    </row>
    <row r="2699" spans="1:16" hidden="1" x14ac:dyDescent="0.35">
      <c r="A2699" s="149">
        <v>22</v>
      </c>
      <c r="B2699" s="143">
        <v>45748</v>
      </c>
      <c r="C2699" s="133" t="s">
        <v>1900</v>
      </c>
      <c r="D2699" s="133" t="s">
        <v>2370</v>
      </c>
      <c r="E2699" s="145" t="s">
        <v>1118</v>
      </c>
      <c r="F2699" s="145">
        <v>4710.5</v>
      </c>
      <c r="G2699" s="133" t="s">
        <v>1034</v>
      </c>
      <c r="H2699" s="144" t="s">
        <v>1341</v>
      </c>
      <c r="I2699" s="133" t="s">
        <v>1092</v>
      </c>
      <c r="J2699" s="133" t="s">
        <v>2419</v>
      </c>
      <c r="K2699" s="143">
        <v>45778</v>
      </c>
      <c r="L2699" s="133" t="s">
        <v>1092</v>
      </c>
      <c r="M2699" s="133">
        <v>651.70000000000005</v>
      </c>
      <c r="N2699" s="147">
        <f>+F2699+F2700+F2701-M2699-M2700-M2701-M2702-M2703</f>
        <v>0</v>
      </c>
      <c r="O2699" s="141"/>
      <c r="P2699" s="140"/>
    </row>
    <row r="2700" spans="1:16" hidden="1" x14ac:dyDescent="0.35">
      <c r="A2700" s="146"/>
      <c r="B2700" s="143"/>
      <c r="C2700" s="133"/>
      <c r="D2700" s="133"/>
      <c r="E2700" s="145" t="s">
        <v>1342</v>
      </c>
      <c r="F2700" s="176">
        <v>3383</v>
      </c>
      <c r="G2700" s="133" t="s">
        <v>1034</v>
      </c>
      <c r="H2700" s="144" t="s">
        <v>1341</v>
      </c>
      <c r="I2700" s="133" t="s">
        <v>1092</v>
      </c>
      <c r="J2700" s="133" t="s">
        <v>2422</v>
      </c>
      <c r="K2700" s="143">
        <v>45778</v>
      </c>
      <c r="L2700" s="133" t="s">
        <v>1092</v>
      </c>
      <c r="M2700" s="133">
        <v>1450</v>
      </c>
      <c r="N2700" s="147"/>
      <c r="P2700" s="140"/>
    </row>
    <row r="2701" spans="1:16" hidden="1" x14ac:dyDescent="0.35">
      <c r="A2701" s="149"/>
      <c r="B2701" s="143"/>
      <c r="C2701" s="133"/>
      <c r="D2701" s="133"/>
      <c r="E2701" s="145" t="s">
        <v>1067</v>
      </c>
      <c r="F2701" s="145">
        <v>15</v>
      </c>
      <c r="G2701" s="133" t="s">
        <v>1034</v>
      </c>
      <c r="H2701" s="144" t="s">
        <v>1341</v>
      </c>
      <c r="I2701" s="133" t="s">
        <v>1092</v>
      </c>
      <c r="J2701" s="133" t="s">
        <v>2428</v>
      </c>
      <c r="K2701" s="143">
        <v>45809</v>
      </c>
      <c r="L2701" s="133" t="s">
        <v>1092</v>
      </c>
      <c r="M2701" s="133">
        <v>2608.8000000000002</v>
      </c>
      <c r="N2701" s="147"/>
      <c r="O2701" s="141"/>
      <c r="P2701" s="140"/>
    </row>
    <row r="2702" spans="1:16" hidden="1" x14ac:dyDescent="0.35">
      <c r="A2702" s="149"/>
      <c r="B2702" s="143"/>
      <c r="C2702" s="133"/>
      <c r="D2702" s="133"/>
      <c r="E2702" s="148"/>
      <c r="F2702" s="145"/>
      <c r="G2702" s="133" t="s">
        <v>1034</v>
      </c>
      <c r="H2702" s="144" t="s">
        <v>1341</v>
      </c>
      <c r="I2702" s="133" t="s">
        <v>1092</v>
      </c>
      <c r="J2702" s="133" t="s">
        <v>2460</v>
      </c>
      <c r="K2702" s="143">
        <v>45839</v>
      </c>
      <c r="L2702" s="133" t="s">
        <v>1092</v>
      </c>
      <c r="M2702" s="133">
        <v>3248</v>
      </c>
      <c r="N2702" s="147"/>
      <c r="O2702" s="141"/>
      <c r="P2702" s="140"/>
    </row>
    <row r="2703" spans="1:16" hidden="1" x14ac:dyDescent="0.35">
      <c r="A2703" s="149"/>
      <c r="B2703" s="143"/>
      <c r="C2703" s="133"/>
      <c r="D2703" s="133"/>
      <c r="E2703" s="148"/>
      <c r="F2703" s="145"/>
      <c r="G2703" s="133" t="s">
        <v>1034</v>
      </c>
      <c r="H2703" s="144" t="s">
        <v>1341</v>
      </c>
      <c r="I2703" s="133" t="s">
        <v>1092</v>
      </c>
      <c r="J2703" s="133" t="s">
        <v>2487</v>
      </c>
      <c r="K2703" s="143">
        <v>45839</v>
      </c>
      <c r="L2703" s="133" t="s">
        <v>1241</v>
      </c>
      <c r="M2703" s="133">
        <v>150</v>
      </c>
      <c r="N2703" s="147"/>
      <c r="O2703" s="141"/>
      <c r="P2703" s="140"/>
    </row>
    <row r="2704" spans="1:16" hidden="1" x14ac:dyDescent="0.35">
      <c r="A2704" s="149"/>
      <c r="B2704" s="143"/>
      <c r="C2704" s="133"/>
      <c r="D2704" s="133"/>
      <c r="E2704" s="148"/>
      <c r="F2704" s="145"/>
      <c r="G2704" s="133"/>
      <c r="H2704" s="144"/>
      <c r="I2704" s="133"/>
      <c r="J2704" s="133"/>
      <c r="K2704" s="143"/>
      <c r="L2704" s="133"/>
      <c r="M2704" s="133"/>
      <c r="N2704" s="147"/>
      <c r="O2704" s="141"/>
      <c r="P2704" s="140"/>
    </row>
    <row r="2705" spans="1:16" hidden="1" x14ac:dyDescent="0.35">
      <c r="A2705" s="149">
        <v>23</v>
      </c>
      <c r="B2705" s="143">
        <v>45748</v>
      </c>
      <c r="C2705" s="133" t="s">
        <v>1898</v>
      </c>
      <c r="D2705" s="133" t="s">
        <v>2378</v>
      </c>
      <c r="E2705" s="145" t="s">
        <v>1071</v>
      </c>
      <c r="F2705" s="145">
        <v>251.3</v>
      </c>
      <c r="G2705" s="133" t="s">
        <v>1034</v>
      </c>
      <c r="H2705" s="144" t="s">
        <v>1341</v>
      </c>
      <c r="I2705" s="133" t="s">
        <v>1092</v>
      </c>
      <c r="J2705" s="133" t="s">
        <v>2465</v>
      </c>
      <c r="K2705" s="143">
        <v>45839</v>
      </c>
      <c r="L2705" s="133" t="s">
        <v>1092</v>
      </c>
      <c r="M2705" s="133">
        <v>3381.9</v>
      </c>
      <c r="N2705" s="147">
        <f>+F2705+F2706+F2707-M2705-M2706</f>
        <v>0</v>
      </c>
      <c r="O2705" s="141"/>
      <c r="P2705" s="140"/>
    </row>
    <row r="2706" spans="1:16" hidden="1" x14ac:dyDescent="0.35">
      <c r="A2706" s="146"/>
      <c r="B2706" s="143"/>
      <c r="C2706" s="133"/>
      <c r="D2706" s="133"/>
      <c r="E2706" s="145" t="s">
        <v>1342</v>
      </c>
      <c r="F2706" s="176">
        <v>2332</v>
      </c>
      <c r="G2706" s="133" t="s">
        <v>1034</v>
      </c>
      <c r="H2706" s="144" t="s">
        <v>1341</v>
      </c>
      <c r="I2706" s="133" t="s">
        <v>1092</v>
      </c>
      <c r="J2706" s="133" t="s">
        <v>2487</v>
      </c>
      <c r="K2706" s="143">
        <v>45839</v>
      </c>
      <c r="L2706" s="133" t="s">
        <v>1241</v>
      </c>
      <c r="M2706" s="133">
        <v>160</v>
      </c>
      <c r="N2706" s="147"/>
      <c r="P2706" s="140"/>
    </row>
    <row r="2707" spans="1:16" hidden="1" x14ac:dyDescent="0.35">
      <c r="A2707" s="149"/>
      <c r="B2707" s="143"/>
      <c r="C2707" s="133"/>
      <c r="D2707" s="133"/>
      <c r="E2707" s="145" t="s">
        <v>1067</v>
      </c>
      <c r="F2707" s="145">
        <v>958.6</v>
      </c>
      <c r="G2707" s="133"/>
      <c r="H2707" s="144"/>
      <c r="I2707" s="133"/>
      <c r="J2707" s="133"/>
      <c r="K2707" s="133"/>
      <c r="L2707" s="133"/>
      <c r="M2707" s="133"/>
      <c r="N2707" s="147"/>
      <c r="O2707" s="141"/>
      <c r="P2707" s="140"/>
    </row>
    <row r="2708" spans="1:16" hidden="1" x14ac:dyDescent="0.35">
      <c r="A2708" s="149"/>
      <c r="B2708" s="143"/>
      <c r="C2708" s="133"/>
      <c r="D2708" s="133"/>
      <c r="E2708" s="148"/>
      <c r="F2708" s="145"/>
      <c r="G2708" s="133"/>
      <c r="H2708" s="144"/>
      <c r="I2708" s="133"/>
      <c r="J2708" s="133"/>
      <c r="K2708" s="133"/>
      <c r="L2708" s="133"/>
      <c r="M2708" s="133"/>
      <c r="N2708" s="147"/>
      <c r="O2708" s="141"/>
      <c r="P2708" s="140"/>
    </row>
    <row r="2709" spans="1:16" hidden="1" x14ac:dyDescent="0.35">
      <c r="A2709" s="149">
        <v>24</v>
      </c>
      <c r="B2709" s="143">
        <v>45748</v>
      </c>
      <c r="C2709" s="133" t="s">
        <v>1897</v>
      </c>
      <c r="D2709" s="133" t="s">
        <v>2379</v>
      </c>
      <c r="E2709" s="145" t="s">
        <v>1067</v>
      </c>
      <c r="F2709" s="145">
        <v>596</v>
      </c>
      <c r="G2709" s="133" t="s">
        <v>1034</v>
      </c>
      <c r="H2709" s="144" t="s">
        <v>1341</v>
      </c>
      <c r="I2709" s="133" t="s">
        <v>1092</v>
      </c>
      <c r="J2709" s="133" t="s">
        <v>2465</v>
      </c>
      <c r="K2709" s="143">
        <v>45839</v>
      </c>
      <c r="L2709" s="133" t="s">
        <v>1092</v>
      </c>
      <c r="M2709" s="133">
        <v>1464</v>
      </c>
      <c r="N2709" s="147">
        <f>+F2709+F2710-M2709-M2710</f>
        <v>0</v>
      </c>
      <c r="O2709" s="141"/>
      <c r="P2709" s="140"/>
    </row>
    <row r="2710" spans="1:16" hidden="1" x14ac:dyDescent="0.35">
      <c r="A2710" s="146"/>
      <c r="B2710" s="143"/>
      <c r="C2710" s="133"/>
      <c r="D2710" s="133"/>
      <c r="E2710" s="145" t="s">
        <v>1342</v>
      </c>
      <c r="F2710" s="176">
        <v>942</v>
      </c>
      <c r="G2710" s="133" t="s">
        <v>1034</v>
      </c>
      <c r="H2710" s="144" t="s">
        <v>1341</v>
      </c>
      <c r="I2710" s="133" t="s">
        <v>1092</v>
      </c>
      <c r="J2710" s="133" t="s">
        <v>2487</v>
      </c>
      <c r="K2710" s="143">
        <v>45839</v>
      </c>
      <c r="L2710" s="133" t="s">
        <v>1241</v>
      </c>
      <c r="M2710" s="133">
        <v>74</v>
      </c>
      <c r="N2710" s="147"/>
      <c r="P2710" s="140"/>
    </row>
    <row r="2711" spans="1:16" hidden="1" x14ac:dyDescent="0.35">
      <c r="A2711" s="149"/>
      <c r="B2711" s="143"/>
      <c r="C2711" s="133"/>
      <c r="D2711" s="133"/>
      <c r="E2711" s="148"/>
      <c r="F2711" s="145"/>
      <c r="G2711" s="133"/>
      <c r="H2711" s="144"/>
      <c r="I2711" s="133"/>
      <c r="J2711" s="133"/>
      <c r="K2711" s="133"/>
      <c r="L2711" s="133"/>
      <c r="M2711" s="133"/>
      <c r="N2711" s="147"/>
      <c r="O2711" s="141"/>
      <c r="P2711" s="140"/>
    </row>
    <row r="2712" spans="1:16" hidden="1" x14ac:dyDescent="0.35">
      <c r="A2712" s="149">
        <v>25</v>
      </c>
      <c r="B2712" s="143">
        <v>45748</v>
      </c>
      <c r="C2712" s="133" t="s">
        <v>1894</v>
      </c>
      <c r="D2712" s="133" t="s">
        <v>2389</v>
      </c>
      <c r="E2712" s="145" t="s">
        <v>1075</v>
      </c>
      <c r="F2712" s="145">
        <v>11016.5</v>
      </c>
      <c r="G2712" s="133" t="s">
        <v>1034</v>
      </c>
      <c r="H2712" s="144" t="s">
        <v>1341</v>
      </c>
      <c r="I2712" s="133" t="s">
        <v>1092</v>
      </c>
      <c r="J2712" s="133" t="s">
        <v>2465</v>
      </c>
      <c r="K2712" s="143">
        <v>45839</v>
      </c>
      <c r="L2712" s="133" t="s">
        <v>1092</v>
      </c>
      <c r="M2712" s="133">
        <v>15783.3</v>
      </c>
      <c r="N2712" s="147">
        <f>+F2712+F2713+F2714+F2715-M2712-M2713</f>
        <v>0</v>
      </c>
      <c r="O2712" s="141"/>
      <c r="P2712" s="140"/>
    </row>
    <row r="2713" spans="1:16" hidden="1" x14ac:dyDescent="0.35">
      <c r="A2713" s="146"/>
      <c r="B2713" s="143"/>
      <c r="C2713" s="133"/>
      <c r="D2713" s="133"/>
      <c r="E2713" s="145" t="s">
        <v>1064</v>
      </c>
      <c r="F2713" s="176">
        <v>905.3</v>
      </c>
      <c r="G2713" s="133" t="s">
        <v>1034</v>
      </c>
      <c r="H2713" s="144" t="s">
        <v>1341</v>
      </c>
      <c r="I2713" s="133" t="s">
        <v>1092</v>
      </c>
      <c r="J2713" s="133" t="s">
        <v>2487</v>
      </c>
      <c r="K2713" s="143">
        <v>45839</v>
      </c>
      <c r="L2713" s="133" t="s">
        <v>1241</v>
      </c>
      <c r="M2713" s="133">
        <v>825</v>
      </c>
      <c r="N2713" s="147"/>
      <c r="P2713" s="140"/>
    </row>
    <row r="2714" spans="1:16" hidden="1" x14ac:dyDescent="0.35">
      <c r="A2714" s="146"/>
      <c r="B2714" s="143"/>
      <c r="C2714" s="133"/>
      <c r="D2714" s="133"/>
      <c r="E2714" s="145" t="s">
        <v>1067</v>
      </c>
      <c r="F2714" s="145">
        <v>164.5</v>
      </c>
      <c r="G2714" s="133"/>
      <c r="H2714" s="144"/>
      <c r="I2714" s="133"/>
      <c r="J2714" s="133"/>
      <c r="K2714" s="133"/>
      <c r="L2714" s="133"/>
      <c r="M2714" s="133"/>
      <c r="N2714" s="147"/>
      <c r="P2714" s="140"/>
    </row>
    <row r="2715" spans="1:16" hidden="1" x14ac:dyDescent="0.35">
      <c r="A2715" s="146"/>
      <c r="B2715" s="143"/>
      <c r="C2715" s="133"/>
      <c r="D2715" s="133"/>
      <c r="E2715" s="145" t="s">
        <v>1342</v>
      </c>
      <c r="F2715" s="145">
        <v>4522</v>
      </c>
      <c r="G2715" s="133"/>
      <c r="H2715" s="144"/>
      <c r="I2715" s="133"/>
      <c r="J2715" s="133"/>
      <c r="K2715" s="133"/>
      <c r="L2715" s="133"/>
      <c r="M2715" s="133"/>
      <c r="N2715" s="147"/>
      <c r="P2715" s="140"/>
    </row>
    <row r="2716" spans="1:16" hidden="1" x14ac:dyDescent="0.35">
      <c r="A2716" s="146"/>
      <c r="B2716" s="143"/>
      <c r="C2716" s="133"/>
      <c r="D2716" s="133"/>
      <c r="E2716" s="145"/>
      <c r="F2716" s="145"/>
      <c r="G2716" s="133"/>
      <c r="H2716" s="144"/>
      <c r="I2716" s="133"/>
      <c r="J2716" s="133"/>
      <c r="K2716" s="133"/>
      <c r="L2716" s="133"/>
      <c r="M2716" s="133"/>
      <c r="N2716" s="147"/>
      <c r="P2716" s="140"/>
    </row>
    <row r="2717" spans="1:16" hidden="1" x14ac:dyDescent="0.35">
      <c r="A2717" s="156"/>
      <c r="B2717" s="152"/>
      <c r="C2717" s="151"/>
      <c r="D2717" s="151"/>
      <c r="E2717" s="154"/>
      <c r="F2717" s="154"/>
      <c r="G2717" s="151"/>
      <c r="H2717" s="153"/>
      <c r="I2717" s="151"/>
      <c r="J2717" s="151"/>
      <c r="K2717" s="151"/>
      <c r="L2717" s="151"/>
      <c r="M2717" s="151"/>
      <c r="N2717" s="151"/>
      <c r="P2717" s="140"/>
    </row>
    <row r="2718" spans="1:16" hidden="1" x14ac:dyDescent="0.35">
      <c r="A2718" s="146"/>
      <c r="B2718" s="143"/>
      <c r="C2718" s="133"/>
      <c r="D2718" s="133"/>
      <c r="E2718" s="145"/>
      <c r="F2718" s="145"/>
      <c r="G2718" s="133"/>
      <c r="H2718" s="144"/>
      <c r="I2718" s="133"/>
      <c r="J2718" s="133"/>
      <c r="K2718" s="133"/>
      <c r="L2718" s="133"/>
      <c r="M2718" s="133"/>
      <c r="N2718" s="147"/>
      <c r="P2718" s="140"/>
    </row>
    <row r="2719" spans="1:16" hidden="1" x14ac:dyDescent="0.35">
      <c r="A2719" s="149">
        <v>26</v>
      </c>
      <c r="B2719" s="143">
        <v>45778</v>
      </c>
      <c r="C2719" s="133" t="s">
        <v>1892</v>
      </c>
      <c r="D2719" s="133" t="s">
        <v>2390</v>
      </c>
      <c r="E2719" s="145" t="s">
        <v>1064</v>
      </c>
      <c r="F2719" s="145">
        <v>2276.8000000000002</v>
      </c>
      <c r="G2719" s="133" t="s">
        <v>1034</v>
      </c>
      <c r="H2719" s="144" t="s">
        <v>1341</v>
      </c>
      <c r="I2719" s="133" t="s">
        <v>1092</v>
      </c>
      <c r="J2719" s="133" t="s">
        <v>2465</v>
      </c>
      <c r="K2719" s="143">
        <v>45839</v>
      </c>
      <c r="L2719" s="133" t="s">
        <v>1092</v>
      </c>
      <c r="M2719" s="133">
        <v>6084.8</v>
      </c>
      <c r="N2719" s="147">
        <f>+F2719+F2720-M2719-M2720</f>
        <v>0</v>
      </c>
      <c r="O2719" s="141"/>
      <c r="P2719" s="140"/>
    </row>
    <row r="2720" spans="1:16" hidden="1" x14ac:dyDescent="0.35">
      <c r="A2720" s="146"/>
      <c r="B2720" s="143"/>
      <c r="C2720" s="133"/>
      <c r="D2720" s="133"/>
      <c r="E2720" s="145" t="s">
        <v>1342</v>
      </c>
      <c r="F2720" s="145">
        <v>3992</v>
      </c>
      <c r="G2720" s="133" t="s">
        <v>1034</v>
      </c>
      <c r="H2720" s="144" t="s">
        <v>1341</v>
      </c>
      <c r="I2720" s="133" t="s">
        <v>1092</v>
      </c>
      <c r="J2720" s="133" t="s">
        <v>2487</v>
      </c>
      <c r="K2720" s="143">
        <v>45839</v>
      </c>
      <c r="L2720" s="133" t="s">
        <v>1241</v>
      </c>
      <c r="M2720" s="133">
        <v>184</v>
      </c>
      <c r="N2720" s="147"/>
      <c r="P2720" s="140"/>
    </row>
    <row r="2721" spans="1:16" hidden="1" x14ac:dyDescent="0.35">
      <c r="A2721" s="146"/>
      <c r="B2721" s="143"/>
      <c r="C2721" s="133"/>
      <c r="D2721" s="133"/>
      <c r="E2721" s="145"/>
      <c r="F2721" s="145"/>
      <c r="G2721" s="133"/>
      <c r="H2721" s="144"/>
      <c r="I2721" s="133"/>
      <c r="J2721" s="133"/>
      <c r="K2721" s="133"/>
      <c r="L2721" s="133"/>
      <c r="M2721" s="133"/>
      <c r="N2721" s="147"/>
      <c r="P2721" s="140"/>
    </row>
    <row r="2722" spans="1:16" hidden="1" x14ac:dyDescent="0.35">
      <c r="A2722" s="149">
        <v>27</v>
      </c>
      <c r="B2722" s="143">
        <v>45778</v>
      </c>
      <c r="C2722" s="133" t="s">
        <v>1890</v>
      </c>
      <c r="D2722" s="133" t="s">
        <v>2391</v>
      </c>
      <c r="E2722" s="145" t="s">
        <v>1078</v>
      </c>
      <c r="F2722" s="145">
        <v>4893.12</v>
      </c>
      <c r="G2722" s="133" t="s">
        <v>1034</v>
      </c>
      <c r="H2722" s="144" t="s">
        <v>1341</v>
      </c>
      <c r="I2722" s="133" t="s">
        <v>1092</v>
      </c>
      <c r="J2722" s="133" t="s">
        <v>2428</v>
      </c>
      <c r="K2722" s="143">
        <v>45809</v>
      </c>
      <c r="L2722" s="133" t="s">
        <v>1092</v>
      </c>
      <c r="M2722" s="133">
        <v>4893.12</v>
      </c>
      <c r="N2722" s="147">
        <f>+F2722+F2723+F2724-M2722-M2723-M2724</f>
        <v>0</v>
      </c>
      <c r="O2722" s="141"/>
      <c r="P2722" s="140"/>
    </row>
    <row r="2723" spans="1:16" hidden="1" x14ac:dyDescent="0.35">
      <c r="A2723" s="146"/>
      <c r="B2723" s="143"/>
      <c r="C2723" s="133"/>
      <c r="D2723" s="133"/>
      <c r="E2723" s="145" t="s">
        <v>1064</v>
      </c>
      <c r="F2723" s="145">
        <v>734.4</v>
      </c>
      <c r="G2723" s="133" t="s">
        <v>1034</v>
      </c>
      <c r="H2723" s="144" t="s">
        <v>1341</v>
      </c>
      <c r="I2723" s="133" t="s">
        <v>1092</v>
      </c>
      <c r="J2723" s="133" t="s">
        <v>2465</v>
      </c>
      <c r="K2723" s="143">
        <v>45839</v>
      </c>
      <c r="L2723" s="133" t="s">
        <v>1092</v>
      </c>
      <c r="M2723" s="133">
        <v>8303.0999999999985</v>
      </c>
      <c r="N2723" s="147"/>
      <c r="P2723" s="140"/>
    </row>
    <row r="2724" spans="1:16" hidden="1" x14ac:dyDescent="0.35">
      <c r="A2724" s="146"/>
      <c r="B2724" s="143"/>
      <c r="C2724" s="133"/>
      <c r="D2724" s="133"/>
      <c r="E2724" s="145" t="s">
        <v>1075</v>
      </c>
      <c r="F2724" s="145">
        <v>7823.7</v>
      </c>
      <c r="G2724" s="133" t="s">
        <v>1034</v>
      </c>
      <c r="H2724" s="144" t="s">
        <v>1341</v>
      </c>
      <c r="I2724" s="133" t="s">
        <v>1092</v>
      </c>
      <c r="J2724" s="133" t="s">
        <v>2487</v>
      </c>
      <c r="K2724" s="143">
        <v>45839</v>
      </c>
      <c r="L2724" s="133" t="s">
        <v>1241</v>
      </c>
      <c r="M2724" s="133">
        <v>255</v>
      </c>
      <c r="N2724" s="147"/>
      <c r="P2724" s="140"/>
    </row>
    <row r="2725" spans="1:16" hidden="1" x14ac:dyDescent="0.35">
      <c r="A2725" s="146"/>
      <c r="B2725" s="143"/>
      <c r="C2725" s="133"/>
      <c r="D2725" s="133"/>
      <c r="E2725" s="145"/>
      <c r="F2725" s="145"/>
      <c r="G2725" s="133"/>
      <c r="H2725" s="144"/>
      <c r="I2725" s="133"/>
      <c r="J2725" s="133"/>
      <c r="K2725" s="133"/>
      <c r="L2725" s="133"/>
      <c r="M2725" s="133"/>
      <c r="N2725" s="147"/>
      <c r="P2725" s="140"/>
    </row>
    <row r="2726" spans="1:16" hidden="1" x14ac:dyDescent="0.35">
      <c r="A2726" s="149">
        <v>28</v>
      </c>
      <c r="B2726" s="143">
        <v>45778</v>
      </c>
      <c r="C2726" s="133" t="s">
        <v>1888</v>
      </c>
      <c r="D2726" s="133" t="s">
        <v>2392</v>
      </c>
      <c r="E2726" s="145" t="s">
        <v>1067</v>
      </c>
      <c r="F2726" s="145">
        <v>13721</v>
      </c>
      <c r="G2726" s="133" t="s">
        <v>1034</v>
      </c>
      <c r="H2726" s="144" t="s">
        <v>1341</v>
      </c>
      <c r="I2726" s="133" t="s">
        <v>1092</v>
      </c>
      <c r="J2726" s="133" t="s">
        <v>2480</v>
      </c>
      <c r="K2726" s="143">
        <v>45839</v>
      </c>
      <c r="L2726" s="133" t="s">
        <v>1092</v>
      </c>
      <c r="M2726" s="133">
        <v>16195</v>
      </c>
      <c r="N2726" s="147">
        <f>+F2726+F2727-M2726-M2727</f>
        <v>0</v>
      </c>
      <c r="O2726" s="141"/>
      <c r="P2726" s="140"/>
    </row>
    <row r="2727" spans="1:16" hidden="1" x14ac:dyDescent="0.35">
      <c r="A2727" s="146"/>
      <c r="B2727" s="143"/>
      <c r="C2727" s="133"/>
      <c r="D2727" s="133"/>
      <c r="E2727" s="145" t="s">
        <v>1342</v>
      </c>
      <c r="F2727" s="145">
        <v>2925</v>
      </c>
      <c r="G2727" s="133" t="s">
        <v>1034</v>
      </c>
      <c r="H2727" s="144" t="s">
        <v>1341</v>
      </c>
      <c r="I2727" s="133" t="s">
        <v>1092</v>
      </c>
      <c r="J2727" s="133" t="s">
        <v>2487</v>
      </c>
      <c r="K2727" s="143">
        <v>45839</v>
      </c>
      <c r="L2727" s="133" t="s">
        <v>1241</v>
      </c>
      <c r="M2727" s="133">
        <v>451</v>
      </c>
      <c r="N2727" s="147"/>
      <c r="P2727" s="140"/>
    </row>
    <row r="2728" spans="1:16" hidden="1" x14ac:dyDescent="0.35">
      <c r="A2728" s="146"/>
      <c r="B2728" s="143"/>
      <c r="C2728" s="133"/>
      <c r="D2728" s="133"/>
      <c r="E2728" s="145"/>
      <c r="F2728" s="145"/>
      <c r="G2728" s="133"/>
      <c r="H2728" s="144"/>
      <c r="I2728" s="133"/>
      <c r="J2728" s="133"/>
      <c r="K2728" s="133"/>
      <c r="L2728" s="133"/>
      <c r="M2728" s="133"/>
      <c r="N2728" s="147"/>
      <c r="P2728" s="140"/>
    </row>
    <row r="2729" spans="1:16" hidden="1" x14ac:dyDescent="0.35">
      <c r="A2729" s="149">
        <v>29</v>
      </c>
      <c r="B2729" s="143">
        <v>45778</v>
      </c>
      <c r="C2729" s="133" t="s">
        <v>1886</v>
      </c>
      <c r="D2729" s="133" t="s">
        <v>2394</v>
      </c>
      <c r="E2729" s="145" t="s">
        <v>1067</v>
      </c>
      <c r="F2729" s="145">
        <v>3968</v>
      </c>
      <c r="G2729" s="133" t="s">
        <v>1034</v>
      </c>
      <c r="H2729" s="144" t="s">
        <v>1341</v>
      </c>
      <c r="I2729" s="133" t="s">
        <v>1092</v>
      </c>
      <c r="J2729" s="133" t="s">
        <v>2428</v>
      </c>
      <c r="K2729" s="143">
        <v>45809</v>
      </c>
      <c r="L2729" s="133" t="s">
        <v>1092</v>
      </c>
      <c r="M2729" s="133">
        <v>4557</v>
      </c>
      <c r="N2729" s="147">
        <f>+F2729+F2730+F2731+F2732+F2733+F2734-M2729-M2730-M2731</f>
        <v>0</v>
      </c>
      <c r="O2729" s="141"/>
      <c r="P2729" s="140"/>
    </row>
    <row r="2730" spans="1:16" hidden="1" x14ac:dyDescent="0.35">
      <c r="A2730" s="146"/>
      <c r="B2730" s="143"/>
      <c r="C2730" s="133"/>
      <c r="D2730" s="133"/>
      <c r="E2730" s="145" t="s">
        <v>1342</v>
      </c>
      <c r="F2730" s="145">
        <v>570</v>
      </c>
      <c r="G2730" s="133" t="s">
        <v>1034</v>
      </c>
      <c r="H2730" s="144" t="s">
        <v>1341</v>
      </c>
      <c r="I2730" s="133" t="s">
        <v>1092</v>
      </c>
      <c r="J2730" s="133" t="s">
        <v>2480</v>
      </c>
      <c r="K2730" s="143">
        <v>45839</v>
      </c>
      <c r="L2730" s="133" t="s">
        <v>1092</v>
      </c>
      <c r="M2730" s="133">
        <v>7334.4000000000015</v>
      </c>
      <c r="N2730" s="147"/>
      <c r="P2730" s="140"/>
    </row>
    <row r="2731" spans="1:16" hidden="1" x14ac:dyDescent="0.35">
      <c r="A2731" s="146"/>
      <c r="B2731" s="143"/>
      <c r="C2731" s="133"/>
      <c r="D2731" s="133"/>
      <c r="E2731" s="145" t="s">
        <v>1118</v>
      </c>
      <c r="F2731" s="145">
        <v>4557</v>
      </c>
      <c r="G2731" s="133" t="s">
        <v>1034</v>
      </c>
      <c r="H2731" s="144" t="s">
        <v>1341</v>
      </c>
      <c r="I2731" s="133" t="s">
        <v>1092</v>
      </c>
      <c r="J2731" s="133" t="s">
        <v>2487</v>
      </c>
      <c r="K2731" s="143">
        <v>45839</v>
      </c>
      <c r="L2731" s="133" t="s">
        <v>1241</v>
      </c>
      <c r="M2731" s="133">
        <v>220</v>
      </c>
      <c r="N2731" s="147"/>
      <c r="P2731" s="140"/>
    </row>
    <row r="2732" spans="1:16" hidden="1" x14ac:dyDescent="0.35">
      <c r="A2732" s="146"/>
      <c r="B2732" s="143"/>
      <c r="C2732" s="133"/>
      <c r="D2732" s="133"/>
      <c r="E2732" s="145" t="s">
        <v>1071</v>
      </c>
      <c r="F2732" s="145">
        <v>176.4</v>
      </c>
      <c r="G2732" s="133"/>
      <c r="H2732" s="144"/>
      <c r="I2732" s="133"/>
      <c r="J2732" s="133"/>
      <c r="K2732" s="133"/>
      <c r="L2732" s="133"/>
      <c r="M2732" s="133"/>
      <c r="N2732" s="147"/>
      <c r="P2732" s="140"/>
    </row>
    <row r="2733" spans="1:16" hidden="1" x14ac:dyDescent="0.35">
      <c r="A2733" s="146"/>
      <c r="B2733" s="143"/>
      <c r="C2733" s="133"/>
      <c r="D2733" s="133"/>
      <c r="E2733" s="145" t="s">
        <v>1064</v>
      </c>
      <c r="F2733" s="145">
        <v>2432.8000000000002</v>
      </c>
      <c r="G2733" s="133"/>
      <c r="H2733" s="144"/>
      <c r="I2733" s="133"/>
      <c r="J2733" s="133"/>
      <c r="K2733" s="133"/>
      <c r="L2733" s="133"/>
      <c r="M2733" s="133"/>
      <c r="N2733" s="147"/>
      <c r="P2733" s="140"/>
    </row>
    <row r="2734" spans="1:16" hidden="1" x14ac:dyDescent="0.35">
      <c r="A2734" s="146"/>
      <c r="B2734" s="143"/>
      <c r="C2734" s="133"/>
      <c r="D2734" s="133"/>
      <c r="E2734" s="145" t="s">
        <v>1075</v>
      </c>
      <c r="F2734" s="145">
        <v>407.2</v>
      </c>
      <c r="G2734" s="133"/>
      <c r="H2734" s="144"/>
      <c r="I2734" s="133"/>
      <c r="J2734" s="133"/>
      <c r="K2734" s="133"/>
      <c r="L2734" s="133"/>
      <c r="M2734" s="133"/>
      <c r="N2734" s="147"/>
      <c r="P2734" s="140"/>
    </row>
    <row r="2735" spans="1:16" hidden="1" x14ac:dyDescent="0.35">
      <c r="A2735" s="146"/>
      <c r="B2735" s="143"/>
      <c r="C2735" s="133"/>
      <c r="D2735" s="133"/>
      <c r="E2735" s="145"/>
      <c r="F2735" s="145"/>
      <c r="G2735" s="133"/>
      <c r="H2735" s="144"/>
      <c r="I2735" s="133"/>
      <c r="J2735" s="133"/>
      <c r="K2735" s="133"/>
      <c r="L2735" s="133"/>
      <c r="M2735" s="133"/>
      <c r="N2735" s="147"/>
      <c r="P2735" s="140"/>
    </row>
    <row r="2736" spans="1:16" hidden="1" x14ac:dyDescent="0.35">
      <c r="A2736" s="149">
        <v>30</v>
      </c>
      <c r="B2736" s="143">
        <v>45778</v>
      </c>
      <c r="C2736" s="133" t="s">
        <v>1884</v>
      </c>
      <c r="D2736" s="133" t="s">
        <v>2396</v>
      </c>
      <c r="E2736" s="145" t="s">
        <v>1067</v>
      </c>
      <c r="F2736" s="145">
        <v>1031.5</v>
      </c>
      <c r="G2736" s="133" t="s">
        <v>1034</v>
      </c>
      <c r="H2736" s="144" t="s">
        <v>1341</v>
      </c>
      <c r="I2736" s="133" t="s">
        <v>1092</v>
      </c>
      <c r="J2736" s="133" t="s">
        <v>2480</v>
      </c>
      <c r="K2736" s="143">
        <v>45839</v>
      </c>
      <c r="L2736" s="133" t="s">
        <v>1092</v>
      </c>
      <c r="M2736" s="133">
        <v>5537.5</v>
      </c>
      <c r="N2736" s="147">
        <f>+F2736+F2737-M2736-M2737</f>
        <v>0</v>
      </c>
      <c r="O2736" s="141"/>
      <c r="P2736" s="140"/>
    </row>
    <row r="2737" spans="1:16" hidden="1" x14ac:dyDescent="0.35">
      <c r="A2737" s="146"/>
      <c r="B2737" s="143"/>
      <c r="C2737" s="133"/>
      <c r="D2737" s="133"/>
      <c r="E2737" s="145" t="s">
        <v>1342</v>
      </c>
      <c r="F2737" s="145">
        <v>4686</v>
      </c>
      <c r="G2737" s="133" t="s">
        <v>1034</v>
      </c>
      <c r="H2737" s="144" t="s">
        <v>1341</v>
      </c>
      <c r="I2737" s="133" t="s">
        <v>1092</v>
      </c>
      <c r="J2737" s="133" t="s">
        <v>2487</v>
      </c>
      <c r="K2737" s="143">
        <v>45839</v>
      </c>
      <c r="L2737" s="133" t="s">
        <v>1241</v>
      </c>
      <c r="M2737" s="133">
        <v>180</v>
      </c>
      <c r="N2737" s="147"/>
      <c r="P2737" s="140"/>
    </row>
    <row r="2738" spans="1:16" hidden="1" x14ac:dyDescent="0.35">
      <c r="A2738" s="146"/>
      <c r="B2738" s="143"/>
      <c r="C2738" s="133"/>
      <c r="D2738" s="133"/>
      <c r="E2738" s="145"/>
      <c r="F2738" s="145"/>
      <c r="G2738" s="133"/>
      <c r="H2738" s="144"/>
      <c r="I2738" s="133"/>
      <c r="J2738" s="133"/>
      <c r="K2738" s="133"/>
      <c r="L2738" s="133"/>
      <c r="M2738" s="133"/>
      <c r="N2738" s="147"/>
      <c r="P2738" s="140"/>
    </row>
    <row r="2739" spans="1:16" hidden="1" x14ac:dyDescent="0.35">
      <c r="A2739" s="149">
        <v>31</v>
      </c>
      <c r="B2739" s="143">
        <v>45778</v>
      </c>
      <c r="C2739" s="133" t="s">
        <v>1882</v>
      </c>
      <c r="D2739" s="133" t="s">
        <v>2397</v>
      </c>
      <c r="E2739" s="145" t="s">
        <v>1067</v>
      </c>
      <c r="F2739" s="145">
        <v>1908</v>
      </c>
      <c r="G2739" s="133" t="s">
        <v>1034</v>
      </c>
      <c r="H2739" s="144" t="s">
        <v>1341</v>
      </c>
      <c r="I2739" s="133" t="s">
        <v>1092</v>
      </c>
      <c r="J2739" s="133" t="s">
        <v>2480</v>
      </c>
      <c r="K2739" s="143">
        <v>45839</v>
      </c>
      <c r="L2739" s="133" t="s">
        <v>1092</v>
      </c>
      <c r="M2739" s="133">
        <v>7637</v>
      </c>
      <c r="N2739" s="147">
        <f>+F2739+F2740+F2741-M2739-M2740</f>
        <v>0</v>
      </c>
      <c r="O2739" s="141"/>
      <c r="P2739" s="140"/>
    </row>
    <row r="2740" spans="1:16" hidden="1" x14ac:dyDescent="0.35">
      <c r="A2740" s="146"/>
      <c r="B2740" s="143"/>
      <c r="C2740" s="133"/>
      <c r="D2740" s="133"/>
      <c r="E2740" s="145" t="s">
        <v>1342</v>
      </c>
      <c r="F2740" s="145">
        <v>3612</v>
      </c>
      <c r="G2740" s="133" t="s">
        <v>1034</v>
      </c>
      <c r="H2740" s="144" t="s">
        <v>1341</v>
      </c>
      <c r="I2740" s="133" t="s">
        <v>1092</v>
      </c>
      <c r="J2740" s="133" t="s">
        <v>2487</v>
      </c>
      <c r="K2740" s="143">
        <v>45839</v>
      </c>
      <c r="L2740" s="133" t="s">
        <v>1241</v>
      </c>
      <c r="M2740" s="133">
        <v>215</v>
      </c>
      <c r="N2740" s="147"/>
      <c r="P2740" s="140"/>
    </row>
    <row r="2741" spans="1:16" hidden="1" x14ac:dyDescent="0.35">
      <c r="A2741" s="146"/>
      <c r="B2741" s="143"/>
      <c r="C2741" s="133"/>
      <c r="D2741" s="133"/>
      <c r="E2741" s="145" t="s">
        <v>1075</v>
      </c>
      <c r="F2741" s="145">
        <v>2332</v>
      </c>
      <c r="G2741" s="133"/>
      <c r="H2741" s="144"/>
      <c r="I2741" s="133"/>
      <c r="J2741" s="133"/>
      <c r="K2741" s="133"/>
      <c r="L2741" s="133"/>
      <c r="M2741" s="133"/>
      <c r="N2741" s="147"/>
      <c r="P2741" s="140"/>
    </row>
    <row r="2742" spans="1:16" hidden="1" x14ac:dyDescent="0.35">
      <c r="A2742" s="146"/>
      <c r="B2742" s="143"/>
      <c r="C2742" s="133"/>
      <c r="D2742" s="133"/>
      <c r="E2742" s="145"/>
      <c r="F2742" s="145"/>
      <c r="G2742" s="133"/>
      <c r="H2742" s="144"/>
      <c r="I2742" s="133"/>
      <c r="J2742" s="133"/>
      <c r="K2742" s="133"/>
      <c r="L2742" s="133"/>
      <c r="M2742" s="133"/>
      <c r="N2742" s="147"/>
      <c r="P2742" s="140"/>
    </row>
    <row r="2743" spans="1:16" hidden="1" x14ac:dyDescent="0.35">
      <c r="A2743" s="149">
        <v>32</v>
      </c>
      <c r="B2743" s="143">
        <v>45778</v>
      </c>
      <c r="C2743" s="133" t="s">
        <v>1880</v>
      </c>
      <c r="D2743" s="133" t="s">
        <v>2397</v>
      </c>
      <c r="E2743" s="148" t="s">
        <v>1059</v>
      </c>
      <c r="F2743" s="145">
        <v>99000</v>
      </c>
      <c r="G2743" s="133" t="s">
        <v>1034</v>
      </c>
      <c r="H2743" s="144" t="s">
        <v>1341</v>
      </c>
      <c r="I2743" s="133" t="s">
        <v>1092</v>
      </c>
      <c r="J2743" s="133" t="s">
        <v>2437</v>
      </c>
      <c r="K2743" s="143">
        <v>45809</v>
      </c>
      <c r="L2743" s="133" t="s">
        <v>1092</v>
      </c>
      <c r="M2743" s="133">
        <v>63511.38</v>
      </c>
      <c r="N2743" s="147">
        <f>+F2743-M2743-M2744-M2745-M2746:M2746</f>
        <v>0</v>
      </c>
      <c r="O2743" s="141"/>
      <c r="P2743" s="140"/>
    </row>
    <row r="2744" spans="1:16" hidden="1" x14ac:dyDescent="0.35">
      <c r="A2744" s="146"/>
      <c r="B2744" s="143"/>
      <c r="C2744" s="133"/>
      <c r="D2744" s="133"/>
      <c r="E2744" s="145"/>
      <c r="F2744" s="145"/>
      <c r="G2744" s="133" t="s">
        <v>1034</v>
      </c>
      <c r="H2744" s="144" t="s">
        <v>1341</v>
      </c>
      <c r="I2744" s="133" t="s">
        <v>1092</v>
      </c>
      <c r="J2744" s="133" t="s">
        <v>2444</v>
      </c>
      <c r="K2744" s="143">
        <v>45809</v>
      </c>
      <c r="L2744" s="133" t="s">
        <v>1092</v>
      </c>
      <c r="M2744" s="133">
        <v>18501.400000000001</v>
      </c>
      <c r="N2744" s="147"/>
      <c r="P2744" s="140"/>
    </row>
    <row r="2745" spans="1:16" hidden="1" x14ac:dyDescent="0.35">
      <c r="A2745" s="146"/>
      <c r="B2745" s="143"/>
      <c r="C2745" s="133"/>
      <c r="D2745" s="133"/>
      <c r="E2745" s="145"/>
      <c r="F2745" s="145"/>
      <c r="G2745" s="133" t="s">
        <v>1034</v>
      </c>
      <c r="H2745" s="144" t="s">
        <v>1341</v>
      </c>
      <c r="I2745" s="133" t="s">
        <v>1092</v>
      </c>
      <c r="J2745" s="133" t="s">
        <v>2455</v>
      </c>
      <c r="K2745" s="143">
        <v>45839</v>
      </c>
      <c r="L2745" s="133" t="s">
        <v>1092</v>
      </c>
      <c r="M2745" s="133">
        <v>13877.220000000001</v>
      </c>
      <c r="N2745" s="147"/>
      <c r="P2745" s="140"/>
    </row>
    <row r="2746" spans="1:16" hidden="1" x14ac:dyDescent="0.35">
      <c r="A2746" s="146"/>
      <c r="B2746" s="143"/>
      <c r="C2746" s="133"/>
      <c r="D2746" s="133"/>
      <c r="E2746" s="145"/>
      <c r="F2746" s="145"/>
      <c r="G2746" s="133" t="s">
        <v>1034</v>
      </c>
      <c r="H2746" s="144" t="s">
        <v>1341</v>
      </c>
      <c r="I2746" s="133" t="s">
        <v>1092</v>
      </c>
      <c r="J2746" s="133" t="s">
        <v>2487</v>
      </c>
      <c r="K2746" s="143">
        <v>45839</v>
      </c>
      <c r="L2746" s="133" t="s">
        <v>1241</v>
      </c>
      <c r="M2746" s="133">
        <v>3110</v>
      </c>
      <c r="N2746" s="147"/>
      <c r="P2746" s="140"/>
    </row>
    <row r="2747" spans="1:16" hidden="1" x14ac:dyDescent="0.35">
      <c r="A2747" s="146"/>
      <c r="B2747" s="143"/>
      <c r="C2747" s="133"/>
      <c r="D2747" s="133"/>
      <c r="E2747" s="145"/>
      <c r="F2747" s="145"/>
      <c r="G2747" s="133"/>
      <c r="H2747" s="144"/>
      <c r="I2747" s="133"/>
      <c r="J2747" s="133"/>
      <c r="K2747" s="143"/>
      <c r="L2747" s="133"/>
      <c r="M2747" s="133"/>
      <c r="N2747" s="147"/>
      <c r="P2747" s="140"/>
    </row>
    <row r="2748" spans="1:16" hidden="1" x14ac:dyDescent="0.35">
      <c r="A2748" s="149">
        <v>33</v>
      </c>
      <c r="B2748" s="143">
        <v>45778</v>
      </c>
      <c r="C2748" s="133" t="s">
        <v>1878</v>
      </c>
      <c r="D2748" s="133" t="s">
        <v>2398</v>
      </c>
      <c r="E2748" s="145" t="s">
        <v>1064</v>
      </c>
      <c r="F2748" s="145">
        <v>1153.0999999999999</v>
      </c>
      <c r="G2748" s="133" t="s">
        <v>1034</v>
      </c>
      <c r="H2748" s="144" t="s">
        <v>1341</v>
      </c>
      <c r="I2748" s="133" t="s">
        <v>1092</v>
      </c>
      <c r="J2748" s="133" t="s">
        <v>2480</v>
      </c>
      <c r="K2748" s="143">
        <v>45839</v>
      </c>
      <c r="L2748" s="133" t="s">
        <v>1092</v>
      </c>
      <c r="M2748" s="133">
        <v>2893.8</v>
      </c>
      <c r="N2748" s="147">
        <f>+F2748+F2749-M2748-M2749</f>
        <v>0</v>
      </c>
      <c r="O2748" s="141"/>
      <c r="P2748" s="140"/>
    </row>
    <row r="2749" spans="1:16" hidden="1" x14ac:dyDescent="0.35">
      <c r="A2749" s="146"/>
      <c r="B2749" s="143"/>
      <c r="C2749" s="133"/>
      <c r="D2749" s="133"/>
      <c r="E2749" s="145" t="s">
        <v>1075</v>
      </c>
      <c r="F2749" s="145">
        <v>1816.7</v>
      </c>
      <c r="G2749" s="133" t="s">
        <v>1034</v>
      </c>
      <c r="H2749" s="144" t="s">
        <v>1341</v>
      </c>
      <c r="I2749" s="133" t="s">
        <v>1092</v>
      </c>
      <c r="J2749" s="133" t="s">
        <v>2487</v>
      </c>
      <c r="K2749" s="143">
        <v>45839</v>
      </c>
      <c r="L2749" s="133" t="s">
        <v>1241</v>
      </c>
      <c r="M2749" s="133">
        <v>76</v>
      </c>
      <c r="N2749" s="147"/>
      <c r="P2749" s="140"/>
    </row>
    <row r="2750" spans="1:16" hidden="1" x14ac:dyDescent="0.35">
      <c r="A2750" s="146"/>
      <c r="B2750" s="143"/>
      <c r="C2750" s="133"/>
      <c r="D2750" s="133"/>
      <c r="E2750" s="145"/>
      <c r="F2750" s="145"/>
      <c r="G2750" s="133"/>
      <c r="H2750" s="144"/>
      <c r="I2750" s="133"/>
      <c r="J2750" s="133"/>
      <c r="K2750" s="133"/>
      <c r="L2750" s="133"/>
      <c r="M2750" s="133"/>
      <c r="N2750" s="147"/>
      <c r="P2750" s="140"/>
    </row>
    <row r="2751" spans="1:16" hidden="1" x14ac:dyDescent="0.35">
      <c r="A2751" s="149">
        <v>34</v>
      </c>
      <c r="B2751" s="143">
        <v>45778</v>
      </c>
      <c r="C2751" s="133" t="s">
        <v>1876</v>
      </c>
      <c r="D2751" s="133" t="s">
        <v>2399</v>
      </c>
      <c r="E2751" s="145" t="s">
        <v>1067</v>
      </c>
      <c r="F2751" s="145">
        <v>1486.2</v>
      </c>
      <c r="G2751" s="133" t="s">
        <v>1034</v>
      </c>
      <c r="H2751" s="144" t="s">
        <v>1341</v>
      </c>
      <c r="I2751" s="133" t="s">
        <v>1092</v>
      </c>
      <c r="J2751" s="133" t="s">
        <v>2480</v>
      </c>
      <c r="K2751" s="143">
        <v>45839</v>
      </c>
      <c r="L2751" s="133" t="s">
        <v>1092</v>
      </c>
      <c r="M2751" s="133">
        <v>6075.9</v>
      </c>
      <c r="N2751" s="147">
        <f>+F2751+F2752+F2753-M2751-M2752</f>
        <v>0</v>
      </c>
      <c r="O2751" s="141"/>
      <c r="P2751" s="140"/>
    </row>
    <row r="2752" spans="1:16" hidden="1" x14ac:dyDescent="0.35">
      <c r="A2752" s="146"/>
      <c r="B2752" s="143"/>
      <c r="C2752" s="133"/>
      <c r="D2752" s="133"/>
      <c r="E2752" s="145" t="s">
        <v>1342</v>
      </c>
      <c r="F2752" s="145">
        <v>4519</v>
      </c>
      <c r="G2752" s="133" t="s">
        <v>1034</v>
      </c>
      <c r="H2752" s="144" t="s">
        <v>1341</v>
      </c>
      <c r="I2752" s="133" t="s">
        <v>1092</v>
      </c>
      <c r="J2752" s="133" t="s">
        <v>2487</v>
      </c>
      <c r="K2752" s="143">
        <v>45839</v>
      </c>
      <c r="L2752" s="133" t="s">
        <v>1241</v>
      </c>
      <c r="M2752" s="133">
        <v>180</v>
      </c>
      <c r="N2752" s="147"/>
      <c r="P2752" s="140"/>
    </row>
    <row r="2753" spans="1:16" hidden="1" x14ac:dyDescent="0.35">
      <c r="A2753" s="146"/>
      <c r="B2753" s="143"/>
      <c r="C2753" s="133"/>
      <c r="D2753" s="133"/>
      <c r="E2753" s="145" t="s">
        <v>1071</v>
      </c>
      <c r="F2753" s="145">
        <v>250.7</v>
      </c>
      <c r="G2753" s="133"/>
      <c r="H2753" s="144"/>
      <c r="I2753" s="133"/>
      <c r="J2753" s="133"/>
      <c r="K2753" s="133"/>
      <c r="L2753" s="133"/>
      <c r="M2753" s="133"/>
      <c r="N2753" s="147"/>
      <c r="P2753" s="140"/>
    </row>
    <row r="2754" spans="1:16" hidden="1" x14ac:dyDescent="0.35">
      <c r="A2754" s="146"/>
      <c r="B2754" s="143"/>
      <c r="C2754" s="133"/>
      <c r="D2754" s="133"/>
      <c r="E2754" s="145"/>
      <c r="F2754" s="145"/>
      <c r="G2754" s="133"/>
      <c r="H2754" s="144"/>
      <c r="I2754" s="133"/>
      <c r="J2754" s="133"/>
      <c r="K2754" s="133"/>
      <c r="L2754" s="133"/>
      <c r="M2754" s="133"/>
      <c r="N2754" s="147"/>
      <c r="P2754" s="140"/>
    </row>
    <row r="2755" spans="1:16" hidden="1" x14ac:dyDescent="0.35">
      <c r="A2755" s="149">
        <v>35</v>
      </c>
      <c r="B2755" s="143">
        <v>45778</v>
      </c>
      <c r="C2755" s="133" t="s">
        <v>1873</v>
      </c>
      <c r="D2755" s="133" t="s">
        <v>2400</v>
      </c>
      <c r="E2755" s="145" t="s">
        <v>1064</v>
      </c>
      <c r="F2755" s="145">
        <v>703.8</v>
      </c>
      <c r="G2755" s="133" t="s">
        <v>1034</v>
      </c>
      <c r="H2755" s="144" t="s">
        <v>1341</v>
      </c>
      <c r="I2755" s="133" t="s">
        <v>1092</v>
      </c>
      <c r="J2755" s="133" t="s">
        <v>2480</v>
      </c>
      <c r="K2755" s="143">
        <v>45839</v>
      </c>
      <c r="L2755" s="133" t="s">
        <v>1092</v>
      </c>
      <c r="M2755" s="133">
        <v>3446.2</v>
      </c>
      <c r="N2755" s="147">
        <f>+F2755+F2756-M2755-M2756</f>
        <v>0</v>
      </c>
      <c r="O2755" s="141"/>
      <c r="P2755" s="140"/>
    </row>
    <row r="2756" spans="1:16" hidden="1" x14ac:dyDescent="0.35">
      <c r="A2756" s="146"/>
      <c r="B2756" s="143"/>
      <c r="C2756" s="133"/>
      <c r="D2756" s="133"/>
      <c r="E2756" s="145" t="s">
        <v>1075</v>
      </c>
      <c r="F2756" s="145">
        <v>2843.4</v>
      </c>
      <c r="G2756" s="133" t="s">
        <v>1034</v>
      </c>
      <c r="H2756" s="144" t="s">
        <v>1341</v>
      </c>
      <c r="I2756" s="133" t="s">
        <v>1092</v>
      </c>
      <c r="J2756" s="133" t="s">
        <v>2487</v>
      </c>
      <c r="K2756" s="143">
        <v>45839</v>
      </c>
      <c r="L2756" s="133" t="s">
        <v>1241</v>
      </c>
      <c r="M2756" s="133">
        <v>101</v>
      </c>
      <c r="N2756" s="147"/>
      <c r="P2756" s="140"/>
    </row>
    <row r="2757" spans="1:16" hidden="1" x14ac:dyDescent="0.35">
      <c r="A2757" s="146"/>
      <c r="B2757" s="143"/>
      <c r="C2757" s="133"/>
      <c r="D2757" s="133"/>
      <c r="E2757" s="145"/>
      <c r="F2757" s="145"/>
      <c r="G2757" s="133"/>
      <c r="H2757" s="144"/>
      <c r="I2757" s="133"/>
      <c r="J2757" s="133"/>
      <c r="K2757" s="133"/>
      <c r="L2757" s="133"/>
      <c r="M2757" s="133"/>
      <c r="N2757" s="147"/>
      <c r="P2757" s="140"/>
    </row>
    <row r="2758" spans="1:16" hidden="1" x14ac:dyDescent="0.35">
      <c r="A2758" s="149">
        <v>36</v>
      </c>
      <c r="B2758" s="143">
        <v>45778</v>
      </c>
      <c r="C2758" s="133" t="s">
        <v>1870</v>
      </c>
      <c r="D2758" s="133" t="s">
        <v>2402</v>
      </c>
      <c r="E2758" s="145" t="s">
        <v>1067</v>
      </c>
      <c r="F2758" s="145">
        <v>1413</v>
      </c>
      <c r="G2758" s="133" t="s">
        <v>1034</v>
      </c>
      <c r="H2758" s="144" t="s">
        <v>1341</v>
      </c>
      <c r="I2758" s="133" t="s">
        <v>1092</v>
      </c>
      <c r="J2758" s="133" t="s">
        <v>2435</v>
      </c>
      <c r="K2758" s="143">
        <v>45809</v>
      </c>
      <c r="L2758" s="133" t="s">
        <v>1092</v>
      </c>
      <c r="M2758" s="133">
        <v>897</v>
      </c>
      <c r="N2758" s="147">
        <f>+F2758+F2759+F2760+F2761-M2758-M2759-M2760</f>
        <v>0</v>
      </c>
      <c r="O2758" s="141"/>
      <c r="P2758" s="140"/>
    </row>
    <row r="2759" spans="1:16" hidden="1" x14ac:dyDescent="0.35">
      <c r="A2759" s="146"/>
      <c r="B2759" s="143"/>
      <c r="C2759" s="133"/>
      <c r="D2759" s="133"/>
      <c r="E2759" s="145" t="s">
        <v>1342</v>
      </c>
      <c r="F2759" s="145">
        <v>5584</v>
      </c>
      <c r="G2759" s="133" t="s">
        <v>1034</v>
      </c>
      <c r="H2759" s="144" t="s">
        <v>1341</v>
      </c>
      <c r="I2759" s="133" t="s">
        <v>1092</v>
      </c>
      <c r="J2759" s="133" t="s">
        <v>2481</v>
      </c>
      <c r="K2759" s="143">
        <v>45839</v>
      </c>
      <c r="L2759" s="133" t="s">
        <v>1092</v>
      </c>
      <c r="M2759" s="133">
        <v>10990</v>
      </c>
      <c r="N2759" s="147"/>
      <c r="P2759" s="140"/>
    </row>
    <row r="2760" spans="1:16" hidden="1" x14ac:dyDescent="0.35">
      <c r="A2760" s="146"/>
      <c r="B2760" s="143"/>
      <c r="C2760" s="133"/>
      <c r="D2760" s="133"/>
      <c r="E2760" s="145" t="s">
        <v>1075</v>
      </c>
      <c r="F2760" s="145">
        <v>4313</v>
      </c>
      <c r="G2760" s="133" t="s">
        <v>1034</v>
      </c>
      <c r="H2760" s="144" t="s">
        <v>1341</v>
      </c>
      <c r="I2760" s="133" t="s">
        <v>1092</v>
      </c>
      <c r="J2760" s="133" t="s">
        <v>2487</v>
      </c>
      <c r="K2760" s="143">
        <v>45839</v>
      </c>
      <c r="L2760" s="133" t="s">
        <v>1241</v>
      </c>
      <c r="M2760" s="133">
        <v>320</v>
      </c>
      <c r="N2760" s="147"/>
      <c r="P2760" s="140"/>
    </row>
    <row r="2761" spans="1:16" hidden="1" x14ac:dyDescent="0.35">
      <c r="A2761" s="146"/>
      <c r="B2761" s="143"/>
      <c r="C2761" s="133"/>
      <c r="D2761" s="133"/>
      <c r="E2761" s="145" t="s">
        <v>1118</v>
      </c>
      <c r="F2761" s="145">
        <v>897</v>
      </c>
      <c r="G2761" s="133"/>
      <c r="H2761" s="144"/>
      <c r="I2761" s="133"/>
      <c r="J2761" s="133"/>
      <c r="K2761" s="133"/>
      <c r="L2761" s="133"/>
      <c r="M2761" s="133"/>
      <c r="N2761" s="147"/>
      <c r="P2761" s="140"/>
    </row>
    <row r="2762" spans="1:16" hidden="1" x14ac:dyDescent="0.35">
      <c r="A2762" s="146"/>
      <c r="B2762" s="143"/>
      <c r="C2762" s="133"/>
      <c r="D2762" s="133"/>
      <c r="E2762" s="145"/>
      <c r="F2762" s="145"/>
      <c r="G2762" s="133"/>
      <c r="H2762" s="144"/>
      <c r="I2762" s="133"/>
      <c r="J2762" s="133"/>
      <c r="K2762" s="133"/>
      <c r="L2762" s="133"/>
      <c r="M2762" s="133"/>
      <c r="N2762" s="147"/>
      <c r="P2762" s="140"/>
    </row>
    <row r="2763" spans="1:16" hidden="1" x14ac:dyDescent="0.35">
      <c r="A2763" s="149">
        <v>37</v>
      </c>
      <c r="B2763" s="143">
        <v>45778</v>
      </c>
      <c r="C2763" s="133" t="s">
        <v>1868</v>
      </c>
      <c r="D2763" s="133" t="s">
        <v>2403</v>
      </c>
      <c r="E2763" s="145" t="s">
        <v>1342</v>
      </c>
      <c r="F2763" s="145">
        <v>3289</v>
      </c>
      <c r="G2763" s="133" t="s">
        <v>1034</v>
      </c>
      <c r="H2763" s="144" t="s">
        <v>1341</v>
      </c>
      <c r="I2763" s="133" t="s">
        <v>1092</v>
      </c>
      <c r="J2763" s="133" t="s">
        <v>2435</v>
      </c>
      <c r="K2763" s="143">
        <v>45809</v>
      </c>
      <c r="L2763" s="133" t="s">
        <v>1092</v>
      </c>
      <c r="M2763" s="133">
        <v>7162.52</v>
      </c>
      <c r="N2763" s="147">
        <f>+F2763+F2764-M2763-M2764-M2765</f>
        <v>0</v>
      </c>
      <c r="O2763" s="141"/>
      <c r="P2763" s="140"/>
    </row>
    <row r="2764" spans="1:16" hidden="1" x14ac:dyDescent="0.35">
      <c r="A2764" s="146"/>
      <c r="B2764" s="143"/>
      <c r="C2764" s="133"/>
      <c r="D2764" s="133"/>
      <c r="E2764" s="145" t="s">
        <v>1078</v>
      </c>
      <c r="F2764" s="145">
        <v>7162.52</v>
      </c>
      <c r="G2764" s="133" t="s">
        <v>1034</v>
      </c>
      <c r="H2764" s="144" t="s">
        <v>1341</v>
      </c>
      <c r="I2764" s="133" t="s">
        <v>1092</v>
      </c>
      <c r="J2764" s="133" t="s">
        <v>2481</v>
      </c>
      <c r="K2764" s="143">
        <v>45839</v>
      </c>
      <c r="L2764" s="133" t="s">
        <v>1092</v>
      </c>
      <c r="M2764" s="133">
        <v>3199</v>
      </c>
      <c r="N2764" s="147"/>
      <c r="P2764" s="140"/>
    </row>
    <row r="2765" spans="1:16" hidden="1" x14ac:dyDescent="0.35">
      <c r="A2765" s="146"/>
      <c r="B2765" s="143"/>
      <c r="C2765" s="133"/>
      <c r="D2765" s="133"/>
      <c r="E2765" s="145"/>
      <c r="F2765" s="145"/>
      <c r="G2765" s="133" t="s">
        <v>1034</v>
      </c>
      <c r="H2765" s="144" t="s">
        <v>1341</v>
      </c>
      <c r="I2765" s="133" t="s">
        <v>1092</v>
      </c>
      <c r="J2765" s="133" t="s">
        <v>2487</v>
      </c>
      <c r="K2765" s="143">
        <v>45839</v>
      </c>
      <c r="L2765" s="133" t="s">
        <v>1241</v>
      </c>
      <c r="M2765" s="133">
        <v>90</v>
      </c>
      <c r="N2765" s="147"/>
      <c r="P2765" s="140"/>
    </row>
    <row r="2766" spans="1:16" hidden="1" x14ac:dyDescent="0.35">
      <c r="A2766" s="146"/>
      <c r="B2766" s="143"/>
      <c r="C2766" s="133"/>
      <c r="D2766" s="133"/>
      <c r="E2766" s="145"/>
      <c r="F2766" s="145"/>
      <c r="G2766" s="133"/>
      <c r="H2766" s="144"/>
      <c r="I2766" s="133"/>
      <c r="J2766" s="133"/>
      <c r="K2766" s="143"/>
      <c r="L2766" s="133"/>
      <c r="M2766" s="133"/>
      <c r="N2766" s="147"/>
      <c r="P2766" s="140"/>
    </row>
    <row r="2767" spans="1:16" hidden="1" x14ac:dyDescent="0.35">
      <c r="A2767" s="149">
        <v>38</v>
      </c>
      <c r="B2767" s="143">
        <v>45778</v>
      </c>
      <c r="C2767" s="133" t="s">
        <v>1866</v>
      </c>
      <c r="D2767" s="133" t="s">
        <v>2404</v>
      </c>
      <c r="E2767" s="145" t="s">
        <v>1342</v>
      </c>
      <c r="F2767" s="145">
        <v>2093</v>
      </c>
      <c r="G2767" s="133" t="s">
        <v>1034</v>
      </c>
      <c r="H2767" s="144" t="s">
        <v>1341</v>
      </c>
      <c r="I2767" s="133" t="s">
        <v>1092</v>
      </c>
      <c r="J2767" s="133" t="s">
        <v>2419</v>
      </c>
      <c r="K2767" s="143">
        <v>45778</v>
      </c>
      <c r="L2767" s="133" t="s">
        <v>1092</v>
      </c>
      <c r="M2767" s="133">
        <v>3231</v>
      </c>
      <c r="N2767" s="147">
        <f>+F2767+F2768+F2769+F2770+F2771+F2772-M2767-M2768-M2769-M2770</f>
        <v>0</v>
      </c>
      <c r="O2767" s="141"/>
      <c r="P2767" s="140"/>
    </row>
    <row r="2768" spans="1:16" hidden="1" x14ac:dyDescent="0.35">
      <c r="A2768" s="146"/>
      <c r="B2768" s="143"/>
      <c r="C2768" s="133"/>
      <c r="D2768" s="133"/>
      <c r="E2768" s="145" t="s">
        <v>1075</v>
      </c>
      <c r="F2768" s="145">
        <v>1290.9000000000001</v>
      </c>
      <c r="G2768" s="133" t="s">
        <v>1034</v>
      </c>
      <c r="H2768" s="144" t="s">
        <v>1341</v>
      </c>
      <c r="I2768" s="133" t="s">
        <v>1092</v>
      </c>
      <c r="J2768" s="133" t="s">
        <v>2437</v>
      </c>
      <c r="K2768" s="143">
        <v>45809</v>
      </c>
      <c r="L2768" s="133" t="s">
        <v>1092</v>
      </c>
      <c r="M2768" s="133">
        <v>2856.6</v>
      </c>
      <c r="N2768" s="147"/>
      <c r="P2768" s="140"/>
    </row>
    <row r="2769" spans="1:16" hidden="1" x14ac:dyDescent="0.35">
      <c r="A2769" s="146"/>
      <c r="B2769" s="143"/>
      <c r="C2769" s="133"/>
      <c r="D2769" s="133"/>
      <c r="E2769" s="145" t="s">
        <v>1071</v>
      </c>
      <c r="F2769" s="145">
        <v>99.7</v>
      </c>
      <c r="G2769" s="133" t="s">
        <v>1034</v>
      </c>
      <c r="H2769" s="144" t="s">
        <v>1341</v>
      </c>
      <c r="I2769" s="133" t="s">
        <v>1092</v>
      </c>
      <c r="J2769" s="133" t="s">
        <v>2481</v>
      </c>
      <c r="K2769" s="143">
        <v>45839</v>
      </c>
      <c r="L2769" s="133" t="s">
        <v>1092</v>
      </c>
      <c r="M2769" s="133">
        <v>5336.5</v>
      </c>
      <c r="N2769" s="147"/>
      <c r="P2769" s="140"/>
    </row>
    <row r="2770" spans="1:16" hidden="1" x14ac:dyDescent="0.35">
      <c r="A2770" s="146"/>
      <c r="B2770" s="143"/>
      <c r="C2770" s="133"/>
      <c r="D2770" s="133"/>
      <c r="E2770" s="145" t="s">
        <v>1118</v>
      </c>
      <c r="F2770" s="145">
        <v>2856.6</v>
      </c>
      <c r="G2770" s="133" t="s">
        <v>1034</v>
      </c>
      <c r="H2770" s="144" t="s">
        <v>1341</v>
      </c>
      <c r="I2770" s="133" t="s">
        <v>1092</v>
      </c>
      <c r="J2770" s="133" t="s">
        <v>2487</v>
      </c>
      <c r="K2770" s="143">
        <v>45839</v>
      </c>
      <c r="L2770" s="133" t="s">
        <v>1241</v>
      </c>
      <c r="M2770" s="133">
        <v>340</v>
      </c>
      <c r="N2770" s="147"/>
      <c r="P2770" s="140"/>
    </row>
    <row r="2771" spans="1:16" hidden="1" x14ac:dyDescent="0.35">
      <c r="A2771" s="146"/>
      <c r="B2771" s="143"/>
      <c r="C2771" s="133"/>
      <c r="D2771" s="133"/>
      <c r="E2771" s="145" t="s">
        <v>1064</v>
      </c>
      <c r="F2771" s="145">
        <v>1423.9</v>
      </c>
      <c r="G2771" s="133"/>
      <c r="H2771" s="144"/>
      <c r="I2771" s="133"/>
      <c r="J2771" s="133"/>
      <c r="K2771" s="133"/>
      <c r="L2771" s="133"/>
      <c r="M2771" s="133"/>
      <c r="N2771" s="147"/>
      <c r="P2771" s="140"/>
    </row>
    <row r="2772" spans="1:16" hidden="1" x14ac:dyDescent="0.35">
      <c r="A2772" s="146"/>
      <c r="B2772" s="143"/>
      <c r="C2772" s="133"/>
      <c r="D2772" s="133"/>
      <c r="E2772" s="148" t="s">
        <v>55</v>
      </c>
      <c r="F2772" s="145">
        <v>4000</v>
      </c>
      <c r="G2772" s="133"/>
      <c r="H2772" s="144"/>
      <c r="I2772" s="133"/>
      <c r="J2772" s="133"/>
      <c r="K2772" s="133"/>
      <c r="L2772" s="133"/>
      <c r="M2772" s="133"/>
      <c r="N2772" s="147"/>
      <c r="P2772" s="140"/>
    </row>
    <row r="2773" spans="1:16" hidden="1" x14ac:dyDescent="0.35">
      <c r="A2773" s="146"/>
      <c r="B2773" s="143"/>
      <c r="C2773" s="133"/>
      <c r="D2773" s="133"/>
      <c r="E2773" s="145"/>
      <c r="F2773" s="145"/>
      <c r="G2773" s="133"/>
      <c r="H2773" s="144"/>
      <c r="I2773" s="133"/>
      <c r="J2773" s="133"/>
      <c r="K2773" s="133"/>
      <c r="L2773" s="133"/>
      <c r="M2773" s="133"/>
      <c r="N2773" s="147"/>
      <c r="P2773" s="140"/>
    </row>
    <row r="2774" spans="1:16" hidden="1" x14ac:dyDescent="0.35">
      <c r="A2774" s="149">
        <v>39</v>
      </c>
      <c r="B2774" s="143">
        <v>45778</v>
      </c>
      <c r="C2774" s="133" t="s">
        <v>1863</v>
      </c>
      <c r="D2774" s="133" t="s">
        <v>2406</v>
      </c>
      <c r="E2774" s="145" t="s">
        <v>1342</v>
      </c>
      <c r="F2774" s="145">
        <v>3801</v>
      </c>
      <c r="G2774" s="133" t="s">
        <v>1034</v>
      </c>
      <c r="H2774" s="144" t="s">
        <v>1341</v>
      </c>
      <c r="I2774" s="133" t="s">
        <v>1092</v>
      </c>
      <c r="J2774" s="133" t="s">
        <v>2481</v>
      </c>
      <c r="K2774" s="143">
        <v>45839</v>
      </c>
      <c r="L2774" s="133" t="s">
        <v>1092</v>
      </c>
      <c r="M2774" s="133">
        <v>7237</v>
      </c>
      <c r="N2774" s="147">
        <f>+F2774+F2775-M2774-M2775</f>
        <v>0</v>
      </c>
      <c r="O2774" s="141"/>
      <c r="P2774" s="140"/>
    </row>
    <row r="2775" spans="1:16" hidden="1" x14ac:dyDescent="0.35">
      <c r="A2775" s="146"/>
      <c r="B2775" s="143"/>
      <c r="C2775" s="133"/>
      <c r="D2775" s="133"/>
      <c r="E2775" s="145" t="s">
        <v>1075</v>
      </c>
      <c r="F2775" s="145">
        <v>3654</v>
      </c>
      <c r="G2775" s="133" t="s">
        <v>1034</v>
      </c>
      <c r="H2775" s="144" t="s">
        <v>1341</v>
      </c>
      <c r="I2775" s="133" t="s">
        <v>1092</v>
      </c>
      <c r="J2775" s="133" t="s">
        <v>2487</v>
      </c>
      <c r="K2775" s="143">
        <v>45839</v>
      </c>
      <c r="L2775" s="133" t="s">
        <v>1241</v>
      </c>
      <c r="M2775" s="133">
        <v>218</v>
      </c>
      <c r="N2775" s="147"/>
      <c r="P2775" s="140"/>
    </row>
    <row r="2776" spans="1:16" hidden="1" x14ac:dyDescent="0.35">
      <c r="A2776" s="146"/>
      <c r="B2776" s="143"/>
      <c r="C2776" s="133"/>
      <c r="D2776" s="133"/>
      <c r="E2776" s="145"/>
      <c r="F2776" s="145"/>
      <c r="G2776" s="133"/>
      <c r="H2776" s="144"/>
      <c r="I2776" s="133"/>
      <c r="J2776" s="133"/>
      <c r="K2776" s="133"/>
      <c r="L2776" s="133"/>
      <c r="M2776" s="133"/>
      <c r="N2776" s="147"/>
      <c r="P2776" s="140"/>
    </row>
    <row r="2777" spans="1:16" hidden="1" x14ac:dyDescent="0.35">
      <c r="A2777" s="149">
        <v>40</v>
      </c>
      <c r="B2777" s="143">
        <v>45778</v>
      </c>
      <c r="C2777" s="133" t="s">
        <v>1859</v>
      </c>
      <c r="D2777" s="133" t="s">
        <v>2408</v>
      </c>
      <c r="E2777" s="145" t="s">
        <v>1342</v>
      </c>
      <c r="F2777" s="145">
        <v>2924</v>
      </c>
      <c r="G2777" s="133" t="s">
        <v>1034</v>
      </c>
      <c r="H2777" s="144" t="s">
        <v>1341</v>
      </c>
      <c r="I2777" s="133" t="s">
        <v>1092</v>
      </c>
      <c r="J2777" s="133" t="s">
        <v>2481</v>
      </c>
      <c r="K2777" s="143">
        <v>45839</v>
      </c>
      <c r="L2777" s="133" t="s">
        <v>1092</v>
      </c>
      <c r="M2777" s="133">
        <v>5150</v>
      </c>
      <c r="N2777" s="147">
        <f>+F2777+F2778+F2779-M2777-M2778</f>
        <v>0</v>
      </c>
      <c r="O2777" s="141"/>
      <c r="P2777" s="140"/>
    </row>
    <row r="2778" spans="1:16" hidden="1" x14ac:dyDescent="0.35">
      <c r="A2778" s="146"/>
      <c r="B2778" s="143"/>
      <c r="C2778" s="133"/>
      <c r="D2778" s="133"/>
      <c r="E2778" s="145" t="s">
        <v>1075</v>
      </c>
      <c r="F2778" s="145">
        <v>2074</v>
      </c>
      <c r="G2778" s="133" t="s">
        <v>1034</v>
      </c>
      <c r="H2778" s="144" t="s">
        <v>1341</v>
      </c>
      <c r="I2778" s="133" t="s">
        <v>1092</v>
      </c>
      <c r="J2778" s="133" t="s">
        <v>2487</v>
      </c>
      <c r="K2778" s="143">
        <v>45839</v>
      </c>
      <c r="L2778" s="133" t="s">
        <v>1241</v>
      </c>
      <c r="M2778" s="133">
        <v>151</v>
      </c>
      <c r="N2778" s="147"/>
      <c r="P2778" s="140"/>
    </row>
    <row r="2779" spans="1:16" hidden="1" x14ac:dyDescent="0.35">
      <c r="A2779" s="146"/>
      <c r="B2779" s="143"/>
      <c r="C2779" s="133"/>
      <c r="D2779" s="133"/>
      <c r="E2779" s="145" t="s">
        <v>1067</v>
      </c>
      <c r="F2779" s="145">
        <v>303</v>
      </c>
      <c r="G2779" s="133"/>
      <c r="H2779" s="144"/>
      <c r="I2779" s="133"/>
      <c r="J2779" s="133"/>
      <c r="K2779" s="133"/>
      <c r="L2779" s="133"/>
      <c r="M2779" s="133"/>
      <c r="N2779" s="147"/>
      <c r="P2779" s="140"/>
    </row>
    <row r="2780" spans="1:16" hidden="1" x14ac:dyDescent="0.35">
      <c r="A2780" s="146"/>
      <c r="B2780" s="143"/>
      <c r="C2780" s="133"/>
      <c r="D2780" s="133"/>
      <c r="E2780" s="145"/>
      <c r="F2780" s="145"/>
      <c r="G2780" s="133"/>
      <c r="H2780" s="144"/>
      <c r="I2780" s="133"/>
      <c r="J2780" s="133"/>
      <c r="K2780" s="133"/>
      <c r="L2780" s="133"/>
      <c r="M2780" s="133"/>
      <c r="N2780" s="147"/>
      <c r="P2780" s="140"/>
    </row>
    <row r="2781" spans="1:16" hidden="1" x14ac:dyDescent="0.35">
      <c r="A2781" s="149">
        <v>41</v>
      </c>
      <c r="B2781" s="143">
        <v>45778</v>
      </c>
      <c r="C2781" s="133" t="s">
        <v>1857</v>
      </c>
      <c r="D2781" s="133" t="s">
        <v>2413</v>
      </c>
      <c r="E2781" s="145" t="s">
        <v>1075</v>
      </c>
      <c r="F2781" s="145">
        <v>2766</v>
      </c>
      <c r="G2781" s="133" t="s">
        <v>1034</v>
      </c>
      <c r="H2781" s="144" t="s">
        <v>1341</v>
      </c>
      <c r="I2781" s="133" t="s">
        <v>1092</v>
      </c>
      <c r="J2781" s="133" t="s">
        <v>2481</v>
      </c>
      <c r="K2781" s="143">
        <v>45839</v>
      </c>
      <c r="L2781" s="133" t="s">
        <v>1092</v>
      </c>
      <c r="M2781" s="133">
        <v>2693</v>
      </c>
      <c r="N2781" s="147">
        <f>+F2781-M2781-M2782</f>
        <v>0</v>
      </c>
      <c r="O2781" s="141"/>
      <c r="P2781" s="140"/>
    </row>
    <row r="2782" spans="1:16" hidden="1" x14ac:dyDescent="0.35">
      <c r="A2782" s="146"/>
      <c r="B2782" s="143"/>
      <c r="C2782" s="133"/>
      <c r="D2782" s="133"/>
      <c r="E2782" s="145"/>
      <c r="F2782" s="145"/>
      <c r="G2782" s="133" t="s">
        <v>1034</v>
      </c>
      <c r="H2782" s="144" t="s">
        <v>1341</v>
      </c>
      <c r="I2782" s="133" t="s">
        <v>1092</v>
      </c>
      <c r="J2782" s="133" t="s">
        <v>2487</v>
      </c>
      <c r="K2782" s="143">
        <v>45839</v>
      </c>
      <c r="L2782" s="133" t="s">
        <v>1241</v>
      </c>
      <c r="M2782" s="133">
        <v>73</v>
      </c>
      <c r="N2782" s="147"/>
      <c r="P2782" s="140"/>
    </row>
    <row r="2783" spans="1:16" hidden="1" x14ac:dyDescent="0.35">
      <c r="A2783" s="146"/>
      <c r="B2783" s="143"/>
      <c r="C2783" s="133"/>
      <c r="D2783" s="133"/>
      <c r="E2783" s="145"/>
      <c r="F2783" s="145"/>
      <c r="G2783" s="133"/>
      <c r="H2783" s="144"/>
      <c r="I2783" s="133"/>
      <c r="J2783" s="133"/>
      <c r="K2783" s="143"/>
      <c r="L2783" s="133"/>
      <c r="M2783" s="133"/>
      <c r="N2783" s="147"/>
      <c r="P2783" s="140"/>
    </row>
    <row r="2784" spans="1:16" hidden="1" x14ac:dyDescent="0.35">
      <c r="A2784" s="149">
        <v>42</v>
      </c>
      <c r="B2784" s="143">
        <v>45778</v>
      </c>
      <c r="C2784" s="133" t="s">
        <v>1855</v>
      </c>
      <c r="D2784" s="133" t="s">
        <v>2415</v>
      </c>
      <c r="E2784" s="145" t="s">
        <v>1342</v>
      </c>
      <c r="F2784" s="145">
        <v>3988</v>
      </c>
      <c r="G2784" s="133" t="s">
        <v>1034</v>
      </c>
      <c r="H2784" s="144" t="s">
        <v>1341</v>
      </c>
      <c r="I2784" s="133" t="s">
        <v>1092</v>
      </c>
      <c r="J2784" s="133" t="s">
        <v>2444</v>
      </c>
      <c r="K2784" s="143">
        <v>45809</v>
      </c>
      <c r="L2784" s="133" t="s">
        <v>1092</v>
      </c>
      <c r="M2784" s="133">
        <v>1033.5</v>
      </c>
      <c r="N2784" s="147">
        <f>+F2784+F2785+F2786-M2784-M2785-M2786</f>
        <v>0</v>
      </c>
      <c r="O2784" s="141"/>
      <c r="P2784" s="140"/>
    </row>
    <row r="2785" spans="1:16" hidden="1" x14ac:dyDescent="0.35">
      <c r="A2785" s="146"/>
      <c r="B2785" s="143"/>
      <c r="C2785" s="133"/>
      <c r="D2785" s="133"/>
      <c r="E2785" s="145" t="s">
        <v>1075</v>
      </c>
      <c r="F2785" s="145">
        <v>1400</v>
      </c>
      <c r="G2785" s="133" t="s">
        <v>1034</v>
      </c>
      <c r="H2785" s="144" t="s">
        <v>1341</v>
      </c>
      <c r="I2785" s="133" t="s">
        <v>1092</v>
      </c>
      <c r="J2785" s="133" t="s">
        <v>2481</v>
      </c>
      <c r="K2785" s="143">
        <v>45839</v>
      </c>
      <c r="L2785" s="133" t="s">
        <v>1092</v>
      </c>
      <c r="M2785" s="133">
        <v>5198</v>
      </c>
      <c r="N2785" s="147"/>
      <c r="P2785" s="140"/>
    </row>
    <row r="2786" spans="1:16" hidden="1" x14ac:dyDescent="0.35">
      <c r="A2786" s="146"/>
      <c r="B2786" s="143"/>
      <c r="C2786" s="133"/>
      <c r="D2786" s="133"/>
      <c r="E2786" s="145" t="s">
        <v>1118</v>
      </c>
      <c r="F2786" s="145">
        <v>1033.5</v>
      </c>
      <c r="G2786" s="133" t="s">
        <v>1034</v>
      </c>
      <c r="H2786" s="144" t="s">
        <v>1341</v>
      </c>
      <c r="I2786" s="133" t="s">
        <v>1092</v>
      </c>
      <c r="J2786" s="133" t="s">
        <v>2487</v>
      </c>
      <c r="K2786" s="143">
        <v>45839</v>
      </c>
      <c r="L2786" s="133" t="s">
        <v>1241</v>
      </c>
      <c r="M2786" s="133">
        <v>190</v>
      </c>
      <c r="N2786" s="147"/>
      <c r="P2786" s="140"/>
    </row>
    <row r="2787" spans="1:16" hidden="1" x14ac:dyDescent="0.35">
      <c r="A2787" s="146"/>
      <c r="B2787" s="143"/>
      <c r="C2787" s="133"/>
      <c r="D2787" s="133"/>
      <c r="E2787" s="145"/>
      <c r="F2787" s="145"/>
      <c r="G2787" s="133"/>
      <c r="H2787" s="144"/>
      <c r="I2787" s="133"/>
      <c r="J2787" s="133"/>
      <c r="K2787" s="133"/>
      <c r="L2787" s="133"/>
      <c r="M2787" s="133"/>
      <c r="N2787" s="147"/>
      <c r="P2787" s="140"/>
    </row>
    <row r="2788" spans="1:16" hidden="1" x14ac:dyDescent="0.35">
      <c r="A2788" s="149">
        <v>43</v>
      </c>
      <c r="B2788" s="143">
        <v>45778</v>
      </c>
      <c r="C2788" s="133" t="s">
        <v>1853</v>
      </c>
      <c r="D2788" s="133" t="s">
        <v>2416</v>
      </c>
      <c r="E2788" s="145" t="s">
        <v>1064</v>
      </c>
      <c r="F2788" s="145">
        <v>498.6</v>
      </c>
      <c r="G2788" s="133" t="s">
        <v>1034</v>
      </c>
      <c r="H2788" s="144" t="s">
        <v>1341</v>
      </c>
      <c r="I2788" s="133" t="s">
        <v>1092</v>
      </c>
      <c r="J2788" s="133" t="s">
        <v>2481</v>
      </c>
      <c r="K2788" s="143">
        <v>45839</v>
      </c>
      <c r="L2788" s="133" t="s">
        <v>1092</v>
      </c>
      <c r="M2788" s="133">
        <v>1787</v>
      </c>
      <c r="N2788" s="147">
        <f>+F2788+F2789+F2790-M2788-M2789</f>
        <v>0</v>
      </c>
      <c r="O2788" s="141"/>
      <c r="P2788" s="140"/>
    </row>
    <row r="2789" spans="1:16" hidden="1" x14ac:dyDescent="0.35">
      <c r="A2789" s="146"/>
      <c r="B2789" s="143"/>
      <c r="C2789" s="133"/>
      <c r="D2789" s="133"/>
      <c r="E2789" s="145" t="s">
        <v>1075</v>
      </c>
      <c r="F2789" s="145">
        <v>496.4</v>
      </c>
      <c r="G2789" s="133" t="s">
        <v>1034</v>
      </c>
      <c r="H2789" s="144" t="s">
        <v>1341</v>
      </c>
      <c r="I2789" s="133" t="s">
        <v>1092</v>
      </c>
      <c r="J2789" s="133" t="s">
        <v>2487</v>
      </c>
      <c r="K2789" s="143">
        <v>45839</v>
      </c>
      <c r="L2789" s="133" t="s">
        <v>1241</v>
      </c>
      <c r="M2789" s="133">
        <v>51</v>
      </c>
      <c r="N2789" s="147"/>
      <c r="P2789" s="140"/>
    </row>
    <row r="2790" spans="1:16" hidden="1" x14ac:dyDescent="0.35">
      <c r="A2790" s="146"/>
      <c r="B2790" s="143"/>
      <c r="C2790" s="133"/>
      <c r="D2790" s="133"/>
      <c r="E2790" s="145" t="s">
        <v>1067</v>
      </c>
      <c r="F2790" s="145">
        <v>843</v>
      </c>
      <c r="G2790" s="133"/>
      <c r="H2790" s="144"/>
      <c r="I2790" s="133"/>
      <c r="J2790" s="133"/>
      <c r="K2790" s="133"/>
      <c r="L2790" s="133"/>
      <c r="M2790" s="133"/>
      <c r="N2790" s="147"/>
      <c r="P2790" s="140"/>
    </row>
    <row r="2791" spans="1:16" hidden="1" x14ac:dyDescent="0.35">
      <c r="A2791" s="146"/>
      <c r="B2791" s="143"/>
      <c r="C2791" s="133"/>
      <c r="D2791" s="133"/>
      <c r="E2791" s="145"/>
      <c r="F2791" s="145"/>
      <c r="G2791" s="133"/>
      <c r="H2791" s="144"/>
      <c r="I2791" s="133"/>
      <c r="J2791" s="133"/>
      <c r="K2791" s="133"/>
      <c r="L2791" s="133"/>
      <c r="M2791" s="133"/>
      <c r="N2791" s="147"/>
      <c r="P2791" s="140"/>
    </row>
    <row r="2792" spans="1:16" hidden="1" x14ac:dyDescent="0.35">
      <c r="A2792" s="149">
        <v>44</v>
      </c>
      <c r="B2792" s="143">
        <v>45778</v>
      </c>
      <c r="C2792" s="133" t="s">
        <v>1851</v>
      </c>
      <c r="D2792" s="133" t="s">
        <v>2416</v>
      </c>
      <c r="E2792" s="148" t="s">
        <v>1059</v>
      </c>
      <c r="F2792" s="145">
        <v>56000</v>
      </c>
      <c r="G2792" s="133" t="s">
        <v>1034</v>
      </c>
      <c r="H2792" s="144" t="s">
        <v>1341</v>
      </c>
      <c r="I2792" s="133" t="s">
        <v>1092</v>
      </c>
      <c r="J2792" s="133" t="s">
        <v>2428</v>
      </c>
      <c r="K2792" s="143">
        <v>45809</v>
      </c>
      <c r="L2792" s="133" t="s">
        <v>1092</v>
      </c>
      <c r="M2792" s="133">
        <v>54318</v>
      </c>
      <c r="N2792" s="147">
        <f>+F2792-M2792-M2793</f>
        <v>0</v>
      </c>
      <c r="O2792" s="141"/>
      <c r="P2792" s="140"/>
    </row>
    <row r="2793" spans="1:16" hidden="1" x14ac:dyDescent="0.35">
      <c r="A2793" s="146"/>
      <c r="B2793" s="143"/>
      <c r="C2793" s="133"/>
      <c r="D2793" s="133"/>
      <c r="E2793" s="145"/>
      <c r="F2793" s="145"/>
      <c r="G2793" s="133" t="s">
        <v>1034</v>
      </c>
      <c r="H2793" s="144" t="s">
        <v>1341</v>
      </c>
      <c r="I2793" s="133" t="s">
        <v>1092</v>
      </c>
      <c r="J2793" s="133" t="s">
        <v>2487</v>
      </c>
      <c r="K2793" s="143">
        <v>45839</v>
      </c>
      <c r="L2793" s="133" t="s">
        <v>1241</v>
      </c>
      <c r="M2793" s="133">
        <v>1682</v>
      </c>
      <c r="N2793" s="147"/>
      <c r="P2793" s="140"/>
    </row>
    <row r="2794" spans="1:16" hidden="1" x14ac:dyDescent="0.35">
      <c r="A2794" s="146"/>
      <c r="B2794" s="143"/>
      <c r="C2794" s="133"/>
      <c r="D2794" s="133"/>
      <c r="E2794" s="145"/>
      <c r="F2794" s="145"/>
      <c r="G2794" s="133"/>
      <c r="H2794" s="144"/>
      <c r="I2794" s="133"/>
      <c r="J2794" s="133"/>
      <c r="K2794" s="143"/>
      <c r="L2794" s="133"/>
      <c r="M2794" s="133"/>
      <c r="N2794" s="147"/>
      <c r="P2794" s="140"/>
    </row>
    <row r="2795" spans="1:16" hidden="1" x14ac:dyDescent="0.35">
      <c r="A2795" s="149">
        <v>45</v>
      </c>
      <c r="B2795" s="143">
        <v>45778</v>
      </c>
      <c r="C2795" s="133" t="s">
        <v>1849</v>
      </c>
      <c r="D2795" s="133" t="s">
        <v>2418</v>
      </c>
      <c r="E2795" s="145" t="s">
        <v>1342</v>
      </c>
      <c r="F2795" s="145">
        <v>4416</v>
      </c>
      <c r="G2795" s="133" t="s">
        <v>1034</v>
      </c>
      <c r="H2795" s="144" t="s">
        <v>1341</v>
      </c>
      <c r="I2795" s="133" t="s">
        <v>1092</v>
      </c>
      <c r="J2795" s="133" t="s">
        <v>2484</v>
      </c>
      <c r="K2795" s="143">
        <v>45839</v>
      </c>
      <c r="L2795" s="133" t="s">
        <v>1092</v>
      </c>
      <c r="M2795" s="133">
        <f>422+135.8+4416+3234</f>
        <v>8207.7999999999993</v>
      </c>
      <c r="N2795" s="147">
        <f>+F2795+F2796+F2797+F2798-M2795</f>
        <v>0</v>
      </c>
      <c r="O2795" s="141"/>
      <c r="P2795" s="140"/>
    </row>
    <row r="2796" spans="1:16" hidden="1" x14ac:dyDescent="0.35">
      <c r="A2796" s="146"/>
      <c r="B2796" s="143"/>
      <c r="C2796" s="133"/>
      <c r="D2796" s="133"/>
      <c r="E2796" s="145" t="s">
        <v>1075</v>
      </c>
      <c r="F2796" s="145">
        <v>3234</v>
      </c>
      <c r="G2796" s="133"/>
      <c r="H2796" s="144"/>
      <c r="I2796" s="133"/>
      <c r="J2796" s="133"/>
      <c r="K2796" s="133"/>
      <c r="L2796" s="133"/>
      <c r="M2796" s="133"/>
      <c r="N2796" s="147"/>
      <c r="P2796" s="140"/>
    </row>
    <row r="2797" spans="1:16" hidden="1" x14ac:dyDescent="0.35">
      <c r="A2797" s="146"/>
      <c r="B2797" s="143"/>
      <c r="C2797" s="133"/>
      <c r="D2797" s="133"/>
      <c r="E2797" s="145" t="s">
        <v>1067</v>
      </c>
      <c r="F2797" s="145">
        <v>422</v>
      </c>
      <c r="G2797" s="133"/>
      <c r="H2797" s="144"/>
      <c r="I2797" s="133"/>
      <c r="J2797" s="133"/>
      <c r="K2797" s="133"/>
      <c r="L2797" s="133"/>
      <c r="M2797" s="133"/>
      <c r="N2797" s="147"/>
      <c r="P2797" s="140"/>
    </row>
    <row r="2798" spans="1:16" hidden="1" x14ac:dyDescent="0.35">
      <c r="A2798" s="146"/>
      <c r="B2798" s="143"/>
      <c r="C2798" s="133"/>
      <c r="D2798" s="133"/>
      <c r="E2798" s="145" t="s">
        <v>1071</v>
      </c>
      <c r="F2798" s="145">
        <v>135.80000000000001</v>
      </c>
      <c r="G2798" s="133"/>
      <c r="H2798" s="144"/>
      <c r="I2798" s="133"/>
      <c r="J2798" s="133"/>
      <c r="K2798" s="133"/>
      <c r="L2798" s="133"/>
      <c r="M2798" s="133"/>
      <c r="N2798" s="147"/>
      <c r="P2798" s="140"/>
    </row>
    <row r="2799" spans="1:16" hidden="1" x14ac:dyDescent="0.35">
      <c r="A2799" s="146"/>
      <c r="B2799" s="143"/>
      <c r="C2799" s="133"/>
      <c r="D2799" s="133"/>
      <c r="E2799" s="145"/>
      <c r="F2799" s="145"/>
      <c r="G2799" s="133"/>
      <c r="H2799" s="144"/>
      <c r="I2799" s="133"/>
      <c r="J2799" s="133"/>
      <c r="K2799" s="133"/>
      <c r="L2799" s="133"/>
      <c r="M2799" s="133"/>
      <c r="N2799" s="147"/>
      <c r="P2799" s="140"/>
    </row>
    <row r="2800" spans="1:16" hidden="1" x14ac:dyDescent="0.35">
      <c r="A2800" s="149">
        <v>46</v>
      </c>
      <c r="B2800" s="143">
        <v>45778</v>
      </c>
      <c r="C2800" s="133" t="s">
        <v>1847</v>
      </c>
      <c r="D2800" s="133" t="s">
        <v>2418</v>
      </c>
      <c r="E2800" s="148" t="s">
        <v>1059</v>
      </c>
      <c r="F2800" s="145">
        <v>28000</v>
      </c>
      <c r="G2800" s="133" t="s">
        <v>1034</v>
      </c>
      <c r="H2800" s="144" t="s">
        <v>1341</v>
      </c>
      <c r="I2800" s="133" t="s">
        <v>1092</v>
      </c>
      <c r="J2800" s="133" t="s">
        <v>2435</v>
      </c>
      <c r="K2800" s="143">
        <v>45809</v>
      </c>
      <c r="L2800" s="133" t="s">
        <v>1092</v>
      </c>
      <c r="M2800" s="133">
        <v>27350</v>
      </c>
      <c r="N2800" s="147">
        <f>+F2800-M2800-M2801</f>
        <v>0</v>
      </c>
      <c r="O2800" s="141"/>
      <c r="P2800" s="140"/>
    </row>
    <row r="2801" spans="1:16" hidden="1" x14ac:dyDescent="0.35">
      <c r="A2801" s="146"/>
      <c r="B2801" s="143"/>
      <c r="C2801" s="133"/>
      <c r="D2801" s="133"/>
      <c r="E2801" s="145"/>
      <c r="F2801" s="145"/>
      <c r="G2801" s="133" t="s">
        <v>1034</v>
      </c>
      <c r="H2801" s="144" t="s">
        <v>1341</v>
      </c>
      <c r="I2801" s="133" t="s">
        <v>1092</v>
      </c>
      <c r="J2801" s="133" t="s">
        <v>2487</v>
      </c>
      <c r="K2801" s="143">
        <v>45839</v>
      </c>
      <c r="L2801" s="133" t="s">
        <v>1241</v>
      </c>
      <c r="M2801" s="133">
        <v>650</v>
      </c>
      <c r="N2801" s="147"/>
      <c r="P2801" s="140"/>
    </row>
    <row r="2802" spans="1:16" hidden="1" x14ac:dyDescent="0.35">
      <c r="A2802" s="146"/>
      <c r="B2802" s="143"/>
      <c r="C2802" s="133"/>
      <c r="D2802" s="133"/>
      <c r="E2802" s="145"/>
      <c r="F2802" s="145"/>
      <c r="G2802" s="133"/>
      <c r="H2802" s="144"/>
      <c r="I2802" s="133"/>
      <c r="J2802" s="133"/>
      <c r="K2802" s="143"/>
      <c r="L2802" s="133"/>
      <c r="M2802" s="133"/>
      <c r="N2802" s="147"/>
      <c r="P2802" s="140"/>
    </row>
    <row r="2803" spans="1:16" hidden="1" x14ac:dyDescent="0.35">
      <c r="A2803" s="149">
        <v>47</v>
      </c>
      <c r="B2803" s="143">
        <v>45778</v>
      </c>
      <c r="C2803" s="133" t="s">
        <v>1845</v>
      </c>
      <c r="D2803" s="133" t="s">
        <v>2421</v>
      </c>
      <c r="E2803" s="148" t="s">
        <v>1059</v>
      </c>
      <c r="F2803" s="145">
        <v>28000</v>
      </c>
      <c r="G2803" s="133" t="s">
        <v>1034</v>
      </c>
      <c r="H2803" s="144" t="s">
        <v>1341</v>
      </c>
      <c r="I2803" s="133" t="s">
        <v>1092</v>
      </c>
      <c r="J2803" s="133" t="s">
        <v>2460</v>
      </c>
      <c r="K2803" s="143">
        <v>45839</v>
      </c>
      <c r="L2803" s="133" t="s">
        <v>1092</v>
      </c>
      <c r="M2803" s="133">
        <v>6244.68</v>
      </c>
      <c r="N2803" s="147">
        <f>+F2803-M2803-M2804</f>
        <v>0</v>
      </c>
      <c r="O2803" s="141"/>
      <c r="P2803" s="140"/>
    </row>
    <row r="2804" spans="1:16" hidden="1" x14ac:dyDescent="0.35">
      <c r="A2804" s="146"/>
      <c r="B2804" s="143"/>
      <c r="C2804" s="133"/>
      <c r="D2804" s="133"/>
      <c r="E2804" s="145"/>
      <c r="F2804" s="145"/>
      <c r="G2804" s="133" t="s">
        <v>1034</v>
      </c>
      <c r="H2804" s="144" t="s">
        <v>1341</v>
      </c>
      <c r="I2804" s="133" t="s">
        <v>1092</v>
      </c>
      <c r="J2804" s="133" t="s">
        <v>2465</v>
      </c>
      <c r="K2804" s="143">
        <v>45839</v>
      </c>
      <c r="L2804" s="133" t="s">
        <v>1092</v>
      </c>
      <c r="M2804" s="133">
        <v>21755.32</v>
      </c>
      <c r="N2804" s="147"/>
      <c r="P2804" s="140"/>
    </row>
    <row r="2805" spans="1:16" hidden="1" x14ac:dyDescent="0.35">
      <c r="A2805" s="146"/>
      <c r="B2805" s="143"/>
      <c r="C2805" s="133"/>
      <c r="D2805" s="133"/>
      <c r="E2805" s="145"/>
      <c r="F2805" s="145"/>
      <c r="G2805" s="133"/>
      <c r="H2805" s="144"/>
      <c r="I2805" s="133"/>
      <c r="J2805" s="133"/>
      <c r="K2805" s="143"/>
      <c r="L2805" s="133"/>
      <c r="M2805" s="133"/>
      <c r="N2805" s="147"/>
      <c r="P2805" s="140"/>
    </row>
    <row r="2806" spans="1:16" hidden="1" x14ac:dyDescent="0.35">
      <c r="A2806" s="149">
        <v>48</v>
      </c>
      <c r="B2806" s="143">
        <v>45778</v>
      </c>
      <c r="C2806" s="133" t="s">
        <v>1843</v>
      </c>
      <c r="D2806" s="133" t="s">
        <v>2423</v>
      </c>
      <c r="E2806" s="145" t="s">
        <v>1342</v>
      </c>
      <c r="F2806" s="145">
        <v>1022</v>
      </c>
      <c r="G2806" s="133" t="s">
        <v>1034</v>
      </c>
      <c r="H2806" s="144" t="s">
        <v>1341</v>
      </c>
      <c r="I2806" s="133" t="s">
        <v>1092</v>
      </c>
      <c r="J2806" s="133" t="s">
        <v>2484</v>
      </c>
      <c r="K2806" s="143">
        <v>45839</v>
      </c>
      <c r="L2806" s="133" t="s">
        <v>1092</v>
      </c>
      <c r="M2806" s="133">
        <f>3920+6150.5+1022</f>
        <v>11092.5</v>
      </c>
      <c r="N2806" s="147">
        <f>+F2806+F2807+F2808-M2806</f>
        <v>0</v>
      </c>
      <c r="O2806" s="141"/>
      <c r="P2806" s="140"/>
    </row>
    <row r="2807" spans="1:16" hidden="1" x14ac:dyDescent="0.35">
      <c r="A2807" s="146"/>
      <c r="B2807" s="143"/>
      <c r="C2807" s="133"/>
      <c r="D2807" s="133"/>
      <c r="E2807" s="145" t="s">
        <v>1075</v>
      </c>
      <c r="F2807" s="145">
        <v>3920</v>
      </c>
      <c r="G2807" s="133"/>
      <c r="H2807" s="144"/>
      <c r="I2807" s="133"/>
      <c r="J2807" s="133"/>
      <c r="K2807" s="133"/>
      <c r="L2807" s="133"/>
      <c r="M2807" s="133"/>
      <c r="N2807" s="147"/>
      <c r="P2807" s="140"/>
    </row>
    <row r="2808" spans="1:16" hidden="1" x14ac:dyDescent="0.35">
      <c r="A2808" s="146"/>
      <c r="B2808" s="143"/>
      <c r="C2808" s="133"/>
      <c r="D2808" s="133"/>
      <c r="E2808" s="145" t="s">
        <v>1067</v>
      </c>
      <c r="F2808" s="145">
        <v>6150.5</v>
      </c>
      <c r="G2808" s="133"/>
      <c r="H2808" s="144"/>
      <c r="I2808" s="133"/>
      <c r="J2808" s="133"/>
      <c r="K2808" s="133"/>
      <c r="L2808" s="133"/>
      <c r="M2808" s="133"/>
      <c r="N2808" s="142"/>
      <c r="P2808" s="140"/>
    </row>
    <row r="2809" spans="1:16" hidden="1" x14ac:dyDescent="0.35">
      <c r="A2809" s="146"/>
      <c r="B2809" s="143"/>
      <c r="C2809" s="133"/>
      <c r="D2809" s="133"/>
      <c r="E2809" s="145"/>
      <c r="F2809" s="145"/>
      <c r="G2809" s="133"/>
      <c r="H2809" s="144"/>
      <c r="I2809" s="133"/>
      <c r="J2809" s="133"/>
      <c r="K2809" s="133"/>
      <c r="L2809" s="133"/>
      <c r="M2809" s="133"/>
      <c r="N2809" s="142"/>
      <c r="P2809" s="140"/>
    </row>
    <row r="2810" spans="1:16" hidden="1" x14ac:dyDescent="0.35">
      <c r="A2810" s="156"/>
      <c r="B2810" s="152"/>
      <c r="C2810" s="151"/>
      <c r="D2810" s="151"/>
      <c r="E2810" s="154"/>
      <c r="F2810" s="154"/>
      <c r="G2810" s="151"/>
      <c r="H2810" s="153"/>
      <c r="I2810" s="151"/>
      <c r="J2810" s="151"/>
      <c r="K2810" s="151"/>
      <c r="L2810" s="151"/>
      <c r="M2810" s="151"/>
      <c r="N2810" s="150"/>
      <c r="P2810" s="140"/>
    </row>
    <row r="2811" spans="1:16" hidden="1" x14ac:dyDescent="0.35">
      <c r="A2811" s="146"/>
      <c r="B2811" s="143"/>
      <c r="C2811" s="133"/>
      <c r="D2811" s="133"/>
      <c r="E2811" s="145"/>
      <c r="F2811" s="145"/>
      <c r="G2811" s="133"/>
      <c r="H2811" s="144"/>
      <c r="I2811" s="133"/>
      <c r="J2811" s="133"/>
      <c r="K2811" s="133"/>
      <c r="L2811" s="133"/>
      <c r="M2811" s="133"/>
      <c r="N2811" s="142"/>
      <c r="P2811" s="140"/>
    </row>
    <row r="2812" spans="1:16" hidden="1" x14ac:dyDescent="0.35">
      <c r="A2812" s="149">
        <v>49</v>
      </c>
      <c r="B2812" s="143">
        <v>45809</v>
      </c>
      <c r="C2812" s="133" t="s">
        <v>1841</v>
      </c>
      <c r="D2812" s="133" t="s">
        <v>2424</v>
      </c>
      <c r="E2812" s="145" t="s">
        <v>1342</v>
      </c>
      <c r="F2812" s="145">
        <v>1462</v>
      </c>
      <c r="G2812" s="133" t="s">
        <v>1034</v>
      </c>
      <c r="H2812" s="144" t="s">
        <v>1341</v>
      </c>
      <c r="I2812" s="133" t="s">
        <v>1092</v>
      </c>
      <c r="J2812" s="133" t="s">
        <v>2491</v>
      </c>
      <c r="K2812" s="143">
        <v>45839</v>
      </c>
      <c r="L2812" s="133" t="s">
        <v>1092</v>
      </c>
      <c r="M2812" s="133">
        <v>4309</v>
      </c>
      <c r="N2812" s="147">
        <f>+F2812+F2813+F2814-M2812-M2813</f>
        <v>0</v>
      </c>
      <c r="O2812" s="141"/>
      <c r="P2812" s="140"/>
    </row>
    <row r="2813" spans="1:16" hidden="1" x14ac:dyDescent="0.35">
      <c r="A2813" s="146"/>
      <c r="B2813" s="143"/>
      <c r="C2813" s="133"/>
      <c r="D2813" s="133"/>
      <c r="E2813" s="145" t="s">
        <v>1075</v>
      </c>
      <c r="F2813" s="145">
        <v>1378</v>
      </c>
      <c r="G2813" s="133" t="s">
        <v>1034</v>
      </c>
      <c r="H2813" s="144" t="s">
        <v>1341</v>
      </c>
      <c r="I2813" s="133" t="s">
        <v>1092</v>
      </c>
      <c r="J2813" s="133" t="s">
        <v>2519</v>
      </c>
      <c r="K2813" s="143">
        <v>45870</v>
      </c>
      <c r="L2813" s="133" t="s">
        <v>1241</v>
      </c>
      <c r="M2813" s="133">
        <v>130</v>
      </c>
      <c r="N2813" s="147"/>
      <c r="P2813" s="140"/>
    </row>
    <row r="2814" spans="1:16" hidden="1" x14ac:dyDescent="0.35">
      <c r="A2814" s="146"/>
      <c r="B2814" s="143"/>
      <c r="C2814" s="133"/>
      <c r="D2814" s="133"/>
      <c r="E2814" s="145" t="s">
        <v>1067</v>
      </c>
      <c r="F2814" s="145">
        <v>1599</v>
      </c>
      <c r="G2814" s="133"/>
      <c r="H2814" s="144"/>
      <c r="I2814" s="133"/>
      <c r="J2814" s="133"/>
      <c r="K2814" s="133"/>
      <c r="L2814" s="133"/>
      <c r="M2814" s="133"/>
      <c r="N2814" s="147"/>
      <c r="P2814" s="140"/>
    </row>
    <row r="2815" spans="1:16" hidden="1" x14ac:dyDescent="0.35">
      <c r="A2815" s="146"/>
      <c r="B2815" s="143"/>
      <c r="C2815" s="133"/>
      <c r="D2815" s="133"/>
      <c r="E2815" s="145"/>
      <c r="F2815" s="145"/>
      <c r="G2815" s="133"/>
      <c r="H2815" s="144"/>
      <c r="I2815" s="133"/>
      <c r="J2815" s="133"/>
      <c r="K2815" s="133"/>
      <c r="L2815" s="133"/>
      <c r="M2815" s="133"/>
      <c r="N2815" s="147"/>
      <c r="P2815" s="140"/>
    </row>
    <row r="2816" spans="1:16" hidden="1" x14ac:dyDescent="0.35">
      <c r="A2816" s="149">
        <v>50</v>
      </c>
      <c r="B2816" s="143">
        <v>45809</v>
      </c>
      <c r="C2816" s="133" t="s">
        <v>1839</v>
      </c>
      <c r="D2816" s="133" t="s">
        <v>2425</v>
      </c>
      <c r="E2816" s="145" t="s">
        <v>1342</v>
      </c>
      <c r="F2816" s="145">
        <v>1901</v>
      </c>
      <c r="G2816" s="133" t="s">
        <v>1034</v>
      </c>
      <c r="H2816" s="144" t="s">
        <v>1341</v>
      </c>
      <c r="I2816" s="133" t="s">
        <v>1092</v>
      </c>
      <c r="J2816" s="133" t="s">
        <v>2501</v>
      </c>
      <c r="K2816" s="143">
        <v>45870</v>
      </c>
      <c r="L2816" s="133" t="s">
        <v>1092</v>
      </c>
      <c r="M2816" s="133">
        <f>3330+109.7+1901</f>
        <v>5340.7</v>
      </c>
      <c r="N2816" s="147">
        <f>+F2816+F2817+F2818-M2816</f>
        <v>0</v>
      </c>
      <c r="O2816" s="141"/>
      <c r="P2816" s="140"/>
    </row>
    <row r="2817" spans="1:16" hidden="1" x14ac:dyDescent="0.35">
      <c r="A2817" s="146"/>
      <c r="B2817" s="143"/>
      <c r="C2817" s="133"/>
      <c r="D2817" s="133"/>
      <c r="E2817" s="145" t="s">
        <v>1075</v>
      </c>
      <c r="F2817" s="145">
        <v>3330</v>
      </c>
      <c r="G2817" s="133"/>
      <c r="H2817" s="144"/>
      <c r="I2817" s="133"/>
      <c r="J2817" s="133"/>
      <c r="K2817" s="133"/>
      <c r="L2817" s="133"/>
      <c r="M2817" s="133"/>
      <c r="N2817" s="147"/>
      <c r="P2817" s="140"/>
    </row>
    <row r="2818" spans="1:16" hidden="1" x14ac:dyDescent="0.35">
      <c r="A2818" s="146"/>
      <c r="B2818" s="143"/>
      <c r="C2818" s="133"/>
      <c r="D2818" s="133"/>
      <c r="E2818" s="145" t="s">
        <v>1071</v>
      </c>
      <c r="F2818" s="145">
        <v>109.7</v>
      </c>
      <c r="G2818" s="133"/>
      <c r="H2818" s="144"/>
      <c r="I2818" s="133"/>
      <c r="J2818" s="133"/>
      <c r="K2818" s="133"/>
      <c r="L2818" s="133"/>
      <c r="M2818" s="133"/>
      <c r="N2818" s="147"/>
      <c r="P2818" s="140"/>
    </row>
    <row r="2819" spans="1:16" hidden="1" x14ac:dyDescent="0.35">
      <c r="A2819" s="146"/>
      <c r="B2819" s="143"/>
      <c r="C2819" s="133"/>
      <c r="D2819" s="133"/>
      <c r="E2819" s="145"/>
      <c r="F2819" s="145"/>
      <c r="G2819" s="133"/>
      <c r="H2819" s="144"/>
      <c r="I2819" s="133"/>
      <c r="J2819" s="133"/>
      <c r="K2819" s="133"/>
      <c r="L2819" s="133"/>
      <c r="M2819" s="133"/>
      <c r="N2819" s="147"/>
      <c r="P2819" s="140"/>
    </row>
    <row r="2820" spans="1:16" hidden="1" x14ac:dyDescent="0.35">
      <c r="A2820" s="149">
        <v>51</v>
      </c>
      <c r="B2820" s="143">
        <v>45809</v>
      </c>
      <c r="C2820" s="133" t="s">
        <v>1837</v>
      </c>
      <c r="D2820" s="133" t="s">
        <v>2426</v>
      </c>
      <c r="E2820" s="145" t="s">
        <v>1342</v>
      </c>
      <c r="F2820" s="145">
        <v>6433</v>
      </c>
      <c r="G2820" s="133" t="s">
        <v>1034</v>
      </c>
      <c r="H2820" s="144" t="s">
        <v>1341</v>
      </c>
      <c r="I2820" s="133" t="s">
        <v>1092</v>
      </c>
      <c r="J2820" s="133" t="s">
        <v>2444</v>
      </c>
      <c r="K2820" s="143">
        <v>45809</v>
      </c>
      <c r="L2820" s="133" t="s">
        <v>1092</v>
      </c>
      <c r="M2820" s="133">
        <v>972</v>
      </c>
      <c r="N2820" s="147">
        <f>+F2820+F2821+F2822-M2820-M2821-M2822-M2823-M2824</f>
        <v>0</v>
      </c>
      <c r="O2820" s="141"/>
      <c r="P2820" s="140"/>
    </row>
    <row r="2821" spans="1:16" hidden="1" x14ac:dyDescent="0.35">
      <c r="A2821" s="146"/>
      <c r="B2821" s="143"/>
      <c r="C2821" s="133"/>
      <c r="D2821" s="133"/>
      <c r="E2821" s="145" t="s">
        <v>1118</v>
      </c>
      <c r="F2821" s="145">
        <v>4972</v>
      </c>
      <c r="G2821" s="133" t="s">
        <v>1034</v>
      </c>
      <c r="H2821" s="144" t="s">
        <v>1341</v>
      </c>
      <c r="I2821" s="133" t="s">
        <v>1092</v>
      </c>
      <c r="J2821" s="133" t="s">
        <v>2452</v>
      </c>
      <c r="K2821" s="143">
        <v>45809</v>
      </c>
      <c r="L2821" s="133" t="s">
        <v>1092</v>
      </c>
      <c r="M2821" s="133">
        <v>1500</v>
      </c>
      <c r="N2821" s="142"/>
      <c r="P2821" s="140"/>
    </row>
    <row r="2822" spans="1:16" hidden="1" x14ac:dyDescent="0.35">
      <c r="A2822" s="146"/>
      <c r="B2822" s="143"/>
      <c r="C2822" s="133"/>
      <c r="D2822" s="133"/>
      <c r="E2822" s="145" t="s">
        <v>1067</v>
      </c>
      <c r="F2822" s="145">
        <v>2030</v>
      </c>
      <c r="G2822" s="133" t="s">
        <v>1034</v>
      </c>
      <c r="H2822" s="144" t="s">
        <v>1341</v>
      </c>
      <c r="I2822" s="133" t="s">
        <v>1092</v>
      </c>
      <c r="J2822" s="133" t="s">
        <v>2455</v>
      </c>
      <c r="K2822" s="143">
        <v>45839</v>
      </c>
      <c r="L2822" s="133" t="s">
        <v>1092</v>
      </c>
      <c r="M2822" s="133">
        <v>2500</v>
      </c>
      <c r="N2822" s="142"/>
      <c r="P2822" s="140"/>
    </row>
    <row r="2823" spans="1:16" hidden="1" x14ac:dyDescent="0.35">
      <c r="A2823" s="146"/>
      <c r="B2823" s="143"/>
      <c r="C2823" s="133"/>
      <c r="D2823" s="133"/>
      <c r="E2823" s="145"/>
      <c r="F2823" s="145"/>
      <c r="G2823" s="133" t="s">
        <v>1034</v>
      </c>
      <c r="H2823" s="144" t="s">
        <v>1341</v>
      </c>
      <c r="I2823" s="133" t="s">
        <v>1092</v>
      </c>
      <c r="J2823" s="133" t="s">
        <v>2491</v>
      </c>
      <c r="K2823" s="143">
        <v>45839</v>
      </c>
      <c r="L2823" s="133" t="s">
        <v>1092</v>
      </c>
      <c r="M2823" s="133">
        <v>8212</v>
      </c>
      <c r="N2823" s="147"/>
      <c r="P2823" s="140"/>
    </row>
    <row r="2824" spans="1:16" hidden="1" x14ac:dyDescent="0.35">
      <c r="A2824" s="146"/>
      <c r="B2824" s="143"/>
      <c r="C2824" s="133"/>
      <c r="D2824" s="133"/>
      <c r="E2824" s="145"/>
      <c r="F2824" s="145"/>
      <c r="G2824" s="133" t="s">
        <v>1034</v>
      </c>
      <c r="H2824" s="144" t="s">
        <v>1341</v>
      </c>
      <c r="I2824" s="133" t="s">
        <v>1092</v>
      </c>
      <c r="J2824" s="133" t="s">
        <v>2519</v>
      </c>
      <c r="K2824" s="143">
        <v>45870</v>
      </c>
      <c r="L2824" s="133" t="s">
        <v>1241</v>
      </c>
      <c r="M2824" s="133">
        <v>251</v>
      </c>
      <c r="N2824" s="147"/>
      <c r="P2824" s="140"/>
    </row>
    <row r="2825" spans="1:16" hidden="1" x14ac:dyDescent="0.35">
      <c r="A2825" s="146"/>
      <c r="B2825" s="143"/>
      <c r="C2825" s="133"/>
      <c r="D2825" s="133"/>
      <c r="E2825" s="145"/>
      <c r="F2825" s="145"/>
      <c r="G2825" s="133"/>
      <c r="H2825" s="144"/>
      <c r="I2825" s="133"/>
      <c r="J2825" s="133"/>
      <c r="K2825" s="143"/>
      <c r="L2825" s="133"/>
      <c r="M2825" s="133"/>
      <c r="N2825" s="147"/>
      <c r="P2825" s="140"/>
    </row>
    <row r="2826" spans="1:16" hidden="1" x14ac:dyDescent="0.35">
      <c r="A2826" s="149">
        <v>52</v>
      </c>
      <c r="B2826" s="143">
        <v>45809</v>
      </c>
      <c r="C2826" s="133" t="s">
        <v>1835</v>
      </c>
      <c r="D2826" s="133" t="s">
        <v>2427</v>
      </c>
      <c r="E2826" s="145" t="s">
        <v>1075</v>
      </c>
      <c r="F2826" s="145">
        <v>898.3</v>
      </c>
      <c r="G2826" s="133" t="s">
        <v>1034</v>
      </c>
      <c r="H2826" s="144" t="s">
        <v>1341</v>
      </c>
      <c r="I2826" s="133" t="s">
        <v>1092</v>
      </c>
      <c r="J2826" s="133" t="s">
        <v>2491</v>
      </c>
      <c r="K2826" s="143">
        <v>45839</v>
      </c>
      <c r="L2826" s="133" t="s">
        <v>1092</v>
      </c>
      <c r="M2826" s="133">
        <v>2305.8000000000002</v>
      </c>
      <c r="N2826" s="147">
        <f>+F2826+F2827-M2826-M2827</f>
        <v>0</v>
      </c>
      <c r="O2826" s="141"/>
      <c r="P2826" s="140"/>
    </row>
    <row r="2827" spans="1:16" hidden="1" x14ac:dyDescent="0.35">
      <c r="A2827" s="146"/>
      <c r="B2827" s="143"/>
      <c r="C2827" s="133"/>
      <c r="D2827" s="133"/>
      <c r="E2827" s="145" t="s">
        <v>1064</v>
      </c>
      <c r="F2827" s="145">
        <v>1472.5</v>
      </c>
      <c r="G2827" s="133" t="s">
        <v>1034</v>
      </c>
      <c r="H2827" s="144" t="s">
        <v>1341</v>
      </c>
      <c r="I2827" s="133" t="s">
        <v>1092</v>
      </c>
      <c r="J2827" s="133" t="s">
        <v>2519</v>
      </c>
      <c r="K2827" s="143">
        <v>45870</v>
      </c>
      <c r="L2827" s="133" t="s">
        <v>1241</v>
      </c>
      <c r="M2827" s="133">
        <v>65</v>
      </c>
      <c r="N2827" s="147"/>
      <c r="P2827" s="140"/>
    </row>
    <row r="2828" spans="1:16" hidden="1" x14ac:dyDescent="0.35">
      <c r="A2828" s="146"/>
      <c r="B2828" s="143"/>
      <c r="C2828" s="133"/>
      <c r="D2828" s="133"/>
      <c r="E2828" s="145"/>
      <c r="F2828" s="145"/>
      <c r="G2828" s="133"/>
      <c r="H2828" s="144"/>
      <c r="I2828" s="133"/>
      <c r="J2828" s="133"/>
      <c r="K2828" s="133"/>
      <c r="L2828" s="133"/>
      <c r="M2828" s="133"/>
      <c r="N2828" s="147"/>
      <c r="P2828" s="140"/>
    </row>
    <row r="2829" spans="1:16" hidden="1" x14ac:dyDescent="0.35">
      <c r="A2829" s="149">
        <v>53</v>
      </c>
      <c r="B2829" s="143">
        <v>45809</v>
      </c>
      <c r="C2829" s="133" t="s">
        <v>1832</v>
      </c>
      <c r="D2829" s="133" t="s">
        <v>2429</v>
      </c>
      <c r="E2829" s="145" t="s">
        <v>1075</v>
      </c>
      <c r="F2829" s="145">
        <v>2768</v>
      </c>
      <c r="G2829" s="133" t="s">
        <v>1034</v>
      </c>
      <c r="H2829" s="144" t="s">
        <v>1341</v>
      </c>
      <c r="I2829" s="133" t="s">
        <v>1092</v>
      </c>
      <c r="J2829" s="133" t="s">
        <v>2491</v>
      </c>
      <c r="K2829" s="143">
        <v>45839</v>
      </c>
      <c r="L2829" s="133" t="s">
        <v>1092</v>
      </c>
      <c r="M2829" s="133">
        <v>5075</v>
      </c>
      <c r="N2829" s="147">
        <f>+F2829+F2830+F2831-M2829-M2830</f>
        <v>0</v>
      </c>
      <c r="O2829" s="141"/>
      <c r="P2829" s="140"/>
    </row>
    <row r="2830" spans="1:16" hidden="1" x14ac:dyDescent="0.35">
      <c r="A2830" s="146"/>
      <c r="B2830" s="143"/>
      <c r="C2830" s="133"/>
      <c r="D2830" s="133"/>
      <c r="E2830" s="145" t="s">
        <v>1067</v>
      </c>
      <c r="F2830" s="145">
        <v>2043</v>
      </c>
      <c r="G2830" s="133" t="s">
        <v>1034</v>
      </c>
      <c r="H2830" s="144" t="s">
        <v>1341</v>
      </c>
      <c r="I2830" s="133" t="s">
        <v>1092</v>
      </c>
      <c r="J2830" s="133" t="s">
        <v>2519</v>
      </c>
      <c r="K2830" s="143">
        <v>45870</v>
      </c>
      <c r="L2830" s="133" t="s">
        <v>1241</v>
      </c>
      <c r="M2830" s="133">
        <v>150</v>
      </c>
      <c r="N2830" s="147"/>
      <c r="P2830" s="140"/>
    </row>
    <row r="2831" spans="1:16" hidden="1" x14ac:dyDescent="0.35">
      <c r="A2831" s="146"/>
      <c r="B2831" s="143"/>
      <c r="C2831" s="133"/>
      <c r="D2831" s="133"/>
      <c r="E2831" s="145" t="s">
        <v>1342</v>
      </c>
      <c r="F2831" s="145">
        <v>414</v>
      </c>
      <c r="G2831" s="133"/>
      <c r="H2831" s="144"/>
      <c r="I2831" s="133"/>
      <c r="J2831" s="133"/>
      <c r="K2831" s="133"/>
      <c r="L2831" s="133"/>
      <c r="M2831" s="133"/>
      <c r="N2831" s="142"/>
      <c r="P2831" s="140"/>
    </row>
    <row r="2832" spans="1:16" hidden="1" x14ac:dyDescent="0.35">
      <c r="A2832" s="146"/>
      <c r="B2832" s="143"/>
      <c r="C2832" s="133"/>
      <c r="D2832" s="133"/>
      <c r="E2832" s="145"/>
      <c r="F2832" s="145"/>
      <c r="G2832" s="133"/>
      <c r="H2832" s="144"/>
      <c r="I2832" s="133"/>
      <c r="J2832" s="133"/>
      <c r="K2832" s="133"/>
      <c r="L2832" s="133"/>
      <c r="M2832" s="133"/>
      <c r="N2832" s="142"/>
      <c r="P2832" s="140"/>
    </row>
    <row r="2833" spans="1:16" hidden="1" x14ac:dyDescent="0.35">
      <c r="A2833" s="149">
        <v>54</v>
      </c>
      <c r="B2833" s="143">
        <v>45809</v>
      </c>
      <c r="C2833" s="133" t="s">
        <v>1830</v>
      </c>
      <c r="D2833" s="133" t="s">
        <v>2430</v>
      </c>
      <c r="E2833" s="145" t="s">
        <v>1071</v>
      </c>
      <c r="F2833" s="145">
        <v>6815.3</v>
      </c>
      <c r="G2833" s="133" t="s">
        <v>1034</v>
      </c>
      <c r="H2833" s="144" t="s">
        <v>1341</v>
      </c>
      <c r="I2833" s="133" t="s">
        <v>1092</v>
      </c>
      <c r="J2833" s="133" t="s">
        <v>2460</v>
      </c>
      <c r="K2833" s="143">
        <v>45839</v>
      </c>
      <c r="L2833" s="133" t="s">
        <v>1092</v>
      </c>
      <c r="M2833" s="133">
        <v>436.5</v>
      </c>
      <c r="N2833" s="147">
        <f>+F2833+F2834+F2835-M2833-M2834-M2835-M2836</f>
        <v>0</v>
      </c>
      <c r="O2833" s="141"/>
      <c r="P2833" s="140"/>
    </row>
    <row r="2834" spans="1:16" hidden="1" x14ac:dyDescent="0.35">
      <c r="A2834" s="146"/>
      <c r="B2834" s="143"/>
      <c r="C2834" s="133"/>
      <c r="D2834" s="133"/>
      <c r="E2834" s="145" t="s">
        <v>1078</v>
      </c>
      <c r="F2834" s="145">
        <v>436.5</v>
      </c>
      <c r="G2834" s="133" t="s">
        <v>1034</v>
      </c>
      <c r="H2834" s="144" t="s">
        <v>1341</v>
      </c>
      <c r="I2834" s="133" t="s">
        <v>1092</v>
      </c>
      <c r="J2834" s="133" t="s">
        <v>2501</v>
      </c>
      <c r="K2834" s="143">
        <v>45870</v>
      </c>
      <c r="L2834" s="133" t="s">
        <v>1092</v>
      </c>
      <c r="M2834" s="133">
        <v>2432</v>
      </c>
      <c r="N2834" s="147"/>
      <c r="P2834" s="140"/>
    </row>
    <row r="2835" spans="1:16" hidden="1" x14ac:dyDescent="0.35">
      <c r="A2835" s="146"/>
      <c r="B2835" s="143"/>
      <c r="C2835" s="133"/>
      <c r="D2835" s="133"/>
      <c r="E2835" s="145" t="s">
        <v>1342</v>
      </c>
      <c r="F2835" s="145">
        <v>2712</v>
      </c>
      <c r="G2835" s="133" t="s">
        <v>1034</v>
      </c>
      <c r="H2835" s="144" t="s">
        <v>1341</v>
      </c>
      <c r="I2835" s="133" t="s">
        <v>1092</v>
      </c>
      <c r="J2835" s="133" t="s">
        <v>2519</v>
      </c>
      <c r="K2835" s="143">
        <v>45870</v>
      </c>
      <c r="L2835" s="133" t="s">
        <v>1241</v>
      </c>
      <c r="M2835" s="133">
        <v>280</v>
      </c>
      <c r="N2835" s="147"/>
      <c r="P2835" s="140"/>
    </row>
    <row r="2836" spans="1:16" hidden="1" x14ac:dyDescent="0.35">
      <c r="A2836" s="146"/>
      <c r="B2836" s="143"/>
      <c r="C2836" s="133"/>
      <c r="D2836" s="133"/>
      <c r="E2836" s="145"/>
      <c r="F2836" s="145"/>
      <c r="G2836" s="133" t="s">
        <v>1034</v>
      </c>
      <c r="H2836" s="144" t="s">
        <v>1341</v>
      </c>
      <c r="I2836" s="133" t="s">
        <v>1092</v>
      </c>
      <c r="J2836" s="133" t="s">
        <v>2576</v>
      </c>
      <c r="K2836" s="143">
        <v>45931</v>
      </c>
      <c r="L2836" s="133" t="s">
        <v>1092</v>
      </c>
      <c r="M2836" s="133">
        <v>6815.3</v>
      </c>
      <c r="N2836" s="147"/>
      <c r="P2836" s="140"/>
    </row>
    <row r="2837" spans="1:16" hidden="1" x14ac:dyDescent="0.35">
      <c r="A2837" s="146"/>
      <c r="B2837" s="143"/>
      <c r="C2837" s="133"/>
      <c r="D2837" s="133"/>
      <c r="E2837" s="145"/>
      <c r="F2837" s="145"/>
      <c r="G2837" s="133"/>
      <c r="H2837" s="144"/>
      <c r="I2837" s="133"/>
      <c r="J2837" s="133"/>
      <c r="K2837" s="143"/>
      <c r="L2837" s="133"/>
      <c r="M2837" s="133"/>
      <c r="N2837" s="147"/>
      <c r="P2837" s="140"/>
    </row>
    <row r="2838" spans="1:16" hidden="1" x14ac:dyDescent="0.35">
      <c r="A2838" s="149">
        <v>55</v>
      </c>
      <c r="B2838" s="143">
        <v>45809</v>
      </c>
      <c r="C2838" s="133" t="s">
        <v>1828</v>
      </c>
      <c r="D2838" s="133" t="s">
        <v>2431</v>
      </c>
      <c r="E2838" s="145" t="s">
        <v>1075</v>
      </c>
      <c r="F2838" s="145">
        <v>1446</v>
      </c>
      <c r="G2838" s="133" t="s">
        <v>1034</v>
      </c>
      <c r="H2838" s="144" t="s">
        <v>1341</v>
      </c>
      <c r="I2838" s="133" t="s">
        <v>1092</v>
      </c>
      <c r="J2838" s="133" t="s">
        <v>2501</v>
      </c>
      <c r="K2838" s="143">
        <v>45870</v>
      </c>
      <c r="L2838" s="133" t="s">
        <v>1092</v>
      </c>
      <c r="M2838" s="133">
        <v>1406</v>
      </c>
      <c r="N2838" s="147">
        <f>+F2838-M2838-M2839</f>
        <v>0</v>
      </c>
      <c r="O2838" s="141"/>
      <c r="P2838" s="140"/>
    </row>
    <row r="2839" spans="1:16" hidden="1" x14ac:dyDescent="0.35">
      <c r="A2839" s="146"/>
      <c r="B2839" s="143"/>
      <c r="C2839" s="133"/>
      <c r="D2839" s="133"/>
      <c r="E2839" s="145"/>
      <c r="F2839" s="145"/>
      <c r="G2839" s="133" t="s">
        <v>1034</v>
      </c>
      <c r="H2839" s="144" t="s">
        <v>1341</v>
      </c>
      <c r="I2839" s="133" t="s">
        <v>1092</v>
      </c>
      <c r="J2839" s="133" t="s">
        <v>2519</v>
      </c>
      <c r="K2839" s="143">
        <v>45870</v>
      </c>
      <c r="L2839" s="133" t="s">
        <v>1241</v>
      </c>
      <c r="M2839" s="133">
        <v>40</v>
      </c>
      <c r="N2839" s="147"/>
      <c r="P2839" s="140"/>
    </row>
    <row r="2840" spans="1:16" hidden="1" x14ac:dyDescent="0.35">
      <c r="A2840" s="146"/>
      <c r="B2840" s="143"/>
      <c r="C2840" s="133"/>
      <c r="D2840" s="133"/>
      <c r="E2840" s="145"/>
      <c r="F2840" s="145"/>
      <c r="G2840" s="133"/>
      <c r="H2840" s="144"/>
      <c r="I2840" s="133"/>
      <c r="J2840" s="133"/>
      <c r="K2840" s="143"/>
      <c r="L2840" s="133"/>
      <c r="M2840" s="133"/>
      <c r="N2840" s="147"/>
      <c r="P2840" s="140"/>
    </row>
    <row r="2841" spans="1:16" hidden="1" x14ac:dyDescent="0.35">
      <c r="A2841" s="149">
        <v>56</v>
      </c>
      <c r="B2841" s="143">
        <v>45809</v>
      </c>
      <c r="C2841" s="133" t="s">
        <v>1825</v>
      </c>
      <c r="D2841" s="133" t="s">
        <v>2431</v>
      </c>
      <c r="E2841" s="148" t="s">
        <v>1059</v>
      </c>
      <c r="F2841" s="145">
        <v>99000</v>
      </c>
      <c r="G2841" s="133" t="s">
        <v>1034</v>
      </c>
      <c r="H2841" s="144" t="s">
        <v>1341</v>
      </c>
      <c r="I2841" s="133" t="s">
        <v>1092</v>
      </c>
      <c r="J2841" s="133" t="s">
        <v>2465</v>
      </c>
      <c r="K2841" s="143">
        <v>45839</v>
      </c>
      <c r="L2841" s="133" t="s">
        <v>1092</v>
      </c>
      <c r="M2841" s="133">
        <v>20818.98</v>
      </c>
      <c r="N2841" s="147">
        <f>+F2841-M2841-M2842-M2843-M2844-M2845</f>
        <v>0</v>
      </c>
      <c r="O2841" s="141"/>
      <c r="P2841" s="140"/>
    </row>
    <row r="2842" spans="1:16" hidden="1" x14ac:dyDescent="0.35">
      <c r="A2842" s="146"/>
      <c r="B2842" s="143"/>
      <c r="C2842" s="133"/>
      <c r="D2842" s="133"/>
      <c r="E2842" s="145"/>
      <c r="F2842" s="145"/>
      <c r="G2842" s="133" t="s">
        <v>1034</v>
      </c>
      <c r="H2842" s="144" t="s">
        <v>1341</v>
      </c>
      <c r="I2842" s="133" t="s">
        <v>1092</v>
      </c>
      <c r="J2842" s="133" t="s">
        <v>2480</v>
      </c>
      <c r="K2842" s="143">
        <v>45839</v>
      </c>
      <c r="L2842" s="133" t="s">
        <v>1092</v>
      </c>
      <c r="M2842" s="133">
        <v>23616</v>
      </c>
      <c r="N2842" s="147"/>
      <c r="P2842" s="140"/>
    </row>
    <row r="2843" spans="1:16" hidden="1" x14ac:dyDescent="0.35">
      <c r="A2843" s="146"/>
      <c r="B2843" s="143"/>
      <c r="C2843" s="133"/>
      <c r="D2843" s="133"/>
      <c r="E2843" s="145"/>
      <c r="F2843" s="145"/>
      <c r="G2843" s="133" t="s">
        <v>1034</v>
      </c>
      <c r="H2843" s="144" t="s">
        <v>1341</v>
      </c>
      <c r="I2843" s="133" t="s">
        <v>1092</v>
      </c>
      <c r="J2843" s="133" t="s">
        <v>2481</v>
      </c>
      <c r="K2843" s="143">
        <v>45839</v>
      </c>
      <c r="L2843" s="133" t="s">
        <v>1092</v>
      </c>
      <c r="M2843" s="133">
        <v>8315.02</v>
      </c>
      <c r="N2843" s="147"/>
      <c r="P2843" s="140"/>
    </row>
    <row r="2844" spans="1:16" hidden="1" x14ac:dyDescent="0.35">
      <c r="A2844" s="146"/>
      <c r="B2844" s="143"/>
      <c r="C2844" s="133"/>
      <c r="D2844" s="133"/>
      <c r="E2844" s="145"/>
      <c r="F2844" s="145"/>
      <c r="G2844" s="133" t="s">
        <v>1034</v>
      </c>
      <c r="H2844" s="144" t="s">
        <v>1341</v>
      </c>
      <c r="I2844" s="133" t="s">
        <v>1092</v>
      </c>
      <c r="J2844" s="133" t="s">
        <v>2484</v>
      </c>
      <c r="K2844" s="143">
        <v>45839</v>
      </c>
      <c r="L2844" s="133" t="s">
        <v>1092</v>
      </c>
      <c r="M2844" s="133">
        <v>44000</v>
      </c>
      <c r="N2844" s="147"/>
      <c r="P2844" s="140"/>
    </row>
    <row r="2845" spans="1:16" hidden="1" x14ac:dyDescent="0.35">
      <c r="A2845" s="146"/>
      <c r="B2845" s="143"/>
      <c r="C2845" s="133"/>
      <c r="D2845" s="133"/>
      <c r="E2845" s="145"/>
      <c r="F2845" s="145"/>
      <c r="G2845" s="133" t="s">
        <v>1034</v>
      </c>
      <c r="H2845" s="144" t="s">
        <v>1341</v>
      </c>
      <c r="I2845" s="133" t="s">
        <v>1092</v>
      </c>
      <c r="J2845" s="133" t="s">
        <v>2519</v>
      </c>
      <c r="K2845" s="143">
        <v>45870</v>
      </c>
      <c r="L2845" s="133" t="s">
        <v>1241</v>
      </c>
      <c r="M2845" s="133">
        <v>2250</v>
      </c>
      <c r="N2845" s="147"/>
      <c r="P2845" s="140"/>
    </row>
    <row r="2846" spans="1:16" hidden="1" x14ac:dyDescent="0.35">
      <c r="A2846" s="146"/>
      <c r="B2846" s="143"/>
      <c r="C2846" s="133"/>
      <c r="D2846" s="133"/>
      <c r="E2846" s="145"/>
      <c r="F2846" s="145"/>
      <c r="G2846" s="133"/>
      <c r="H2846" s="144"/>
      <c r="I2846" s="133"/>
      <c r="J2846" s="133"/>
      <c r="K2846" s="143"/>
      <c r="L2846" s="133"/>
      <c r="M2846" s="133"/>
      <c r="N2846" s="147"/>
      <c r="P2846" s="140"/>
    </row>
    <row r="2847" spans="1:16" hidden="1" x14ac:dyDescent="0.35">
      <c r="A2847" s="149">
        <v>57</v>
      </c>
      <c r="B2847" s="143">
        <v>45809</v>
      </c>
      <c r="C2847" s="133" t="s">
        <v>1823</v>
      </c>
      <c r="D2847" s="133" t="s">
        <v>2432</v>
      </c>
      <c r="E2847" s="145" t="s">
        <v>1071</v>
      </c>
      <c r="F2847" s="145">
        <v>2012.6</v>
      </c>
      <c r="G2847" s="133" t="s">
        <v>1034</v>
      </c>
      <c r="H2847" s="144" t="s">
        <v>1341</v>
      </c>
      <c r="I2847" s="133" t="s">
        <v>1092</v>
      </c>
      <c r="J2847" s="133" t="s">
        <v>2501</v>
      </c>
      <c r="K2847" s="143">
        <v>45870</v>
      </c>
      <c r="L2847" s="133" t="s">
        <v>1092</v>
      </c>
      <c r="M2847" s="133">
        <f>2170.2+1332.3+2812+6291</f>
        <v>12605.5</v>
      </c>
      <c r="N2847" s="147">
        <f>+F2847+F2848+F2849+F2850+F2851-M2847-M2848-M2849</f>
        <v>0</v>
      </c>
      <c r="O2847" s="141"/>
      <c r="P2847" s="140"/>
    </row>
    <row r="2848" spans="1:16" hidden="1" x14ac:dyDescent="0.35">
      <c r="A2848" s="146"/>
      <c r="B2848" s="143"/>
      <c r="C2848" s="133"/>
      <c r="D2848" s="133"/>
      <c r="E2848" s="145" t="s">
        <v>1342</v>
      </c>
      <c r="F2848" s="145">
        <v>3213</v>
      </c>
      <c r="G2848" s="133" t="s">
        <v>1034</v>
      </c>
      <c r="H2848" s="144" t="s">
        <v>1341</v>
      </c>
      <c r="I2848" s="133" t="s">
        <v>1092</v>
      </c>
      <c r="J2848" s="133" t="s">
        <v>2519</v>
      </c>
      <c r="K2848" s="143">
        <v>45870</v>
      </c>
      <c r="L2848" s="133" t="s">
        <v>1241</v>
      </c>
      <c r="M2848" s="133">
        <v>401</v>
      </c>
      <c r="N2848" s="147"/>
      <c r="P2848" s="140"/>
    </row>
    <row r="2849" spans="1:16" hidden="1" x14ac:dyDescent="0.35">
      <c r="A2849" s="146"/>
      <c r="B2849" s="143"/>
      <c r="C2849" s="133"/>
      <c r="D2849" s="133"/>
      <c r="E2849" s="145" t="s">
        <v>1064</v>
      </c>
      <c r="F2849" s="145">
        <v>2170.1999999999998</v>
      </c>
      <c r="G2849" s="133" t="s">
        <v>1034</v>
      </c>
      <c r="H2849" s="144" t="s">
        <v>1341</v>
      </c>
      <c r="I2849" s="133" t="s">
        <v>1092</v>
      </c>
      <c r="J2849" s="133" t="s">
        <v>2576</v>
      </c>
      <c r="K2849" s="143">
        <v>45931</v>
      </c>
      <c r="L2849" s="133" t="s">
        <v>1092</v>
      </c>
      <c r="M2849" s="133">
        <v>2012.6</v>
      </c>
      <c r="N2849" s="147"/>
      <c r="P2849" s="140"/>
    </row>
    <row r="2850" spans="1:16" hidden="1" x14ac:dyDescent="0.35">
      <c r="A2850" s="146"/>
      <c r="B2850" s="143"/>
      <c r="C2850" s="133"/>
      <c r="D2850" s="133"/>
      <c r="E2850" s="145" t="s">
        <v>1067</v>
      </c>
      <c r="F2850" s="145">
        <v>1332.3</v>
      </c>
      <c r="G2850" s="133"/>
      <c r="H2850" s="144"/>
      <c r="I2850" s="133"/>
      <c r="J2850" s="133"/>
      <c r="K2850" s="133"/>
      <c r="L2850" s="133"/>
      <c r="M2850" s="133"/>
      <c r="N2850" s="147"/>
      <c r="P2850" s="140"/>
    </row>
    <row r="2851" spans="1:16" hidden="1" x14ac:dyDescent="0.35">
      <c r="A2851" s="146"/>
      <c r="B2851" s="143"/>
      <c r="C2851" s="133"/>
      <c r="D2851" s="133"/>
      <c r="E2851" s="145" t="s">
        <v>1075</v>
      </c>
      <c r="F2851" s="145">
        <v>6291</v>
      </c>
      <c r="G2851" s="133"/>
      <c r="H2851" s="144"/>
      <c r="I2851" s="133"/>
      <c r="J2851" s="133"/>
      <c r="K2851" s="133"/>
      <c r="L2851" s="133"/>
      <c r="M2851" s="133"/>
      <c r="N2851" s="147"/>
      <c r="P2851" s="140"/>
    </row>
    <row r="2852" spans="1:16" hidden="1" x14ac:dyDescent="0.35">
      <c r="A2852" s="146"/>
      <c r="B2852" s="143"/>
      <c r="C2852" s="133"/>
      <c r="D2852" s="133"/>
      <c r="E2852" s="145"/>
      <c r="F2852" s="145"/>
      <c r="G2852" s="133"/>
      <c r="H2852" s="144"/>
      <c r="I2852" s="133"/>
      <c r="J2852" s="133"/>
      <c r="K2852" s="133"/>
      <c r="L2852" s="133"/>
      <c r="M2852" s="133"/>
      <c r="N2852" s="147"/>
      <c r="P2852" s="140"/>
    </row>
    <row r="2853" spans="1:16" hidden="1" x14ac:dyDescent="0.35">
      <c r="A2853" s="149">
        <v>58</v>
      </c>
      <c r="B2853" s="143">
        <v>45809</v>
      </c>
      <c r="C2853" s="133" t="s">
        <v>1822</v>
      </c>
      <c r="D2853" s="133" t="s">
        <v>2433</v>
      </c>
      <c r="E2853" s="145" t="s">
        <v>1075</v>
      </c>
      <c r="F2853" s="145">
        <v>2768</v>
      </c>
      <c r="G2853" s="133" t="s">
        <v>1034</v>
      </c>
      <c r="H2853" s="144" t="s">
        <v>1341</v>
      </c>
      <c r="I2853" s="133" t="s">
        <v>1092</v>
      </c>
      <c r="J2853" s="133" t="s">
        <v>2501</v>
      </c>
      <c r="K2853" s="143">
        <v>45870</v>
      </c>
      <c r="L2853" s="133" t="s">
        <v>1092</v>
      </c>
      <c r="M2853" s="133">
        <v>2768</v>
      </c>
      <c r="N2853" s="147">
        <f>+F2853-M2853</f>
        <v>0</v>
      </c>
      <c r="O2853" s="141"/>
      <c r="P2853" s="140"/>
    </row>
    <row r="2854" spans="1:16" hidden="1" x14ac:dyDescent="0.35">
      <c r="A2854" s="146"/>
      <c r="B2854" s="143"/>
      <c r="C2854" s="133"/>
      <c r="D2854" s="133"/>
      <c r="E2854" s="145"/>
      <c r="F2854" s="145"/>
      <c r="G2854" s="133"/>
      <c r="H2854" s="144"/>
      <c r="I2854" s="133"/>
      <c r="J2854" s="133"/>
      <c r="K2854" s="133"/>
      <c r="L2854" s="133"/>
      <c r="M2854" s="133"/>
      <c r="N2854" s="147"/>
      <c r="P2854" s="140"/>
    </row>
    <row r="2855" spans="1:16" hidden="1" x14ac:dyDescent="0.35">
      <c r="A2855" s="149">
        <v>59</v>
      </c>
      <c r="B2855" s="143">
        <v>45809</v>
      </c>
      <c r="C2855" s="133" t="s">
        <v>1820</v>
      </c>
      <c r="D2855" s="133" t="s">
        <v>2434</v>
      </c>
      <c r="E2855" s="145" t="s">
        <v>1067</v>
      </c>
      <c r="F2855" s="145">
        <v>554</v>
      </c>
      <c r="G2855" s="133" t="s">
        <v>1034</v>
      </c>
      <c r="H2855" s="144" t="s">
        <v>1341</v>
      </c>
      <c r="I2855" s="133" t="s">
        <v>1092</v>
      </c>
      <c r="J2855" s="133" t="s">
        <v>2465</v>
      </c>
      <c r="K2855" s="143">
        <v>45839</v>
      </c>
      <c r="L2855" s="133" t="s">
        <v>1092</v>
      </c>
      <c r="M2855" s="133">
        <v>7703.6</v>
      </c>
      <c r="N2855" s="147">
        <f>+F2855+F2856+F2857-M2855-M2856-M2857</f>
        <v>0</v>
      </c>
      <c r="O2855" s="141"/>
      <c r="P2855" s="140"/>
    </row>
    <row r="2856" spans="1:16" hidden="1" x14ac:dyDescent="0.35">
      <c r="A2856" s="146"/>
      <c r="B2856" s="143"/>
      <c r="C2856" s="133"/>
      <c r="D2856" s="133"/>
      <c r="E2856" s="145" t="s">
        <v>1118</v>
      </c>
      <c r="F2856" s="145">
        <v>7703.6</v>
      </c>
      <c r="G2856" s="133" t="s">
        <v>1034</v>
      </c>
      <c r="H2856" s="144" t="s">
        <v>1341</v>
      </c>
      <c r="I2856" s="133" t="s">
        <v>1092</v>
      </c>
      <c r="J2856" s="133" t="s">
        <v>2501</v>
      </c>
      <c r="K2856" s="143">
        <v>45870</v>
      </c>
      <c r="L2856" s="133" t="s">
        <v>1092</v>
      </c>
      <c r="M2856" s="133">
        <f>3752+554</f>
        <v>4306</v>
      </c>
      <c r="N2856" s="147"/>
      <c r="P2856" s="140"/>
    </row>
    <row r="2857" spans="1:16" hidden="1" x14ac:dyDescent="0.35">
      <c r="A2857" s="146"/>
      <c r="B2857" s="143"/>
      <c r="C2857" s="133"/>
      <c r="D2857" s="133"/>
      <c r="E2857" s="145" t="s">
        <v>1342</v>
      </c>
      <c r="F2857" s="145">
        <v>3882</v>
      </c>
      <c r="G2857" s="133" t="s">
        <v>1034</v>
      </c>
      <c r="H2857" s="144" t="s">
        <v>1341</v>
      </c>
      <c r="I2857" s="133" t="s">
        <v>1092</v>
      </c>
      <c r="J2857" s="133" t="s">
        <v>2519</v>
      </c>
      <c r="K2857" s="143">
        <v>45870</v>
      </c>
      <c r="L2857" s="133" t="s">
        <v>1241</v>
      </c>
      <c r="M2857" s="133">
        <v>130</v>
      </c>
      <c r="N2857" s="147"/>
      <c r="P2857" s="140"/>
    </row>
    <row r="2858" spans="1:16" hidden="1" x14ac:dyDescent="0.35">
      <c r="A2858" s="146"/>
      <c r="B2858" s="143"/>
      <c r="C2858" s="133"/>
      <c r="D2858" s="133"/>
      <c r="E2858" s="145"/>
      <c r="F2858" s="145"/>
      <c r="G2858" s="133"/>
      <c r="H2858" s="144"/>
      <c r="I2858" s="133"/>
      <c r="J2858" s="133"/>
      <c r="K2858" s="133"/>
      <c r="L2858" s="133"/>
      <c r="M2858" s="133"/>
      <c r="N2858" s="147"/>
      <c r="P2858" s="140"/>
    </row>
    <row r="2859" spans="1:16" hidden="1" x14ac:dyDescent="0.35">
      <c r="A2859" s="149">
        <v>60</v>
      </c>
      <c r="B2859" s="143">
        <v>45809</v>
      </c>
      <c r="C2859" s="133" t="s">
        <v>1819</v>
      </c>
      <c r="D2859" s="133" t="s">
        <v>2436</v>
      </c>
      <c r="E2859" s="145" t="s">
        <v>1075</v>
      </c>
      <c r="F2859" s="145">
        <v>3112</v>
      </c>
      <c r="G2859" s="133" t="s">
        <v>1034</v>
      </c>
      <c r="H2859" s="144" t="s">
        <v>1341</v>
      </c>
      <c r="I2859" s="133" t="s">
        <v>1092</v>
      </c>
      <c r="J2859" s="133" t="s">
        <v>2501</v>
      </c>
      <c r="K2859" s="143">
        <v>45870</v>
      </c>
      <c r="L2859" s="133" t="s">
        <v>1092</v>
      </c>
      <c r="M2859" s="133">
        <v>3022</v>
      </c>
      <c r="N2859" s="147">
        <f>+F2859-M2859-M2860</f>
        <v>0</v>
      </c>
      <c r="O2859" s="141"/>
      <c r="P2859" s="140"/>
    </row>
    <row r="2860" spans="1:16" hidden="1" x14ac:dyDescent="0.35">
      <c r="A2860" s="146"/>
      <c r="B2860" s="143"/>
      <c r="C2860" s="133"/>
      <c r="D2860" s="133"/>
      <c r="E2860" s="145"/>
      <c r="F2860" s="145"/>
      <c r="G2860" s="133" t="s">
        <v>1034</v>
      </c>
      <c r="H2860" s="144" t="s">
        <v>1341</v>
      </c>
      <c r="I2860" s="133" t="s">
        <v>1092</v>
      </c>
      <c r="J2860" s="133" t="s">
        <v>2519</v>
      </c>
      <c r="K2860" s="143">
        <v>45870</v>
      </c>
      <c r="L2860" s="133" t="s">
        <v>1241</v>
      </c>
      <c r="M2860" s="133">
        <v>90</v>
      </c>
      <c r="N2860" s="147"/>
      <c r="P2860" s="140"/>
    </row>
    <row r="2861" spans="1:16" hidden="1" x14ac:dyDescent="0.35">
      <c r="A2861" s="146"/>
      <c r="B2861" s="143"/>
      <c r="C2861" s="133"/>
      <c r="D2861" s="133"/>
      <c r="E2861" s="145"/>
      <c r="F2861" s="145"/>
      <c r="G2861" s="133"/>
      <c r="H2861" s="144"/>
      <c r="I2861" s="133"/>
      <c r="J2861" s="133"/>
      <c r="K2861" s="143"/>
      <c r="L2861" s="133"/>
      <c r="M2861" s="133"/>
      <c r="N2861" s="147"/>
      <c r="P2861" s="140"/>
    </row>
    <row r="2862" spans="1:16" hidden="1" x14ac:dyDescent="0.35">
      <c r="A2862" s="149">
        <v>61</v>
      </c>
      <c r="B2862" s="143">
        <v>45809</v>
      </c>
      <c r="C2862" s="133" t="s">
        <v>1817</v>
      </c>
      <c r="D2862" s="133" t="s">
        <v>2438</v>
      </c>
      <c r="E2862" s="145" t="s">
        <v>1342</v>
      </c>
      <c r="F2862" s="145">
        <v>4486</v>
      </c>
      <c r="G2862" s="133" t="s">
        <v>1034</v>
      </c>
      <c r="H2862" s="144" t="s">
        <v>1341</v>
      </c>
      <c r="I2862" s="133" t="s">
        <v>1092</v>
      </c>
      <c r="J2862" s="133" t="s">
        <v>2501</v>
      </c>
      <c r="K2862" s="143">
        <v>45870</v>
      </c>
      <c r="L2862" s="133" t="s">
        <v>1092</v>
      </c>
      <c r="M2862" s="133">
        <f>4356+283</f>
        <v>4639</v>
      </c>
      <c r="N2862" s="147">
        <f>+F2862+F2863+F2864-M2862-M2863-M2864</f>
        <v>1.8118839761882555E-13</v>
      </c>
      <c r="O2862" s="141"/>
      <c r="P2862" s="140"/>
    </row>
    <row r="2863" spans="1:16" hidden="1" x14ac:dyDescent="0.35">
      <c r="A2863" s="146"/>
      <c r="B2863" s="143"/>
      <c r="C2863" s="133"/>
      <c r="D2863" s="133"/>
      <c r="E2863" s="145" t="s">
        <v>1071</v>
      </c>
      <c r="F2863" s="145">
        <v>28.3</v>
      </c>
      <c r="G2863" s="133" t="s">
        <v>1034</v>
      </c>
      <c r="H2863" s="144" t="s">
        <v>1341</v>
      </c>
      <c r="I2863" s="133" t="s">
        <v>1092</v>
      </c>
      <c r="J2863" s="133" t="s">
        <v>2519</v>
      </c>
      <c r="K2863" s="143">
        <v>45870</v>
      </c>
      <c r="L2863" s="133" t="s">
        <v>1241</v>
      </c>
      <c r="M2863" s="133">
        <v>130</v>
      </c>
      <c r="N2863" s="147"/>
      <c r="P2863" s="140"/>
    </row>
    <row r="2864" spans="1:16" hidden="1" x14ac:dyDescent="0.35">
      <c r="A2864" s="146"/>
      <c r="B2864" s="143"/>
      <c r="C2864" s="133"/>
      <c r="D2864" s="133"/>
      <c r="E2864" s="145" t="s">
        <v>1067</v>
      </c>
      <c r="F2864" s="145">
        <v>283</v>
      </c>
      <c r="G2864" s="133" t="s">
        <v>1034</v>
      </c>
      <c r="H2864" s="144" t="s">
        <v>1341</v>
      </c>
      <c r="I2864" s="133" t="s">
        <v>1092</v>
      </c>
      <c r="J2864" s="133" t="s">
        <v>2576</v>
      </c>
      <c r="K2864" s="143">
        <v>45931</v>
      </c>
      <c r="L2864" s="133" t="s">
        <v>1092</v>
      </c>
      <c r="M2864" s="133">
        <v>28.3</v>
      </c>
      <c r="N2864" s="147"/>
      <c r="P2864" s="140"/>
    </row>
    <row r="2865" spans="1:16" hidden="1" x14ac:dyDescent="0.35">
      <c r="A2865" s="146"/>
      <c r="B2865" s="143"/>
      <c r="C2865" s="133"/>
      <c r="D2865" s="133"/>
      <c r="E2865" s="145"/>
      <c r="F2865" s="145"/>
      <c r="G2865" s="133"/>
      <c r="H2865" s="144"/>
      <c r="I2865" s="133"/>
      <c r="J2865" s="133"/>
      <c r="K2865" s="133"/>
      <c r="L2865" s="133"/>
      <c r="M2865" s="133"/>
      <c r="N2865" s="147"/>
      <c r="P2865" s="140"/>
    </row>
    <row r="2866" spans="1:16" hidden="1" x14ac:dyDescent="0.35">
      <c r="A2866" s="149">
        <v>62</v>
      </c>
      <c r="B2866" s="143">
        <v>45809</v>
      </c>
      <c r="C2866" s="133" t="s">
        <v>1815</v>
      </c>
      <c r="D2866" s="133" t="s">
        <v>2439</v>
      </c>
      <c r="E2866" s="145" t="s">
        <v>1342</v>
      </c>
      <c r="F2866" s="145">
        <v>3689</v>
      </c>
      <c r="G2866" s="133" t="s">
        <v>1034</v>
      </c>
      <c r="H2866" s="144" t="s">
        <v>1341</v>
      </c>
      <c r="I2866" s="133" t="s">
        <v>1092</v>
      </c>
      <c r="J2866" s="133" t="s">
        <v>2501</v>
      </c>
      <c r="K2866" s="143">
        <v>45870</v>
      </c>
      <c r="L2866" s="133" t="s">
        <v>1092</v>
      </c>
      <c r="M2866" s="133">
        <f>4527.5+531.6+3689</f>
        <v>8748.1</v>
      </c>
      <c r="N2866" s="147">
        <f>+F2866+F2867+F2868+F2869-M2866-M2867-M2868</f>
        <v>1.0800249583553523E-12</v>
      </c>
      <c r="O2866" s="141"/>
      <c r="P2866" s="140"/>
    </row>
    <row r="2867" spans="1:16" hidden="1" x14ac:dyDescent="0.35">
      <c r="A2867" s="146"/>
      <c r="B2867" s="143"/>
      <c r="C2867" s="133"/>
      <c r="D2867" s="133"/>
      <c r="E2867" s="145" t="s">
        <v>1071</v>
      </c>
      <c r="F2867" s="145">
        <v>66.8</v>
      </c>
      <c r="G2867" s="133" t="s">
        <v>1034</v>
      </c>
      <c r="H2867" s="144" t="s">
        <v>1341</v>
      </c>
      <c r="I2867" s="133" t="s">
        <v>1092</v>
      </c>
      <c r="J2867" s="133" t="s">
        <v>2509</v>
      </c>
      <c r="K2867" s="143">
        <v>45870</v>
      </c>
      <c r="L2867" s="133" t="s">
        <v>1092</v>
      </c>
      <c r="M2867" s="133">
        <v>66.8</v>
      </c>
      <c r="N2867" s="147"/>
      <c r="P2867" s="140"/>
    </row>
    <row r="2868" spans="1:16" hidden="1" x14ac:dyDescent="0.35">
      <c r="A2868" s="146"/>
      <c r="B2868" s="143"/>
      <c r="C2868" s="133"/>
      <c r="D2868" s="133"/>
      <c r="E2868" s="145" t="s">
        <v>1064</v>
      </c>
      <c r="F2868" s="145">
        <v>531.6</v>
      </c>
      <c r="G2868" s="133" t="s">
        <v>1034</v>
      </c>
      <c r="H2868" s="144" t="s">
        <v>1341</v>
      </c>
      <c r="I2868" s="133" t="s">
        <v>1092</v>
      </c>
      <c r="J2868" s="133" t="s">
        <v>2519</v>
      </c>
      <c r="K2868" s="143">
        <v>45870</v>
      </c>
      <c r="L2868" s="133" t="s">
        <v>1241</v>
      </c>
      <c r="M2868" s="133">
        <v>250</v>
      </c>
      <c r="N2868" s="147"/>
      <c r="P2868" s="140"/>
    </row>
    <row r="2869" spans="1:16" hidden="1" x14ac:dyDescent="0.35">
      <c r="A2869" s="146"/>
      <c r="B2869" s="143"/>
      <c r="C2869" s="133"/>
      <c r="D2869" s="133"/>
      <c r="E2869" s="145" t="s">
        <v>1075</v>
      </c>
      <c r="F2869" s="145">
        <v>4777.5</v>
      </c>
      <c r="G2869" s="133"/>
      <c r="H2869" s="144"/>
      <c r="I2869" s="133"/>
      <c r="J2869" s="133"/>
      <c r="K2869" s="133"/>
      <c r="L2869" s="133"/>
      <c r="M2869" s="133"/>
      <c r="N2869" s="147"/>
      <c r="P2869" s="140"/>
    </row>
    <row r="2870" spans="1:16" hidden="1" x14ac:dyDescent="0.35">
      <c r="A2870" s="146"/>
      <c r="B2870" s="143"/>
      <c r="C2870" s="133"/>
      <c r="D2870" s="133"/>
      <c r="E2870" s="145"/>
      <c r="F2870" s="145"/>
      <c r="G2870" s="133"/>
      <c r="H2870" s="144"/>
      <c r="I2870" s="133"/>
      <c r="J2870" s="133"/>
      <c r="K2870" s="133"/>
      <c r="L2870" s="133"/>
      <c r="M2870" s="133"/>
      <c r="N2870" s="147"/>
      <c r="P2870" s="140"/>
    </row>
    <row r="2871" spans="1:16" hidden="1" x14ac:dyDescent="0.35">
      <c r="A2871" s="149">
        <v>63</v>
      </c>
      <c r="B2871" s="143">
        <v>45809</v>
      </c>
      <c r="C2871" s="133" t="s">
        <v>1813</v>
      </c>
      <c r="D2871" s="133" t="s">
        <v>2440</v>
      </c>
      <c r="E2871" s="145" t="s">
        <v>1342</v>
      </c>
      <c r="F2871" s="145">
        <v>3419</v>
      </c>
      <c r="G2871" s="133" t="s">
        <v>1034</v>
      </c>
      <c r="H2871" s="144" t="s">
        <v>1341</v>
      </c>
      <c r="I2871" s="133" t="s">
        <v>1092</v>
      </c>
      <c r="J2871" s="133" t="s">
        <v>2519</v>
      </c>
      <c r="K2871" s="143">
        <v>45870</v>
      </c>
      <c r="L2871" s="133" t="s">
        <v>1241</v>
      </c>
      <c r="M2871" s="133">
        <v>101</v>
      </c>
      <c r="N2871" s="147">
        <f>+F2871+F2872-M2871-M2872-M2873</f>
        <v>-9.2370555648813024E-14</v>
      </c>
      <c r="O2871" s="141"/>
      <c r="P2871" s="140"/>
    </row>
    <row r="2872" spans="1:16" hidden="1" x14ac:dyDescent="0.35">
      <c r="A2872" s="146"/>
      <c r="B2872" s="143"/>
      <c r="C2872" s="133"/>
      <c r="D2872" s="133"/>
      <c r="E2872" s="145" t="s">
        <v>1071</v>
      </c>
      <c r="F2872" s="145">
        <v>41.1</v>
      </c>
      <c r="G2872" s="133" t="s">
        <v>1034</v>
      </c>
      <c r="H2872" s="144" t="s">
        <v>1341</v>
      </c>
      <c r="I2872" s="133" t="s">
        <v>1092</v>
      </c>
      <c r="J2872" s="133" t="s">
        <v>2533</v>
      </c>
      <c r="K2872" s="143">
        <v>45870</v>
      </c>
      <c r="L2872" s="133" t="s">
        <v>1092</v>
      </c>
      <c r="M2872" s="133">
        <v>3318</v>
      </c>
      <c r="N2872" s="147"/>
      <c r="P2872" s="140"/>
    </row>
    <row r="2873" spans="1:16" hidden="1" x14ac:dyDescent="0.35">
      <c r="A2873" s="146"/>
      <c r="B2873" s="143"/>
      <c r="C2873" s="133"/>
      <c r="D2873" s="133"/>
      <c r="E2873" s="145"/>
      <c r="F2873" s="145"/>
      <c r="G2873" s="133" t="s">
        <v>1034</v>
      </c>
      <c r="H2873" s="144" t="s">
        <v>1341</v>
      </c>
      <c r="I2873" s="133" t="s">
        <v>1092</v>
      </c>
      <c r="J2873" s="133" t="s">
        <v>2576</v>
      </c>
      <c r="K2873" s="143">
        <v>45931</v>
      </c>
      <c r="L2873" s="133" t="s">
        <v>1092</v>
      </c>
      <c r="M2873" s="133">
        <v>41.1</v>
      </c>
      <c r="N2873" s="147"/>
      <c r="P2873" s="140"/>
    </row>
    <row r="2874" spans="1:16" hidden="1" x14ac:dyDescent="0.35">
      <c r="A2874" s="146"/>
      <c r="B2874" s="143"/>
      <c r="C2874" s="133"/>
      <c r="D2874" s="133"/>
      <c r="E2874" s="145"/>
      <c r="F2874" s="145"/>
      <c r="G2874" s="133"/>
      <c r="H2874" s="144"/>
      <c r="I2874" s="133"/>
      <c r="J2874" s="133"/>
      <c r="K2874" s="143"/>
      <c r="L2874" s="133"/>
      <c r="M2874" s="133"/>
      <c r="N2874" s="147"/>
      <c r="P2874" s="140"/>
    </row>
    <row r="2875" spans="1:16" hidden="1" x14ac:dyDescent="0.35">
      <c r="A2875" s="149">
        <v>64</v>
      </c>
      <c r="B2875" s="143">
        <v>45809</v>
      </c>
      <c r="C2875" s="133" t="s">
        <v>1809</v>
      </c>
      <c r="D2875" s="133" t="s">
        <v>2440</v>
      </c>
      <c r="E2875" s="148" t="s">
        <v>1059</v>
      </c>
      <c r="F2875" s="145">
        <v>112000</v>
      </c>
      <c r="G2875" s="133" t="s">
        <v>1034</v>
      </c>
      <c r="H2875" s="144" t="s">
        <v>1341</v>
      </c>
      <c r="I2875" s="133" t="s">
        <v>1092</v>
      </c>
      <c r="J2875" s="133" t="s">
        <v>2491</v>
      </c>
      <c r="K2875" s="143">
        <v>45839</v>
      </c>
      <c r="L2875" s="133" t="s">
        <v>1092</v>
      </c>
      <c r="M2875" s="133">
        <v>24736.03</v>
      </c>
      <c r="N2875" s="147">
        <f>+F2875-M2875-M2876-M2877-M2878-M2879</f>
        <v>0</v>
      </c>
      <c r="O2875" s="141"/>
      <c r="P2875" s="140"/>
    </row>
    <row r="2876" spans="1:16" hidden="1" x14ac:dyDescent="0.35">
      <c r="A2876" s="146"/>
      <c r="B2876" s="143"/>
      <c r="C2876" s="133"/>
      <c r="D2876" s="133"/>
      <c r="E2876" s="145"/>
      <c r="F2876" s="145"/>
      <c r="G2876" s="133" t="s">
        <v>1034</v>
      </c>
      <c r="H2876" s="144" t="s">
        <v>1341</v>
      </c>
      <c r="I2876" s="133" t="s">
        <v>1092</v>
      </c>
      <c r="J2876" s="133" t="s">
        <v>2501</v>
      </c>
      <c r="K2876" s="143">
        <v>45870</v>
      </c>
      <c r="L2876" s="133" t="s">
        <v>1092</v>
      </c>
      <c r="M2876" s="133">
        <v>37263.97</v>
      </c>
      <c r="N2876" s="147"/>
      <c r="P2876" s="140"/>
    </row>
    <row r="2877" spans="1:16" hidden="1" x14ac:dyDescent="0.35">
      <c r="A2877" s="146"/>
      <c r="B2877" s="143"/>
      <c r="C2877" s="133"/>
      <c r="D2877" s="133"/>
      <c r="E2877" s="145"/>
      <c r="F2877" s="145"/>
      <c r="G2877" s="133" t="s">
        <v>1034</v>
      </c>
      <c r="H2877" s="144" t="s">
        <v>1341</v>
      </c>
      <c r="I2877" s="133" t="s">
        <v>1092</v>
      </c>
      <c r="J2877" s="133" t="s">
        <v>2509</v>
      </c>
      <c r="K2877" s="143">
        <v>45870</v>
      </c>
      <c r="L2877" s="133" t="s">
        <v>1092</v>
      </c>
      <c r="M2877" s="133">
        <v>10250.93</v>
      </c>
      <c r="N2877" s="147"/>
      <c r="P2877" s="140"/>
    </row>
    <row r="2878" spans="1:16" hidden="1" x14ac:dyDescent="0.35">
      <c r="A2878" s="146"/>
      <c r="B2878" s="143"/>
      <c r="C2878" s="133"/>
      <c r="D2878" s="133"/>
      <c r="E2878" s="145"/>
      <c r="F2878" s="145"/>
      <c r="G2878" s="133" t="s">
        <v>1034</v>
      </c>
      <c r="H2878" s="144" t="s">
        <v>1341</v>
      </c>
      <c r="I2878" s="133" t="s">
        <v>1092</v>
      </c>
      <c r="J2878" s="133" t="s">
        <v>2518</v>
      </c>
      <c r="K2878" s="143">
        <v>45870</v>
      </c>
      <c r="L2878" s="133" t="s">
        <v>1092</v>
      </c>
      <c r="M2878" s="133">
        <v>37734.07</v>
      </c>
      <c r="N2878" s="147"/>
      <c r="P2878" s="140"/>
    </row>
    <row r="2879" spans="1:16" hidden="1" x14ac:dyDescent="0.35">
      <c r="A2879" s="146"/>
      <c r="B2879" s="143"/>
      <c r="C2879" s="133"/>
      <c r="D2879" s="133"/>
      <c r="E2879" s="145"/>
      <c r="F2879" s="145"/>
      <c r="G2879" s="133" t="s">
        <v>1034</v>
      </c>
      <c r="H2879" s="144" t="s">
        <v>1341</v>
      </c>
      <c r="I2879" s="133" t="s">
        <v>1092</v>
      </c>
      <c r="J2879" s="133" t="s">
        <v>2519</v>
      </c>
      <c r="K2879" s="143">
        <v>45870</v>
      </c>
      <c r="L2879" s="133" t="s">
        <v>1241</v>
      </c>
      <c r="M2879" s="133">
        <v>2015</v>
      </c>
      <c r="N2879" s="147"/>
      <c r="P2879" s="140"/>
    </row>
    <row r="2880" spans="1:16" hidden="1" x14ac:dyDescent="0.35">
      <c r="A2880" s="146"/>
      <c r="B2880" s="143"/>
      <c r="C2880" s="133"/>
      <c r="D2880" s="133"/>
      <c r="E2880" s="145"/>
      <c r="F2880" s="145"/>
      <c r="G2880" s="133"/>
      <c r="H2880" s="144"/>
      <c r="I2880" s="133"/>
      <c r="J2880" s="133"/>
      <c r="K2880" s="143"/>
      <c r="L2880" s="133"/>
      <c r="M2880" s="133"/>
      <c r="N2880" s="147"/>
      <c r="P2880" s="140"/>
    </row>
    <row r="2881" spans="1:16" hidden="1" x14ac:dyDescent="0.35">
      <c r="A2881" s="149">
        <v>65</v>
      </c>
      <c r="B2881" s="143">
        <v>45809</v>
      </c>
      <c r="C2881" s="133" t="s">
        <v>1807</v>
      </c>
      <c r="D2881" s="133" t="s">
        <v>2441</v>
      </c>
      <c r="E2881" s="145" t="s">
        <v>1075</v>
      </c>
      <c r="F2881" s="145">
        <v>3801</v>
      </c>
      <c r="G2881" s="133" t="s">
        <v>1034</v>
      </c>
      <c r="H2881" s="144" t="s">
        <v>1341</v>
      </c>
      <c r="I2881" s="133" t="s">
        <v>1092</v>
      </c>
      <c r="J2881" s="133" t="s">
        <v>2509</v>
      </c>
      <c r="K2881" s="143">
        <v>45870</v>
      </c>
      <c r="L2881" s="133" t="s">
        <v>1092</v>
      </c>
      <c r="M2881" s="133">
        <v>4018</v>
      </c>
      <c r="N2881" s="147">
        <f>+F2881+F2882-M2881-M2882</f>
        <v>0</v>
      </c>
      <c r="O2881" s="141"/>
      <c r="P2881" s="140"/>
    </row>
    <row r="2882" spans="1:16" hidden="1" x14ac:dyDescent="0.35">
      <c r="A2882" s="146"/>
      <c r="B2882" s="143"/>
      <c r="C2882" s="133"/>
      <c r="D2882" s="133"/>
      <c r="E2882" s="145" t="s">
        <v>1342</v>
      </c>
      <c r="F2882" s="145">
        <v>337</v>
      </c>
      <c r="G2882" s="133" t="s">
        <v>1034</v>
      </c>
      <c r="H2882" s="144" t="s">
        <v>1341</v>
      </c>
      <c r="I2882" s="133" t="s">
        <v>1092</v>
      </c>
      <c r="J2882" s="133" t="s">
        <v>2519</v>
      </c>
      <c r="K2882" s="143">
        <v>45870</v>
      </c>
      <c r="L2882" s="133" t="s">
        <v>1241</v>
      </c>
      <c r="M2882" s="133">
        <v>120</v>
      </c>
      <c r="N2882" s="147"/>
      <c r="P2882" s="140"/>
    </row>
    <row r="2883" spans="1:16" hidden="1" x14ac:dyDescent="0.35">
      <c r="A2883" s="146"/>
      <c r="B2883" s="143"/>
      <c r="C2883" s="133"/>
      <c r="D2883" s="133"/>
      <c r="E2883" s="145"/>
      <c r="F2883" s="145"/>
      <c r="G2883" s="133"/>
      <c r="H2883" s="144"/>
      <c r="I2883" s="133"/>
      <c r="J2883" s="133"/>
      <c r="K2883" s="133"/>
      <c r="L2883" s="133"/>
      <c r="M2883" s="133"/>
      <c r="N2883" s="147"/>
      <c r="P2883" s="140"/>
    </row>
    <row r="2884" spans="1:16" hidden="1" x14ac:dyDescent="0.35">
      <c r="A2884" s="149">
        <v>66</v>
      </c>
      <c r="B2884" s="143">
        <v>45809</v>
      </c>
      <c r="C2884" s="133" t="s">
        <v>1805</v>
      </c>
      <c r="D2884" s="133" t="s">
        <v>2442</v>
      </c>
      <c r="E2884" s="145" t="s">
        <v>1342</v>
      </c>
      <c r="F2884" s="145">
        <v>2121</v>
      </c>
      <c r="G2884" s="133" t="s">
        <v>1034</v>
      </c>
      <c r="H2884" s="144" t="s">
        <v>1341</v>
      </c>
      <c r="I2884" s="133" t="s">
        <v>1092</v>
      </c>
      <c r="J2884" s="133" t="s">
        <v>2509</v>
      </c>
      <c r="K2884" s="143">
        <v>45870</v>
      </c>
      <c r="L2884" s="133" t="s">
        <v>1092</v>
      </c>
      <c r="M2884" s="133">
        <f>8900+786.9+2121+663.7</f>
        <v>12471.6</v>
      </c>
      <c r="N2884" s="147">
        <f>+F2884+F2885+F2886+F2887-M2884-M2885</f>
        <v>0</v>
      </c>
      <c r="O2884" s="141"/>
      <c r="P2884" s="140"/>
    </row>
    <row r="2885" spans="1:16" hidden="1" x14ac:dyDescent="0.35">
      <c r="A2885" s="146"/>
      <c r="B2885" s="143"/>
      <c r="C2885" s="133"/>
      <c r="D2885" s="133"/>
      <c r="E2885" s="145" t="s">
        <v>1064</v>
      </c>
      <c r="F2885" s="145">
        <v>663.7</v>
      </c>
      <c r="G2885" s="133" t="s">
        <v>1034</v>
      </c>
      <c r="H2885" s="144" t="s">
        <v>1341</v>
      </c>
      <c r="I2885" s="133" t="s">
        <v>1092</v>
      </c>
      <c r="J2885" s="133" t="s">
        <v>2519</v>
      </c>
      <c r="K2885" s="143">
        <v>45870</v>
      </c>
      <c r="L2885" s="133" t="s">
        <v>1241</v>
      </c>
      <c r="M2885" s="133">
        <v>372</v>
      </c>
      <c r="N2885" s="147"/>
      <c r="P2885" s="140"/>
    </row>
    <row r="2886" spans="1:16" hidden="1" x14ac:dyDescent="0.35">
      <c r="A2886" s="146"/>
      <c r="B2886" s="143"/>
      <c r="C2886" s="133"/>
      <c r="D2886" s="133"/>
      <c r="E2886" s="145" t="s">
        <v>1067</v>
      </c>
      <c r="F2886" s="145">
        <v>8900</v>
      </c>
      <c r="G2886" s="133"/>
      <c r="H2886" s="144"/>
      <c r="I2886" s="133"/>
      <c r="J2886" s="133"/>
      <c r="K2886" s="133"/>
      <c r="L2886" s="133"/>
      <c r="M2886" s="133"/>
      <c r="N2886" s="147"/>
      <c r="P2886" s="140"/>
    </row>
    <row r="2887" spans="1:16" hidden="1" x14ac:dyDescent="0.35">
      <c r="A2887" s="146"/>
      <c r="B2887" s="143"/>
      <c r="C2887" s="133"/>
      <c r="D2887" s="133"/>
      <c r="E2887" s="145" t="s">
        <v>1075</v>
      </c>
      <c r="F2887" s="145">
        <v>1158.9000000000001</v>
      </c>
      <c r="G2887" s="133"/>
      <c r="H2887" s="144"/>
      <c r="I2887" s="133"/>
      <c r="J2887" s="133"/>
      <c r="K2887" s="133"/>
      <c r="L2887" s="133"/>
      <c r="M2887" s="133"/>
      <c r="N2887" s="147"/>
      <c r="P2887" s="140"/>
    </row>
    <row r="2888" spans="1:16" hidden="1" x14ac:dyDescent="0.35">
      <c r="A2888" s="146"/>
      <c r="B2888" s="143"/>
      <c r="C2888" s="133"/>
      <c r="D2888" s="133"/>
      <c r="E2888" s="145"/>
      <c r="F2888" s="145"/>
      <c r="G2888" s="133"/>
      <c r="H2888" s="144"/>
      <c r="I2888" s="133"/>
      <c r="J2888" s="133"/>
      <c r="K2888" s="133"/>
      <c r="L2888" s="133"/>
      <c r="M2888" s="133"/>
      <c r="N2888" s="147"/>
      <c r="P2888" s="140"/>
    </row>
    <row r="2889" spans="1:16" hidden="1" x14ac:dyDescent="0.35">
      <c r="A2889" s="149">
        <v>67</v>
      </c>
      <c r="B2889" s="143">
        <v>45809</v>
      </c>
      <c r="C2889" s="133" t="s">
        <v>1804</v>
      </c>
      <c r="D2889" s="133" t="s">
        <v>2443</v>
      </c>
      <c r="E2889" s="145" t="s">
        <v>1342</v>
      </c>
      <c r="F2889" s="145">
        <v>2345</v>
      </c>
      <c r="G2889" s="133" t="s">
        <v>1034</v>
      </c>
      <c r="H2889" s="144" t="s">
        <v>1341</v>
      </c>
      <c r="I2889" s="133" t="s">
        <v>1092</v>
      </c>
      <c r="J2889" s="133" t="s">
        <v>2509</v>
      </c>
      <c r="K2889" s="143">
        <v>45870</v>
      </c>
      <c r="L2889" s="133" t="s">
        <v>1092</v>
      </c>
      <c r="M2889" s="133">
        <f>2186+2575</f>
        <v>4761</v>
      </c>
      <c r="N2889" s="147">
        <f>+F2889+F2890+F2891-M2889-M2890-M2891</f>
        <v>0</v>
      </c>
      <c r="O2889" s="141"/>
      <c r="P2889" s="140"/>
    </row>
    <row r="2890" spans="1:16" hidden="1" x14ac:dyDescent="0.35">
      <c r="A2890" s="146"/>
      <c r="B2890" s="143"/>
      <c r="C2890" s="133"/>
      <c r="D2890" s="133"/>
      <c r="E2890" s="145" t="s">
        <v>1071</v>
      </c>
      <c r="F2890" s="145">
        <v>537.1</v>
      </c>
      <c r="G2890" s="133" t="s">
        <v>1034</v>
      </c>
      <c r="H2890" s="144" t="s">
        <v>1341</v>
      </c>
      <c r="I2890" s="133" t="s">
        <v>1092</v>
      </c>
      <c r="J2890" s="133" t="s">
        <v>2519</v>
      </c>
      <c r="K2890" s="143">
        <v>45870</v>
      </c>
      <c r="L2890" s="133" t="s">
        <v>1241</v>
      </c>
      <c r="M2890" s="133">
        <v>159</v>
      </c>
      <c r="N2890" s="147"/>
      <c r="P2890" s="140"/>
    </row>
    <row r="2891" spans="1:16" hidden="1" x14ac:dyDescent="0.35">
      <c r="A2891" s="146"/>
      <c r="B2891" s="143"/>
      <c r="C2891" s="133"/>
      <c r="D2891" s="133"/>
      <c r="E2891" s="145" t="s">
        <v>1067</v>
      </c>
      <c r="F2891" s="145">
        <v>2575</v>
      </c>
      <c r="G2891" s="133" t="s">
        <v>1034</v>
      </c>
      <c r="H2891" s="144" t="s">
        <v>1341</v>
      </c>
      <c r="I2891" s="133" t="s">
        <v>1092</v>
      </c>
      <c r="J2891" s="133" t="s">
        <v>2576</v>
      </c>
      <c r="K2891" s="143">
        <v>45931</v>
      </c>
      <c r="L2891" s="133" t="s">
        <v>1092</v>
      </c>
      <c r="M2891" s="133">
        <v>537.1</v>
      </c>
      <c r="N2891" s="147"/>
      <c r="P2891" s="140"/>
    </row>
    <row r="2892" spans="1:16" hidden="1" x14ac:dyDescent="0.35">
      <c r="A2892" s="146"/>
      <c r="B2892" s="143"/>
      <c r="C2892" s="133"/>
      <c r="D2892" s="133"/>
      <c r="E2892" s="145"/>
      <c r="F2892" s="145"/>
      <c r="G2892" s="133"/>
      <c r="H2892" s="144"/>
      <c r="I2892" s="133"/>
      <c r="J2892" s="133"/>
      <c r="K2892" s="133"/>
      <c r="L2892" s="133"/>
      <c r="M2892" s="133"/>
      <c r="N2892" s="147"/>
      <c r="P2892" s="140"/>
    </row>
    <row r="2893" spans="1:16" hidden="1" x14ac:dyDescent="0.35">
      <c r="A2893" s="149">
        <v>68</v>
      </c>
      <c r="B2893" s="143">
        <v>45809</v>
      </c>
      <c r="C2893" s="133" t="s">
        <v>1803</v>
      </c>
      <c r="D2893" s="133" t="s">
        <v>2445</v>
      </c>
      <c r="E2893" s="145" t="s">
        <v>1342</v>
      </c>
      <c r="F2893" s="145">
        <v>2030</v>
      </c>
      <c r="G2893" s="133" t="s">
        <v>1034</v>
      </c>
      <c r="H2893" s="144" t="s">
        <v>1341</v>
      </c>
      <c r="I2893" s="133" t="s">
        <v>1092</v>
      </c>
      <c r="J2893" s="133" t="s">
        <v>2509</v>
      </c>
      <c r="K2893" s="143">
        <v>45870</v>
      </c>
      <c r="L2893" s="133" t="s">
        <v>1092</v>
      </c>
      <c r="M2893" s="133">
        <f>1834+1355+1180.4+973.2</f>
        <v>5342.5999999999995</v>
      </c>
      <c r="N2893" s="147">
        <f>+F2893+F2894+F2895+F2896+F2897-M2893-M2894-M2895</f>
        <v>0</v>
      </c>
      <c r="O2893" s="141"/>
      <c r="P2893" s="140"/>
    </row>
    <row r="2894" spans="1:16" hidden="1" x14ac:dyDescent="0.35">
      <c r="A2894" s="146"/>
      <c r="B2894" s="143"/>
      <c r="C2894" s="133"/>
      <c r="D2894" s="133"/>
      <c r="E2894" s="145" t="s">
        <v>1071</v>
      </c>
      <c r="F2894" s="145">
        <v>1167.5999999999999</v>
      </c>
      <c r="G2894" s="133" t="s">
        <v>1034</v>
      </c>
      <c r="H2894" s="144" t="s">
        <v>1341</v>
      </c>
      <c r="I2894" s="133" t="s">
        <v>1092</v>
      </c>
      <c r="J2894" s="133" t="s">
        <v>2519</v>
      </c>
      <c r="K2894" s="143">
        <v>45870</v>
      </c>
      <c r="L2894" s="133" t="s">
        <v>1241</v>
      </c>
      <c r="M2894" s="133">
        <v>196</v>
      </c>
      <c r="N2894" s="147"/>
      <c r="P2894" s="140"/>
    </row>
    <row r="2895" spans="1:16" hidden="1" x14ac:dyDescent="0.35">
      <c r="A2895" s="146"/>
      <c r="B2895" s="143"/>
      <c r="C2895" s="133"/>
      <c r="D2895" s="133"/>
      <c r="E2895" s="145" t="s">
        <v>1067</v>
      </c>
      <c r="F2895" s="145">
        <v>1355</v>
      </c>
      <c r="G2895" s="133" t="s">
        <v>1034</v>
      </c>
      <c r="H2895" s="144" t="s">
        <v>1341</v>
      </c>
      <c r="I2895" s="133" t="s">
        <v>1092</v>
      </c>
      <c r="J2895" s="133" t="s">
        <v>2576</v>
      </c>
      <c r="K2895" s="143">
        <v>45931</v>
      </c>
      <c r="L2895" s="133" t="s">
        <v>1092</v>
      </c>
      <c r="M2895" s="133">
        <v>1167.5999999999999</v>
      </c>
      <c r="N2895" s="147"/>
      <c r="P2895" s="140"/>
    </row>
    <row r="2896" spans="1:16" hidden="1" x14ac:dyDescent="0.35">
      <c r="A2896" s="146"/>
      <c r="B2896" s="143"/>
      <c r="C2896" s="133"/>
      <c r="D2896" s="133"/>
      <c r="E2896" s="145" t="s">
        <v>1064</v>
      </c>
      <c r="F2896" s="145">
        <v>1180.4000000000001</v>
      </c>
      <c r="G2896" s="133"/>
      <c r="H2896" s="144"/>
      <c r="I2896" s="133"/>
      <c r="J2896" s="133"/>
      <c r="K2896" s="133"/>
      <c r="L2896" s="133"/>
      <c r="M2896" s="133"/>
      <c r="N2896" s="147"/>
      <c r="P2896" s="140"/>
    </row>
    <row r="2897" spans="1:16" hidden="1" x14ac:dyDescent="0.35">
      <c r="A2897" s="146"/>
      <c r="B2897" s="143"/>
      <c r="C2897" s="133"/>
      <c r="D2897" s="133"/>
      <c r="E2897" s="145" t="s">
        <v>1075</v>
      </c>
      <c r="F2897" s="145">
        <v>973.2</v>
      </c>
      <c r="G2897" s="133"/>
      <c r="H2897" s="144"/>
      <c r="I2897" s="133"/>
      <c r="J2897" s="133"/>
      <c r="K2897" s="133"/>
      <c r="L2897" s="133"/>
      <c r="M2897" s="133"/>
      <c r="N2897" s="147"/>
      <c r="P2897" s="140"/>
    </row>
    <row r="2898" spans="1:16" hidden="1" x14ac:dyDescent="0.35">
      <c r="A2898" s="146"/>
      <c r="B2898" s="143"/>
      <c r="C2898" s="133"/>
      <c r="D2898" s="133"/>
      <c r="E2898" s="145"/>
      <c r="F2898" s="145"/>
      <c r="G2898" s="133"/>
      <c r="H2898" s="144"/>
      <c r="I2898" s="133"/>
      <c r="J2898" s="133"/>
      <c r="K2898" s="133"/>
      <c r="L2898" s="133"/>
      <c r="M2898" s="133"/>
      <c r="N2898" s="147"/>
      <c r="P2898" s="140"/>
    </row>
    <row r="2899" spans="1:16" hidden="1" x14ac:dyDescent="0.35">
      <c r="A2899" s="149">
        <v>69</v>
      </c>
      <c r="B2899" s="143">
        <v>45809</v>
      </c>
      <c r="C2899" s="133" t="s">
        <v>1802</v>
      </c>
      <c r="D2899" s="133" t="s">
        <v>2446</v>
      </c>
      <c r="E2899" s="145" t="s">
        <v>1071</v>
      </c>
      <c r="F2899" s="145">
        <v>56.2</v>
      </c>
      <c r="G2899" s="133" t="s">
        <v>1034</v>
      </c>
      <c r="H2899" s="144" t="s">
        <v>1341</v>
      </c>
      <c r="I2899" s="133" t="s">
        <v>1092</v>
      </c>
      <c r="J2899" s="133" t="s">
        <v>2480</v>
      </c>
      <c r="K2899" s="143">
        <v>45839</v>
      </c>
      <c r="L2899" s="133" t="s">
        <v>1092</v>
      </c>
      <c r="M2899" s="133">
        <v>2894.2</v>
      </c>
      <c r="N2899" s="147">
        <f>+F2899+F2900+F2901+F2902-M2899-M2900-M2901-M2902</f>
        <v>-1.8474111129762605E-13</v>
      </c>
      <c r="O2899" s="141"/>
      <c r="P2899" s="140"/>
    </row>
    <row r="2900" spans="1:16" hidden="1" x14ac:dyDescent="0.35">
      <c r="A2900" s="146"/>
      <c r="B2900" s="143"/>
      <c r="C2900" s="133"/>
      <c r="D2900" s="133"/>
      <c r="E2900" s="145" t="s">
        <v>1067</v>
      </c>
      <c r="F2900" s="145">
        <v>1526</v>
      </c>
      <c r="G2900" s="133" t="s">
        <v>1034</v>
      </c>
      <c r="H2900" s="144" t="s">
        <v>1341</v>
      </c>
      <c r="I2900" s="133" t="s">
        <v>1092</v>
      </c>
      <c r="J2900" s="133" t="s">
        <v>2518</v>
      </c>
      <c r="K2900" s="143">
        <v>45870</v>
      </c>
      <c r="L2900" s="133" t="s">
        <v>1092</v>
      </c>
      <c r="M2900" s="133">
        <f>1526+1952</f>
        <v>3478</v>
      </c>
      <c r="N2900" s="147"/>
      <c r="P2900" s="140"/>
    </row>
    <row r="2901" spans="1:16" hidden="1" x14ac:dyDescent="0.35">
      <c r="A2901" s="146"/>
      <c r="B2901" s="143"/>
      <c r="C2901" s="133"/>
      <c r="D2901" s="133"/>
      <c r="E2901" s="145" t="s">
        <v>1118</v>
      </c>
      <c r="F2901" s="145">
        <v>2894.2</v>
      </c>
      <c r="G2901" s="133" t="s">
        <v>1034</v>
      </c>
      <c r="H2901" s="144" t="s">
        <v>1341</v>
      </c>
      <c r="I2901" s="133" t="s">
        <v>1092</v>
      </c>
      <c r="J2901" s="133" t="s">
        <v>2519</v>
      </c>
      <c r="K2901" s="143">
        <v>45870</v>
      </c>
      <c r="L2901" s="133" t="s">
        <v>1241</v>
      </c>
      <c r="M2901" s="133">
        <v>105</v>
      </c>
      <c r="N2901" s="147"/>
      <c r="P2901" s="140"/>
    </row>
    <row r="2902" spans="1:16" hidden="1" x14ac:dyDescent="0.35">
      <c r="A2902" s="146"/>
      <c r="B2902" s="143"/>
      <c r="C2902" s="133"/>
      <c r="D2902" s="133"/>
      <c r="E2902" s="145" t="s">
        <v>1075</v>
      </c>
      <c r="F2902" s="145">
        <v>2057</v>
      </c>
      <c r="G2902" s="133" t="s">
        <v>1034</v>
      </c>
      <c r="H2902" s="144" t="s">
        <v>1341</v>
      </c>
      <c r="I2902" s="133" t="s">
        <v>1092</v>
      </c>
      <c r="J2902" s="133" t="s">
        <v>2576</v>
      </c>
      <c r="K2902" s="143">
        <v>45931</v>
      </c>
      <c r="L2902" s="133" t="s">
        <v>1092</v>
      </c>
      <c r="M2902" s="133">
        <v>56.2</v>
      </c>
      <c r="N2902" s="147"/>
      <c r="P2902" s="140"/>
    </row>
    <row r="2903" spans="1:16" hidden="1" x14ac:dyDescent="0.35">
      <c r="A2903" s="146"/>
      <c r="B2903" s="143"/>
      <c r="C2903" s="133"/>
      <c r="D2903" s="133"/>
      <c r="E2903" s="145"/>
      <c r="F2903" s="145"/>
      <c r="G2903" s="133"/>
      <c r="H2903" s="144"/>
      <c r="I2903" s="133"/>
      <c r="J2903" s="133"/>
      <c r="K2903" s="133"/>
      <c r="L2903" s="133"/>
      <c r="M2903" s="133"/>
      <c r="N2903" s="147"/>
      <c r="P2903" s="140"/>
    </row>
    <row r="2904" spans="1:16" hidden="1" x14ac:dyDescent="0.35">
      <c r="A2904" s="149">
        <v>70</v>
      </c>
      <c r="B2904" s="143">
        <v>45809</v>
      </c>
      <c r="C2904" s="133" t="s">
        <v>1800</v>
      </c>
      <c r="D2904" s="133" t="s">
        <v>2447</v>
      </c>
      <c r="E2904" s="145" t="s">
        <v>1118</v>
      </c>
      <c r="F2904" s="145">
        <v>1335.1</v>
      </c>
      <c r="G2904" s="133" t="s">
        <v>1034</v>
      </c>
      <c r="H2904" s="144" t="s">
        <v>1341</v>
      </c>
      <c r="I2904" s="133" t="s">
        <v>1092</v>
      </c>
      <c r="J2904" s="133" t="s">
        <v>2481</v>
      </c>
      <c r="K2904" s="143">
        <v>45839</v>
      </c>
      <c r="L2904" s="133" t="s">
        <v>1092</v>
      </c>
      <c r="M2904" s="133">
        <v>1390.1999999999998</v>
      </c>
      <c r="N2904" s="147">
        <f>+F2904+F2905-M2904</f>
        <v>0</v>
      </c>
      <c r="O2904" s="141"/>
      <c r="P2904" s="140"/>
    </row>
    <row r="2905" spans="1:16" hidden="1" x14ac:dyDescent="0.35">
      <c r="A2905" s="146"/>
      <c r="B2905" s="143"/>
      <c r="C2905" s="133"/>
      <c r="D2905" s="133"/>
      <c r="E2905" s="145" t="s">
        <v>1071</v>
      </c>
      <c r="F2905" s="145">
        <v>55.1</v>
      </c>
      <c r="G2905" s="133"/>
      <c r="H2905" s="144"/>
      <c r="I2905" s="133"/>
      <c r="J2905" s="133"/>
      <c r="K2905" s="133"/>
      <c r="L2905" s="133"/>
      <c r="M2905" s="133"/>
      <c r="N2905" s="147"/>
      <c r="P2905" s="140"/>
    </row>
    <row r="2906" spans="1:16" hidden="1" x14ac:dyDescent="0.35">
      <c r="A2906" s="146"/>
      <c r="B2906" s="143"/>
      <c r="C2906" s="133"/>
      <c r="D2906" s="133"/>
      <c r="E2906" s="145"/>
      <c r="F2906" s="145"/>
      <c r="G2906" s="133"/>
      <c r="H2906" s="144"/>
      <c r="I2906" s="133"/>
      <c r="J2906" s="133"/>
      <c r="K2906" s="133"/>
      <c r="L2906" s="133"/>
      <c r="M2906" s="133"/>
      <c r="N2906" s="147"/>
      <c r="P2906" s="140"/>
    </row>
    <row r="2907" spans="1:16" hidden="1" x14ac:dyDescent="0.35">
      <c r="A2907" s="149">
        <v>71</v>
      </c>
      <c r="B2907" s="143">
        <v>45809</v>
      </c>
      <c r="C2907" s="133" t="s">
        <v>1798</v>
      </c>
      <c r="D2907" s="133" t="s">
        <v>2448</v>
      </c>
      <c r="E2907" s="145" t="s">
        <v>1342</v>
      </c>
      <c r="F2907" s="145">
        <v>2902</v>
      </c>
      <c r="G2907" s="133" t="s">
        <v>1034</v>
      </c>
      <c r="H2907" s="144" t="s">
        <v>1341</v>
      </c>
      <c r="I2907" s="133" t="s">
        <v>1092</v>
      </c>
      <c r="J2907" s="133" t="s">
        <v>2518</v>
      </c>
      <c r="K2907" s="143">
        <v>45870</v>
      </c>
      <c r="L2907" s="133" t="s">
        <v>1092</v>
      </c>
      <c r="M2907" s="133">
        <v>1716</v>
      </c>
      <c r="N2907" s="147">
        <f>+F2907+F2908+F2909-M2907-M2908-M2909-M2910</f>
        <v>-1.8474111129762605E-13</v>
      </c>
      <c r="O2907" s="141"/>
      <c r="P2907" s="140"/>
    </row>
    <row r="2908" spans="1:16" hidden="1" x14ac:dyDescent="0.35">
      <c r="A2908" s="146"/>
      <c r="B2908" s="143"/>
      <c r="C2908" s="133"/>
      <c r="D2908" s="133"/>
      <c r="E2908" s="145" t="s">
        <v>1071</v>
      </c>
      <c r="F2908" s="145">
        <v>55.2</v>
      </c>
      <c r="G2908" s="133" t="s">
        <v>1034</v>
      </c>
      <c r="H2908" s="144" t="s">
        <v>1341</v>
      </c>
      <c r="I2908" s="133" t="s">
        <v>1092</v>
      </c>
      <c r="J2908" s="133" t="s">
        <v>2519</v>
      </c>
      <c r="K2908" s="143">
        <v>45870</v>
      </c>
      <c r="L2908" s="133" t="s">
        <v>1241</v>
      </c>
      <c r="M2908" s="133">
        <v>135</v>
      </c>
      <c r="N2908" s="147"/>
      <c r="P2908" s="140"/>
    </row>
    <row r="2909" spans="1:16" hidden="1" x14ac:dyDescent="0.35">
      <c r="A2909" s="146"/>
      <c r="B2909" s="143"/>
      <c r="C2909" s="133"/>
      <c r="D2909" s="133"/>
      <c r="E2909" s="145" t="s">
        <v>1067</v>
      </c>
      <c r="F2909" s="145">
        <v>1716</v>
      </c>
      <c r="G2909" s="133" t="s">
        <v>1034</v>
      </c>
      <c r="H2909" s="144" t="s">
        <v>1341</v>
      </c>
      <c r="I2909" s="133" t="s">
        <v>1092</v>
      </c>
      <c r="J2909" s="133" t="s">
        <v>2533</v>
      </c>
      <c r="K2909" s="143">
        <v>45870</v>
      </c>
      <c r="L2909" s="133" t="s">
        <v>1092</v>
      </c>
      <c r="M2909" s="133">
        <v>2767</v>
      </c>
      <c r="N2909" s="147"/>
      <c r="P2909" s="140"/>
    </row>
    <row r="2910" spans="1:16" hidden="1" x14ac:dyDescent="0.35">
      <c r="A2910" s="146"/>
      <c r="B2910" s="143"/>
      <c r="C2910" s="133"/>
      <c r="D2910" s="133"/>
      <c r="E2910" s="145"/>
      <c r="F2910" s="145"/>
      <c r="G2910" s="133" t="s">
        <v>1034</v>
      </c>
      <c r="H2910" s="144" t="s">
        <v>1341</v>
      </c>
      <c r="I2910" s="133" t="s">
        <v>1092</v>
      </c>
      <c r="J2910" s="133" t="s">
        <v>2576</v>
      </c>
      <c r="K2910" s="143">
        <v>45931</v>
      </c>
      <c r="L2910" s="133" t="s">
        <v>1092</v>
      </c>
      <c r="M2910" s="133">
        <v>55.2</v>
      </c>
      <c r="N2910" s="147"/>
      <c r="P2910" s="140"/>
    </row>
    <row r="2911" spans="1:16" hidden="1" x14ac:dyDescent="0.35">
      <c r="A2911" s="146"/>
      <c r="B2911" s="143"/>
      <c r="C2911" s="133"/>
      <c r="D2911" s="133"/>
      <c r="E2911" s="145"/>
      <c r="F2911" s="145"/>
      <c r="G2911" s="133"/>
      <c r="H2911" s="144"/>
      <c r="I2911" s="133"/>
      <c r="J2911" s="133"/>
      <c r="K2911" s="143"/>
      <c r="L2911" s="133"/>
      <c r="M2911" s="133"/>
      <c r="N2911" s="147"/>
      <c r="P2911" s="140"/>
    </row>
    <row r="2912" spans="1:16" hidden="1" x14ac:dyDescent="0.35">
      <c r="A2912" s="149">
        <v>72</v>
      </c>
      <c r="B2912" s="143">
        <v>45809</v>
      </c>
      <c r="C2912" s="133" t="s">
        <v>1797</v>
      </c>
      <c r="D2912" s="133" t="s">
        <v>2449</v>
      </c>
      <c r="E2912" s="145" t="s">
        <v>1075</v>
      </c>
      <c r="F2912" s="145">
        <v>4392</v>
      </c>
      <c r="G2912" s="133" t="s">
        <v>1034</v>
      </c>
      <c r="H2912" s="144" t="s">
        <v>1341</v>
      </c>
      <c r="I2912" s="133" t="s">
        <v>1092</v>
      </c>
      <c r="J2912" s="133" t="s">
        <v>2518</v>
      </c>
      <c r="K2912" s="143">
        <v>45870</v>
      </c>
      <c r="L2912" s="133" t="s">
        <v>1092</v>
      </c>
      <c r="M2912" s="133">
        <f>511.5+4231</f>
        <v>4742.5</v>
      </c>
      <c r="N2912" s="147">
        <f>+F2912+F2913+F2914-M2912-M2913-M2914</f>
        <v>0</v>
      </c>
      <c r="O2912" s="141"/>
      <c r="P2912" s="140"/>
    </row>
    <row r="2913" spans="1:16" hidden="1" x14ac:dyDescent="0.35">
      <c r="A2913" s="146"/>
      <c r="B2913" s="143"/>
      <c r="C2913" s="133"/>
      <c r="D2913" s="133"/>
      <c r="E2913" s="145" t="s">
        <v>1071</v>
      </c>
      <c r="F2913" s="145">
        <v>536.4</v>
      </c>
      <c r="G2913" s="133" t="s">
        <v>1034</v>
      </c>
      <c r="H2913" s="144" t="s">
        <v>1341</v>
      </c>
      <c r="I2913" s="133" t="s">
        <v>1092</v>
      </c>
      <c r="J2913" s="133" t="s">
        <v>2519</v>
      </c>
      <c r="K2913" s="143">
        <v>45870</v>
      </c>
      <c r="L2913" s="133" t="s">
        <v>1241</v>
      </c>
      <c r="M2913" s="133">
        <v>161</v>
      </c>
      <c r="N2913" s="147"/>
      <c r="P2913" s="140"/>
    </row>
    <row r="2914" spans="1:16" hidden="1" x14ac:dyDescent="0.35">
      <c r="A2914" s="146"/>
      <c r="B2914" s="143"/>
      <c r="C2914" s="133"/>
      <c r="D2914" s="133"/>
      <c r="E2914" s="145" t="s">
        <v>1067</v>
      </c>
      <c r="F2914" s="145">
        <v>511.5</v>
      </c>
      <c r="G2914" s="133" t="s">
        <v>1034</v>
      </c>
      <c r="H2914" s="144" t="s">
        <v>1341</v>
      </c>
      <c r="I2914" s="133" t="s">
        <v>1092</v>
      </c>
      <c r="J2914" s="133" t="s">
        <v>2595</v>
      </c>
      <c r="K2914" s="143">
        <v>45931</v>
      </c>
      <c r="L2914" s="133" t="s">
        <v>1092</v>
      </c>
      <c r="M2914" s="133">
        <v>536.4</v>
      </c>
      <c r="N2914" s="147"/>
      <c r="P2914" s="140"/>
    </row>
    <row r="2915" spans="1:16" hidden="1" x14ac:dyDescent="0.35">
      <c r="A2915" s="146"/>
      <c r="B2915" s="143"/>
      <c r="C2915" s="133"/>
      <c r="D2915" s="133"/>
      <c r="E2915" s="145"/>
      <c r="F2915" s="145"/>
      <c r="G2915" s="133"/>
      <c r="H2915" s="144"/>
      <c r="I2915" s="133"/>
      <c r="J2915" s="133"/>
      <c r="K2915" s="133"/>
      <c r="L2915" s="133"/>
      <c r="M2915" s="133"/>
      <c r="N2915" s="147"/>
      <c r="P2915" s="140"/>
    </row>
    <row r="2916" spans="1:16" hidden="1" x14ac:dyDescent="0.35">
      <c r="A2916" s="149">
        <v>73</v>
      </c>
      <c r="B2916" s="143">
        <v>45809</v>
      </c>
      <c r="C2916" s="133" t="s">
        <v>1795</v>
      </c>
      <c r="D2916" s="133" t="s">
        <v>2450</v>
      </c>
      <c r="E2916" s="145" t="s">
        <v>1071</v>
      </c>
      <c r="F2916" s="145">
        <v>2730.4</v>
      </c>
      <c r="G2916" s="133" t="s">
        <v>1034</v>
      </c>
      <c r="H2916" s="144" t="s">
        <v>1341</v>
      </c>
      <c r="I2916" s="133" t="s">
        <v>1092</v>
      </c>
      <c r="J2916" s="133" t="s">
        <v>2518</v>
      </c>
      <c r="K2916" s="143">
        <v>45870</v>
      </c>
      <c r="L2916" s="133" t="s">
        <v>1092</v>
      </c>
      <c r="M2916" s="133">
        <v>597</v>
      </c>
      <c r="N2916" s="147">
        <f>+F2916+F2917+F2918+F2919-M2916-M2917-M2918-M2919</f>
        <v>0</v>
      </c>
      <c r="O2916" s="141"/>
      <c r="P2916" s="140"/>
    </row>
    <row r="2917" spans="1:16" hidden="1" x14ac:dyDescent="0.35">
      <c r="A2917" s="146"/>
      <c r="B2917" s="143"/>
      <c r="C2917" s="133"/>
      <c r="D2917" s="133"/>
      <c r="E2917" s="145" t="s">
        <v>1067</v>
      </c>
      <c r="F2917" s="145">
        <v>597</v>
      </c>
      <c r="G2917" s="133" t="s">
        <v>1034</v>
      </c>
      <c r="H2917" s="144" t="s">
        <v>1341</v>
      </c>
      <c r="I2917" s="133" t="s">
        <v>1092</v>
      </c>
      <c r="J2917" s="133" t="s">
        <v>2519</v>
      </c>
      <c r="K2917" s="143">
        <v>45870</v>
      </c>
      <c r="L2917" s="133" t="s">
        <v>1241</v>
      </c>
      <c r="M2917" s="133">
        <v>235</v>
      </c>
      <c r="N2917" s="147"/>
      <c r="P2917" s="140"/>
    </row>
    <row r="2918" spans="1:16" hidden="1" x14ac:dyDescent="0.35">
      <c r="A2918" s="146"/>
      <c r="B2918" s="143"/>
      <c r="C2918" s="133"/>
      <c r="D2918" s="133"/>
      <c r="E2918" s="145" t="s">
        <v>1342</v>
      </c>
      <c r="F2918" s="145">
        <v>4008</v>
      </c>
      <c r="G2918" s="133" t="s">
        <v>1034</v>
      </c>
      <c r="H2918" s="144" t="s">
        <v>1341</v>
      </c>
      <c r="I2918" s="133" t="s">
        <v>1092</v>
      </c>
      <c r="J2918" s="133" t="s">
        <v>2533</v>
      </c>
      <c r="K2918" s="143">
        <v>45870</v>
      </c>
      <c r="L2918" s="133" t="s">
        <v>1092</v>
      </c>
      <c r="M2918" s="133">
        <f>712.8+4008</f>
        <v>4720.8</v>
      </c>
      <c r="N2918" s="147"/>
      <c r="P2918" s="140"/>
    </row>
    <row r="2919" spans="1:16" hidden="1" x14ac:dyDescent="0.35">
      <c r="A2919" s="146"/>
      <c r="B2919" s="143"/>
      <c r="C2919" s="133"/>
      <c r="D2919" s="133"/>
      <c r="E2919" s="145" t="s">
        <v>1075</v>
      </c>
      <c r="F2919" s="145">
        <v>947.8</v>
      </c>
      <c r="G2919" s="133" t="s">
        <v>1034</v>
      </c>
      <c r="H2919" s="144" t="s">
        <v>1341</v>
      </c>
      <c r="I2919" s="133" t="s">
        <v>1092</v>
      </c>
      <c r="J2919" s="133" t="s">
        <v>2595</v>
      </c>
      <c r="K2919" s="143">
        <v>45931</v>
      </c>
      <c r="L2919" s="133" t="s">
        <v>1092</v>
      </c>
      <c r="M2919" s="133">
        <v>2730.4</v>
      </c>
      <c r="N2919" s="147"/>
      <c r="P2919" s="140"/>
    </row>
    <row r="2920" spans="1:16" hidden="1" x14ac:dyDescent="0.35">
      <c r="A2920" s="146"/>
      <c r="B2920" s="143"/>
      <c r="C2920" s="133"/>
      <c r="D2920" s="133"/>
      <c r="E2920" s="145"/>
      <c r="F2920" s="145"/>
      <c r="G2920" s="133"/>
      <c r="H2920" s="144"/>
      <c r="I2920" s="133"/>
      <c r="J2920" s="133"/>
      <c r="K2920" s="133"/>
      <c r="L2920" s="133"/>
      <c r="M2920" s="133"/>
      <c r="N2920" s="147"/>
      <c r="P2920" s="140"/>
    </row>
    <row r="2921" spans="1:16" hidden="1" x14ac:dyDescent="0.35">
      <c r="A2921" s="149">
        <v>74</v>
      </c>
      <c r="B2921" s="143">
        <v>45809</v>
      </c>
      <c r="C2921" s="133" t="s">
        <v>1793</v>
      </c>
      <c r="D2921" s="133" t="s">
        <v>2453</v>
      </c>
      <c r="E2921" s="145" t="s">
        <v>1071</v>
      </c>
      <c r="F2921" s="145">
        <v>98.6</v>
      </c>
      <c r="G2921" s="133" t="s">
        <v>1034</v>
      </c>
      <c r="H2921" s="144" t="s">
        <v>1341</v>
      </c>
      <c r="I2921" s="133" t="s">
        <v>1092</v>
      </c>
      <c r="J2921" s="133" t="s">
        <v>2484</v>
      </c>
      <c r="K2921" s="143">
        <v>45839</v>
      </c>
      <c r="L2921" s="133" t="s">
        <v>1092</v>
      </c>
      <c r="M2921" s="133">
        <v>3858.91</v>
      </c>
      <c r="N2921" s="147">
        <f>+F2921+F2922+F2923+F2924+F2925-M2921-M2922-M2923-M2924-M2925</f>
        <v>3.694822225952521E-13</v>
      </c>
      <c r="O2921" s="141"/>
      <c r="P2921" s="140"/>
    </row>
    <row r="2922" spans="1:16" hidden="1" x14ac:dyDescent="0.35">
      <c r="A2922" s="146"/>
      <c r="B2922" s="143"/>
      <c r="C2922" s="133"/>
      <c r="D2922" s="133"/>
      <c r="E2922" s="145" t="s">
        <v>1067</v>
      </c>
      <c r="F2922" s="145">
        <v>1051.5999999999999</v>
      </c>
      <c r="G2922" s="133" t="s">
        <v>1034</v>
      </c>
      <c r="H2922" s="144" t="s">
        <v>1341</v>
      </c>
      <c r="I2922" s="133" t="s">
        <v>1092</v>
      </c>
      <c r="J2922" s="133" t="s">
        <v>2518</v>
      </c>
      <c r="K2922" s="143">
        <v>45870</v>
      </c>
      <c r="L2922" s="133" t="s">
        <v>1092</v>
      </c>
      <c r="M2922" s="133">
        <f>5736+1051.6</f>
        <v>6787.6</v>
      </c>
      <c r="N2922" s="147"/>
      <c r="P2922" s="140"/>
    </row>
    <row r="2923" spans="1:16" hidden="1" x14ac:dyDescent="0.35">
      <c r="A2923" s="146"/>
      <c r="B2923" s="143"/>
      <c r="C2923" s="133"/>
      <c r="D2923" s="133"/>
      <c r="E2923" s="145" t="s">
        <v>1342</v>
      </c>
      <c r="F2923" s="145">
        <v>185</v>
      </c>
      <c r="G2923" s="133" t="s">
        <v>1034</v>
      </c>
      <c r="H2923" s="144" t="s">
        <v>1341</v>
      </c>
      <c r="I2923" s="133" t="s">
        <v>1092</v>
      </c>
      <c r="J2923" s="133" t="s">
        <v>2519</v>
      </c>
      <c r="K2923" s="143">
        <v>45870</v>
      </c>
      <c r="L2923" s="133" t="s">
        <v>1241</v>
      </c>
      <c r="M2923" s="133">
        <v>210</v>
      </c>
      <c r="N2923" s="142"/>
      <c r="P2923" s="140"/>
    </row>
    <row r="2924" spans="1:16" hidden="1" x14ac:dyDescent="0.35">
      <c r="A2924" s="146"/>
      <c r="B2924" s="143"/>
      <c r="C2924" s="133"/>
      <c r="D2924" s="133"/>
      <c r="E2924" s="145" t="s">
        <v>1075</v>
      </c>
      <c r="F2924" s="145">
        <v>5946</v>
      </c>
      <c r="G2924" s="133" t="s">
        <v>1034</v>
      </c>
      <c r="H2924" s="144" t="s">
        <v>1341</v>
      </c>
      <c r="I2924" s="133" t="s">
        <v>1092</v>
      </c>
      <c r="J2924" s="133" t="s">
        <v>2553</v>
      </c>
      <c r="K2924" s="143">
        <v>45901</v>
      </c>
      <c r="L2924" s="133" t="s">
        <v>1241</v>
      </c>
      <c r="M2924" s="133">
        <v>185</v>
      </c>
      <c r="N2924" s="142"/>
      <c r="P2924" s="140"/>
    </row>
    <row r="2925" spans="1:16" hidden="1" x14ac:dyDescent="0.35">
      <c r="A2925" s="146"/>
      <c r="B2925" s="143"/>
      <c r="C2925" s="133"/>
      <c r="D2925" s="133"/>
      <c r="E2925" s="145" t="s">
        <v>1078</v>
      </c>
      <c r="F2925" s="145">
        <v>3858.91</v>
      </c>
      <c r="G2925" s="133" t="s">
        <v>1034</v>
      </c>
      <c r="H2925" s="144" t="s">
        <v>1341</v>
      </c>
      <c r="I2925" s="133" t="s">
        <v>1092</v>
      </c>
      <c r="J2925" s="133" t="s">
        <v>2595</v>
      </c>
      <c r="K2925" s="143">
        <v>45931</v>
      </c>
      <c r="L2925" s="133" t="s">
        <v>1092</v>
      </c>
      <c r="M2925" s="133">
        <v>98.6</v>
      </c>
      <c r="N2925" s="142"/>
      <c r="P2925" s="140"/>
    </row>
    <row r="2926" spans="1:16" hidden="1" x14ac:dyDescent="0.35">
      <c r="A2926" s="146"/>
      <c r="B2926" s="143"/>
      <c r="C2926" s="133"/>
      <c r="D2926" s="133"/>
      <c r="E2926" s="145"/>
      <c r="F2926" s="145"/>
      <c r="G2926" s="133"/>
      <c r="H2926" s="144"/>
      <c r="I2926" s="133"/>
      <c r="J2926" s="133"/>
      <c r="K2926" s="133"/>
      <c r="L2926" s="133"/>
      <c r="M2926" s="133"/>
      <c r="N2926" s="142"/>
      <c r="P2926" s="140"/>
    </row>
    <row r="2927" spans="1:16" hidden="1" x14ac:dyDescent="0.35">
      <c r="A2927" s="156"/>
      <c r="B2927" s="152"/>
      <c r="C2927" s="151"/>
      <c r="D2927" s="151"/>
      <c r="E2927" s="154"/>
      <c r="F2927" s="154"/>
      <c r="G2927" s="151"/>
      <c r="H2927" s="153"/>
      <c r="I2927" s="151"/>
      <c r="J2927" s="151"/>
      <c r="K2927" s="151"/>
      <c r="L2927" s="151"/>
      <c r="M2927" s="151"/>
      <c r="N2927" s="150"/>
      <c r="P2927" s="140"/>
    </row>
    <row r="2928" spans="1:16" hidden="1" x14ac:dyDescent="0.35">
      <c r="A2928" s="146"/>
      <c r="B2928" s="143"/>
      <c r="C2928" s="133"/>
      <c r="D2928" s="133"/>
      <c r="E2928" s="145"/>
      <c r="F2928" s="145"/>
      <c r="G2928" s="133"/>
      <c r="H2928" s="144"/>
      <c r="I2928" s="133"/>
      <c r="J2928" s="133"/>
      <c r="K2928" s="133"/>
      <c r="L2928" s="133"/>
      <c r="M2928" s="133"/>
      <c r="N2928" s="142"/>
      <c r="P2928" s="140"/>
    </row>
    <row r="2929" spans="1:16" hidden="1" x14ac:dyDescent="0.35">
      <c r="A2929" s="149">
        <v>75</v>
      </c>
      <c r="B2929" s="143">
        <v>45839</v>
      </c>
      <c r="C2929" s="133" t="s">
        <v>1791</v>
      </c>
      <c r="D2929" s="133" t="s">
        <v>2454</v>
      </c>
      <c r="E2929" s="145" t="s">
        <v>1071</v>
      </c>
      <c r="F2929" s="145">
        <v>52.1</v>
      </c>
      <c r="G2929" s="133" t="s">
        <v>1034</v>
      </c>
      <c r="H2929" s="144" t="s">
        <v>1341</v>
      </c>
      <c r="I2929" s="133" t="s">
        <v>1092</v>
      </c>
      <c r="J2929" s="133" t="s">
        <v>2491</v>
      </c>
      <c r="K2929" s="143">
        <v>45839</v>
      </c>
      <c r="L2929" s="133" t="s">
        <v>1092</v>
      </c>
      <c r="M2929" s="133">
        <v>2892.7</v>
      </c>
      <c r="N2929" s="147">
        <f>+F2929+F2930+F2931+F2932+F2933+F2934-M2929-M2930-M2931-M2932</f>
        <v>-5.4711790653527714E-13</v>
      </c>
      <c r="O2929" s="141"/>
      <c r="P2929" s="140"/>
    </row>
    <row r="2930" spans="1:16" hidden="1" x14ac:dyDescent="0.35">
      <c r="A2930" s="146"/>
      <c r="B2930" s="143"/>
      <c r="C2930" s="133"/>
      <c r="D2930" s="133"/>
      <c r="E2930" s="145" t="s">
        <v>1067</v>
      </c>
      <c r="F2930" s="145">
        <v>2533</v>
      </c>
      <c r="G2930" s="133" t="s">
        <v>1034</v>
      </c>
      <c r="H2930" s="144" t="s">
        <v>1341</v>
      </c>
      <c r="I2930" s="133" t="s">
        <v>1092</v>
      </c>
      <c r="J2930" s="133" t="s">
        <v>2527</v>
      </c>
      <c r="K2930" s="143">
        <v>45870</v>
      </c>
      <c r="L2930" s="133" t="s">
        <v>1092</v>
      </c>
      <c r="M2930" s="133">
        <f>1570.7+119+3753+2533</f>
        <v>7975.7</v>
      </c>
      <c r="N2930" s="147"/>
      <c r="P2930" s="140"/>
    </row>
    <row r="2931" spans="1:16" hidden="1" x14ac:dyDescent="0.35">
      <c r="A2931" s="146"/>
      <c r="B2931" s="143"/>
      <c r="C2931" s="133"/>
      <c r="D2931" s="133"/>
      <c r="E2931" s="145" t="s">
        <v>1342</v>
      </c>
      <c r="F2931" s="145">
        <v>3993</v>
      </c>
      <c r="G2931" s="133" t="s">
        <v>1034</v>
      </c>
      <c r="H2931" s="144" t="s">
        <v>1341</v>
      </c>
      <c r="I2931" s="133" t="s">
        <v>1092</v>
      </c>
      <c r="J2931" s="133" t="s">
        <v>2553</v>
      </c>
      <c r="K2931" s="143">
        <v>45901</v>
      </c>
      <c r="L2931" s="133" t="s">
        <v>1241</v>
      </c>
      <c r="M2931" s="133">
        <v>240</v>
      </c>
      <c r="N2931" s="147"/>
      <c r="P2931" s="140"/>
    </row>
    <row r="2932" spans="1:16" hidden="1" x14ac:dyDescent="0.35">
      <c r="A2932" s="146"/>
      <c r="B2932" s="143"/>
      <c r="C2932" s="133"/>
      <c r="D2932" s="133"/>
      <c r="E2932" s="145" t="s">
        <v>1075</v>
      </c>
      <c r="F2932" s="145">
        <v>119</v>
      </c>
      <c r="G2932" s="133" t="s">
        <v>1034</v>
      </c>
      <c r="H2932" s="144" t="s">
        <v>1341</v>
      </c>
      <c r="I2932" s="133" t="s">
        <v>1092</v>
      </c>
      <c r="J2932" s="133" t="s">
        <v>2595</v>
      </c>
      <c r="K2932" s="143">
        <v>45931</v>
      </c>
      <c r="L2932" s="133" t="s">
        <v>1092</v>
      </c>
      <c r="M2932" s="133">
        <v>52.1</v>
      </c>
      <c r="N2932" s="147"/>
      <c r="P2932" s="140"/>
    </row>
    <row r="2933" spans="1:16" hidden="1" x14ac:dyDescent="0.35">
      <c r="A2933" s="146"/>
      <c r="B2933" s="143"/>
      <c r="C2933" s="133"/>
      <c r="D2933" s="133"/>
      <c r="E2933" s="145" t="s">
        <v>1118</v>
      </c>
      <c r="F2933" s="145">
        <v>2892.7</v>
      </c>
      <c r="G2933" s="133"/>
      <c r="H2933" s="144"/>
      <c r="I2933" s="133"/>
      <c r="J2933" s="133"/>
      <c r="K2933" s="133"/>
      <c r="L2933" s="133"/>
      <c r="M2933" s="133"/>
      <c r="N2933" s="147"/>
      <c r="P2933" s="140"/>
    </row>
    <row r="2934" spans="1:16" hidden="1" x14ac:dyDescent="0.35">
      <c r="A2934" s="146"/>
      <c r="B2934" s="143"/>
      <c r="C2934" s="133"/>
      <c r="D2934" s="133"/>
      <c r="E2934" s="145" t="s">
        <v>1064</v>
      </c>
      <c r="F2934" s="145">
        <v>1570.7</v>
      </c>
      <c r="G2934" s="133"/>
      <c r="H2934" s="144"/>
      <c r="I2934" s="133"/>
      <c r="J2934" s="133"/>
      <c r="K2934" s="133"/>
      <c r="L2934" s="133"/>
      <c r="M2934" s="133"/>
      <c r="N2934" s="147"/>
      <c r="P2934" s="140"/>
    </row>
    <row r="2935" spans="1:16" hidden="1" x14ac:dyDescent="0.35">
      <c r="A2935" s="146"/>
      <c r="B2935" s="143"/>
      <c r="C2935" s="133"/>
      <c r="D2935" s="133"/>
      <c r="E2935" s="145"/>
      <c r="F2935" s="145"/>
      <c r="G2935" s="133"/>
      <c r="H2935" s="144"/>
      <c r="I2935" s="133"/>
      <c r="J2935" s="133"/>
      <c r="K2935" s="133"/>
      <c r="L2935" s="133"/>
      <c r="M2935" s="133"/>
      <c r="N2935" s="147"/>
      <c r="P2935" s="140"/>
    </row>
    <row r="2936" spans="1:16" hidden="1" x14ac:dyDescent="0.35">
      <c r="A2936" s="149">
        <v>76</v>
      </c>
      <c r="B2936" s="143">
        <v>45839</v>
      </c>
      <c r="C2936" s="133" t="s">
        <v>1788</v>
      </c>
      <c r="D2936" s="133" t="s">
        <v>2457</v>
      </c>
      <c r="E2936" s="145" t="s">
        <v>1071</v>
      </c>
      <c r="F2936" s="145">
        <v>108.2</v>
      </c>
      <c r="G2936" s="133" t="s">
        <v>1034</v>
      </c>
      <c r="H2936" s="144" t="s">
        <v>1341</v>
      </c>
      <c r="I2936" s="133" t="s">
        <v>1092</v>
      </c>
      <c r="J2936" s="133" t="s">
        <v>2518</v>
      </c>
      <c r="K2936" s="143">
        <v>45870</v>
      </c>
      <c r="L2936" s="133" t="s">
        <v>1092</v>
      </c>
      <c r="M2936" s="133">
        <v>10</v>
      </c>
      <c r="N2936" s="147">
        <f>+F2936+F2937+F2938-M2936-M2937-M2938-M2939</f>
        <v>-1.8474111129762605E-13</v>
      </c>
      <c r="O2936" s="141"/>
      <c r="P2936" s="140"/>
    </row>
    <row r="2937" spans="1:16" hidden="1" x14ac:dyDescent="0.35">
      <c r="A2937" s="146"/>
      <c r="B2937" s="143"/>
      <c r="C2937" s="133"/>
      <c r="D2937" s="133"/>
      <c r="E2937" s="145" t="s">
        <v>1067</v>
      </c>
      <c r="F2937" s="145">
        <v>10</v>
      </c>
      <c r="G2937" s="133" t="s">
        <v>1034</v>
      </c>
      <c r="H2937" s="144" t="s">
        <v>1341</v>
      </c>
      <c r="I2937" s="133" t="s">
        <v>1092</v>
      </c>
      <c r="J2937" s="133" t="s">
        <v>2527</v>
      </c>
      <c r="K2937" s="143">
        <v>45870</v>
      </c>
      <c r="L2937" s="133" t="s">
        <v>1092</v>
      </c>
      <c r="M2937" s="133">
        <f>4284.2-108.2</f>
        <v>4176</v>
      </c>
      <c r="N2937" s="147"/>
      <c r="P2937" s="140"/>
    </row>
    <row r="2938" spans="1:16" hidden="1" x14ac:dyDescent="0.35">
      <c r="A2938" s="146"/>
      <c r="B2938" s="143"/>
      <c r="C2938" s="133"/>
      <c r="D2938" s="133"/>
      <c r="E2938" s="145" t="s">
        <v>1342</v>
      </c>
      <c r="F2938" s="145">
        <v>4306</v>
      </c>
      <c r="G2938" s="133" t="s">
        <v>1034</v>
      </c>
      <c r="H2938" s="144" t="s">
        <v>1341</v>
      </c>
      <c r="I2938" s="133" t="s">
        <v>1092</v>
      </c>
      <c r="J2938" s="133" t="s">
        <v>2553</v>
      </c>
      <c r="K2938" s="143">
        <v>45901</v>
      </c>
      <c r="L2938" s="133" t="s">
        <v>1241</v>
      </c>
      <c r="M2938" s="133">
        <v>130</v>
      </c>
      <c r="N2938" s="147"/>
      <c r="P2938" s="140"/>
    </row>
    <row r="2939" spans="1:16" hidden="1" x14ac:dyDescent="0.35">
      <c r="A2939" s="146"/>
      <c r="B2939" s="143"/>
      <c r="C2939" s="133"/>
      <c r="D2939" s="133"/>
      <c r="E2939" s="145"/>
      <c r="F2939" s="145"/>
      <c r="G2939" s="133" t="s">
        <v>1034</v>
      </c>
      <c r="H2939" s="144" t="s">
        <v>1341</v>
      </c>
      <c r="I2939" s="133" t="s">
        <v>1092</v>
      </c>
      <c r="J2939" s="133" t="s">
        <v>2595</v>
      </c>
      <c r="K2939" s="143">
        <v>45931</v>
      </c>
      <c r="L2939" s="133" t="s">
        <v>1092</v>
      </c>
      <c r="M2939" s="133">
        <v>108.2</v>
      </c>
      <c r="N2939" s="147"/>
      <c r="P2939" s="140"/>
    </row>
    <row r="2940" spans="1:16" hidden="1" x14ac:dyDescent="0.35">
      <c r="A2940" s="146"/>
      <c r="B2940" s="143"/>
      <c r="C2940" s="133"/>
      <c r="D2940" s="133"/>
      <c r="E2940" s="145"/>
      <c r="F2940" s="145"/>
      <c r="G2940" s="133"/>
      <c r="H2940" s="144"/>
      <c r="I2940" s="133"/>
      <c r="J2940" s="133"/>
      <c r="K2940" s="143"/>
      <c r="L2940" s="133"/>
      <c r="M2940" s="133"/>
      <c r="N2940" s="147"/>
      <c r="P2940" s="140"/>
    </row>
    <row r="2941" spans="1:16" hidden="1" x14ac:dyDescent="0.35">
      <c r="A2941" s="149">
        <v>77</v>
      </c>
      <c r="B2941" s="143">
        <v>45839</v>
      </c>
      <c r="C2941" s="133" t="s">
        <v>1787</v>
      </c>
      <c r="D2941" s="133" t="s">
        <v>2459</v>
      </c>
      <c r="E2941" s="145" t="s">
        <v>1342</v>
      </c>
      <c r="F2941" s="145">
        <v>364</v>
      </c>
      <c r="G2941" s="133" t="s">
        <v>1034</v>
      </c>
      <c r="H2941" s="144" t="s">
        <v>1341</v>
      </c>
      <c r="I2941" s="133" t="s">
        <v>1092</v>
      </c>
      <c r="J2941" s="133" t="s">
        <v>2527</v>
      </c>
      <c r="K2941" s="143">
        <v>45870</v>
      </c>
      <c r="L2941" s="133" t="s">
        <v>1092</v>
      </c>
      <c r="M2941" s="133">
        <v>364</v>
      </c>
      <c r="N2941" s="147">
        <f>+F2941-M2941</f>
        <v>0</v>
      </c>
      <c r="O2941" s="141"/>
      <c r="P2941" s="140"/>
    </row>
    <row r="2942" spans="1:16" hidden="1" x14ac:dyDescent="0.35">
      <c r="A2942" s="146"/>
      <c r="B2942" s="143"/>
      <c r="C2942" s="133"/>
      <c r="D2942" s="133"/>
      <c r="E2942" s="145"/>
      <c r="F2942" s="145"/>
      <c r="G2942" s="133"/>
      <c r="H2942" s="144"/>
      <c r="I2942" s="133"/>
      <c r="J2942" s="133"/>
      <c r="K2942" s="133"/>
      <c r="L2942" s="133"/>
      <c r="M2942" s="133"/>
      <c r="N2942" s="147"/>
      <c r="P2942" s="140"/>
    </row>
    <row r="2943" spans="1:16" hidden="1" x14ac:dyDescent="0.35">
      <c r="A2943" s="149">
        <v>78</v>
      </c>
      <c r="B2943" s="143">
        <v>45839</v>
      </c>
      <c r="C2943" s="133" t="s">
        <v>1786</v>
      </c>
      <c r="D2943" s="133" t="s">
        <v>2461</v>
      </c>
      <c r="E2943" s="145" t="s">
        <v>1075</v>
      </c>
      <c r="F2943" s="145">
        <v>7885</v>
      </c>
      <c r="G2943" s="133" t="s">
        <v>1034</v>
      </c>
      <c r="H2943" s="144" t="s">
        <v>1341</v>
      </c>
      <c r="I2943" s="133" t="s">
        <v>1092</v>
      </c>
      <c r="J2943" s="133" t="s">
        <v>2518</v>
      </c>
      <c r="K2943" s="143">
        <v>45870</v>
      </c>
      <c r="L2943" s="133" t="s">
        <v>1092</v>
      </c>
      <c r="M2943" s="133">
        <v>7885</v>
      </c>
      <c r="N2943" s="147">
        <f>+F2943+F2944+F2945+F2946-M2943-M2944-M2945-M2946</f>
        <v>0</v>
      </c>
      <c r="O2943" s="141"/>
      <c r="P2943" s="140"/>
    </row>
    <row r="2944" spans="1:16" hidden="1" x14ac:dyDescent="0.35">
      <c r="A2944" s="146"/>
      <c r="B2944" s="143"/>
      <c r="C2944" s="133"/>
      <c r="D2944" s="133"/>
      <c r="E2944" s="145" t="s">
        <v>1064</v>
      </c>
      <c r="F2944" s="145">
        <v>2357</v>
      </c>
      <c r="G2944" s="133" t="s">
        <v>1034</v>
      </c>
      <c r="H2944" s="144" t="s">
        <v>1341</v>
      </c>
      <c r="I2944" s="133" t="s">
        <v>1092</v>
      </c>
      <c r="J2944" s="133" t="s">
        <v>2527</v>
      </c>
      <c r="K2944" s="143">
        <v>45870</v>
      </c>
      <c r="L2944" s="133" t="s">
        <v>1092</v>
      </c>
      <c r="M2944" s="133">
        <f>2655+2147</f>
        <v>4802</v>
      </c>
      <c r="N2944" s="147"/>
      <c r="P2944" s="140"/>
    </row>
    <row r="2945" spans="1:16" hidden="1" x14ac:dyDescent="0.35">
      <c r="A2945" s="146"/>
      <c r="B2945" s="143"/>
      <c r="C2945" s="133"/>
      <c r="D2945" s="133"/>
      <c r="E2945" s="145" t="s">
        <v>1342</v>
      </c>
      <c r="F2945" s="145">
        <v>2655</v>
      </c>
      <c r="G2945" s="133" t="s">
        <v>1034</v>
      </c>
      <c r="H2945" s="144" t="s">
        <v>1341</v>
      </c>
      <c r="I2945" s="133" t="s">
        <v>1092</v>
      </c>
      <c r="J2945" s="133" t="s">
        <v>2553</v>
      </c>
      <c r="K2945" s="143">
        <v>45901</v>
      </c>
      <c r="L2945" s="133" t="s">
        <v>1241</v>
      </c>
      <c r="M2945" s="133">
        <v>210</v>
      </c>
      <c r="N2945" s="147"/>
      <c r="P2945" s="140"/>
    </row>
    <row r="2946" spans="1:16" hidden="1" x14ac:dyDescent="0.35">
      <c r="A2946" s="146"/>
      <c r="B2946" s="143"/>
      <c r="C2946" s="133"/>
      <c r="D2946" s="133"/>
      <c r="E2946" s="145" t="s">
        <v>1071</v>
      </c>
      <c r="F2946" s="145">
        <v>2654.8</v>
      </c>
      <c r="G2946" s="133" t="s">
        <v>1034</v>
      </c>
      <c r="H2946" s="144" t="s">
        <v>1341</v>
      </c>
      <c r="I2946" s="133" t="s">
        <v>1092</v>
      </c>
      <c r="J2946" s="133" t="s">
        <v>2616</v>
      </c>
      <c r="K2946" s="143">
        <v>45962</v>
      </c>
      <c r="L2946" s="133" t="s">
        <v>1092</v>
      </c>
      <c r="M2946" s="133">
        <v>2654.8</v>
      </c>
      <c r="N2946" s="147"/>
      <c r="P2946" s="140"/>
    </row>
    <row r="2947" spans="1:16" hidden="1" x14ac:dyDescent="0.35">
      <c r="A2947" s="146"/>
      <c r="B2947" s="143"/>
      <c r="C2947" s="133"/>
      <c r="D2947" s="133"/>
      <c r="E2947" s="145"/>
      <c r="F2947" s="145"/>
      <c r="G2947" s="133"/>
      <c r="H2947" s="144"/>
      <c r="I2947" s="133"/>
      <c r="J2947" s="133"/>
      <c r="K2947" s="133"/>
      <c r="L2947" s="133"/>
      <c r="M2947" s="133"/>
      <c r="N2947" s="147"/>
      <c r="P2947" s="140"/>
    </row>
    <row r="2948" spans="1:16" hidden="1" x14ac:dyDescent="0.35">
      <c r="A2948" s="149">
        <v>79</v>
      </c>
      <c r="B2948" s="143">
        <v>45839</v>
      </c>
      <c r="C2948" s="133" t="s">
        <v>1784</v>
      </c>
      <c r="D2948" s="133" t="s">
        <v>2463</v>
      </c>
      <c r="E2948" s="145" t="s">
        <v>1075</v>
      </c>
      <c r="F2948" s="145">
        <v>431</v>
      </c>
      <c r="G2948" s="133" t="s">
        <v>1034</v>
      </c>
      <c r="H2948" s="144" t="s">
        <v>1341</v>
      </c>
      <c r="I2948" s="133" t="s">
        <v>1092</v>
      </c>
      <c r="J2948" s="133" t="s">
        <v>2501</v>
      </c>
      <c r="K2948" s="143">
        <v>45870</v>
      </c>
      <c r="L2948" s="133" t="s">
        <v>1092</v>
      </c>
      <c r="M2948" s="133">
        <v>2912.8</v>
      </c>
      <c r="N2948" s="147">
        <f>+F2948+F2949+F2950+F2951+F2952-M2948-M2949-M2950-M2951-M2952</f>
        <v>5.4001247917767614E-13</v>
      </c>
      <c r="O2948" s="141"/>
      <c r="P2948" s="140"/>
    </row>
    <row r="2949" spans="1:16" hidden="1" x14ac:dyDescent="0.35">
      <c r="A2949" s="146"/>
      <c r="B2949" s="143"/>
      <c r="C2949" s="133"/>
      <c r="D2949" s="133"/>
      <c r="E2949" s="145" t="s">
        <v>1067</v>
      </c>
      <c r="F2949" s="145">
        <v>157</v>
      </c>
      <c r="G2949" s="133" t="s">
        <v>1034</v>
      </c>
      <c r="H2949" s="144" t="s">
        <v>1341</v>
      </c>
      <c r="I2949" s="133" t="s">
        <v>1092</v>
      </c>
      <c r="J2949" s="133" t="s">
        <v>2518</v>
      </c>
      <c r="K2949" s="143">
        <v>45870</v>
      </c>
      <c r="L2949" s="133" t="s">
        <v>1092</v>
      </c>
      <c r="M2949" s="133">
        <v>157</v>
      </c>
      <c r="N2949" s="147"/>
      <c r="P2949" s="140"/>
    </row>
    <row r="2950" spans="1:16" hidden="1" x14ac:dyDescent="0.35">
      <c r="A2950" s="146"/>
      <c r="B2950" s="143"/>
      <c r="C2950" s="133"/>
      <c r="D2950" s="133"/>
      <c r="E2950" s="145" t="s">
        <v>1342</v>
      </c>
      <c r="F2950" s="145">
        <v>2240</v>
      </c>
      <c r="G2950" s="133" t="s">
        <v>1034</v>
      </c>
      <c r="H2950" s="144" t="s">
        <v>1341</v>
      </c>
      <c r="I2950" s="133" t="s">
        <v>1092</v>
      </c>
      <c r="J2950" s="133" t="s">
        <v>2527</v>
      </c>
      <c r="K2950" s="143">
        <v>45870</v>
      </c>
      <c r="L2950" s="133" t="s">
        <v>1092</v>
      </c>
      <c r="M2950" s="133">
        <f>2240+261</f>
        <v>2501</v>
      </c>
      <c r="N2950" s="147"/>
      <c r="P2950" s="140"/>
    </row>
    <row r="2951" spans="1:16" hidden="1" x14ac:dyDescent="0.35">
      <c r="A2951" s="146"/>
      <c r="B2951" s="143"/>
      <c r="C2951" s="133"/>
      <c r="D2951" s="133"/>
      <c r="E2951" s="145" t="s">
        <v>1071</v>
      </c>
      <c r="F2951" s="145">
        <v>108.4</v>
      </c>
      <c r="G2951" s="133" t="s">
        <v>1034</v>
      </c>
      <c r="H2951" s="144" t="s">
        <v>1341</v>
      </c>
      <c r="I2951" s="133" t="s">
        <v>1092</v>
      </c>
      <c r="J2951" s="133" t="s">
        <v>2553</v>
      </c>
      <c r="K2951" s="143">
        <v>45901</v>
      </c>
      <c r="L2951" s="133" t="s">
        <v>1241</v>
      </c>
      <c r="M2951" s="133">
        <v>170</v>
      </c>
      <c r="N2951" s="147"/>
      <c r="P2951" s="140"/>
    </row>
    <row r="2952" spans="1:16" hidden="1" x14ac:dyDescent="0.35">
      <c r="A2952" s="146"/>
      <c r="B2952" s="143"/>
      <c r="C2952" s="133"/>
      <c r="D2952" s="133"/>
      <c r="E2952" s="145" t="s">
        <v>1118</v>
      </c>
      <c r="F2952" s="145">
        <v>2912.8</v>
      </c>
      <c r="G2952" s="133" t="s">
        <v>1034</v>
      </c>
      <c r="H2952" s="144" t="s">
        <v>1341</v>
      </c>
      <c r="I2952" s="133" t="s">
        <v>1092</v>
      </c>
      <c r="J2952" s="133" t="s">
        <v>2616</v>
      </c>
      <c r="K2952" s="143">
        <v>45962</v>
      </c>
      <c r="L2952" s="133" t="s">
        <v>1092</v>
      </c>
      <c r="M2952" s="133">
        <v>108.4</v>
      </c>
      <c r="N2952" s="147"/>
      <c r="P2952" s="140"/>
    </row>
    <row r="2953" spans="1:16" hidden="1" x14ac:dyDescent="0.35">
      <c r="A2953" s="146"/>
      <c r="B2953" s="143"/>
      <c r="C2953" s="133"/>
      <c r="D2953" s="133"/>
      <c r="E2953" s="145"/>
      <c r="F2953" s="145"/>
      <c r="G2953" s="133"/>
      <c r="H2953" s="144"/>
      <c r="I2953" s="133"/>
      <c r="J2953" s="133"/>
      <c r="K2953" s="133"/>
      <c r="L2953" s="133"/>
      <c r="M2953" s="133"/>
      <c r="N2953" s="147"/>
      <c r="P2953" s="140"/>
    </row>
    <row r="2954" spans="1:16" hidden="1" x14ac:dyDescent="0.35">
      <c r="A2954" s="149">
        <v>80</v>
      </c>
      <c r="B2954" s="143">
        <v>45839</v>
      </c>
      <c r="C2954" s="133" t="s">
        <v>1783</v>
      </c>
      <c r="D2954" s="133" t="s">
        <v>2462</v>
      </c>
      <c r="E2954" s="145" t="s">
        <v>1078</v>
      </c>
      <c r="F2954" s="145">
        <v>7161.84</v>
      </c>
      <c r="G2954" s="133" t="s">
        <v>1034</v>
      </c>
      <c r="H2954" s="144" t="s">
        <v>1341</v>
      </c>
      <c r="I2954" s="133" t="s">
        <v>1092</v>
      </c>
      <c r="J2954" s="133" t="s">
        <v>2484</v>
      </c>
      <c r="K2954" s="143">
        <v>45839</v>
      </c>
      <c r="L2954" s="133" t="s">
        <v>1092</v>
      </c>
      <c r="M2954" s="133">
        <v>7161.84</v>
      </c>
      <c r="N2954" s="147">
        <f>+F2954-M2954</f>
        <v>0</v>
      </c>
      <c r="O2954" s="141"/>
      <c r="P2954" s="140"/>
    </row>
    <row r="2955" spans="1:16" hidden="1" x14ac:dyDescent="0.35">
      <c r="A2955" s="146"/>
      <c r="B2955" s="143"/>
      <c r="C2955" s="133"/>
      <c r="D2955" s="133"/>
      <c r="E2955" s="145"/>
      <c r="F2955" s="145"/>
      <c r="G2955" s="133"/>
      <c r="H2955" s="144"/>
      <c r="I2955" s="133"/>
      <c r="J2955" s="133"/>
      <c r="K2955" s="133"/>
      <c r="L2955" s="133"/>
      <c r="M2955" s="133"/>
      <c r="N2955" s="147"/>
      <c r="P2955" s="140"/>
    </row>
    <row r="2956" spans="1:16" hidden="1" x14ac:dyDescent="0.35">
      <c r="A2956" s="149">
        <v>81</v>
      </c>
      <c r="B2956" s="143">
        <v>45839</v>
      </c>
      <c r="C2956" s="133" t="s">
        <v>1781</v>
      </c>
      <c r="D2956" s="133" t="s">
        <v>2464</v>
      </c>
      <c r="E2956" s="145" t="s">
        <v>1342</v>
      </c>
      <c r="F2956" s="145">
        <v>6060</v>
      </c>
      <c r="G2956" s="133" t="s">
        <v>1034</v>
      </c>
      <c r="H2956" s="144" t="s">
        <v>1341</v>
      </c>
      <c r="I2956" s="133" t="s">
        <v>1092</v>
      </c>
      <c r="J2956" s="133" t="s">
        <v>2527</v>
      </c>
      <c r="K2956" s="143">
        <v>45870</v>
      </c>
      <c r="L2956" s="133" t="s">
        <v>1092</v>
      </c>
      <c r="M2956" s="133">
        <f>6060+1774</f>
        <v>7834</v>
      </c>
      <c r="N2956" s="147">
        <f>+F2956+F2957-M2956-M2957</f>
        <v>0</v>
      </c>
      <c r="O2956" s="141"/>
      <c r="P2956" s="140"/>
    </row>
    <row r="2957" spans="1:16" hidden="1" x14ac:dyDescent="0.35">
      <c r="A2957" s="146"/>
      <c r="B2957" s="143"/>
      <c r="C2957" s="133"/>
      <c r="D2957" s="133"/>
      <c r="E2957" s="145" t="s">
        <v>1075</v>
      </c>
      <c r="F2957" s="145">
        <v>2014</v>
      </c>
      <c r="G2957" s="133" t="s">
        <v>1034</v>
      </c>
      <c r="H2957" s="144" t="s">
        <v>1341</v>
      </c>
      <c r="I2957" s="133" t="s">
        <v>1092</v>
      </c>
      <c r="J2957" s="133" t="s">
        <v>2553</v>
      </c>
      <c r="K2957" s="143">
        <v>45901</v>
      </c>
      <c r="L2957" s="133" t="s">
        <v>1241</v>
      </c>
      <c r="M2957" s="133">
        <v>240</v>
      </c>
      <c r="N2957" s="147"/>
      <c r="P2957" s="140"/>
    </row>
    <row r="2958" spans="1:16" hidden="1" x14ac:dyDescent="0.35">
      <c r="A2958" s="146"/>
      <c r="B2958" s="143"/>
      <c r="C2958" s="133"/>
      <c r="D2958" s="133"/>
      <c r="E2958" s="145"/>
      <c r="F2958" s="145"/>
      <c r="G2958" s="133"/>
      <c r="H2958" s="144"/>
      <c r="I2958" s="133"/>
      <c r="J2958" s="133"/>
      <c r="K2958" s="133"/>
      <c r="L2958" s="133"/>
      <c r="M2958" s="133"/>
      <c r="N2958" s="147"/>
      <c r="P2958" s="140"/>
    </row>
    <row r="2959" spans="1:16" hidden="1" x14ac:dyDescent="0.35">
      <c r="A2959" s="149">
        <v>82</v>
      </c>
      <c r="B2959" s="143">
        <v>45839</v>
      </c>
      <c r="C2959" s="133" t="s">
        <v>1778</v>
      </c>
      <c r="D2959" s="133" t="s">
        <v>2466</v>
      </c>
      <c r="E2959" s="145" t="s">
        <v>1075</v>
      </c>
      <c r="F2959" s="145">
        <v>5831</v>
      </c>
      <c r="G2959" s="133" t="s">
        <v>1034</v>
      </c>
      <c r="H2959" s="144" t="s">
        <v>1341</v>
      </c>
      <c r="I2959" s="133" t="s">
        <v>1092</v>
      </c>
      <c r="J2959" s="133" t="s">
        <v>2484</v>
      </c>
      <c r="K2959" s="143">
        <v>45839</v>
      </c>
      <c r="L2959" s="133" t="s">
        <v>1092</v>
      </c>
      <c r="M2959" s="133">
        <v>2858.7</v>
      </c>
      <c r="N2959" s="147">
        <f>+F2959+F2960+F2961+F2962+F2963+F2964-M2959-M2960-M2961-M2962</f>
        <v>0</v>
      </c>
      <c r="O2959" s="141"/>
      <c r="P2959" s="140"/>
    </row>
    <row r="2960" spans="1:16" hidden="1" x14ac:dyDescent="0.35">
      <c r="A2960" s="146"/>
      <c r="B2960" s="143"/>
      <c r="C2960" s="133"/>
      <c r="D2960" s="133"/>
      <c r="E2960" s="145" t="s">
        <v>1067</v>
      </c>
      <c r="F2960" s="145">
        <v>504</v>
      </c>
      <c r="G2960" s="133" t="s">
        <v>1034</v>
      </c>
      <c r="H2960" s="144" t="s">
        <v>1341</v>
      </c>
      <c r="I2960" s="133" t="s">
        <v>1092</v>
      </c>
      <c r="J2960" s="133" t="s">
        <v>2509</v>
      </c>
      <c r="K2960" s="143">
        <v>45870</v>
      </c>
      <c r="L2960" s="133" t="s">
        <v>1092</v>
      </c>
      <c r="M2960" s="133">
        <v>844.8</v>
      </c>
      <c r="N2960" s="147"/>
      <c r="P2960" s="140"/>
    </row>
    <row r="2961" spans="1:16" hidden="1" x14ac:dyDescent="0.35">
      <c r="A2961" s="146"/>
      <c r="B2961" s="143"/>
      <c r="C2961" s="133"/>
      <c r="D2961" s="133"/>
      <c r="E2961" s="145" t="s">
        <v>1342</v>
      </c>
      <c r="F2961" s="145">
        <v>3725</v>
      </c>
      <c r="G2961" s="133" t="s">
        <v>1034</v>
      </c>
      <c r="H2961" s="144" t="s">
        <v>1341</v>
      </c>
      <c r="I2961" s="133" t="s">
        <v>1092</v>
      </c>
      <c r="J2961" s="133" t="s">
        <v>2527</v>
      </c>
      <c r="K2961" s="143">
        <v>45870</v>
      </c>
      <c r="L2961" s="133" t="s">
        <v>1092</v>
      </c>
      <c r="M2961" s="133">
        <f>5361+2299+3725+504</f>
        <v>11889</v>
      </c>
      <c r="N2961" s="147"/>
      <c r="P2961" s="140"/>
    </row>
    <row r="2962" spans="1:16" hidden="1" x14ac:dyDescent="0.35">
      <c r="A2962" s="146"/>
      <c r="B2962" s="143"/>
      <c r="C2962" s="133"/>
      <c r="D2962" s="133"/>
      <c r="E2962" s="145" t="s">
        <v>1078</v>
      </c>
      <c r="F2962" s="145">
        <v>2858.7</v>
      </c>
      <c r="G2962" s="133" t="s">
        <v>1034</v>
      </c>
      <c r="H2962" s="144" t="s">
        <v>1341</v>
      </c>
      <c r="I2962" s="133" t="s">
        <v>1092</v>
      </c>
      <c r="J2962" s="133" t="s">
        <v>2553</v>
      </c>
      <c r="K2962" s="143">
        <v>45901</v>
      </c>
      <c r="L2962" s="133" t="s">
        <v>1241</v>
      </c>
      <c r="M2962" s="133">
        <v>470</v>
      </c>
      <c r="N2962" s="147"/>
      <c r="P2962" s="140"/>
    </row>
    <row r="2963" spans="1:16" hidden="1" x14ac:dyDescent="0.35">
      <c r="A2963" s="146"/>
      <c r="B2963" s="143"/>
      <c r="C2963" s="133"/>
      <c r="D2963" s="133"/>
      <c r="E2963" s="145" t="s">
        <v>1118</v>
      </c>
      <c r="F2963" s="145">
        <v>844.8</v>
      </c>
      <c r="G2963" s="133"/>
      <c r="H2963" s="144"/>
      <c r="I2963" s="133"/>
      <c r="J2963" s="133"/>
      <c r="K2963" s="133"/>
      <c r="L2963" s="133"/>
      <c r="M2963" s="133"/>
      <c r="N2963" s="147"/>
      <c r="P2963" s="140"/>
    </row>
    <row r="2964" spans="1:16" hidden="1" x14ac:dyDescent="0.35">
      <c r="A2964" s="146"/>
      <c r="B2964" s="143"/>
      <c r="C2964" s="133"/>
      <c r="D2964" s="133"/>
      <c r="E2964" s="145" t="s">
        <v>1064</v>
      </c>
      <c r="F2964" s="145">
        <v>2299</v>
      </c>
      <c r="G2964" s="133"/>
      <c r="H2964" s="144"/>
      <c r="I2964" s="133"/>
      <c r="J2964" s="133"/>
      <c r="K2964" s="133"/>
      <c r="L2964" s="133"/>
      <c r="M2964" s="133"/>
      <c r="N2964" s="147"/>
      <c r="P2964" s="140"/>
    </row>
    <row r="2965" spans="1:16" hidden="1" x14ac:dyDescent="0.35">
      <c r="A2965" s="146"/>
      <c r="B2965" s="143"/>
      <c r="C2965" s="133"/>
      <c r="D2965" s="133"/>
      <c r="E2965" s="145"/>
      <c r="F2965" s="145"/>
      <c r="G2965" s="133"/>
      <c r="H2965" s="144"/>
      <c r="I2965" s="133"/>
      <c r="J2965" s="133"/>
      <c r="K2965" s="133"/>
      <c r="L2965" s="133"/>
      <c r="M2965" s="133"/>
      <c r="N2965" s="147"/>
      <c r="P2965" s="140"/>
    </row>
    <row r="2966" spans="1:16" hidden="1" x14ac:dyDescent="0.35">
      <c r="A2966" s="149">
        <v>83</v>
      </c>
      <c r="B2966" s="143">
        <v>45839</v>
      </c>
      <c r="C2966" s="133" t="s">
        <v>1777</v>
      </c>
      <c r="D2966" s="133" t="s">
        <v>2467</v>
      </c>
      <c r="E2966" s="145" t="s">
        <v>1075</v>
      </c>
      <c r="F2966" s="145">
        <v>554</v>
      </c>
      <c r="G2966" s="133" t="s">
        <v>1034</v>
      </c>
      <c r="H2966" s="144" t="s">
        <v>1341</v>
      </c>
      <c r="I2966" s="133" t="s">
        <v>1092</v>
      </c>
      <c r="J2966" s="133" t="s">
        <v>2518</v>
      </c>
      <c r="K2966" s="143">
        <v>45870</v>
      </c>
      <c r="L2966" s="133" t="s">
        <v>1092</v>
      </c>
      <c r="M2966" s="133">
        <v>310</v>
      </c>
      <c r="N2966" s="147">
        <f>+F2966+F2967+F2968+F2969+F2970-M2966-M2967-M2968-M2969</f>
        <v>0</v>
      </c>
      <c r="O2966" s="141"/>
      <c r="P2966" s="140"/>
    </row>
    <row r="2967" spans="1:16" hidden="1" x14ac:dyDescent="0.35">
      <c r="A2967" s="146"/>
      <c r="B2967" s="143"/>
      <c r="C2967" s="133"/>
      <c r="D2967" s="133"/>
      <c r="E2967" s="145" t="s">
        <v>1067</v>
      </c>
      <c r="F2967" s="145">
        <v>310</v>
      </c>
      <c r="G2967" s="133" t="s">
        <v>1034</v>
      </c>
      <c r="H2967" s="144" t="s">
        <v>1341</v>
      </c>
      <c r="I2967" s="133" t="s">
        <v>1092</v>
      </c>
      <c r="J2967" s="133" t="s">
        <v>2527</v>
      </c>
      <c r="K2967" s="143">
        <v>45870</v>
      </c>
      <c r="L2967" s="133" t="s">
        <v>1092</v>
      </c>
      <c r="M2967" s="133">
        <f>668+554+1196</f>
        <v>2418</v>
      </c>
      <c r="N2967" s="147"/>
      <c r="P2967" s="140"/>
    </row>
    <row r="2968" spans="1:16" hidden="1" x14ac:dyDescent="0.35">
      <c r="A2968" s="146"/>
      <c r="B2968" s="143"/>
      <c r="C2968" s="133"/>
      <c r="D2968" s="133"/>
      <c r="E2968" s="145" t="s">
        <v>1342</v>
      </c>
      <c r="F2968" s="145">
        <v>1277</v>
      </c>
      <c r="G2968" s="133" t="s">
        <v>1034</v>
      </c>
      <c r="H2968" s="144" t="s">
        <v>1341</v>
      </c>
      <c r="I2968" s="133" t="s">
        <v>1092</v>
      </c>
      <c r="J2968" s="133" t="s">
        <v>2553</v>
      </c>
      <c r="K2968" s="143">
        <v>45901</v>
      </c>
      <c r="L2968" s="133" t="s">
        <v>1241</v>
      </c>
      <c r="M2968" s="133">
        <v>81</v>
      </c>
      <c r="N2968" s="147"/>
      <c r="P2968" s="140"/>
    </row>
    <row r="2969" spans="1:16" hidden="1" x14ac:dyDescent="0.35">
      <c r="A2969" s="146"/>
      <c r="B2969" s="143"/>
      <c r="C2969" s="133"/>
      <c r="D2969" s="133"/>
      <c r="E2969" s="145" t="s">
        <v>1071</v>
      </c>
      <c r="F2969" s="145">
        <v>332</v>
      </c>
      <c r="G2969" s="133" t="s">
        <v>1034</v>
      </c>
      <c r="H2969" s="144" t="s">
        <v>1341</v>
      </c>
      <c r="I2969" s="133" t="s">
        <v>1092</v>
      </c>
      <c r="J2969" s="133" t="s">
        <v>2616</v>
      </c>
      <c r="K2969" s="143">
        <v>45962</v>
      </c>
      <c r="L2969" s="133" t="s">
        <v>1092</v>
      </c>
      <c r="M2969" s="133">
        <v>332</v>
      </c>
      <c r="N2969" s="147"/>
      <c r="P2969" s="140"/>
    </row>
    <row r="2970" spans="1:16" hidden="1" x14ac:dyDescent="0.35">
      <c r="A2970" s="146"/>
      <c r="B2970" s="143"/>
      <c r="C2970" s="133"/>
      <c r="D2970" s="133"/>
      <c r="E2970" s="145" t="s">
        <v>1064</v>
      </c>
      <c r="F2970" s="145">
        <v>668</v>
      </c>
      <c r="G2970" s="133"/>
      <c r="H2970" s="144"/>
      <c r="I2970" s="133"/>
      <c r="J2970" s="133"/>
      <c r="K2970" s="133"/>
      <c r="L2970" s="133"/>
      <c r="M2970" s="133"/>
      <c r="N2970" s="147"/>
      <c r="P2970" s="140"/>
    </row>
    <row r="2971" spans="1:16" hidden="1" x14ac:dyDescent="0.35">
      <c r="A2971" s="146"/>
      <c r="B2971" s="143"/>
      <c r="C2971" s="133"/>
      <c r="D2971" s="133"/>
      <c r="E2971" s="145"/>
      <c r="F2971" s="145"/>
      <c r="G2971" s="133"/>
      <c r="H2971" s="144"/>
      <c r="I2971" s="133"/>
      <c r="J2971" s="133"/>
      <c r="K2971" s="133"/>
      <c r="L2971" s="133"/>
      <c r="M2971" s="133"/>
      <c r="N2971" s="147"/>
      <c r="P2971" s="140"/>
    </row>
    <row r="2972" spans="1:16" hidden="1" x14ac:dyDescent="0.35">
      <c r="A2972" s="149">
        <v>84</v>
      </c>
      <c r="B2972" s="143">
        <v>45839</v>
      </c>
      <c r="C2972" s="133" t="s">
        <v>1775</v>
      </c>
      <c r="D2972" s="133" t="s">
        <v>2470</v>
      </c>
      <c r="E2972" s="145" t="s">
        <v>1075</v>
      </c>
      <c r="F2972" s="145">
        <v>5910.7</v>
      </c>
      <c r="G2972" s="133" t="s">
        <v>1034</v>
      </c>
      <c r="H2972" s="144" t="s">
        <v>1341</v>
      </c>
      <c r="I2972" s="133" t="s">
        <v>1092</v>
      </c>
      <c r="J2972" s="133" t="s">
        <v>2527</v>
      </c>
      <c r="K2972" s="143">
        <v>45870</v>
      </c>
      <c r="L2972" s="133" t="s">
        <v>1092</v>
      </c>
      <c r="M2972" s="133">
        <f>5654.7+1067</f>
        <v>6721.7</v>
      </c>
      <c r="N2972" s="147">
        <f>+F2972+F2973+F2974+F2975-M2972-M2973-M2974-M2975</f>
        <v>-6.2527760746888816E-13</v>
      </c>
      <c r="O2972" s="141"/>
      <c r="P2972" s="140"/>
    </row>
    <row r="2973" spans="1:16" hidden="1" x14ac:dyDescent="0.35">
      <c r="A2973" s="146"/>
      <c r="B2973" s="143"/>
      <c r="C2973" s="133"/>
      <c r="D2973" s="133"/>
      <c r="E2973" s="145" t="s">
        <v>1067</v>
      </c>
      <c r="F2973" s="145">
        <v>1067</v>
      </c>
      <c r="G2973" s="133" t="s">
        <v>1034</v>
      </c>
      <c r="H2973" s="144" t="s">
        <v>1341</v>
      </c>
      <c r="I2973" s="133" t="s">
        <v>1092</v>
      </c>
      <c r="J2973" s="133" t="s">
        <v>2533</v>
      </c>
      <c r="K2973" s="143">
        <v>45870</v>
      </c>
      <c r="L2973" s="133" t="s">
        <v>1092</v>
      </c>
      <c r="M2973" s="133">
        <v>1248.4000000000001</v>
      </c>
      <c r="N2973" s="147"/>
      <c r="P2973" s="140"/>
    </row>
    <row r="2974" spans="1:16" hidden="1" x14ac:dyDescent="0.35">
      <c r="A2974" s="146"/>
      <c r="B2974" s="143"/>
      <c r="C2974" s="133"/>
      <c r="D2974" s="133"/>
      <c r="E2974" s="145" t="s">
        <v>1071</v>
      </c>
      <c r="F2974" s="145">
        <v>354.2</v>
      </c>
      <c r="G2974" s="133" t="s">
        <v>1034</v>
      </c>
      <c r="H2974" s="144" t="s">
        <v>1341</v>
      </c>
      <c r="I2974" s="133" t="s">
        <v>1092</v>
      </c>
      <c r="J2974" s="133" t="s">
        <v>2553</v>
      </c>
      <c r="K2974" s="143">
        <v>45901</v>
      </c>
      <c r="L2974" s="133" t="s">
        <v>1241</v>
      </c>
      <c r="M2974" s="133">
        <v>256</v>
      </c>
      <c r="N2974" s="147"/>
      <c r="P2974" s="140"/>
    </row>
    <row r="2975" spans="1:16" hidden="1" x14ac:dyDescent="0.35">
      <c r="A2975" s="146"/>
      <c r="B2975" s="143"/>
      <c r="C2975" s="133"/>
      <c r="D2975" s="133"/>
      <c r="E2975" s="145" t="s">
        <v>1064</v>
      </c>
      <c r="F2975" s="145">
        <v>1248.4000000000001</v>
      </c>
      <c r="G2975" s="133" t="s">
        <v>1034</v>
      </c>
      <c r="H2975" s="144" t="s">
        <v>1341</v>
      </c>
      <c r="I2975" s="133" t="s">
        <v>1092</v>
      </c>
      <c r="J2975" s="133" t="s">
        <v>2616</v>
      </c>
      <c r="K2975" s="143">
        <v>45962</v>
      </c>
      <c r="L2975" s="133" t="s">
        <v>1092</v>
      </c>
      <c r="M2975" s="133">
        <v>354.2</v>
      </c>
      <c r="N2975" s="147"/>
      <c r="P2975" s="140"/>
    </row>
    <row r="2976" spans="1:16" hidden="1" x14ac:dyDescent="0.35">
      <c r="A2976" s="146"/>
      <c r="B2976" s="143"/>
      <c r="C2976" s="133"/>
      <c r="D2976" s="133"/>
      <c r="E2976" s="145"/>
      <c r="F2976" s="145"/>
      <c r="G2976" s="133"/>
      <c r="H2976" s="144"/>
      <c r="I2976" s="133"/>
      <c r="J2976" s="133"/>
      <c r="K2976" s="133"/>
      <c r="L2976" s="133"/>
      <c r="M2976" s="133"/>
      <c r="N2976" s="147"/>
      <c r="P2976" s="140"/>
    </row>
    <row r="2977" spans="1:16" hidden="1" x14ac:dyDescent="0.35">
      <c r="A2977" s="149">
        <v>85</v>
      </c>
      <c r="B2977" s="143">
        <v>45839</v>
      </c>
      <c r="C2977" s="133" t="s">
        <v>1772</v>
      </c>
      <c r="D2977" s="133" t="s">
        <v>2471</v>
      </c>
      <c r="E2977" s="145" t="s">
        <v>1064</v>
      </c>
      <c r="F2977" s="145">
        <v>5704.2</v>
      </c>
      <c r="G2977" s="133" t="s">
        <v>1034</v>
      </c>
      <c r="H2977" s="144" t="s">
        <v>1341</v>
      </c>
      <c r="I2977" s="133" t="s">
        <v>1092</v>
      </c>
      <c r="J2977" s="133" t="s">
        <v>2527</v>
      </c>
      <c r="K2977" s="143">
        <v>45870</v>
      </c>
      <c r="L2977" s="133" t="s">
        <v>1092</v>
      </c>
      <c r="M2977" s="133">
        <v>4935.1000000000004</v>
      </c>
      <c r="N2977" s="147">
        <f>+F2977+F2978+F2979+F2980-M2977-M2978-M2979-M2980</f>
        <v>1.2718714970105793E-12</v>
      </c>
      <c r="O2977" s="141"/>
      <c r="P2977" s="140"/>
    </row>
    <row r="2978" spans="1:16" hidden="1" x14ac:dyDescent="0.35">
      <c r="A2978" s="146"/>
      <c r="B2978" s="143"/>
      <c r="C2978" s="133"/>
      <c r="D2978" s="133"/>
      <c r="E2978" s="145" t="s">
        <v>1067</v>
      </c>
      <c r="F2978" s="145">
        <v>560.4</v>
      </c>
      <c r="G2978" s="133" t="s">
        <v>1034</v>
      </c>
      <c r="H2978" s="144" t="s">
        <v>1341</v>
      </c>
      <c r="I2978" s="133" t="s">
        <v>1092</v>
      </c>
      <c r="J2978" s="133" t="s">
        <v>2533</v>
      </c>
      <c r="K2978" s="143">
        <v>45870</v>
      </c>
      <c r="L2978" s="133" t="s">
        <v>1092</v>
      </c>
      <c r="M2978" s="133">
        <f>560.4+5374.2</f>
        <v>5934.5999999999995</v>
      </c>
      <c r="N2978" s="147"/>
      <c r="P2978" s="140"/>
    </row>
    <row r="2979" spans="1:16" hidden="1" x14ac:dyDescent="0.35">
      <c r="A2979" s="146"/>
      <c r="B2979" s="143"/>
      <c r="C2979" s="133"/>
      <c r="D2979" s="133"/>
      <c r="E2979" s="145" t="s">
        <v>1118</v>
      </c>
      <c r="F2979" s="145">
        <v>4935.1000000000004</v>
      </c>
      <c r="G2979" s="133" t="s">
        <v>1034</v>
      </c>
      <c r="H2979" s="144" t="s">
        <v>1341</v>
      </c>
      <c r="I2979" s="133" t="s">
        <v>1092</v>
      </c>
      <c r="J2979" s="133" t="s">
        <v>2553</v>
      </c>
      <c r="K2979" s="143">
        <v>45901</v>
      </c>
      <c r="L2979" s="133" t="s">
        <v>1241</v>
      </c>
      <c r="M2979" s="133">
        <v>330</v>
      </c>
      <c r="N2979" s="147"/>
      <c r="P2979" s="140"/>
    </row>
    <row r="2980" spans="1:16" hidden="1" x14ac:dyDescent="0.35">
      <c r="A2980" s="146"/>
      <c r="B2980" s="143"/>
      <c r="C2980" s="133"/>
      <c r="D2980" s="133"/>
      <c r="E2980" s="145" t="s">
        <v>1071</v>
      </c>
      <c r="F2980" s="145">
        <v>53.6</v>
      </c>
      <c r="G2980" s="133" t="s">
        <v>1034</v>
      </c>
      <c r="H2980" s="144" t="s">
        <v>1341</v>
      </c>
      <c r="I2980" s="133" t="s">
        <v>1092</v>
      </c>
      <c r="J2980" s="133" t="s">
        <v>2616</v>
      </c>
      <c r="K2980" s="143">
        <v>45962</v>
      </c>
      <c r="L2980" s="133" t="s">
        <v>1092</v>
      </c>
      <c r="M2980" s="133">
        <v>53.6</v>
      </c>
      <c r="N2980" s="147"/>
      <c r="P2980" s="140"/>
    </row>
    <row r="2981" spans="1:16" hidden="1" x14ac:dyDescent="0.35">
      <c r="A2981" s="146"/>
      <c r="B2981" s="143"/>
      <c r="C2981" s="133"/>
      <c r="D2981" s="133"/>
      <c r="E2981" s="145"/>
      <c r="F2981" s="145"/>
      <c r="G2981" s="133"/>
      <c r="H2981" s="144"/>
      <c r="I2981" s="133"/>
      <c r="J2981" s="133"/>
      <c r="K2981" s="133"/>
      <c r="L2981" s="133"/>
      <c r="M2981" s="133"/>
      <c r="N2981" s="147"/>
      <c r="P2981" s="140"/>
    </row>
    <row r="2982" spans="1:16" hidden="1" x14ac:dyDescent="0.35">
      <c r="A2982" s="149">
        <v>86</v>
      </c>
      <c r="B2982" s="143">
        <v>45839</v>
      </c>
      <c r="C2982" s="133" t="s">
        <v>1771</v>
      </c>
      <c r="D2982" s="133" t="s">
        <v>2472</v>
      </c>
      <c r="E2982" s="145" t="s">
        <v>1071</v>
      </c>
      <c r="F2982" s="145">
        <v>1077.3</v>
      </c>
      <c r="G2982" s="133" t="s">
        <v>1034</v>
      </c>
      <c r="H2982" s="144" t="s">
        <v>1341</v>
      </c>
      <c r="I2982" s="133" t="s">
        <v>1092</v>
      </c>
      <c r="J2982" s="133" t="s">
        <v>2533</v>
      </c>
      <c r="K2982" s="143">
        <v>45870</v>
      </c>
      <c r="L2982" s="133" t="s">
        <v>1092</v>
      </c>
      <c r="M2982" s="133">
        <f>8999+1798+237</f>
        <v>11034</v>
      </c>
      <c r="N2982" s="147">
        <f>+F2982+F2983+F2984+F2985-M2982-M2983-M2984</f>
        <v>0</v>
      </c>
      <c r="O2982" s="141"/>
      <c r="P2982" s="140"/>
    </row>
    <row r="2983" spans="1:16" hidden="1" x14ac:dyDescent="0.35">
      <c r="A2983" s="146"/>
      <c r="B2983" s="143"/>
      <c r="C2983" s="133"/>
      <c r="D2983" s="133"/>
      <c r="E2983" s="145" t="s">
        <v>1067</v>
      </c>
      <c r="F2983" s="145">
        <v>1798</v>
      </c>
      <c r="G2983" s="133" t="s">
        <v>1034</v>
      </c>
      <c r="H2983" s="144" t="s">
        <v>1341</v>
      </c>
      <c r="I2983" s="133" t="s">
        <v>1092</v>
      </c>
      <c r="J2983" s="133" t="s">
        <v>2553</v>
      </c>
      <c r="K2983" s="143">
        <v>45901</v>
      </c>
      <c r="L2983" s="133" t="s">
        <v>1241</v>
      </c>
      <c r="M2983" s="133">
        <v>351</v>
      </c>
      <c r="N2983" s="147"/>
      <c r="O2983" s="140"/>
      <c r="P2983" s="140"/>
    </row>
    <row r="2984" spans="1:16" hidden="1" x14ac:dyDescent="0.35">
      <c r="A2984" s="146"/>
      <c r="B2984" s="143"/>
      <c r="C2984" s="133"/>
      <c r="D2984" s="133"/>
      <c r="E2984" s="145" t="s">
        <v>1075</v>
      </c>
      <c r="F2984" s="145">
        <v>588</v>
      </c>
      <c r="G2984" s="133" t="s">
        <v>1034</v>
      </c>
      <c r="H2984" s="144" t="s">
        <v>1341</v>
      </c>
      <c r="I2984" s="133" t="s">
        <v>1092</v>
      </c>
      <c r="J2984" s="133" t="s">
        <v>2616</v>
      </c>
      <c r="K2984" s="143">
        <v>45962</v>
      </c>
      <c r="L2984" s="133" t="s">
        <v>1092</v>
      </c>
      <c r="M2984" s="133">
        <v>1077.3</v>
      </c>
      <c r="N2984" s="147"/>
      <c r="P2984" s="140"/>
    </row>
    <row r="2985" spans="1:16" hidden="1" x14ac:dyDescent="0.35">
      <c r="A2985" s="146"/>
      <c r="B2985" s="143"/>
      <c r="C2985" s="133"/>
      <c r="D2985" s="133"/>
      <c r="E2985" s="145" t="s">
        <v>1342</v>
      </c>
      <c r="F2985" s="145">
        <v>8999</v>
      </c>
      <c r="G2985" s="133"/>
      <c r="H2985" s="144"/>
      <c r="I2985" s="133"/>
      <c r="J2985" s="133"/>
      <c r="K2985" s="133"/>
      <c r="L2985" s="133"/>
      <c r="M2985" s="133"/>
      <c r="N2985" s="147"/>
      <c r="P2985" s="140"/>
    </row>
    <row r="2986" spans="1:16" hidden="1" x14ac:dyDescent="0.35">
      <c r="A2986" s="146"/>
      <c r="B2986" s="143"/>
      <c r="C2986" s="133"/>
      <c r="D2986" s="133"/>
      <c r="E2986" s="145"/>
      <c r="F2986" s="145"/>
      <c r="G2986" s="133"/>
      <c r="H2986" s="144"/>
      <c r="I2986" s="133"/>
      <c r="J2986" s="133"/>
      <c r="K2986" s="133"/>
      <c r="L2986" s="133"/>
      <c r="M2986" s="133"/>
      <c r="N2986" s="147"/>
      <c r="P2986" s="140"/>
    </row>
    <row r="2987" spans="1:16" hidden="1" x14ac:dyDescent="0.35">
      <c r="A2987" s="149">
        <v>87</v>
      </c>
      <c r="B2987" s="143">
        <v>45839</v>
      </c>
      <c r="C2987" s="133" t="s">
        <v>1769</v>
      </c>
      <c r="D2987" s="133" t="s">
        <v>2473</v>
      </c>
      <c r="E2987" s="145" t="s">
        <v>1064</v>
      </c>
      <c r="F2987" s="145">
        <v>4789.6000000000004</v>
      </c>
      <c r="G2987" s="133" t="s">
        <v>1034</v>
      </c>
      <c r="H2987" s="144" t="s">
        <v>1341</v>
      </c>
      <c r="I2987" s="133" t="s">
        <v>1092</v>
      </c>
      <c r="J2987" s="133" t="s">
        <v>2527</v>
      </c>
      <c r="K2987" s="143">
        <v>45870</v>
      </c>
      <c r="L2987" s="133" t="s">
        <v>1092</v>
      </c>
      <c r="M2987" s="133">
        <v>3750.1</v>
      </c>
      <c r="N2987" s="147">
        <f>+F2987+F2988-M2987-M2988-M2989</f>
        <v>0</v>
      </c>
      <c r="O2987" s="141"/>
      <c r="P2987" s="140"/>
    </row>
    <row r="2988" spans="1:16" hidden="1" x14ac:dyDescent="0.35">
      <c r="A2988" s="146"/>
      <c r="B2988" s="143"/>
      <c r="C2988" s="133"/>
      <c r="D2988" s="133"/>
      <c r="E2988" s="145" t="s">
        <v>1075</v>
      </c>
      <c r="F2988" s="145">
        <v>3993.1</v>
      </c>
      <c r="G2988" s="133" t="s">
        <v>1034</v>
      </c>
      <c r="H2988" s="144" t="s">
        <v>1341</v>
      </c>
      <c r="I2988" s="133" t="s">
        <v>1092</v>
      </c>
      <c r="J2988" s="133" t="s">
        <v>2549</v>
      </c>
      <c r="K2988" s="143">
        <v>45901</v>
      </c>
      <c r="L2988" s="133" t="s">
        <v>1092</v>
      </c>
      <c r="M2988" s="133">
        <v>4789.6000000000004</v>
      </c>
      <c r="N2988" s="147"/>
      <c r="P2988" s="140"/>
    </row>
    <row r="2989" spans="1:16" hidden="1" x14ac:dyDescent="0.35">
      <c r="A2989" s="146"/>
      <c r="B2989" s="143"/>
      <c r="C2989" s="133"/>
      <c r="D2989" s="133"/>
      <c r="E2989" s="145"/>
      <c r="F2989" s="145"/>
      <c r="G2989" s="133" t="s">
        <v>1034</v>
      </c>
      <c r="H2989" s="144" t="s">
        <v>1341</v>
      </c>
      <c r="I2989" s="133" t="s">
        <v>1092</v>
      </c>
      <c r="J2989" s="133" t="s">
        <v>2553</v>
      </c>
      <c r="K2989" s="143">
        <v>45901</v>
      </c>
      <c r="L2989" s="133" t="s">
        <v>1241</v>
      </c>
      <c r="M2989" s="133">
        <v>243</v>
      </c>
      <c r="N2989" s="147"/>
      <c r="P2989" s="140"/>
    </row>
    <row r="2990" spans="1:16" hidden="1" x14ac:dyDescent="0.35">
      <c r="A2990" s="146"/>
      <c r="B2990" s="143"/>
      <c r="C2990" s="133"/>
      <c r="D2990" s="133"/>
      <c r="E2990" s="145"/>
      <c r="F2990" s="145"/>
      <c r="G2990" s="133"/>
      <c r="H2990" s="144"/>
      <c r="I2990" s="133"/>
      <c r="J2990" s="133"/>
      <c r="K2990" s="133"/>
      <c r="L2990" s="133"/>
      <c r="M2990" s="133"/>
      <c r="N2990" s="147"/>
      <c r="P2990" s="140"/>
    </row>
    <row r="2991" spans="1:16" hidden="1" x14ac:dyDescent="0.35">
      <c r="A2991" s="149">
        <v>88</v>
      </c>
      <c r="B2991" s="143">
        <v>45839</v>
      </c>
      <c r="C2991" s="133" t="s">
        <v>1767</v>
      </c>
      <c r="D2991" s="133" t="s">
        <v>2474</v>
      </c>
      <c r="E2991" s="145" t="s">
        <v>1071</v>
      </c>
      <c r="F2991" s="145">
        <v>56.6</v>
      </c>
      <c r="G2991" s="133" t="s">
        <v>1034</v>
      </c>
      <c r="H2991" s="144" t="s">
        <v>1341</v>
      </c>
      <c r="I2991" s="133" t="s">
        <v>1092</v>
      </c>
      <c r="J2991" s="133" t="s">
        <v>2527</v>
      </c>
      <c r="K2991" s="143">
        <v>45870</v>
      </c>
      <c r="L2991" s="133" t="s">
        <v>1092</v>
      </c>
      <c r="M2991" s="133">
        <f>3506+6744.7</f>
        <v>10250.700000000001</v>
      </c>
      <c r="N2991" s="147">
        <f>+F2991+F2992+F2993+F2994+F2995-M2991-M2992-M2993-M2994</f>
        <v>-1.0018652574217413E-12</v>
      </c>
      <c r="O2991" s="141"/>
      <c r="P2991" s="140"/>
    </row>
    <row r="2992" spans="1:16" hidden="1" x14ac:dyDescent="0.35">
      <c r="A2992" s="146"/>
      <c r="B2992" s="143"/>
      <c r="C2992" s="133"/>
      <c r="D2992" s="133"/>
      <c r="E2992" s="145" t="s">
        <v>1067</v>
      </c>
      <c r="F2992" s="145">
        <v>1152</v>
      </c>
      <c r="G2992" s="133" t="s">
        <v>1034</v>
      </c>
      <c r="H2992" s="144" t="s">
        <v>1341</v>
      </c>
      <c r="I2992" s="133" t="s">
        <v>1092</v>
      </c>
      <c r="J2992" s="133" t="s">
        <v>2549</v>
      </c>
      <c r="K2992" s="143">
        <v>45901</v>
      </c>
      <c r="L2992" s="133" t="s">
        <v>1092</v>
      </c>
      <c r="M2992" s="133">
        <f>1348.6+1152</f>
        <v>2500.6</v>
      </c>
      <c r="N2992" s="147"/>
      <c r="P2992" s="140"/>
    </row>
    <row r="2993" spans="1:16" hidden="1" x14ac:dyDescent="0.35">
      <c r="A2993" s="146"/>
      <c r="B2993" s="143"/>
      <c r="C2993" s="133"/>
      <c r="D2993" s="133"/>
      <c r="E2993" s="145" t="s">
        <v>1075</v>
      </c>
      <c r="F2993" s="145">
        <v>7105.7</v>
      </c>
      <c r="G2993" s="133" t="s">
        <v>1034</v>
      </c>
      <c r="H2993" s="144" t="s">
        <v>1341</v>
      </c>
      <c r="I2993" s="133" t="s">
        <v>1092</v>
      </c>
      <c r="J2993" s="133" t="s">
        <v>2553</v>
      </c>
      <c r="K2993" s="143">
        <v>45901</v>
      </c>
      <c r="L2993" s="133" t="s">
        <v>1241</v>
      </c>
      <c r="M2993" s="133">
        <v>361</v>
      </c>
      <c r="N2993" s="147"/>
      <c r="P2993" s="140"/>
    </row>
    <row r="2994" spans="1:16" hidden="1" x14ac:dyDescent="0.35">
      <c r="A2994" s="146"/>
      <c r="B2994" s="143"/>
      <c r="C2994" s="133"/>
      <c r="D2994" s="133"/>
      <c r="E2994" s="145" t="s">
        <v>1342</v>
      </c>
      <c r="F2994" s="145">
        <v>3506</v>
      </c>
      <c r="G2994" s="133" t="s">
        <v>1034</v>
      </c>
      <c r="H2994" s="144" t="s">
        <v>1341</v>
      </c>
      <c r="I2994" s="133" t="s">
        <v>1092</v>
      </c>
      <c r="J2994" s="133" t="s">
        <v>2616</v>
      </c>
      <c r="K2994" s="143">
        <v>45962</v>
      </c>
      <c r="L2994" s="133" t="s">
        <v>1092</v>
      </c>
      <c r="M2994" s="133">
        <v>56.6</v>
      </c>
      <c r="N2994" s="147"/>
      <c r="P2994" s="140"/>
    </row>
    <row r="2995" spans="1:16" hidden="1" x14ac:dyDescent="0.35">
      <c r="A2995" s="146"/>
      <c r="B2995" s="143"/>
      <c r="C2995" s="133"/>
      <c r="D2995" s="133"/>
      <c r="E2995" s="145" t="s">
        <v>1064</v>
      </c>
      <c r="F2995" s="145">
        <v>1348.6</v>
      </c>
      <c r="G2995" s="133"/>
      <c r="H2995" s="144"/>
      <c r="I2995" s="133"/>
      <c r="J2995" s="133"/>
      <c r="K2995" s="133"/>
      <c r="L2995" s="133"/>
      <c r="M2995" s="133"/>
      <c r="N2995" s="147"/>
      <c r="P2995" s="140"/>
    </row>
    <row r="2996" spans="1:16" hidden="1" x14ac:dyDescent="0.35">
      <c r="A2996" s="146"/>
      <c r="B2996" s="143"/>
      <c r="C2996" s="133"/>
      <c r="D2996" s="133"/>
      <c r="E2996" s="145"/>
      <c r="F2996" s="145"/>
      <c r="G2996" s="133"/>
      <c r="H2996" s="144"/>
      <c r="I2996" s="133"/>
      <c r="J2996" s="133"/>
      <c r="K2996" s="133"/>
      <c r="L2996" s="133"/>
      <c r="M2996" s="133"/>
      <c r="N2996" s="147"/>
      <c r="P2996" s="140"/>
    </row>
    <row r="2997" spans="1:16" hidden="1" x14ac:dyDescent="0.35">
      <c r="A2997" s="149">
        <v>89</v>
      </c>
      <c r="B2997" s="143">
        <v>45839</v>
      </c>
      <c r="C2997" s="133" t="s">
        <v>1766</v>
      </c>
      <c r="D2997" s="133" t="s">
        <v>2475</v>
      </c>
      <c r="E2997" s="145" t="s">
        <v>1064</v>
      </c>
      <c r="F2997" s="145">
        <v>1070.4000000000001</v>
      </c>
      <c r="G2997" s="133" t="s">
        <v>1034</v>
      </c>
      <c r="H2997" s="144" t="s">
        <v>1341</v>
      </c>
      <c r="I2997" s="133" t="s">
        <v>1092</v>
      </c>
      <c r="J2997" s="133" t="s">
        <v>2527</v>
      </c>
      <c r="K2997" s="143">
        <v>45870</v>
      </c>
      <c r="L2997" s="133" t="s">
        <v>1092</v>
      </c>
      <c r="M2997" s="133">
        <v>6753.9</v>
      </c>
      <c r="N2997" s="147">
        <f>+F2997+F2998-M2997-M2998-M2999</f>
        <v>-4.5474735088646412E-13</v>
      </c>
      <c r="O2997" s="141"/>
      <c r="P2997" s="140"/>
    </row>
    <row r="2998" spans="1:16" hidden="1" x14ac:dyDescent="0.35">
      <c r="A2998" s="146"/>
      <c r="B2998" s="143"/>
      <c r="C2998" s="133"/>
      <c r="D2998" s="133"/>
      <c r="E2998" s="145" t="s">
        <v>1342</v>
      </c>
      <c r="F2998" s="145">
        <v>6963.9</v>
      </c>
      <c r="G2998" s="133" t="s">
        <v>1034</v>
      </c>
      <c r="H2998" s="144" t="s">
        <v>1341</v>
      </c>
      <c r="I2998" s="133" t="s">
        <v>1092</v>
      </c>
      <c r="J2998" s="133" t="s">
        <v>2549</v>
      </c>
      <c r="K2998" s="143">
        <v>45901</v>
      </c>
      <c r="L2998" s="133" t="s">
        <v>1092</v>
      </c>
      <c r="M2998" s="133">
        <v>1070.4000000000001</v>
      </c>
      <c r="N2998" s="147"/>
      <c r="P2998" s="140"/>
    </row>
    <row r="2999" spans="1:16" hidden="1" x14ac:dyDescent="0.35">
      <c r="A2999" s="146"/>
      <c r="B2999" s="143"/>
      <c r="C2999" s="133"/>
      <c r="D2999" s="133"/>
      <c r="E2999" s="145"/>
      <c r="F2999" s="145"/>
      <c r="G2999" s="133" t="s">
        <v>1034</v>
      </c>
      <c r="H2999" s="144" t="s">
        <v>1341</v>
      </c>
      <c r="I2999" s="133" t="s">
        <v>1092</v>
      </c>
      <c r="J2999" s="133" t="s">
        <v>2553</v>
      </c>
      <c r="K2999" s="143">
        <v>45901</v>
      </c>
      <c r="L2999" s="133" t="s">
        <v>1241</v>
      </c>
      <c r="M2999" s="133">
        <v>210</v>
      </c>
      <c r="N2999" s="147"/>
      <c r="P2999" s="140"/>
    </row>
    <row r="3000" spans="1:16" hidden="1" x14ac:dyDescent="0.35">
      <c r="A3000" s="146"/>
      <c r="B3000" s="143"/>
      <c r="C3000" s="133"/>
      <c r="D3000" s="133"/>
      <c r="E3000" s="145"/>
      <c r="F3000" s="145"/>
      <c r="G3000" s="133"/>
      <c r="H3000" s="144"/>
      <c r="I3000" s="133"/>
      <c r="J3000" s="133"/>
      <c r="K3000" s="133"/>
      <c r="L3000" s="133"/>
      <c r="M3000" s="133"/>
      <c r="N3000" s="147"/>
      <c r="P3000" s="140"/>
    </row>
    <row r="3001" spans="1:16" hidden="1" x14ac:dyDescent="0.35">
      <c r="A3001" s="149">
        <v>90</v>
      </c>
      <c r="B3001" s="143">
        <v>45839</v>
      </c>
      <c r="C3001" s="133" t="s">
        <v>1765</v>
      </c>
      <c r="D3001" s="133" t="s">
        <v>2476</v>
      </c>
      <c r="E3001" s="145" t="s">
        <v>1071</v>
      </c>
      <c r="F3001" s="145">
        <v>110.1</v>
      </c>
      <c r="G3001" s="133" t="s">
        <v>1034</v>
      </c>
      <c r="H3001" s="144" t="s">
        <v>1341</v>
      </c>
      <c r="I3001" s="133" t="s">
        <v>1092</v>
      </c>
      <c r="J3001" s="133" t="s">
        <v>2527</v>
      </c>
      <c r="K3001" s="143">
        <v>45870</v>
      </c>
      <c r="L3001" s="133" t="s">
        <v>1092</v>
      </c>
      <c r="M3001" s="133">
        <f>6112+1623</f>
        <v>7735</v>
      </c>
      <c r="N3001" s="147">
        <f>+F3001+F3002+F3003+F3004-M3001-M3002-M3003-M3004</f>
        <v>3.694822225952521E-13</v>
      </c>
      <c r="O3001" s="141"/>
      <c r="P3001" s="140"/>
    </row>
    <row r="3002" spans="1:16" hidden="1" x14ac:dyDescent="0.35">
      <c r="A3002" s="146"/>
      <c r="B3002" s="143"/>
      <c r="C3002" s="133"/>
      <c r="D3002" s="133"/>
      <c r="E3002" s="145" t="s">
        <v>1067</v>
      </c>
      <c r="F3002" s="145">
        <v>1732.5</v>
      </c>
      <c r="G3002" s="133" t="s">
        <v>1034</v>
      </c>
      <c r="H3002" s="144" t="s">
        <v>1341</v>
      </c>
      <c r="I3002" s="133" t="s">
        <v>1092</v>
      </c>
      <c r="J3002" s="133" t="s">
        <v>2549</v>
      </c>
      <c r="K3002" s="143">
        <v>45901</v>
      </c>
      <c r="L3002" s="133" t="s">
        <v>1092</v>
      </c>
      <c r="M3002" s="133">
        <v>1732.5</v>
      </c>
      <c r="N3002" s="147"/>
      <c r="P3002" s="140"/>
    </row>
    <row r="3003" spans="1:16" hidden="1" x14ac:dyDescent="0.35">
      <c r="A3003" s="146"/>
      <c r="B3003" s="143"/>
      <c r="C3003" s="133"/>
      <c r="D3003" s="133"/>
      <c r="E3003" s="145" t="s">
        <v>1075</v>
      </c>
      <c r="F3003" s="145">
        <v>6112</v>
      </c>
      <c r="G3003" s="133" t="s">
        <v>1034</v>
      </c>
      <c r="H3003" s="144" t="s">
        <v>1341</v>
      </c>
      <c r="I3003" s="133" t="s">
        <v>1092</v>
      </c>
      <c r="J3003" s="133" t="s">
        <v>2553</v>
      </c>
      <c r="K3003" s="143">
        <v>45901</v>
      </c>
      <c r="L3003" s="133" t="s">
        <v>1241</v>
      </c>
      <c r="M3003" s="133">
        <v>240</v>
      </c>
      <c r="N3003" s="147"/>
      <c r="P3003" s="140"/>
    </row>
    <row r="3004" spans="1:16" hidden="1" x14ac:dyDescent="0.35">
      <c r="A3004" s="146"/>
      <c r="B3004" s="143"/>
      <c r="C3004" s="133"/>
      <c r="D3004" s="133"/>
      <c r="E3004" s="145" t="s">
        <v>1342</v>
      </c>
      <c r="F3004" s="145">
        <v>1863</v>
      </c>
      <c r="G3004" s="133" t="s">
        <v>1034</v>
      </c>
      <c r="H3004" s="144" t="s">
        <v>1341</v>
      </c>
      <c r="I3004" s="133" t="s">
        <v>1092</v>
      </c>
      <c r="J3004" s="133" t="s">
        <v>2616</v>
      </c>
      <c r="K3004" s="143">
        <v>45962</v>
      </c>
      <c r="L3004" s="133" t="s">
        <v>1092</v>
      </c>
      <c r="M3004" s="133">
        <v>110.1</v>
      </c>
      <c r="N3004" s="147"/>
      <c r="P3004" s="140"/>
    </row>
    <row r="3005" spans="1:16" hidden="1" x14ac:dyDescent="0.35">
      <c r="A3005" s="146"/>
      <c r="B3005" s="143"/>
      <c r="C3005" s="133"/>
      <c r="D3005" s="133"/>
      <c r="E3005" s="145"/>
      <c r="F3005" s="145"/>
      <c r="G3005" s="133"/>
      <c r="H3005" s="144"/>
      <c r="I3005" s="133"/>
      <c r="J3005" s="133"/>
      <c r="K3005" s="133"/>
      <c r="L3005" s="133"/>
      <c r="M3005" s="133"/>
      <c r="N3005" s="147"/>
      <c r="P3005" s="140"/>
    </row>
    <row r="3006" spans="1:16" hidden="1" x14ac:dyDescent="0.35">
      <c r="A3006" s="149">
        <v>91</v>
      </c>
      <c r="B3006" s="143">
        <v>45839</v>
      </c>
      <c r="C3006" s="133" t="s">
        <v>1763</v>
      </c>
      <c r="D3006" s="133" t="s">
        <v>2477</v>
      </c>
      <c r="E3006" s="145" t="s">
        <v>1075</v>
      </c>
      <c r="F3006" s="145">
        <v>1037</v>
      </c>
      <c r="G3006" s="133" t="s">
        <v>1034</v>
      </c>
      <c r="H3006" s="144" t="s">
        <v>1341</v>
      </c>
      <c r="I3006" s="133" t="s">
        <v>1092</v>
      </c>
      <c r="J3006" s="133" t="s">
        <v>2533</v>
      </c>
      <c r="K3006" s="143">
        <v>45870</v>
      </c>
      <c r="L3006" s="133" t="s">
        <v>1092</v>
      </c>
      <c r="M3006" s="133">
        <v>886</v>
      </c>
      <c r="N3006" s="147">
        <f>+F3006+F3007-M3006-M3007-M3008</f>
        <v>0</v>
      </c>
      <c r="O3006" s="141"/>
      <c r="P3006" s="140"/>
    </row>
    <row r="3007" spans="1:16" hidden="1" x14ac:dyDescent="0.35">
      <c r="A3007" s="146"/>
      <c r="B3007" s="143"/>
      <c r="C3007" s="133"/>
      <c r="D3007" s="133"/>
      <c r="E3007" s="145" t="s">
        <v>1067</v>
      </c>
      <c r="F3007" s="145">
        <v>4611.6000000000004</v>
      </c>
      <c r="G3007" s="133" t="s">
        <v>1034</v>
      </c>
      <c r="H3007" s="144" t="s">
        <v>1341</v>
      </c>
      <c r="I3007" s="133" t="s">
        <v>1092</v>
      </c>
      <c r="J3007" s="133" t="s">
        <v>2549</v>
      </c>
      <c r="K3007" s="143">
        <v>45901</v>
      </c>
      <c r="L3007" s="133" t="s">
        <v>1092</v>
      </c>
      <c r="M3007" s="133">
        <v>4611.6000000000004</v>
      </c>
      <c r="N3007" s="147"/>
      <c r="P3007" s="140"/>
    </row>
    <row r="3008" spans="1:16" hidden="1" x14ac:dyDescent="0.35">
      <c r="A3008" s="146"/>
      <c r="B3008" s="143"/>
      <c r="C3008" s="133"/>
      <c r="D3008" s="133"/>
      <c r="E3008" s="145"/>
      <c r="F3008" s="145"/>
      <c r="G3008" s="133" t="s">
        <v>1034</v>
      </c>
      <c r="H3008" s="144" t="s">
        <v>1341</v>
      </c>
      <c r="I3008" s="133" t="s">
        <v>1092</v>
      </c>
      <c r="J3008" s="133" t="s">
        <v>2553</v>
      </c>
      <c r="K3008" s="143">
        <v>45901</v>
      </c>
      <c r="L3008" s="133" t="s">
        <v>1241</v>
      </c>
      <c r="M3008" s="133">
        <v>151</v>
      </c>
      <c r="N3008" s="147"/>
      <c r="P3008" s="140"/>
    </row>
    <row r="3009" spans="1:16" hidden="1" x14ac:dyDescent="0.35">
      <c r="A3009" s="146"/>
      <c r="B3009" s="143"/>
      <c r="C3009" s="133"/>
      <c r="D3009" s="133"/>
      <c r="E3009" s="145"/>
      <c r="F3009" s="145"/>
      <c r="G3009" s="133"/>
      <c r="H3009" s="144"/>
      <c r="I3009" s="133"/>
      <c r="J3009" s="133"/>
      <c r="K3009" s="143"/>
      <c r="L3009" s="133"/>
      <c r="M3009" s="133"/>
      <c r="N3009" s="147"/>
      <c r="P3009" s="140"/>
    </row>
    <row r="3010" spans="1:16" hidden="1" x14ac:dyDescent="0.35">
      <c r="A3010" s="149">
        <v>92</v>
      </c>
      <c r="B3010" s="143">
        <v>45839</v>
      </c>
      <c r="C3010" s="133" t="s">
        <v>1761</v>
      </c>
      <c r="D3010" s="133" t="s">
        <v>2478</v>
      </c>
      <c r="E3010" s="145" t="s">
        <v>1071</v>
      </c>
      <c r="F3010" s="145">
        <v>57.4</v>
      </c>
      <c r="G3010" s="133" t="s">
        <v>1034</v>
      </c>
      <c r="H3010" s="144" t="s">
        <v>1341</v>
      </c>
      <c r="I3010" s="133" t="s">
        <v>1092</v>
      </c>
      <c r="J3010" s="133" t="s">
        <v>2518</v>
      </c>
      <c r="K3010" s="143">
        <v>45870</v>
      </c>
      <c r="L3010" s="133" t="s">
        <v>1092</v>
      </c>
      <c r="M3010" s="133">
        <v>5976.7</v>
      </c>
      <c r="N3010" s="147">
        <f>+F3010+F3011+F3012+F3013+F3014-M3010-M3011-M3012-M3013-M3014</f>
        <v>-3.6237679523765109E-13</v>
      </c>
      <c r="O3010" s="141"/>
      <c r="P3010" s="140"/>
    </row>
    <row r="3011" spans="1:16" hidden="1" x14ac:dyDescent="0.35">
      <c r="A3011" s="146"/>
      <c r="B3011" s="143"/>
      <c r="C3011" s="133"/>
      <c r="D3011" s="133"/>
      <c r="E3011" s="145" t="s">
        <v>1067</v>
      </c>
      <c r="F3011" s="145">
        <v>1565</v>
      </c>
      <c r="G3011" s="133" t="s">
        <v>1034</v>
      </c>
      <c r="H3011" s="144" t="s">
        <v>1341</v>
      </c>
      <c r="I3011" s="133" t="s">
        <v>1092</v>
      </c>
      <c r="J3011" s="133" t="s">
        <v>2533</v>
      </c>
      <c r="K3011" s="143">
        <v>45870</v>
      </c>
      <c r="L3011" s="133" t="s">
        <v>1092</v>
      </c>
      <c r="M3011" s="133">
        <f>863.3+2800</f>
        <v>3663.3</v>
      </c>
      <c r="N3011" s="147"/>
      <c r="P3011" s="140"/>
    </row>
    <row r="3012" spans="1:16" hidden="1" x14ac:dyDescent="0.35">
      <c r="A3012" s="146"/>
      <c r="B3012" s="143"/>
      <c r="C3012" s="133"/>
      <c r="D3012" s="133"/>
      <c r="E3012" s="145" t="s">
        <v>1075</v>
      </c>
      <c r="F3012" s="145">
        <v>863.3</v>
      </c>
      <c r="G3012" s="133" t="s">
        <v>1034</v>
      </c>
      <c r="H3012" s="144" t="s">
        <v>1341</v>
      </c>
      <c r="I3012" s="133" t="s">
        <v>1092</v>
      </c>
      <c r="J3012" s="133" t="s">
        <v>2549</v>
      </c>
      <c r="K3012" s="143">
        <v>45901</v>
      </c>
      <c r="L3012" s="133" t="s">
        <v>1092</v>
      </c>
      <c r="M3012" s="133">
        <v>1565</v>
      </c>
      <c r="N3012" s="147"/>
      <c r="P3012" s="140"/>
    </row>
    <row r="3013" spans="1:16" hidden="1" x14ac:dyDescent="0.35">
      <c r="A3013" s="146"/>
      <c r="B3013" s="143"/>
      <c r="C3013" s="133"/>
      <c r="D3013" s="133"/>
      <c r="E3013" s="145" t="s">
        <v>1342</v>
      </c>
      <c r="F3013" s="145">
        <v>3110</v>
      </c>
      <c r="G3013" s="133" t="s">
        <v>1034</v>
      </c>
      <c r="H3013" s="144" t="s">
        <v>1341</v>
      </c>
      <c r="I3013" s="133" t="s">
        <v>1092</v>
      </c>
      <c r="J3013" s="133" t="s">
        <v>2553</v>
      </c>
      <c r="K3013" s="143">
        <v>45901</v>
      </c>
      <c r="L3013" s="133" t="s">
        <v>1241</v>
      </c>
      <c r="M3013" s="133">
        <v>310</v>
      </c>
      <c r="N3013" s="147"/>
      <c r="P3013" s="140"/>
    </row>
    <row r="3014" spans="1:16" hidden="1" x14ac:dyDescent="0.35">
      <c r="A3014" s="146"/>
      <c r="B3014" s="143"/>
      <c r="C3014" s="133"/>
      <c r="D3014" s="133"/>
      <c r="E3014" s="145" t="s">
        <v>1078</v>
      </c>
      <c r="F3014" s="145">
        <v>5976.7</v>
      </c>
      <c r="G3014" s="133" t="s">
        <v>1034</v>
      </c>
      <c r="H3014" s="144" t="s">
        <v>1341</v>
      </c>
      <c r="I3014" s="133" t="s">
        <v>1092</v>
      </c>
      <c r="J3014" s="133" t="s">
        <v>2616</v>
      </c>
      <c r="K3014" s="143">
        <v>45962</v>
      </c>
      <c r="L3014" s="133" t="s">
        <v>1092</v>
      </c>
      <c r="M3014" s="133">
        <v>57.4</v>
      </c>
      <c r="N3014" s="147"/>
      <c r="P3014" s="140"/>
    </row>
    <row r="3015" spans="1:16" hidden="1" x14ac:dyDescent="0.35">
      <c r="A3015" s="146"/>
      <c r="B3015" s="143"/>
      <c r="C3015" s="133"/>
      <c r="D3015" s="133"/>
      <c r="E3015" s="145"/>
      <c r="F3015" s="145"/>
      <c r="G3015" s="133"/>
      <c r="H3015" s="144"/>
      <c r="I3015" s="133"/>
      <c r="J3015" s="133"/>
      <c r="K3015" s="133"/>
      <c r="L3015" s="133"/>
      <c r="M3015" s="133"/>
      <c r="N3015" s="147"/>
      <c r="P3015" s="140"/>
    </row>
    <row r="3016" spans="1:16" hidden="1" x14ac:dyDescent="0.35">
      <c r="A3016" s="149">
        <v>93</v>
      </c>
      <c r="B3016" s="143">
        <v>45839</v>
      </c>
      <c r="C3016" s="133" t="s">
        <v>1759</v>
      </c>
      <c r="D3016" s="133" t="s">
        <v>2479</v>
      </c>
      <c r="E3016" s="145" t="s">
        <v>1064</v>
      </c>
      <c r="F3016" s="145">
        <v>2462.3000000000002</v>
      </c>
      <c r="G3016" s="133" t="s">
        <v>1034</v>
      </c>
      <c r="H3016" s="144" t="s">
        <v>1341</v>
      </c>
      <c r="I3016" s="133" t="s">
        <v>1092</v>
      </c>
      <c r="J3016" s="133" t="s">
        <v>2533</v>
      </c>
      <c r="K3016" s="143">
        <v>45870</v>
      </c>
      <c r="L3016" s="133" t="s">
        <v>1092</v>
      </c>
      <c r="M3016" s="133">
        <f>5080+8212</f>
        <v>13292</v>
      </c>
      <c r="N3016" s="147">
        <f>+F3016+F3017+F3018+F3019-M3016-M3017-M3018-M3019</f>
        <v>9.0949470177292824E-13</v>
      </c>
      <c r="O3016" s="141"/>
      <c r="P3016" s="140"/>
    </row>
    <row r="3017" spans="1:16" hidden="1" x14ac:dyDescent="0.35">
      <c r="A3017" s="146"/>
      <c r="B3017" s="143"/>
      <c r="C3017" s="133"/>
      <c r="D3017" s="133"/>
      <c r="E3017" s="145" t="s">
        <v>1067</v>
      </c>
      <c r="F3017" s="145">
        <v>5207.3999999999996</v>
      </c>
      <c r="G3017" s="133" t="s">
        <v>1034</v>
      </c>
      <c r="H3017" s="144" t="s">
        <v>1341</v>
      </c>
      <c r="I3017" s="133" t="s">
        <v>1092</v>
      </c>
      <c r="J3017" s="133" t="s">
        <v>2549</v>
      </c>
      <c r="K3017" s="143">
        <v>45901</v>
      </c>
      <c r="L3017" s="133" t="s">
        <v>1092</v>
      </c>
      <c r="M3017" s="133">
        <v>2462.3000000000002</v>
      </c>
      <c r="N3017" s="142"/>
      <c r="P3017" s="140"/>
    </row>
    <row r="3018" spans="1:16" hidden="1" x14ac:dyDescent="0.35">
      <c r="A3018" s="146"/>
      <c r="B3018" s="143"/>
      <c r="C3018" s="133"/>
      <c r="D3018" s="133"/>
      <c r="E3018" s="145" t="s">
        <v>1075</v>
      </c>
      <c r="F3018" s="145">
        <v>8822</v>
      </c>
      <c r="G3018" s="133" t="s">
        <v>1034</v>
      </c>
      <c r="H3018" s="144" t="s">
        <v>1341</v>
      </c>
      <c r="I3018" s="133" t="s">
        <v>1092</v>
      </c>
      <c r="J3018" s="133" t="s">
        <v>2552</v>
      </c>
      <c r="K3018" s="143">
        <v>45901</v>
      </c>
      <c r="L3018" s="133" t="s">
        <v>1092</v>
      </c>
      <c r="M3018" s="133">
        <v>5207.3999999999996</v>
      </c>
      <c r="N3018" s="142"/>
      <c r="P3018" s="140"/>
    </row>
    <row r="3019" spans="1:16" hidden="1" x14ac:dyDescent="0.35">
      <c r="A3019" s="146"/>
      <c r="B3019" s="143"/>
      <c r="C3019" s="133"/>
      <c r="D3019" s="133"/>
      <c r="E3019" s="145" t="s">
        <v>1342</v>
      </c>
      <c r="F3019" s="145">
        <v>5080</v>
      </c>
      <c r="G3019" s="133" t="s">
        <v>1034</v>
      </c>
      <c r="H3019" s="144" t="s">
        <v>1341</v>
      </c>
      <c r="I3019" s="133" t="s">
        <v>1092</v>
      </c>
      <c r="J3019" s="133" t="s">
        <v>2553</v>
      </c>
      <c r="K3019" s="143">
        <v>45901</v>
      </c>
      <c r="L3019" s="133" t="s">
        <v>1241</v>
      </c>
      <c r="M3019" s="133">
        <v>610</v>
      </c>
      <c r="N3019" s="142"/>
      <c r="P3019" s="140"/>
    </row>
    <row r="3020" spans="1:16" hidden="1" x14ac:dyDescent="0.35">
      <c r="A3020" s="146"/>
      <c r="B3020" s="143"/>
      <c r="C3020" s="133"/>
      <c r="D3020" s="133"/>
      <c r="E3020" s="145"/>
      <c r="F3020" s="145"/>
      <c r="G3020" s="133"/>
      <c r="H3020" s="144"/>
      <c r="I3020" s="133"/>
      <c r="J3020" s="133"/>
      <c r="K3020" s="133"/>
      <c r="L3020" s="133"/>
      <c r="M3020" s="133"/>
      <c r="N3020" s="142"/>
      <c r="P3020" s="140"/>
    </row>
    <row r="3021" spans="1:16" hidden="1" x14ac:dyDescent="0.35">
      <c r="A3021" s="149">
        <v>94</v>
      </c>
      <c r="B3021" s="143">
        <v>45839</v>
      </c>
      <c r="C3021" s="133" t="s">
        <v>1758</v>
      </c>
      <c r="D3021" s="133" t="s">
        <v>2482</v>
      </c>
      <c r="E3021" s="145" t="s">
        <v>1075</v>
      </c>
      <c r="F3021" s="145">
        <v>661</v>
      </c>
      <c r="G3021" s="133" t="s">
        <v>1034</v>
      </c>
      <c r="H3021" s="144" t="s">
        <v>1341</v>
      </c>
      <c r="I3021" s="133" t="s">
        <v>1092</v>
      </c>
      <c r="J3021" s="133" t="s">
        <v>2533</v>
      </c>
      <c r="K3021" s="143">
        <v>45870</v>
      </c>
      <c r="L3021" s="133" t="s">
        <v>1092</v>
      </c>
      <c r="M3021" s="133">
        <v>661</v>
      </c>
      <c r="N3021" s="142">
        <f>+F3021-M3021</f>
        <v>0</v>
      </c>
      <c r="O3021" s="141"/>
      <c r="P3021" s="140"/>
    </row>
    <row r="3022" spans="1:16" hidden="1" x14ac:dyDescent="0.35">
      <c r="A3022" s="146"/>
      <c r="B3022" s="143"/>
      <c r="C3022" s="133"/>
      <c r="D3022" s="133"/>
      <c r="E3022" s="145"/>
      <c r="F3022" s="145"/>
      <c r="G3022" s="133"/>
      <c r="H3022" s="144"/>
      <c r="I3022" s="133"/>
      <c r="J3022" s="133"/>
      <c r="K3022" s="133"/>
      <c r="L3022" s="133"/>
      <c r="M3022" s="133"/>
      <c r="N3022" s="142"/>
      <c r="P3022" s="140"/>
    </row>
    <row r="3023" spans="1:16" hidden="1" x14ac:dyDescent="0.35">
      <c r="A3023" s="149">
        <v>95</v>
      </c>
      <c r="B3023" s="143">
        <v>45839</v>
      </c>
      <c r="C3023" s="133" t="s">
        <v>1756</v>
      </c>
      <c r="D3023" s="133" t="s">
        <v>2483</v>
      </c>
      <c r="E3023" s="145" t="s">
        <v>1118</v>
      </c>
      <c r="F3023" s="145">
        <v>133.9</v>
      </c>
      <c r="G3023" s="133" t="s">
        <v>1034</v>
      </c>
      <c r="H3023" s="144" t="s">
        <v>1341</v>
      </c>
      <c r="I3023" s="133" t="s">
        <v>1092</v>
      </c>
      <c r="J3023" s="133" t="s">
        <v>2533</v>
      </c>
      <c r="K3023" s="143">
        <v>45870</v>
      </c>
      <c r="L3023" s="133" t="s">
        <v>1092</v>
      </c>
      <c r="M3023" s="133">
        <f>7357.3+3275+133.9+2186</f>
        <v>12952.199999999999</v>
      </c>
      <c r="N3023" s="147">
        <f>+F3023+F3024+F3025+F3026+F3027+F3028-M3023-M3024-M3025-M3026</f>
        <v>0</v>
      </c>
      <c r="O3023" s="141"/>
      <c r="P3023" s="140"/>
    </row>
    <row r="3024" spans="1:16" hidden="1" x14ac:dyDescent="0.35">
      <c r="A3024" s="146"/>
      <c r="B3024" s="143"/>
      <c r="C3024" s="133"/>
      <c r="D3024" s="133"/>
      <c r="E3024" s="145" t="s">
        <v>1067</v>
      </c>
      <c r="F3024" s="145">
        <v>3381</v>
      </c>
      <c r="G3024" s="133" t="s">
        <v>1034</v>
      </c>
      <c r="H3024" s="144" t="s">
        <v>1341</v>
      </c>
      <c r="I3024" s="133" t="s">
        <v>1092</v>
      </c>
      <c r="J3024" s="133" t="s">
        <v>2549</v>
      </c>
      <c r="K3024" s="143">
        <v>45901</v>
      </c>
      <c r="L3024" s="133" t="s">
        <v>1092</v>
      </c>
      <c r="M3024" s="133">
        <v>1806.3</v>
      </c>
      <c r="N3024" s="142"/>
      <c r="P3024" s="140"/>
    </row>
    <row r="3025" spans="1:16" hidden="1" x14ac:dyDescent="0.35">
      <c r="A3025" s="146"/>
      <c r="B3025" s="143"/>
      <c r="C3025" s="133"/>
      <c r="D3025" s="133"/>
      <c r="E3025" s="145" t="s">
        <v>1075</v>
      </c>
      <c r="F3025" s="145">
        <v>7867.3</v>
      </c>
      <c r="G3025" s="133" t="s">
        <v>1034</v>
      </c>
      <c r="H3025" s="144" t="s">
        <v>1341</v>
      </c>
      <c r="I3025" s="133" t="s">
        <v>1092</v>
      </c>
      <c r="J3025" s="133" t="s">
        <v>2553</v>
      </c>
      <c r="K3025" s="143">
        <v>45901</v>
      </c>
      <c r="L3025" s="133" t="s">
        <v>1241</v>
      </c>
      <c r="M3025" s="133">
        <v>510</v>
      </c>
      <c r="N3025" s="142"/>
      <c r="P3025" s="140"/>
    </row>
    <row r="3026" spans="1:16" hidden="1" x14ac:dyDescent="0.35">
      <c r="A3026" s="146"/>
      <c r="B3026" s="143"/>
      <c r="C3026" s="133"/>
      <c r="D3026" s="133"/>
      <c r="E3026" s="145" t="s">
        <v>1342</v>
      </c>
      <c r="F3026" s="145">
        <v>2186</v>
      </c>
      <c r="G3026" s="133" t="s">
        <v>1034</v>
      </c>
      <c r="H3026" s="144" t="s">
        <v>1341</v>
      </c>
      <c r="I3026" s="133" t="s">
        <v>1092</v>
      </c>
      <c r="J3026" s="133" t="s">
        <v>2576</v>
      </c>
      <c r="K3026" s="143">
        <v>45931</v>
      </c>
      <c r="L3026" s="133" t="s">
        <v>1092</v>
      </c>
      <c r="M3026" s="133">
        <v>3381</v>
      </c>
      <c r="N3026" s="142"/>
      <c r="P3026" s="140"/>
    </row>
    <row r="3027" spans="1:16" hidden="1" x14ac:dyDescent="0.35">
      <c r="A3027" s="146"/>
      <c r="B3027" s="143"/>
      <c r="C3027" s="133"/>
      <c r="D3027" s="133"/>
      <c r="E3027" s="145" t="s">
        <v>1064</v>
      </c>
      <c r="F3027" s="145">
        <v>1806.3</v>
      </c>
      <c r="G3027" s="133"/>
      <c r="H3027" s="144"/>
      <c r="I3027" s="133"/>
      <c r="J3027" s="133"/>
      <c r="K3027" s="133"/>
      <c r="L3027" s="133"/>
      <c r="M3027" s="133"/>
      <c r="N3027" s="142"/>
      <c r="P3027" s="140"/>
    </row>
    <row r="3028" spans="1:16" hidden="1" x14ac:dyDescent="0.35">
      <c r="A3028" s="146"/>
      <c r="B3028" s="143"/>
      <c r="C3028" s="133"/>
      <c r="D3028" s="133"/>
      <c r="E3028" s="145" t="s">
        <v>1118</v>
      </c>
      <c r="F3028" s="145">
        <v>3275</v>
      </c>
      <c r="G3028" s="133"/>
      <c r="H3028" s="144"/>
      <c r="I3028" s="133"/>
      <c r="J3028" s="133"/>
      <c r="K3028" s="133"/>
      <c r="L3028" s="133"/>
      <c r="M3028" s="133"/>
      <c r="N3028" s="142"/>
      <c r="P3028" s="140"/>
    </row>
    <row r="3029" spans="1:16" hidden="1" x14ac:dyDescent="0.35">
      <c r="A3029" s="146"/>
      <c r="B3029" s="143"/>
      <c r="C3029" s="133"/>
      <c r="D3029" s="133"/>
      <c r="E3029" s="145"/>
      <c r="F3029" s="145"/>
      <c r="G3029" s="133"/>
      <c r="H3029" s="144"/>
      <c r="I3029" s="133"/>
      <c r="J3029" s="133"/>
      <c r="K3029" s="133"/>
      <c r="L3029" s="133"/>
      <c r="M3029" s="133"/>
      <c r="N3029" s="142"/>
      <c r="P3029" s="140"/>
    </row>
    <row r="3030" spans="1:16" hidden="1" x14ac:dyDescent="0.35">
      <c r="A3030" s="149">
        <v>96</v>
      </c>
      <c r="B3030" s="143">
        <v>45839</v>
      </c>
      <c r="C3030" s="133" t="s">
        <v>1755</v>
      </c>
      <c r="D3030" s="133" t="s">
        <v>2485</v>
      </c>
      <c r="E3030" s="145" t="s">
        <v>1342</v>
      </c>
      <c r="F3030" s="145">
        <v>4138</v>
      </c>
      <c r="G3030" s="133" t="s">
        <v>1034</v>
      </c>
      <c r="H3030" s="144" t="s">
        <v>1341</v>
      </c>
      <c r="I3030" s="133" t="s">
        <v>1092</v>
      </c>
      <c r="J3030" s="133" t="s">
        <v>2533</v>
      </c>
      <c r="K3030" s="143">
        <v>45870</v>
      </c>
      <c r="L3030" s="133" t="s">
        <v>1092</v>
      </c>
      <c r="M3030" s="133">
        <v>3970</v>
      </c>
      <c r="N3030" s="147">
        <f>+F3030+F3031-M3030-M3031-M3032</f>
        <v>-4.5474735088646412E-13</v>
      </c>
      <c r="O3030" s="141"/>
      <c r="P3030" s="140"/>
    </row>
    <row r="3031" spans="1:16" hidden="1" x14ac:dyDescent="0.35">
      <c r="A3031" s="146"/>
      <c r="B3031" s="143"/>
      <c r="C3031" s="133"/>
      <c r="D3031" s="133"/>
      <c r="E3031" s="145" t="s">
        <v>1067</v>
      </c>
      <c r="F3031" s="145">
        <v>2401.9</v>
      </c>
      <c r="G3031" s="133" t="s">
        <v>1034</v>
      </c>
      <c r="H3031" s="144" t="s">
        <v>1341</v>
      </c>
      <c r="I3031" s="133" t="s">
        <v>1092</v>
      </c>
      <c r="J3031" s="133" t="s">
        <v>2552</v>
      </c>
      <c r="K3031" s="143">
        <v>45901</v>
      </c>
      <c r="L3031" s="133" t="s">
        <v>1092</v>
      </c>
      <c r="M3031" s="133">
        <v>2401.9</v>
      </c>
      <c r="N3031" s="142"/>
      <c r="P3031" s="140"/>
    </row>
    <row r="3032" spans="1:16" hidden="1" x14ac:dyDescent="0.35">
      <c r="A3032" s="146"/>
      <c r="B3032" s="143"/>
      <c r="C3032" s="133"/>
      <c r="D3032" s="133"/>
      <c r="E3032" s="145"/>
      <c r="F3032" s="145"/>
      <c r="G3032" s="133" t="s">
        <v>1034</v>
      </c>
      <c r="H3032" s="144" t="s">
        <v>1341</v>
      </c>
      <c r="I3032" s="133" t="s">
        <v>1092</v>
      </c>
      <c r="J3032" s="133" t="s">
        <v>2553</v>
      </c>
      <c r="K3032" s="143">
        <v>45901</v>
      </c>
      <c r="L3032" s="133" t="s">
        <v>1241</v>
      </c>
      <c r="M3032" s="133">
        <v>168</v>
      </c>
      <c r="N3032" s="142"/>
      <c r="P3032" s="140"/>
    </row>
    <row r="3033" spans="1:16" hidden="1" x14ac:dyDescent="0.35">
      <c r="A3033" s="146"/>
      <c r="B3033" s="143"/>
      <c r="C3033" s="133"/>
      <c r="D3033" s="133"/>
      <c r="E3033" s="145"/>
      <c r="F3033" s="145"/>
      <c r="G3033" s="133"/>
      <c r="H3033" s="144"/>
      <c r="I3033" s="133"/>
      <c r="J3033" s="133"/>
      <c r="K3033" s="143"/>
      <c r="L3033" s="133"/>
      <c r="M3033" s="133"/>
      <c r="N3033" s="142"/>
      <c r="P3033" s="140"/>
    </row>
    <row r="3034" spans="1:16" hidden="1" x14ac:dyDescent="0.35">
      <c r="A3034" s="149">
        <v>97</v>
      </c>
      <c r="B3034" s="143">
        <v>45839</v>
      </c>
      <c r="C3034" s="133" t="s">
        <v>1752</v>
      </c>
      <c r="D3034" s="133" t="s">
        <v>2489</v>
      </c>
      <c r="E3034" s="145" t="s">
        <v>1118</v>
      </c>
      <c r="F3034" s="145">
        <v>1174.27</v>
      </c>
      <c r="G3034" s="133" t="s">
        <v>1034</v>
      </c>
      <c r="H3034" s="144" t="s">
        <v>1341</v>
      </c>
      <c r="I3034" s="133" t="s">
        <v>1092</v>
      </c>
      <c r="J3034" s="133" t="s">
        <v>2518</v>
      </c>
      <c r="K3034" s="143">
        <v>45870</v>
      </c>
      <c r="L3034" s="133" t="s">
        <v>1092</v>
      </c>
      <c r="M3034" s="133">
        <v>3857.67</v>
      </c>
      <c r="N3034" s="147">
        <f>+F3034+F3035-M3034-M3035</f>
        <v>0</v>
      </c>
      <c r="O3034" s="141"/>
      <c r="P3034" s="140"/>
    </row>
    <row r="3035" spans="1:16" hidden="1" x14ac:dyDescent="0.35">
      <c r="A3035" s="146"/>
      <c r="B3035" s="143"/>
      <c r="C3035" s="133"/>
      <c r="D3035" s="133"/>
      <c r="E3035" s="145" t="s">
        <v>1078</v>
      </c>
      <c r="F3035" s="145">
        <v>3857.67</v>
      </c>
      <c r="G3035" s="133" t="s">
        <v>1034</v>
      </c>
      <c r="H3035" s="144" t="s">
        <v>1341</v>
      </c>
      <c r="I3035" s="133" t="s">
        <v>1092</v>
      </c>
      <c r="J3035" s="133" t="s">
        <v>2549</v>
      </c>
      <c r="K3035" s="143">
        <v>45901</v>
      </c>
      <c r="L3035" s="133" t="s">
        <v>1092</v>
      </c>
      <c r="M3035" s="133">
        <v>1174.27</v>
      </c>
      <c r="N3035" s="142"/>
      <c r="P3035" s="140"/>
    </row>
    <row r="3036" spans="1:16" hidden="1" x14ac:dyDescent="0.35">
      <c r="A3036" s="146"/>
      <c r="B3036" s="143"/>
      <c r="C3036" s="133"/>
      <c r="D3036" s="133"/>
      <c r="E3036" s="145"/>
      <c r="F3036" s="145"/>
      <c r="G3036" s="133"/>
      <c r="H3036" s="144"/>
      <c r="I3036" s="133"/>
      <c r="J3036" s="133"/>
      <c r="K3036" s="133"/>
      <c r="L3036" s="133"/>
      <c r="M3036" s="133"/>
      <c r="N3036" s="142"/>
      <c r="P3036" s="140"/>
    </row>
    <row r="3037" spans="1:16" hidden="1" x14ac:dyDescent="0.35">
      <c r="A3037" s="149">
        <v>98</v>
      </c>
      <c r="B3037" s="143">
        <v>45839</v>
      </c>
      <c r="C3037" s="133" t="s">
        <v>1751</v>
      </c>
      <c r="D3037" s="133" t="s">
        <v>2490</v>
      </c>
      <c r="E3037" s="145" t="s">
        <v>1342</v>
      </c>
      <c r="F3037" s="145">
        <v>8341</v>
      </c>
      <c r="G3037" s="133" t="s">
        <v>1034</v>
      </c>
      <c r="H3037" s="144" t="s">
        <v>1341</v>
      </c>
      <c r="I3037" s="133" t="s">
        <v>1092</v>
      </c>
      <c r="J3037" s="133" t="s">
        <v>2533</v>
      </c>
      <c r="K3037" s="143">
        <v>45870</v>
      </c>
      <c r="L3037" s="133" t="s">
        <v>1092</v>
      </c>
      <c r="M3037" s="133">
        <v>2153.16</v>
      </c>
      <c r="N3037" s="147">
        <f>+F3037+F3038+F3039-M3037-M3038-M3039-M3040</f>
        <v>0</v>
      </c>
      <c r="O3037" s="141"/>
      <c r="P3037" s="140"/>
    </row>
    <row r="3038" spans="1:16" hidden="1" x14ac:dyDescent="0.35">
      <c r="A3038" s="146"/>
      <c r="B3038" s="143"/>
      <c r="C3038" s="133"/>
      <c r="D3038" s="133"/>
      <c r="E3038" s="145" t="s">
        <v>1067</v>
      </c>
      <c r="F3038" s="145">
        <v>2065</v>
      </c>
      <c r="G3038" s="133" t="s">
        <v>1034</v>
      </c>
      <c r="H3038" s="144" t="s">
        <v>1341</v>
      </c>
      <c r="I3038" s="133" t="s">
        <v>1092</v>
      </c>
      <c r="J3038" s="133" t="s">
        <v>2552</v>
      </c>
      <c r="K3038" s="143">
        <v>45901</v>
      </c>
      <c r="L3038" s="133" t="s">
        <v>1092</v>
      </c>
      <c r="M3038" s="133">
        <v>2136.8000000000002</v>
      </c>
      <c r="N3038" s="142"/>
      <c r="P3038" s="140"/>
    </row>
    <row r="3039" spans="1:16" hidden="1" x14ac:dyDescent="0.35">
      <c r="A3039" s="146"/>
      <c r="B3039" s="143"/>
      <c r="C3039" s="133"/>
      <c r="D3039" s="133"/>
      <c r="E3039" s="145" t="s">
        <v>1064</v>
      </c>
      <c r="F3039" s="145">
        <v>2136.8000000000002</v>
      </c>
      <c r="G3039" s="133" t="s">
        <v>1034</v>
      </c>
      <c r="H3039" s="144" t="s">
        <v>1341</v>
      </c>
      <c r="I3039" s="133" t="s">
        <v>1092</v>
      </c>
      <c r="J3039" s="133" t="s">
        <v>2553</v>
      </c>
      <c r="K3039" s="143">
        <v>45901</v>
      </c>
      <c r="L3039" s="133" t="s">
        <v>1241</v>
      </c>
      <c r="M3039" s="133">
        <v>341</v>
      </c>
      <c r="N3039" s="142"/>
      <c r="P3039" s="140"/>
    </row>
    <row r="3040" spans="1:16" hidden="1" x14ac:dyDescent="0.35">
      <c r="A3040" s="146"/>
      <c r="B3040" s="143"/>
      <c r="C3040" s="133"/>
      <c r="D3040" s="133"/>
      <c r="E3040" s="145"/>
      <c r="F3040" s="145"/>
      <c r="G3040" s="133" t="s">
        <v>1034</v>
      </c>
      <c r="H3040" s="144" t="s">
        <v>1341</v>
      </c>
      <c r="I3040" s="133" t="s">
        <v>1092</v>
      </c>
      <c r="J3040" s="133" t="s">
        <v>2576</v>
      </c>
      <c r="K3040" s="143">
        <v>45931</v>
      </c>
      <c r="L3040" s="133" t="s">
        <v>1092</v>
      </c>
      <c r="M3040" s="133">
        <v>7911.84</v>
      </c>
      <c r="N3040" s="142"/>
      <c r="P3040" s="140"/>
    </row>
    <row r="3041" spans="1:16" hidden="1" x14ac:dyDescent="0.35">
      <c r="A3041" s="146"/>
      <c r="B3041" s="143"/>
      <c r="C3041" s="133"/>
      <c r="D3041" s="133"/>
      <c r="E3041" s="145"/>
      <c r="F3041" s="145"/>
      <c r="G3041" s="133"/>
      <c r="H3041" s="144"/>
      <c r="I3041" s="133"/>
      <c r="J3041" s="133"/>
      <c r="K3041" s="133"/>
      <c r="L3041" s="133"/>
      <c r="M3041" s="133"/>
      <c r="N3041" s="142"/>
      <c r="P3041" s="140"/>
    </row>
    <row r="3042" spans="1:16" hidden="1" x14ac:dyDescent="0.35">
      <c r="A3042" s="156"/>
      <c r="B3042" s="152"/>
      <c r="C3042" s="151"/>
      <c r="D3042" s="151"/>
      <c r="E3042" s="154"/>
      <c r="F3042" s="154"/>
      <c r="G3042" s="151"/>
      <c r="H3042" s="153"/>
      <c r="I3042" s="151"/>
      <c r="J3042" s="151"/>
      <c r="K3042" s="151"/>
      <c r="L3042" s="151"/>
      <c r="M3042" s="151"/>
      <c r="N3042" s="150"/>
      <c r="P3042" s="140"/>
    </row>
    <row r="3043" spans="1:16" hidden="1" x14ac:dyDescent="0.35">
      <c r="A3043" s="146"/>
      <c r="B3043" s="143"/>
      <c r="C3043" s="133"/>
      <c r="D3043" s="133"/>
      <c r="E3043" s="145"/>
      <c r="F3043" s="145"/>
      <c r="G3043" s="133"/>
      <c r="H3043" s="144"/>
      <c r="I3043" s="133"/>
      <c r="J3043" s="133"/>
      <c r="K3043" s="133"/>
      <c r="L3043" s="133"/>
      <c r="M3043" s="133"/>
      <c r="N3043" s="142"/>
      <c r="P3043" s="140"/>
    </row>
    <row r="3044" spans="1:16" hidden="1" x14ac:dyDescent="0.35">
      <c r="A3044" s="149">
        <v>99</v>
      </c>
      <c r="B3044" s="143">
        <v>45870</v>
      </c>
      <c r="C3044" s="133" t="s">
        <v>1749</v>
      </c>
      <c r="D3044" s="133" t="s">
        <v>2493</v>
      </c>
      <c r="E3044" s="145" t="s">
        <v>1342</v>
      </c>
      <c r="F3044" s="145">
        <v>3327</v>
      </c>
      <c r="G3044" s="133" t="s">
        <v>1034</v>
      </c>
      <c r="H3044" s="144" t="s">
        <v>1341</v>
      </c>
      <c r="I3044" s="133" t="s">
        <v>1092</v>
      </c>
      <c r="J3044" s="133" t="s">
        <v>2549</v>
      </c>
      <c r="K3044" s="143">
        <v>45901</v>
      </c>
      <c r="L3044" s="133" t="s">
        <v>1092</v>
      </c>
      <c r="M3044" s="133">
        <f>3461.2+7389</f>
        <v>10850.2</v>
      </c>
      <c r="N3044" s="142">
        <f>+F3044+F3045+F3046+F3047-M3044-M3045-M3046</f>
        <v>0</v>
      </c>
      <c r="O3044" s="141"/>
      <c r="P3044" s="140"/>
    </row>
    <row r="3045" spans="1:16" hidden="1" x14ac:dyDescent="0.35">
      <c r="A3045" s="146"/>
      <c r="B3045" s="143"/>
      <c r="C3045" s="133"/>
      <c r="D3045" s="133"/>
      <c r="E3045" s="145" t="s">
        <v>1118</v>
      </c>
      <c r="F3045" s="145">
        <v>3461.2</v>
      </c>
      <c r="G3045" s="133" t="s">
        <v>1034</v>
      </c>
      <c r="H3045" s="144" t="s">
        <v>1341</v>
      </c>
      <c r="I3045" s="133" t="s">
        <v>1092</v>
      </c>
      <c r="J3045" s="133" t="s">
        <v>2553</v>
      </c>
      <c r="K3045" s="143">
        <v>45901</v>
      </c>
      <c r="L3045" s="133" t="s">
        <v>1241</v>
      </c>
      <c r="M3045" s="133">
        <v>431</v>
      </c>
      <c r="N3045" s="142"/>
      <c r="P3045" s="140"/>
    </row>
    <row r="3046" spans="1:16" hidden="1" x14ac:dyDescent="0.35">
      <c r="A3046" s="146"/>
      <c r="B3046" s="143"/>
      <c r="C3046" s="133"/>
      <c r="D3046" s="133"/>
      <c r="E3046" s="145" t="s">
        <v>1071</v>
      </c>
      <c r="F3046" s="145">
        <v>63</v>
      </c>
      <c r="G3046" s="133" t="s">
        <v>1034</v>
      </c>
      <c r="H3046" s="144" t="s">
        <v>1341</v>
      </c>
      <c r="I3046" s="133" t="s">
        <v>1092</v>
      </c>
      <c r="J3046" s="133" t="s">
        <v>2576</v>
      </c>
      <c r="K3046" s="143">
        <v>45931</v>
      </c>
      <c r="L3046" s="133" t="s">
        <v>1092</v>
      </c>
      <c r="M3046" s="133">
        <v>3390</v>
      </c>
      <c r="N3046" s="142"/>
      <c r="P3046" s="140"/>
    </row>
    <row r="3047" spans="1:16" hidden="1" x14ac:dyDescent="0.35">
      <c r="A3047" s="146"/>
      <c r="B3047" s="143"/>
      <c r="C3047" s="133"/>
      <c r="D3047" s="133"/>
      <c r="E3047" s="145" t="s">
        <v>1075</v>
      </c>
      <c r="F3047" s="145">
        <v>7820</v>
      </c>
      <c r="G3047" s="133"/>
      <c r="H3047" s="144"/>
      <c r="I3047" s="133"/>
      <c r="J3047" s="133"/>
      <c r="K3047" s="133"/>
      <c r="L3047" s="133"/>
      <c r="M3047" s="133"/>
      <c r="N3047" s="142"/>
      <c r="P3047" s="140"/>
    </row>
    <row r="3048" spans="1:16" hidden="1" x14ac:dyDescent="0.35">
      <c r="A3048" s="146"/>
      <c r="B3048" s="143"/>
      <c r="C3048" s="133"/>
      <c r="D3048" s="133"/>
      <c r="E3048" s="145"/>
      <c r="F3048" s="145"/>
      <c r="G3048" s="133"/>
      <c r="H3048" s="144"/>
      <c r="I3048" s="133"/>
      <c r="J3048" s="133"/>
      <c r="K3048" s="133"/>
      <c r="L3048" s="133"/>
      <c r="M3048" s="133"/>
      <c r="N3048" s="142"/>
      <c r="P3048" s="140"/>
    </row>
    <row r="3049" spans="1:16" hidden="1" x14ac:dyDescent="0.35">
      <c r="A3049" s="149">
        <v>100</v>
      </c>
      <c r="B3049" s="143">
        <v>45870</v>
      </c>
      <c r="C3049" s="133" t="s">
        <v>1748</v>
      </c>
      <c r="D3049" s="133" t="s">
        <v>2494</v>
      </c>
      <c r="E3049" s="145" t="s">
        <v>1064</v>
      </c>
      <c r="F3049" s="145">
        <v>1387</v>
      </c>
      <c r="G3049" s="133" t="s">
        <v>1034</v>
      </c>
      <c r="H3049" s="144" t="s">
        <v>1341</v>
      </c>
      <c r="I3049" s="133" t="s">
        <v>1092</v>
      </c>
      <c r="J3049" s="133" t="s">
        <v>2549</v>
      </c>
      <c r="K3049" s="143">
        <v>45901</v>
      </c>
      <c r="L3049" s="133" t="s">
        <v>1092</v>
      </c>
      <c r="M3049" s="133">
        <v>1823.6</v>
      </c>
      <c r="N3049" s="142">
        <f>+F3049+F3050-M3049-M3050</f>
        <v>0</v>
      </c>
      <c r="O3049" s="141"/>
      <c r="P3049" s="140"/>
    </row>
    <row r="3050" spans="1:16" hidden="1" x14ac:dyDescent="0.35">
      <c r="A3050" s="146"/>
      <c r="B3050" s="143"/>
      <c r="C3050" s="133"/>
      <c r="D3050" s="133"/>
      <c r="E3050" s="145" t="s">
        <v>1075</v>
      </c>
      <c r="F3050" s="145">
        <v>471.6</v>
      </c>
      <c r="G3050" s="133" t="s">
        <v>1034</v>
      </c>
      <c r="H3050" s="144" t="s">
        <v>1341</v>
      </c>
      <c r="I3050" s="133" t="s">
        <v>1092</v>
      </c>
      <c r="J3050" s="133" t="s">
        <v>2553</v>
      </c>
      <c r="K3050" s="143">
        <v>45901</v>
      </c>
      <c r="L3050" s="133" t="s">
        <v>1241</v>
      </c>
      <c r="M3050" s="133">
        <v>35</v>
      </c>
      <c r="N3050" s="142"/>
      <c r="P3050" s="140"/>
    </row>
    <row r="3051" spans="1:16" hidden="1" x14ac:dyDescent="0.35">
      <c r="A3051" s="146"/>
      <c r="B3051" s="143"/>
      <c r="C3051" s="133"/>
      <c r="D3051" s="133"/>
      <c r="E3051" s="145"/>
      <c r="F3051" s="145"/>
      <c r="G3051" s="133"/>
      <c r="H3051" s="144"/>
      <c r="I3051" s="133"/>
      <c r="J3051" s="133"/>
      <c r="K3051" s="133"/>
      <c r="L3051" s="133"/>
      <c r="M3051" s="133"/>
      <c r="N3051" s="142"/>
      <c r="P3051" s="140"/>
    </row>
    <row r="3052" spans="1:16" hidden="1" x14ac:dyDescent="0.35">
      <c r="A3052" s="149">
        <v>101</v>
      </c>
      <c r="B3052" s="143">
        <v>45870</v>
      </c>
      <c r="C3052" s="133" t="s">
        <v>1746</v>
      </c>
      <c r="D3052" s="133" t="s">
        <v>2495</v>
      </c>
      <c r="E3052" s="145" t="s">
        <v>1342</v>
      </c>
      <c r="F3052" s="145">
        <v>3807</v>
      </c>
      <c r="G3052" s="133" t="s">
        <v>1034</v>
      </c>
      <c r="H3052" s="144" t="s">
        <v>1341</v>
      </c>
      <c r="I3052" s="133" t="s">
        <v>1092</v>
      </c>
      <c r="J3052" s="133" t="s">
        <v>2553</v>
      </c>
      <c r="K3052" s="143">
        <v>45901</v>
      </c>
      <c r="L3052" s="133" t="s">
        <v>1241</v>
      </c>
      <c r="M3052" s="133">
        <v>90</v>
      </c>
      <c r="N3052" s="142">
        <f>+F3052-M3052-M3053</f>
        <v>0</v>
      </c>
      <c r="O3052" s="141"/>
      <c r="P3052" s="140"/>
    </row>
    <row r="3053" spans="1:16" hidden="1" x14ac:dyDescent="0.35">
      <c r="A3053" s="149"/>
      <c r="B3053" s="143"/>
      <c r="C3053" s="133"/>
      <c r="D3053" s="133"/>
      <c r="E3053" s="145"/>
      <c r="F3053" s="145"/>
      <c r="G3053" s="133" t="s">
        <v>1034</v>
      </c>
      <c r="H3053" s="144" t="s">
        <v>1341</v>
      </c>
      <c r="I3053" s="133" t="s">
        <v>1092</v>
      </c>
      <c r="J3053" s="133" t="s">
        <v>2576</v>
      </c>
      <c r="K3053" s="143">
        <v>45931</v>
      </c>
      <c r="L3053" s="133" t="s">
        <v>1092</v>
      </c>
      <c r="M3053" s="133">
        <v>3717</v>
      </c>
      <c r="N3053" s="142"/>
      <c r="O3053" s="141"/>
      <c r="P3053" s="140"/>
    </row>
    <row r="3054" spans="1:16" hidden="1" x14ac:dyDescent="0.35">
      <c r="A3054" s="146"/>
      <c r="B3054" s="143"/>
      <c r="C3054" s="133"/>
      <c r="D3054" s="133"/>
      <c r="E3054" s="145"/>
      <c r="F3054" s="145"/>
      <c r="G3054" s="133"/>
      <c r="H3054" s="144"/>
      <c r="I3054" s="133"/>
      <c r="J3054" s="133"/>
      <c r="K3054" s="133"/>
      <c r="L3054" s="133"/>
      <c r="M3054" s="133"/>
      <c r="N3054" s="142"/>
      <c r="P3054" s="140"/>
    </row>
    <row r="3055" spans="1:16" hidden="1" x14ac:dyDescent="0.35">
      <c r="A3055" s="149">
        <v>102</v>
      </c>
      <c r="B3055" s="143">
        <v>45870</v>
      </c>
      <c r="C3055" s="133" t="s">
        <v>1745</v>
      </c>
      <c r="D3055" s="133" t="s">
        <v>2496</v>
      </c>
      <c r="E3055" s="145" t="s">
        <v>1064</v>
      </c>
      <c r="F3055" s="145">
        <v>906</v>
      </c>
      <c r="G3055" s="133" t="s">
        <v>1034</v>
      </c>
      <c r="H3055" s="144" t="s">
        <v>1341</v>
      </c>
      <c r="I3055" s="133" t="s">
        <v>1092</v>
      </c>
      <c r="J3055" s="133" t="s">
        <v>2549</v>
      </c>
      <c r="K3055" s="143">
        <v>45901</v>
      </c>
      <c r="L3055" s="133" t="s">
        <v>1092</v>
      </c>
      <c r="M3055" s="133">
        <f>906+7744</f>
        <v>8650</v>
      </c>
      <c r="N3055" s="142">
        <f>+F3055+F3056+F3057-M3055-M3056-M3057</f>
        <v>0</v>
      </c>
      <c r="O3055" s="141"/>
      <c r="P3055" s="140"/>
    </row>
    <row r="3056" spans="1:16" hidden="1" x14ac:dyDescent="0.35">
      <c r="A3056" s="146"/>
      <c r="B3056" s="143"/>
      <c r="C3056" s="133"/>
      <c r="D3056" s="133"/>
      <c r="E3056" s="145" t="s">
        <v>1067</v>
      </c>
      <c r="F3056" s="145">
        <v>3536</v>
      </c>
      <c r="G3056" s="133" t="s">
        <v>1034</v>
      </c>
      <c r="H3056" s="144" t="s">
        <v>1341</v>
      </c>
      <c r="I3056" s="133" t="s">
        <v>1092</v>
      </c>
      <c r="J3056" s="133" t="s">
        <v>2553</v>
      </c>
      <c r="K3056" s="143">
        <v>45901</v>
      </c>
      <c r="L3056" s="133" t="s">
        <v>1241</v>
      </c>
      <c r="M3056" s="133">
        <v>310</v>
      </c>
      <c r="N3056" s="142"/>
      <c r="P3056" s="140"/>
    </row>
    <row r="3057" spans="1:16" hidden="1" x14ac:dyDescent="0.35">
      <c r="A3057" s="146"/>
      <c r="B3057" s="143"/>
      <c r="C3057" s="133"/>
      <c r="D3057" s="133"/>
      <c r="E3057" s="145" t="s">
        <v>1075</v>
      </c>
      <c r="F3057" s="145">
        <v>8054</v>
      </c>
      <c r="G3057" s="133" t="s">
        <v>1034</v>
      </c>
      <c r="H3057" s="144" t="s">
        <v>1341</v>
      </c>
      <c r="I3057" s="133" t="s">
        <v>1092</v>
      </c>
      <c r="J3057" s="133" t="s">
        <v>2566</v>
      </c>
      <c r="K3057" s="143">
        <v>45901</v>
      </c>
      <c r="L3057" s="133" t="s">
        <v>1092</v>
      </c>
      <c r="M3057" s="133">
        <v>3536</v>
      </c>
      <c r="N3057" s="142"/>
      <c r="P3057" s="140"/>
    </row>
    <row r="3058" spans="1:16" hidden="1" x14ac:dyDescent="0.35">
      <c r="A3058" s="146"/>
      <c r="B3058" s="143"/>
      <c r="C3058" s="133"/>
      <c r="D3058" s="133"/>
      <c r="E3058" s="145"/>
      <c r="F3058" s="145"/>
      <c r="G3058" s="133"/>
      <c r="H3058" s="144"/>
      <c r="I3058" s="133"/>
      <c r="J3058" s="133"/>
      <c r="K3058" s="133"/>
      <c r="L3058" s="133"/>
      <c r="M3058" s="133"/>
      <c r="N3058" s="142"/>
      <c r="P3058" s="140"/>
    </row>
    <row r="3059" spans="1:16" hidden="1" x14ac:dyDescent="0.35">
      <c r="A3059" s="149">
        <v>103</v>
      </c>
      <c r="B3059" s="143">
        <v>45870</v>
      </c>
      <c r="C3059" s="133" t="s">
        <v>1744</v>
      </c>
      <c r="D3059" s="133" t="s">
        <v>2497</v>
      </c>
      <c r="E3059" s="145" t="s">
        <v>1064</v>
      </c>
      <c r="F3059" s="145">
        <v>4047.8</v>
      </c>
      <c r="G3059" s="133" t="s">
        <v>1034</v>
      </c>
      <c r="H3059" s="144" t="s">
        <v>1341</v>
      </c>
      <c r="I3059" s="133" t="s">
        <v>1092</v>
      </c>
      <c r="J3059" s="133" t="s">
        <v>2552</v>
      </c>
      <c r="K3059" s="143">
        <v>45901</v>
      </c>
      <c r="L3059" s="133" t="s">
        <v>1092</v>
      </c>
      <c r="M3059" s="133">
        <f>260.8+4047.8+5547.44</f>
        <v>9856.0400000000009</v>
      </c>
      <c r="N3059" s="147">
        <f>+F3059+F3060+F3061+F3062+F3063+F3064-M3059-M3060-M3061-M3062</f>
        <v>0</v>
      </c>
      <c r="O3059" s="141"/>
      <c r="P3059" s="140"/>
    </row>
    <row r="3060" spans="1:16" hidden="1" x14ac:dyDescent="0.35">
      <c r="A3060" s="146"/>
      <c r="B3060" s="143"/>
      <c r="C3060" s="133"/>
      <c r="D3060" s="133"/>
      <c r="E3060" s="145" t="s">
        <v>1067</v>
      </c>
      <c r="F3060" s="145">
        <v>1412</v>
      </c>
      <c r="G3060" s="133" t="s">
        <v>1034</v>
      </c>
      <c r="H3060" s="144" t="s">
        <v>1341</v>
      </c>
      <c r="I3060" s="133" t="s">
        <v>1092</v>
      </c>
      <c r="J3060" s="133" t="s">
        <v>2553</v>
      </c>
      <c r="K3060" s="143">
        <v>45901</v>
      </c>
      <c r="L3060" s="133" t="s">
        <v>1241</v>
      </c>
      <c r="M3060" s="133">
        <v>491</v>
      </c>
      <c r="N3060" s="142"/>
      <c r="P3060" s="140"/>
    </row>
    <row r="3061" spans="1:16" hidden="1" x14ac:dyDescent="0.35">
      <c r="A3061" s="146"/>
      <c r="B3061" s="143"/>
      <c r="C3061" s="133"/>
      <c r="D3061" s="133"/>
      <c r="E3061" s="145" t="s">
        <v>1075</v>
      </c>
      <c r="F3061" s="145">
        <v>260.8</v>
      </c>
      <c r="G3061" s="133" t="s">
        <v>1034</v>
      </c>
      <c r="H3061" s="144" t="s">
        <v>1341</v>
      </c>
      <c r="I3061" s="133" t="s">
        <v>1092</v>
      </c>
      <c r="J3061" s="133" t="s">
        <v>2566</v>
      </c>
      <c r="K3061" s="143">
        <v>45901</v>
      </c>
      <c r="L3061" s="133" t="s">
        <v>1092</v>
      </c>
      <c r="M3061" s="133">
        <f>4594+1412</f>
        <v>6006</v>
      </c>
      <c r="N3061" s="142"/>
      <c r="P3061" s="140"/>
    </row>
    <row r="3062" spans="1:16" hidden="1" x14ac:dyDescent="0.35">
      <c r="A3062" s="146"/>
      <c r="B3062" s="143"/>
      <c r="C3062" s="133"/>
      <c r="D3062" s="133"/>
      <c r="E3062" s="145" t="s">
        <v>1071</v>
      </c>
      <c r="F3062" s="145">
        <v>627</v>
      </c>
      <c r="G3062" s="133" t="s">
        <v>1034</v>
      </c>
      <c r="H3062" s="144" t="s">
        <v>1341</v>
      </c>
      <c r="I3062" s="133" t="s">
        <v>1092</v>
      </c>
      <c r="J3062" s="133" t="s">
        <v>2630</v>
      </c>
      <c r="K3062" s="143">
        <v>45962</v>
      </c>
      <c r="L3062" s="133" t="s">
        <v>1092</v>
      </c>
      <c r="M3062" s="133">
        <v>627</v>
      </c>
      <c r="N3062" s="142"/>
      <c r="P3062" s="140"/>
    </row>
    <row r="3063" spans="1:16" hidden="1" x14ac:dyDescent="0.35">
      <c r="A3063" s="146"/>
      <c r="B3063" s="143"/>
      <c r="C3063" s="133"/>
      <c r="D3063" s="133"/>
      <c r="E3063" s="145" t="s">
        <v>1342</v>
      </c>
      <c r="F3063" s="145">
        <v>5085</v>
      </c>
      <c r="G3063" s="133"/>
      <c r="H3063" s="144"/>
      <c r="I3063" s="133"/>
      <c r="J3063" s="133"/>
      <c r="K3063" s="133"/>
      <c r="L3063" s="133"/>
      <c r="M3063" s="133"/>
      <c r="N3063" s="142"/>
      <c r="P3063" s="140"/>
    </row>
    <row r="3064" spans="1:16" hidden="1" x14ac:dyDescent="0.35">
      <c r="A3064" s="146"/>
      <c r="B3064" s="143"/>
      <c r="C3064" s="133"/>
      <c r="D3064" s="133"/>
      <c r="E3064" s="145" t="s">
        <v>1078</v>
      </c>
      <c r="F3064" s="145">
        <v>5547.44</v>
      </c>
      <c r="G3064" s="133"/>
      <c r="H3064" s="144"/>
      <c r="I3064" s="133"/>
      <c r="J3064" s="133"/>
      <c r="K3064" s="133"/>
      <c r="L3064" s="133"/>
      <c r="M3064" s="133"/>
      <c r="N3064" s="142"/>
      <c r="P3064" s="140"/>
    </row>
    <row r="3065" spans="1:16" hidden="1" x14ac:dyDescent="0.35">
      <c r="A3065" s="146"/>
      <c r="B3065" s="143"/>
      <c r="C3065" s="133"/>
      <c r="D3065" s="133"/>
      <c r="E3065" s="145"/>
      <c r="F3065" s="145"/>
      <c r="G3065" s="133"/>
      <c r="H3065" s="144"/>
      <c r="I3065" s="133"/>
      <c r="J3065" s="133"/>
      <c r="K3065" s="133"/>
      <c r="L3065" s="133"/>
      <c r="M3065" s="133"/>
      <c r="N3065" s="142"/>
      <c r="P3065" s="140"/>
    </row>
    <row r="3066" spans="1:16" hidden="1" x14ac:dyDescent="0.35">
      <c r="A3066" s="149">
        <v>104</v>
      </c>
      <c r="B3066" s="143">
        <v>45870</v>
      </c>
      <c r="C3066" s="133" t="s">
        <v>1743</v>
      </c>
      <c r="D3066" s="133" t="s">
        <v>2498</v>
      </c>
      <c r="E3066" s="145" t="s">
        <v>1064</v>
      </c>
      <c r="F3066" s="145">
        <v>3646</v>
      </c>
      <c r="G3066" s="133" t="s">
        <v>1034</v>
      </c>
      <c r="H3066" s="144" t="s">
        <v>1341</v>
      </c>
      <c r="I3066" s="133" t="s">
        <v>1092</v>
      </c>
      <c r="J3066" s="133" t="s">
        <v>2552</v>
      </c>
      <c r="K3066" s="143">
        <v>45901</v>
      </c>
      <c r="L3066" s="133" t="s">
        <v>1092</v>
      </c>
      <c r="M3066" s="133">
        <f>4250+3445</f>
        <v>7695</v>
      </c>
      <c r="N3066" s="142">
        <f>+F3066+F3067+F3068-M3066-M3067-M3068</f>
        <v>0</v>
      </c>
      <c r="O3066" s="141"/>
      <c r="P3066" s="140"/>
    </row>
    <row r="3067" spans="1:16" hidden="1" x14ac:dyDescent="0.35">
      <c r="A3067" s="146"/>
      <c r="B3067" s="143"/>
      <c r="C3067" s="133"/>
      <c r="D3067" s="133"/>
      <c r="E3067" s="145" t="s">
        <v>1067</v>
      </c>
      <c r="F3067" s="145">
        <v>471</v>
      </c>
      <c r="G3067" s="133" t="s">
        <v>1034</v>
      </c>
      <c r="H3067" s="144" t="s">
        <v>1341</v>
      </c>
      <c r="I3067" s="133" t="s">
        <v>1092</v>
      </c>
      <c r="J3067" s="133" t="s">
        <v>2553</v>
      </c>
      <c r="K3067" s="143">
        <v>45901</v>
      </c>
      <c r="L3067" s="133" t="s">
        <v>1241</v>
      </c>
      <c r="M3067" s="133">
        <v>201</v>
      </c>
      <c r="N3067" s="142"/>
      <c r="P3067" s="140"/>
    </row>
    <row r="3068" spans="1:16" hidden="1" x14ac:dyDescent="0.35">
      <c r="A3068" s="146"/>
      <c r="B3068" s="143"/>
      <c r="C3068" s="133"/>
      <c r="D3068" s="133"/>
      <c r="E3068" s="145" t="s">
        <v>1075</v>
      </c>
      <c r="F3068" s="145">
        <v>4250</v>
      </c>
      <c r="G3068" s="133" t="s">
        <v>1034</v>
      </c>
      <c r="H3068" s="144" t="s">
        <v>1341</v>
      </c>
      <c r="I3068" s="133" t="s">
        <v>1092</v>
      </c>
      <c r="J3068" s="133" t="s">
        <v>2566</v>
      </c>
      <c r="K3068" s="143">
        <v>45901</v>
      </c>
      <c r="L3068" s="133" t="s">
        <v>1092</v>
      </c>
      <c r="M3068" s="133">
        <v>471</v>
      </c>
      <c r="N3068" s="142"/>
      <c r="P3068" s="140"/>
    </row>
    <row r="3069" spans="1:16" hidden="1" x14ac:dyDescent="0.35">
      <c r="A3069" s="146"/>
      <c r="B3069" s="143"/>
      <c r="C3069" s="133"/>
      <c r="D3069" s="133"/>
      <c r="E3069" s="145"/>
      <c r="F3069" s="145"/>
      <c r="G3069" s="133"/>
      <c r="H3069" s="144"/>
      <c r="I3069" s="133"/>
      <c r="J3069" s="133"/>
      <c r="K3069" s="133"/>
      <c r="L3069" s="133"/>
      <c r="M3069" s="133"/>
      <c r="N3069" s="142"/>
      <c r="P3069" s="140"/>
    </row>
    <row r="3070" spans="1:16" hidden="1" x14ac:dyDescent="0.35">
      <c r="A3070" s="149">
        <v>105</v>
      </c>
      <c r="B3070" s="143">
        <v>45870</v>
      </c>
      <c r="C3070" s="133" t="s">
        <v>1742</v>
      </c>
      <c r="D3070" s="133" t="s">
        <v>2499</v>
      </c>
      <c r="E3070" s="145" t="s">
        <v>1067</v>
      </c>
      <c r="F3070" s="145">
        <v>613</v>
      </c>
      <c r="G3070" s="133" t="s">
        <v>1034</v>
      </c>
      <c r="H3070" s="144" t="s">
        <v>1341</v>
      </c>
      <c r="I3070" s="133" t="s">
        <v>1092</v>
      </c>
      <c r="J3070" s="133" t="s">
        <v>2553</v>
      </c>
      <c r="K3070" s="143">
        <v>45901</v>
      </c>
      <c r="L3070" s="133" t="s">
        <v>1241</v>
      </c>
      <c r="M3070" s="133">
        <v>100</v>
      </c>
      <c r="N3070" s="142">
        <f>+F3070+F3071-M3070-M3071</f>
        <v>0</v>
      </c>
      <c r="O3070" s="141"/>
      <c r="P3070" s="140"/>
    </row>
    <row r="3071" spans="1:16" hidden="1" x14ac:dyDescent="0.35">
      <c r="A3071" s="146"/>
      <c r="B3071" s="143"/>
      <c r="C3071" s="133"/>
      <c r="D3071" s="133"/>
      <c r="E3071" s="145" t="s">
        <v>1342</v>
      </c>
      <c r="F3071" s="145">
        <v>2724</v>
      </c>
      <c r="G3071" s="133" t="s">
        <v>1034</v>
      </c>
      <c r="H3071" s="144" t="s">
        <v>1341</v>
      </c>
      <c r="I3071" s="133" t="s">
        <v>1092</v>
      </c>
      <c r="J3071" s="133" t="s">
        <v>2566</v>
      </c>
      <c r="K3071" s="143">
        <v>45901</v>
      </c>
      <c r="L3071" s="133" t="s">
        <v>1092</v>
      </c>
      <c r="M3071" s="133">
        <f>613+2624</f>
        <v>3237</v>
      </c>
      <c r="N3071" s="142"/>
      <c r="P3071" s="140"/>
    </row>
    <row r="3072" spans="1:16" hidden="1" x14ac:dyDescent="0.35">
      <c r="A3072" s="146"/>
      <c r="B3072" s="143"/>
      <c r="C3072" s="133"/>
      <c r="D3072" s="133"/>
      <c r="E3072" s="145"/>
      <c r="F3072" s="145"/>
      <c r="G3072" s="133"/>
      <c r="H3072" s="144"/>
      <c r="I3072" s="133"/>
      <c r="J3072" s="133"/>
      <c r="K3072" s="133"/>
      <c r="L3072" s="133"/>
      <c r="M3072" s="133"/>
      <c r="N3072" s="142"/>
      <c r="P3072" s="140"/>
    </row>
    <row r="3073" spans="1:16" hidden="1" x14ac:dyDescent="0.35">
      <c r="A3073" s="149">
        <v>106</v>
      </c>
      <c r="B3073" s="143">
        <v>45870</v>
      </c>
      <c r="C3073" s="133" t="s">
        <v>1740</v>
      </c>
      <c r="D3073" s="133" t="s">
        <v>2502</v>
      </c>
      <c r="E3073" s="145" t="s">
        <v>1064</v>
      </c>
      <c r="F3073" s="145">
        <v>1910.7</v>
      </c>
      <c r="G3073" s="133" t="s">
        <v>1034</v>
      </c>
      <c r="H3073" s="144" t="s">
        <v>1341</v>
      </c>
      <c r="I3073" s="133" t="s">
        <v>1092</v>
      </c>
      <c r="J3073" s="133" t="s">
        <v>2552</v>
      </c>
      <c r="K3073" s="143">
        <v>45901</v>
      </c>
      <c r="L3073" s="133" t="s">
        <v>1092</v>
      </c>
      <c r="M3073" s="133">
        <v>1834.7</v>
      </c>
      <c r="N3073" s="147">
        <f>+F3073+F3074-M3073-M3074-M3075</f>
        <v>0</v>
      </c>
      <c r="O3073" s="141"/>
      <c r="P3073" s="140"/>
    </row>
    <row r="3074" spans="1:16" hidden="1" x14ac:dyDescent="0.35">
      <c r="A3074" s="146"/>
      <c r="B3074" s="143"/>
      <c r="C3074" s="133"/>
      <c r="D3074" s="133"/>
      <c r="E3074" s="145" t="s">
        <v>1071</v>
      </c>
      <c r="F3074" s="145">
        <v>758</v>
      </c>
      <c r="G3074" s="133" t="s">
        <v>1034</v>
      </c>
      <c r="H3074" s="144" t="s">
        <v>1341</v>
      </c>
      <c r="I3074" s="133" t="s">
        <v>1092</v>
      </c>
      <c r="J3074" s="133" t="s">
        <v>2553</v>
      </c>
      <c r="K3074" s="143">
        <v>45901</v>
      </c>
      <c r="L3074" s="133" t="s">
        <v>1241</v>
      </c>
      <c r="M3074" s="133">
        <v>76</v>
      </c>
      <c r="N3074" s="142"/>
      <c r="P3074" s="140"/>
    </row>
    <row r="3075" spans="1:16" hidden="1" x14ac:dyDescent="0.35">
      <c r="A3075" s="146"/>
      <c r="B3075" s="143"/>
      <c r="C3075" s="133"/>
      <c r="D3075" s="133"/>
      <c r="E3075" s="145"/>
      <c r="F3075" s="145"/>
      <c r="G3075" s="133" t="s">
        <v>1034</v>
      </c>
      <c r="H3075" s="144" t="s">
        <v>1341</v>
      </c>
      <c r="I3075" s="133" t="s">
        <v>1092</v>
      </c>
      <c r="J3075" s="133" t="s">
        <v>2630</v>
      </c>
      <c r="K3075" s="143">
        <v>45962</v>
      </c>
      <c r="L3075" s="133" t="s">
        <v>1092</v>
      </c>
      <c r="M3075" s="133">
        <v>758</v>
      </c>
      <c r="N3075" s="142"/>
      <c r="P3075" s="140"/>
    </row>
    <row r="3076" spans="1:16" hidden="1" x14ac:dyDescent="0.35">
      <c r="A3076" s="146"/>
      <c r="B3076" s="143"/>
      <c r="C3076" s="133"/>
      <c r="D3076" s="133"/>
      <c r="E3076" s="145"/>
      <c r="F3076" s="145"/>
      <c r="G3076" s="133"/>
      <c r="H3076" s="144"/>
      <c r="I3076" s="133"/>
      <c r="J3076" s="133"/>
      <c r="K3076" s="133"/>
      <c r="L3076" s="133"/>
      <c r="M3076" s="133"/>
      <c r="N3076" s="142"/>
      <c r="P3076" s="140"/>
    </row>
    <row r="3077" spans="1:16" hidden="1" x14ac:dyDescent="0.35">
      <c r="A3077" s="149">
        <v>107</v>
      </c>
      <c r="B3077" s="143">
        <v>45870</v>
      </c>
      <c r="C3077" s="133" t="s">
        <v>1738</v>
      </c>
      <c r="D3077" s="133" t="s">
        <v>2503</v>
      </c>
      <c r="E3077" s="145" t="s">
        <v>1075</v>
      </c>
      <c r="F3077" s="145">
        <v>6869</v>
      </c>
      <c r="G3077" s="133" t="s">
        <v>1034</v>
      </c>
      <c r="H3077" s="144" t="s">
        <v>1341</v>
      </c>
      <c r="I3077" s="133" t="s">
        <v>1092</v>
      </c>
      <c r="J3077" s="133" t="s">
        <v>2552</v>
      </c>
      <c r="K3077" s="143">
        <v>45901</v>
      </c>
      <c r="L3077" s="133" t="s">
        <v>1092</v>
      </c>
      <c r="M3077" s="133">
        <v>6468</v>
      </c>
      <c r="N3077" s="142">
        <f>+F3077+F3078+F3079-M3077-M3078-M3079</f>
        <v>0</v>
      </c>
      <c r="O3077" s="141"/>
      <c r="P3077" s="140"/>
    </row>
    <row r="3078" spans="1:16" hidden="1" x14ac:dyDescent="0.35">
      <c r="A3078" s="146"/>
      <c r="B3078" s="143"/>
      <c r="C3078" s="133"/>
      <c r="D3078" s="133"/>
      <c r="E3078" s="145" t="s">
        <v>1067</v>
      </c>
      <c r="F3078" s="145">
        <v>2970</v>
      </c>
      <c r="G3078" s="133" t="s">
        <v>1034</v>
      </c>
      <c r="H3078" s="144" t="s">
        <v>1341</v>
      </c>
      <c r="I3078" s="133" t="s">
        <v>1092</v>
      </c>
      <c r="J3078" s="133" t="s">
        <v>2553</v>
      </c>
      <c r="K3078" s="143">
        <v>45901</v>
      </c>
      <c r="L3078" s="133" t="s">
        <v>1241</v>
      </c>
      <c r="M3078" s="133">
        <v>401</v>
      </c>
      <c r="N3078" s="142"/>
      <c r="P3078" s="140"/>
    </row>
    <row r="3079" spans="1:16" hidden="1" x14ac:dyDescent="0.35">
      <c r="A3079" s="146"/>
      <c r="B3079" s="143"/>
      <c r="C3079" s="133"/>
      <c r="D3079" s="133"/>
      <c r="E3079" s="145" t="s">
        <v>1342</v>
      </c>
      <c r="F3079" s="145">
        <v>4953</v>
      </c>
      <c r="G3079" s="133" t="s">
        <v>1034</v>
      </c>
      <c r="H3079" s="144" t="s">
        <v>1341</v>
      </c>
      <c r="I3079" s="133" t="s">
        <v>1092</v>
      </c>
      <c r="J3079" s="133" t="s">
        <v>2566</v>
      </c>
      <c r="K3079" s="143">
        <v>45901</v>
      </c>
      <c r="L3079" s="133" t="s">
        <v>1092</v>
      </c>
      <c r="M3079" s="133">
        <f>2970+4953</f>
        <v>7923</v>
      </c>
      <c r="N3079" s="142"/>
      <c r="P3079" s="140"/>
    </row>
    <row r="3080" spans="1:16" hidden="1" x14ac:dyDescent="0.35">
      <c r="A3080" s="146"/>
      <c r="B3080" s="143"/>
      <c r="C3080" s="133"/>
      <c r="D3080" s="133"/>
      <c r="E3080" s="145"/>
      <c r="F3080" s="145"/>
      <c r="G3080" s="133"/>
      <c r="H3080" s="144"/>
      <c r="I3080" s="133"/>
      <c r="J3080" s="133"/>
      <c r="K3080" s="133"/>
      <c r="L3080" s="133"/>
      <c r="M3080" s="133"/>
      <c r="N3080" s="142"/>
      <c r="P3080" s="140"/>
    </row>
    <row r="3081" spans="1:16" hidden="1" x14ac:dyDescent="0.35">
      <c r="A3081" s="149">
        <v>108</v>
      </c>
      <c r="B3081" s="143">
        <v>45870</v>
      </c>
      <c r="C3081" s="133" t="s">
        <v>1736</v>
      </c>
      <c r="D3081" s="133" t="s">
        <v>2507</v>
      </c>
      <c r="E3081" s="145" t="s">
        <v>1064</v>
      </c>
      <c r="F3081" s="145">
        <v>2296</v>
      </c>
      <c r="G3081" s="133" t="s">
        <v>1034</v>
      </c>
      <c r="H3081" s="144" t="s">
        <v>1341</v>
      </c>
      <c r="I3081" s="133" t="s">
        <v>1092</v>
      </c>
      <c r="J3081" s="133" t="s">
        <v>2552</v>
      </c>
      <c r="K3081" s="143">
        <v>45901</v>
      </c>
      <c r="L3081" s="133" t="s">
        <v>1092</v>
      </c>
      <c r="M3081" s="133">
        <f>2296+3584+1505</f>
        <v>7385</v>
      </c>
      <c r="N3081" s="147">
        <f>+F3081+F3082+F3083+F3084+F3085-M3081-M3082-M3083-M3084</f>
        <v>0</v>
      </c>
      <c r="O3081" s="141"/>
      <c r="P3081" s="140"/>
    </row>
    <row r="3082" spans="1:16" hidden="1" x14ac:dyDescent="0.35">
      <c r="A3082" s="146"/>
      <c r="B3082" s="143"/>
      <c r="C3082" s="133"/>
      <c r="D3082" s="133"/>
      <c r="E3082" s="145" t="s">
        <v>1071</v>
      </c>
      <c r="F3082" s="145">
        <v>611</v>
      </c>
      <c r="G3082" s="133" t="s">
        <v>1034</v>
      </c>
      <c r="H3082" s="144" t="s">
        <v>1341</v>
      </c>
      <c r="I3082" s="133" t="s">
        <v>1092</v>
      </c>
      <c r="J3082" s="133" t="s">
        <v>2553</v>
      </c>
      <c r="K3082" s="143">
        <v>45901</v>
      </c>
      <c r="L3082" s="133" t="s">
        <v>1241</v>
      </c>
      <c r="M3082" s="133">
        <v>210</v>
      </c>
      <c r="N3082" s="142"/>
      <c r="P3082" s="140"/>
    </row>
    <row r="3083" spans="1:16" hidden="1" x14ac:dyDescent="0.35">
      <c r="A3083" s="146"/>
      <c r="B3083" s="143"/>
      <c r="C3083" s="133"/>
      <c r="D3083" s="133"/>
      <c r="E3083" s="145" t="s">
        <v>1342</v>
      </c>
      <c r="F3083" s="145">
        <v>417</v>
      </c>
      <c r="G3083" s="133" t="s">
        <v>1034</v>
      </c>
      <c r="H3083" s="144" t="s">
        <v>1341</v>
      </c>
      <c r="I3083" s="133" t="s">
        <v>1092</v>
      </c>
      <c r="J3083" s="133" t="s">
        <v>2566</v>
      </c>
      <c r="K3083" s="143">
        <v>45901</v>
      </c>
      <c r="L3083" s="133" t="s">
        <v>1092</v>
      </c>
      <c r="M3083" s="133">
        <v>417</v>
      </c>
      <c r="N3083" s="142"/>
      <c r="P3083" s="140"/>
    </row>
    <row r="3084" spans="1:16" hidden="1" x14ac:dyDescent="0.35">
      <c r="A3084" s="146"/>
      <c r="B3084" s="143"/>
      <c r="C3084" s="133"/>
      <c r="D3084" s="133"/>
      <c r="E3084" s="145" t="s">
        <v>1075</v>
      </c>
      <c r="F3084" s="145">
        <v>3794</v>
      </c>
      <c r="G3084" s="133" t="s">
        <v>1034</v>
      </c>
      <c r="H3084" s="144" t="s">
        <v>1341</v>
      </c>
      <c r="I3084" s="133" t="s">
        <v>1092</v>
      </c>
      <c r="J3084" s="133" t="s">
        <v>2630</v>
      </c>
      <c r="K3084" s="143">
        <v>45962</v>
      </c>
      <c r="L3084" s="133" t="s">
        <v>1092</v>
      </c>
      <c r="M3084" s="133">
        <v>611</v>
      </c>
      <c r="N3084" s="142"/>
      <c r="P3084" s="140"/>
    </row>
    <row r="3085" spans="1:16" hidden="1" x14ac:dyDescent="0.35">
      <c r="A3085" s="146"/>
      <c r="B3085" s="143"/>
      <c r="C3085" s="133"/>
      <c r="D3085" s="133"/>
      <c r="E3085" s="145" t="s">
        <v>1118</v>
      </c>
      <c r="F3085" s="145">
        <v>1505</v>
      </c>
      <c r="G3085" s="133"/>
      <c r="H3085" s="144"/>
      <c r="I3085" s="133"/>
      <c r="J3085" s="133"/>
      <c r="K3085" s="133"/>
      <c r="L3085" s="133"/>
      <c r="M3085" s="133"/>
      <c r="N3085" s="142"/>
      <c r="P3085" s="140"/>
    </row>
    <row r="3086" spans="1:16" hidden="1" x14ac:dyDescent="0.35">
      <c r="A3086" s="146"/>
      <c r="B3086" s="143"/>
      <c r="C3086" s="133"/>
      <c r="D3086" s="133"/>
      <c r="E3086" s="145"/>
      <c r="F3086" s="145"/>
      <c r="G3086" s="133"/>
      <c r="H3086" s="144"/>
      <c r="I3086" s="133"/>
      <c r="J3086" s="133"/>
      <c r="K3086" s="133"/>
      <c r="L3086" s="133"/>
      <c r="M3086" s="133"/>
      <c r="N3086" s="142"/>
      <c r="P3086" s="140"/>
    </row>
    <row r="3087" spans="1:16" hidden="1" x14ac:dyDescent="0.35">
      <c r="A3087" s="149">
        <v>109</v>
      </c>
      <c r="B3087" s="143">
        <v>45870</v>
      </c>
      <c r="C3087" s="133" t="s">
        <v>1735</v>
      </c>
      <c r="D3087" s="133" t="s">
        <v>2508</v>
      </c>
      <c r="E3087" s="145" t="s">
        <v>1067</v>
      </c>
      <c r="F3087" s="145">
        <v>509</v>
      </c>
      <c r="G3087" s="133" t="s">
        <v>1034</v>
      </c>
      <c r="H3087" s="144" t="s">
        <v>1341</v>
      </c>
      <c r="I3087" s="133" t="s">
        <v>1092</v>
      </c>
      <c r="J3087" s="133" t="s">
        <v>2553</v>
      </c>
      <c r="K3087" s="143">
        <v>45901</v>
      </c>
      <c r="L3087" s="133" t="s">
        <v>1241</v>
      </c>
      <c r="M3087" s="133">
        <v>170</v>
      </c>
      <c r="N3087" s="142">
        <f>+F3087+F3088-M3087-M3088</f>
        <v>0</v>
      </c>
      <c r="O3087" s="141"/>
      <c r="P3087" s="140"/>
    </row>
    <row r="3088" spans="1:16" hidden="1" x14ac:dyDescent="0.35">
      <c r="A3088" s="146"/>
      <c r="B3088" s="143"/>
      <c r="C3088" s="133"/>
      <c r="D3088" s="133"/>
      <c r="E3088" s="145" t="s">
        <v>1342</v>
      </c>
      <c r="F3088" s="145">
        <v>5244</v>
      </c>
      <c r="G3088" s="133" t="s">
        <v>1034</v>
      </c>
      <c r="H3088" s="144" t="s">
        <v>1341</v>
      </c>
      <c r="I3088" s="133" t="s">
        <v>1092</v>
      </c>
      <c r="J3088" s="133" t="s">
        <v>2566</v>
      </c>
      <c r="K3088" s="143">
        <v>45901</v>
      </c>
      <c r="L3088" s="133" t="s">
        <v>1092</v>
      </c>
      <c r="M3088" s="133">
        <f>5074+509</f>
        <v>5583</v>
      </c>
      <c r="N3088" s="142"/>
      <c r="P3088" s="140"/>
    </row>
    <row r="3089" spans="1:16" hidden="1" x14ac:dyDescent="0.35">
      <c r="A3089" s="146"/>
      <c r="B3089" s="143"/>
      <c r="C3089" s="133"/>
      <c r="D3089" s="133"/>
      <c r="E3089" s="145"/>
      <c r="F3089" s="145"/>
      <c r="G3089" s="133"/>
      <c r="H3089" s="144"/>
      <c r="I3089" s="133"/>
      <c r="J3089" s="133"/>
      <c r="K3089" s="133"/>
      <c r="L3089" s="133"/>
      <c r="M3089" s="133"/>
      <c r="N3089" s="142"/>
      <c r="P3089" s="140"/>
    </row>
    <row r="3090" spans="1:16" hidden="1" x14ac:dyDescent="0.35">
      <c r="A3090" s="149">
        <v>110</v>
      </c>
      <c r="B3090" s="143">
        <v>45870</v>
      </c>
      <c r="C3090" s="133" t="s">
        <v>1733</v>
      </c>
      <c r="D3090" s="133" t="s">
        <v>2510</v>
      </c>
      <c r="E3090" s="145" t="s">
        <v>1067</v>
      </c>
      <c r="F3090" s="145">
        <v>330</v>
      </c>
      <c r="G3090" s="133" t="s">
        <v>1034</v>
      </c>
      <c r="H3090" s="144" t="s">
        <v>1341</v>
      </c>
      <c r="I3090" s="133" t="s">
        <v>1092</v>
      </c>
      <c r="J3090" s="133" t="s">
        <v>2552</v>
      </c>
      <c r="K3090" s="143">
        <v>45901</v>
      </c>
      <c r="L3090" s="133" t="s">
        <v>1092</v>
      </c>
      <c r="M3090" s="133">
        <f>7506+2970.4</f>
        <v>10476.4</v>
      </c>
      <c r="N3090" s="147">
        <f>+F3090+F3091+F3092+F3093-M3090-M3091-M3092-M3093</f>
        <v>0</v>
      </c>
      <c r="O3090" s="141"/>
      <c r="P3090" s="140"/>
    </row>
    <row r="3091" spans="1:16" hidden="1" x14ac:dyDescent="0.35">
      <c r="A3091" s="146"/>
      <c r="B3091" s="143"/>
      <c r="C3091" s="133"/>
      <c r="D3091" s="133"/>
      <c r="E3091" s="145" t="s">
        <v>1342</v>
      </c>
      <c r="F3091" s="145">
        <v>906</v>
      </c>
      <c r="G3091" s="133" t="s">
        <v>1034</v>
      </c>
      <c r="H3091" s="144" t="s">
        <v>1341</v>
      </c>
      <c r="I3091" s="133" t="s">
        <v>1092</v>
      </c>
      <c r="J3091" s="133" t="s">
        <v>2553</v>
      </c>
      <c r="K3091" s="143">
        <v>45901</v>
      </c>
      <c r="L3091" s="133" t="s">
        <v>1241</v>
      </c>
      <c r="M3091" s="133">
        <v>358</v>
      </c>
      <c r="N3091" s="142"/>
      <c r="P3091" s="140"/>
    </row>
    <row r="3092" spans="1:16" hidden="1" x14ac:dyDescent="0.35">
      <c r="A3092" s="146"/>
      <c r="B3092" s="143"/>
      <c r="C3092" s="133"/>
      <c r="D3092" s="133"/>
      <c r="E3092" s="145" t="s">
        <v>1075</v>
      </c>
      <c r="F3092" s="145">
        <v>7864</v>
      </c>
      <c r="G3092" s="133" t="s">
        <v>1034</v>
      </c>
      <c r="H3092" s="144" t="s">
        <v>1341</v>
      </c>
      <c r="I3092" s="133" t="s">
        <v>1092</v>
      </c>
      <c r="J3092" s="133" t="s">
        <v>2570</v>
      </c>
      <c r="K3092" s="143">
        <v>45901</v>
      </c>
      <c r="L3092" s="133" t="s">
        <v>1092</v>
      </c>
      <c r="M3092" s="133">
        <v>330</v>
      </c>
      <c r="N3092" s="142"/>
      <c r="P3092" s="140"/>
    </row>
    <row r="3093" spans="1:16" hidden="1" x14ac:dyDescent="0.35">
      <c r="A3093" s="146"/>
      <c r="B3093" s="143"/>
      <c r="C3093" s="133"/>
      <c r="D3093" s="133"/>
      <c r="E3093" s="145" t="s">
        <v>1118</v>
      </c>
      <c r="F3093" s="145">
        <v>2970.4</v>
      </c>
      <c r="G3093" s="133" t="s">
        <v>1034</v>
      </c>
      <c r="H3093" s="144" t="s">
        <v>1341</v>
      </c>
      <c r="I3093" s="133" t="s">
        <v>1092</v>
      </c>
      <c r="J3093" s="133" t="s">
        <v>2576</v>
      </c>
      <c r="K3093" s="143">
        <v>45931</v>
      </c>
      <c r="L3093" s="133" t="s">
        <v>1092</v>
      </c>
      <c r="M3093" s="133">
        <v>906</v>
      </c>
      <c r="N3093" s="142"/>
      <c r="P3093" s="140"/>
    </row>
    <row r="3094" spans="1:16" hidden="1" x14ac:dyDescent="0.35">
      <c r="A3094" s="146"/>
      <c r="B3094" s="143"/>
      <c r="C3094" s="133"/>
      <c r="D3094" s="133"/>
      <c r="E3094" s="145"/>
      <c r="F3094" s="145"/>
      <c r="G3094" s="133"/>
      <c r="H3094" s="144"/>
      <c r="I3094" s="133"/>
      <c r="J3094" s="133"/>
      <c r="K3094" s="133"/>
      <c r="L3094" s="133"/>
      <c r="M3094" s="133"/>
      <c r="N3094" s="142"/>
      <c r="P3094" s="140"/>
    </row>
    <row r="3095" spans="1:16" hidden="1" x14ac:dyDescent="0.35">
      <c r="A3095" s="149">
        <v>111</v>
      </c>
      <c r="B3095" s="143">
        <v>45870</v>
      </c>
      <c r="C3095" s="133" t="s">
        <v>1731</v>
      </c>
      <c r="D3095" s="133" t="s">
        <v>2515</v>
      </c>
      <c r="E3095" s="145" t="s">
        <v>1118</v>
      </c>
      <c r="F3095" s="145">
        <v>486.5</v>
      </c>
      <c r="G3095" s="133" t="s">
        <v>1034</v>
      </c>
      <c r="H3095" s="144" t="s">
        <v>1341</v>
      </c>
      <c r="I3095" s="133" t="s">
        <v>1092</v>
      </c>
      <c r="J3095" s="133" t="s">
        <v>2566</v>
      </c>
      <c r="K3095" s="143">
        <v>45901</v>
      </c>
      <c r="L3095" s="133" t="s">
        <v>1092</v>
      </c>
      <c r="M3095" s="133">
        <f>486.5+8362</f>
        <v>8848.5</v>
      </c>
      <c r="N3095" s="147">
        <f>+F3095+F3096+F3097+F3098-M3095-M3096-M3097-M3098</f>
        <v>0</v>
      </c>
      <c r="O3095" s="141"/>
      <c r="P3095" s="140"/>
    </row>
    <row r="3096" spans="1:16" hidden="1" x14ac:dyDescent="0.35">
      <c r="A3096" s="146"/>
      <c r="B3096" s="143"/>
      <c r="C3096" s="133"/>
      <c r="D3096" s="133"/>
      <c r="E3096" s="145" t="s">
        <v>1342</v>
      </c>
      <c r="F3096" s="145">
        <v>4394</v>
      </c>
      <c r="G3096" s="133" t="s">
        <v>1034</v>
      </c>
      <c r="H3096" s="144" t="s">
        <v>1341</v>
      </c>
      <c r="I3096" s="133" t="s">
        <v>1092</v>
      </c>
      <c r="J3096" s="133" t="s">
        <v>2570</v>
      </c>
      <c r="K3096" s="143">
        <v>45901</v>
      </c>
      <c r="L3096" s="133" t="s">
        <v>1092</v>
      </c>
      <c r="M3096" s="133">
        <v>804</v>
      </c>
      <c r="N3096" s="147"/>
      <c r="P3096" s="140"/>
    </row>
    <row r="3097" spans="1:16" hidden="1" x14ac:dyDescent="0.35">
      <c r="A3097" s="146"/>
      <c r="B3097" s="143"/>
      <c r="C3097" s="133"/>
      <c r="D3097" s="133"/>
      <c r="E3097" s="145" t="s">
        <v>1075</v>
      </c>
      <c r="F3097" s="145">
        <v>8783</v>
      </c>
      <c r="G3097" s="133" t="s">
        <v>1034</v>
      </c>
      <c r="H3097" s="144" t="s">
        <v>1341</v>
      </c>
      <c r="I3097" s="133" t="s">
        <v>1092</v>
      </c>
      <c r="J3097" s="133" t="s">
        <v>2592</v>
      </c>
      <c r="K3097" s="143">
        <v>45931</v>
      </c>
      <c r="L3097" s="133" t="s">
        <v>1092</v>
      </c>
      <c r="M3097" s="133">
        <v>4394</v>
      </c>
      <c r="N3097" s="147"/>
      <c r="P3097" s="140"/>
    </row>
    <row r="3098" spans="1:16" hidden="1" x14ac:dyDescent="0.35">
      <c r="A3098" s="146"/>
      <c r="B3098" s="143"/>
      <c r="C3098" s="133"/>
      <c r="D3098" s="133"/>
      <c r="E3098" s="145" t="s">
        <v>1067</v>
      </c>
      <c r="F3098" s="145">
        <v>804</v>
      </c>
      <c r="G3098" s="133" t="s">
        <v>1034</v>
      </c>
      <c r="H3098" s="144" t="s">
        <v>1341</v>
      </c>
      <c r="I3098" s="133" t="s">
        <v>1092</v>
      </c>
      <c r="J3098" s="133" t="s">
        <v>2596</v>
      </c>
      <c r="K3098" s="143">
        <v>45931</v>
      </c>
      <c r="L3098" s="133" t="s">
        <v>1241</v>
      </c>
      <c r="M3098" s="133">
        <v>421</v>
      </c>
      <c r="N3098" s="147"/>
      <c r="P3098" s="140"/>
    </row>
    <row r="3099" spans="1:16" hidden="1" x14ac:dyDescent="0.35">
      <c r="A3099" s="146"/>
      <c r="B3099" s="143"/>
      <c r="C3099" s="133"/>
      <c r="D3099" s="133"/>
      <c r="E3099" s="145"/>
      <c r="F3099" s="145"/>
      <c r="G3099" s="133"/>
      <c r="H3099" s="144"/>
      <c r="I3099" s="133"/>
      <c r="J3099" s="133"/>
      <c r="K3099" s="133"/>
      <c r="L3099" s="133"/>
      <c r="M3099" s="133"/>
      <c r="N3099" s="147"/>
      <c r="P3099" s="140"/>
    </row>
    <row r="3100" spans="1:16" hidden="1" x14ac:dyDescent="0.35">
      <c r="A3100" s="149">
        <v>112</v>
      </c>
      <c r="B3100" s="143">
        <v>45870</v>
      </c>
      <c r="C3100" s="133" t="s">
        <v>1729</v>
      </c>
      <c r="D3100" s="133" t="s">
        <v>2516</v>
      </c>
      <c r="E3100" s="145" t="s">
        <v>678</v>
      </c>
      <c r="F3100" s="145">
        <v>5925.4</v>
      </c>
      <c r="G3100" s="133" t="s">
        <v>1034</v>
      </c>
      <c r="H3100" s="144" t="s">
        <v>1341</v>
      </c>
      <c r="I3100" s="133" t="s">
        <v>1092</v>
      </c>
      <c r="J3100" s="133" t="s">
        <v>2566</v>
      </c>
      <c r="K3100" s="143">
        <v>45901</v>
      </c>
      <c r="L3100" s="133" t="s">
        <v>1092</v>
      </c>
      <c r="M3100" s="133">
        <f>1074.5+5925.4</f>
        <v>6999.9</v>
      </c>
      <c r="N3100" s="147">
        <f>+F3100+F3101+F3102-M3100-M3101-M3102</f>
        <v>0</v>
      </c>
      <c r="O3100" s="141"/>
      <c r="P3100" s="140"/>
    </row>
    <row r="3101" spans="1:16" hidden="1" x14ac:dyDescent="0.35">
      <c r="A3101" s="146"/>
      <c r="B3101" s="143"/>
      <c r="C3101" s="133"/>
      <c r="D3101" s="133"/>
      <c r="E3101" s="145" t="s">
        <v>1342</v>
      </c>
      <c r="F3101" s="145">
        <v>3402</v>
      </c>
      <c r="G3101" s="133" t="s">
        <v>1034</v>
      </c>
      <c r="H3101" s="144" t="s">
        <v>1341</v>
      </c>
      <c r="I3101" s="133" t="s">
        <v>1092</v>
      </c>
      <c r="J3101" s="133" t="s">
        <v>2592</v>
      </c>
      <c r="K3101" s="143">
        <v>45931</v>
      </c>
      <c r="L3101" s="133" t="s">
        <v>1092</v>
      </c>
      <c r="M3101" s="133">
        <v>3402</v>
      </c>
      <c r="N3101" s="147"/>
      <c r="P3101" s="140"/>
    </row>
    <row r="3102" spans="1:16" hidden="1" x14ac:dyDescent="0.35">
      <c r="A3102" s="146"/>
      <c r="B3102" s="143"/>
      <c r="C3102" s="133"/>
      <c r="D3102" s="133"/>
      <c r="E3102" s="145" t="s">
        <v>1075</v>
      </c>
      <c r="F3102" s="145">
        <v>1361.5</v>
      </c>
      <c r="G3102" s="133" t="s">
        <v>1034</v>
      </c>
      <c r="H3102" s="144" t="s">
        <v>1341</v>
      </c>
      <c r="I3102" s="133" t="s">
        <v>1092</v>
      </c>
      <c r="J3102" s="133" t="s">
        <v>2596</v>
      </c>
      <c r="K3102" s="143">
        <v>45931</v>
      </c>
      <c r="L3102" s="133" t="s">
        <v>1241</v>
      </c>
      <c r="M3102" s="133">
        <v>287</v>
      </c>
      <c r="N3102" s="147"/>
      <c r="P3102" s="140"/>
    </row>
    <row r="3103" spans="1:16" hidden="1" x14ac:dyDescent="0.35">
      <c r="A3103" s="146"/>
      <c r="B3103" s="143"/>
      <c r="C3103" s="133"/>
      <c r="D3103" s="133"/>
      <c r="E3103" s="145"/>
      <c r="F3103" s="145"/>
      <c r="G3103" s="133"/>
      <c r="H3103" s="144"/>
      <c r="I3103" s="133"/>
      <c r="J3103" s="133"/>
      <c r="K3103" s="133"/>
      <c r="L3103" s="133"/>
      <c r="M3103" s="133"/>
      <c r="N3103" s="147"/>
      <c r="P3103" s="140"/>
    </row>
    <row r="3104" spans="1:16" hidden="1" x14ac:dyDescent="0.35">
      <c r="A3104" s="149">
        <v>113</v>
      </c>
      <c r="B3104" s="143">
        <v>45870</v>
      </c>
      <c r="C3104" s="133" t="s">
        <v>1728</v>
      </c>
      <c r="D3104" s="133" t="s">
        <v>2517</v>
      </c>
      <c r="E3104" s="145" t="s">
        <v>1064</v>
      </c>
      <c r="F3104" s="145">
        <v>1877.6</v>
      </c>
      <c r="G3104" s="133" t="s">
        <v>1034</v>
      </c>
      <c r="H3104" s="144" t="s">
        <v>1341</v>
      </c>
      <c r="I3104" s="133" t="s">
        <v>1092</v>
      </c>
      <c r="J3104" s="133" t="s">
        <v>2566</v>
      </c>
      <c r="K3104" s="143">
        <v>45901</v>
      </c>
      <c r="L3104" s="133" t="s">
        <v>1092</v>
      </c>
      <c r="M3104" s="133">
        <f>1877.6+2589</f>
        <v>4466.6000000000004</v>
      </c>
      <c r="N3104" s="147">
        <f>+F3104+F3105-M3104-M3105</f>
        <v>0</v>
      </c>
      <c r="O3104" s="141"/>
      <c r="P3104" s="140"/>
    </row>
    <row r="3105" spans="1:16" hidden="1" x14ac:dyDescent="0.35">
      <c r="A3105" s="146"/>
      <c r="B3105" s="143"/>
      <c r="C3105" s="133"/>
      <c r="D3105" s="133"/>
      <c r="E3105" s="145" t="s">
        <v>1342</v>
      </c>
      <c r="F3105" s="145">
        <v>2727</v>
      </c>
      <c r="G3105" s="133" t="s">
        <v>1034</v>
      </c>
      <c r="H3105" s="144" t="s">
        <v>1341</v>
      </c>
      <c r="I3105" s="133" t="s">
        <v>1092</v>
      </c>
      <c r="J3105" s="133" t="s">
        <v>2596</v>
      </c>
      <c r="K3105" s="143">
        <v>45931</v>
      </c>
      <c r="L3105" s="133" t="s">
        <v>1241</v>
      </c>
      <c r="M3105" s="133">
        <v>138</v>
      </c>
      <c r="N3105" s="147"/>
      <c r="P3105" s="140"/>
    </row>
    <row r="3106" spans="1:16" hidden="1" x14ac:dyDescent="0.35">
      <c r="A3106" s="146"/>
      <c r="B3106" s="143"/>
      <c r="C3106" s="133"/>
      <c r="D3106" s="133"/>
      <c r="E3106" s="145"/>
      <c r="F3106" s="145"/>
      <c r="G3106" s="133"/>
      <c r="H3106" s="144"/>
      <c r="I3106" s="133"/>
      <c r="J3106" s="133"/>
      <c r="K3106" s="133"/>
      <c r="L3106" s="133"/>
      <c r="M3106" s="133"/>
      <c r="N3106" s="147"/>
      <c r="P3106" s="140"/>
    </row>
    <row r="3107" spans="1:16" hidden="1" x14ac:dyDescent="0.35">
      <c r="A3107" s="149">
        <v>114</v>
      </c>
      <c r="B3107" s="143">
        <v>45870</v>
      </c>
      <c r="C3107" s="133" t="s">
        <v>1727</v>
      </c>
      <c r="D3107" s="133" t="s">
        <v>2520</v>
      </c>
      <c r="E3107" s="145" t="s">
        <v>1075</v>
      </c>
      <c r="F3107" s="145">
        <v>7310</v>
      </c>
      <c r="G3107" s="133" t="s">
        <v>1034</v>
      </c>
      <c r="H3107" s="144" t="s">
        <v>1341</v>
      </c>
      <c r="I3107" s="133" t="s">
        <v>1092</v>
      </c>
      <c r="J3107" s="133" t="s">
        <v>2576</v>
      </c>
      <c r="K3107" s="143">
        <v>45931</v>
      </c>
      <c r="L3107" s="133" t="s">
        <v>1092</v>
      </c>
      <c r="M3107" s="133">
        <v>7090.7</v>
      </c>
      <c r="N3107" s="147">
        <f>+F3107-M3107-M3108</f>
        <v>0</v>
      </c>
      <c r="O3107" s="141"/>
      <c r="P3107" s="140"/>
    </row>
    <row r="3108" spans="1:16" hidden="1" x14ac:dyDescent="0.35">
      <c r="A3108" s="149"/>
      <c r="B3108" s="143"/>
      <c r="C3108" s="133"/>
      <c r="D3108" s="133"/>
      <c r="E3108" s="145"/>
      <c r="F3108" s="145"/>
      <c r="G3108" s="133" t="s">
        <v>1034</v>
      </c>
      <c r="H3108" s="144" t="s">
        <v>1341</v>
      </c>
      <c r="I3108" s="133" t="s">
        <v>1092</v>
      </c>
      <c r="J3108" s="133" t="s">
        <v>2596</v>
      </c>
      <c r="K3108" s="143">
        <v>45931</v>
      </c>
      <c r="L3108" s="133" t="s">
        <v>1241</v>
      </c>
      <c r="M3108" s="133">
        <v>219.3</v>
      </c>
      <c r="N3108" s="147"/>
      <c r="O3108" s="141"/>
      <c r="P3108" s="140"/>
    </row>
    <row r="3109" spans="1:16" hidden="1" x14ac:dyDescent="0.35">
      <c r="A3109" s="146"/>
      <c r="B3109" s="143"/>
      <c r="C3109" s="133"/>
      <c r="D3109" s="133"/>
      <c r="E3109" s="145"/>
      <c r="F3109" s="145"/>
      <c r="G3109" s="133"/>
      <c r="H3109" s="144"/>
      <c r="I3109" s="133"/>
      <c r="J3109" s="133"/>
      <c r="K3109" s="133"/>
      <c r="L3109" s="133"/>
      <c r="M3109" s="133"/>
      <c r="N3109" s="147"/>
      <c r="P3109" s="140"/>
    </row>
    <row r="3110" spans="1:16" hidden="1" x14ac:dyDescent="0.35">
      <c r="A3110" s="149">
        <v>115</v>
      </c>
      <c r="B3110" s="143">
        <v>45870</v>
      </c>
      <c r="C3110" s="133" t="s">
        <v>1726</v>
      </c>
      <c r="D3110" s="133" t="s">
        <v>2521</v>
      </c>
      <c r="E3110" s="145" t="s">
        <v>1067</v>
      </c>
      <c r="F3110" s="145">
        <v>616</v>
      </c>
      <c r="G3110" s="133" t="s">
        <v>1034</v>
      </c>
      <c r="H3110" s="144" t="s">
        <v>1341</v>
      </c>
      <c r="I3110" s="133" t="s">
        <v>1092</v>
      </c>
      <c r="J3110" s="133" t="s">
        <v>2570</v>
      </c>
      <c r="K3110" s="143">
        <v>45901</v>
      </c>
      <c r="L3110" s="133" t="s">
        <v>1092</v>
      </c>
      <c r="M3110" s="133">
        <v>616</v>
      </c>
      <c r="N3110" s="147">
        <f>+F3110+F3111-M3110-M3111</f>
        <v>0</v>
      </c>
      <c r="O3110" s="141"/>
      <c r="P3110" s="140"/>
    </row>
    <row r="3111" spans="1:16" hidden="1" x14ac:dyDescent="0.35">
      <c r="A3111" s="146"/>
      <c r="B3111" s="143"/>
      <c r="C3111" s="133"/>
      <c r="D3111" s="133"/>
      <c r="E3111" s="145" t="s">
        <v>1342</v>
      </c>
      <c r="F3111" s="145">
        <v>2850</v>
      </c>
      <c r="G3111" s="133" t="s">
        <v>1034</v>
      </c>
      <c r="H3111" s="144" t="s">
        <v>1341</v>
      </c>
      <c r="I3111" s="133" t="s">
        <v>1092</v>
      </c>
      <c r="J3111" s="133" t="s">
        <v>2592</v>
      </c>
      <c r="K3111" s="143">
        <v>45931</v>
      </c>
      <c r="L3111" s="133" t="s">
        <v>1092</v>
      </c>
      <c r="M3111" s="133">
        <v>2850</v>
      </c>
      <c r="N3111" s="147"/>
      <c r="P3111" s="140"/>
    </row>
    <row r="3112" spans="1:16" hidden="1" x14ac:dyDescent="0.35">
      <c r="A3112" s="146"/>
      <c r="B3112" s="143"/>
      <c r="C3112" s="133"/>
      <c r="D3112" s="133"/>
      <c r="E3112" s="145"/>
      <c r="F3112" s="145"/>
      <c r="G3112" s="133"/>
      <c r="H3112" s="144"/>
      <c r="I3112" s="133"/>
      <c r="J3112" s="133"/>
      <c r="K3112" s="133"/>
      <c r="L3112" s="133"/>
      <c r="M3112" s="133"/>
      <c r="N3112" s="147"/>
      <c r="P3112" s="140"/>
    </row>
    <row r="3113" spans="1:16" hidden="1" x14ac:dyDescent="0.35">
      <c r="A3113" s="149">
        <v>116</v>
      </c>
      <c r="B3113" s="143">
        <v>45870</v>
      </c>
      <c r="C3113" s="133" t="s">
        <v>1722</v>
      </c>
      <c r="D3113" s="133" t="s">
        <v>2523</v>
      </c>
      <c r="E3113" s="145" t="s">
        <v>1342</v>
      </c>
      <c r="F3113" s="145">
        <v>3339</v>
      </c>
      <c r="G3113" s="133" t="s">
        <v>1034</v>
      </c>
      <c r="H3113" s="144" t="s">
        <v>1341</v>
      </c>
      <c r="I3113" s="133" t="s">
        <v>1092</v>
      </c>
      <c r="J3113" s="133" t="s">
        <v>2592</v>
      </c>
      <c r="K3113" s="143">
        <v>45931</v>
      </c>
      <c r="L3113" s="133" t="s">
        <v>1092</v>
      </c>
      <c r="M3113" s="133">
        <v>3238.83</v>
      </c>
      <c r="N3113" s="147">
        <f>+F3113-M3113-M3114</f>
        <v>0</v>
      </c>
      <c r="O3113" s="141"/>
      <c r="P3113" s="140"/>
    </row>
    <row r="3114" spans="1:16" hidden="1" x14ac:dyDescent="0.35">
      <c r="A3114" s="146"/>
      <c r="B3114" s="143"/>
      <c r="C3114" s="133"/>
      <c r="D3114" s="133"/>
      <c r="E3114" s="145"/>
      <c r="F3114" s="145"/>
      <c r="G3114" s="133" t="s">
        <v>1034</v>
      </c>
      <c r="H3114" s="144" t="s">
        <v>1341</v>
      </c>
      <c r="I3114" s="133" t="s">
        <v>1092</v>
      </c>
      <c r="J3114" s="133" t="s">
        <v>2596</v>
      </c>
      <c r="K3114" s="143">
        <v>45931</v>
      </c>
      <c r="L3114" s="133" t="s">
        <v>1241</v>
      </c>
      <c r="M3114" s="133">
        <v>100.17</v>
      </c>
      <c r="N3114" s="147"/>
      <c r="P3114" s="140"/>
    </row>
    <row r="3115" spans="1:16" hidden="1" x14ac:dyDescent="0.35">
      <c r="A3115" s="146"/>
      <c r="B3115" s="143"/>
      <c r="C3115" s="133"/>
      <c r="D3115" s="133"/>
      <c r="E3115" s="145"/>
      <c r="F3115" s="145"/>
      <c r="G3115" s="133"/>
      <c r="H3115" s="144"/>
      <c r="I3115" s="133"/>
      <c r="J3115" s="133"/>
      <c r="K3115" s="143"/>
      <c r="L3115" s="133"/>
      <c r="M3115" s="133"/>
      <c r="N3115" s="147"/>
      <c r="P3115" s="140"/>
    </row>
    <row r="3116" spans="1:16" hidden="1" x14ac:dyDescent="0.35">
      <c r="A3116" s="149">
        <v>117</v>
      </c>
      <c r="B3116" s="143">
        <v>45870</v>
      </c>
      <c r="C3116" s="133" t="s">
        <v>1720</v>
      </c>
      <c r="D3116" s="133" t="s">
        <v>2525</v>
      </c>
      <c r="E3116" s="145" t="s">
        <v>1067</v>
      </c>
      <c r="F3116" s="145">
        <v>1102</v>
      </c>
      <c r="G3116" s="133" t="s">
        <v>1034</v>
      </c>
      <c r="H3116" s="144" t="s">
        <v>1341</v>
      </c>
      <c r="I3116" s="133" t="s">
        <v>1092</v>
      </c>
      <c r="J3116" s="133" t="s">
        <v>2570</v>
      </c>
      <c r="K3116" s="143">
        <v>45901</v>
      </c>
      <c r="L3116" s="133" t="s">
        <v>1092</v>
      </c>
      <c r="M3116" s="133">
        <f>1102+1515.9+142.6+570.8</f>
        <v>3331.3</v>
      </c>
      <c r="N3116" s="147">
        <f>+F3116+F3117+F3118+F3119+F3120-M3116-M3117-M3118</f>
        <v>0</v>
      </c>
      <c r="O3116" s="141"/>
      <c r="P3116" s="140"/>
    </row>
    <row r="3117" spans="1:16" hidden="1" x14ac:dyDescent="0.35">
      <c r="A3117" s="146"/>
      <c r="B3117" s="143"/>
      <c r="C3117" s="133"/>
      <c r="D3117" s="133"/>
      <c r="E3117" s="145" t="s">
        <v>1118</v>
      </c>
      <c r="F3117" s="145">
        <v>1515.9</v>
      </c>
      <c r="G3117" s="133" t="s">
        <v>1034</v>
      </c>
      <c r="H3117" s="144" t="s">
        <v>1341</v>
      </c>
      <c r="I3117" s="133" t="s">
        <v>1092</v>
      </c>
      <c r="J3117" s="133" t="s">
        <v>2592</v>
      </c>
      <c r="K3117" s="143">
        <v>45931</v>
      </c>
      <c r="L3117" s="133" t="s">
        <v>1092</v>
      </c>
      <c r="M3117" s="133">
        <v>1843</v>
      </c>
      <c r="N3117" s="147"/>
      <c r="P3117" s="140"/>
    </row>
    <row r="3118" spans="1:16" hidden="1" x14ac:dyDescent="0.35">
      <c r="A3118" s="146"/>
      <c r="B3118" s="143"/>
      <c r="C3118" s="133"/>
      <c r="D3118" s="133"/>
      <c r="E3118" s="145" t="s">
        <v>1075</v>
      </c>
      <c r="F3118" s="145">
        <v>298.60000000000002</v>
      </c>
      <c r="G3118" s="133" t="s">
        <v>1034</v>
      </c>
      <c r="H3118" s="144" t="s">
        <v>1341</v>
      </c>
      <c r="I3118" s="133" t="s">
        <v>1092</v>
      </c>
      <c r="J3118" s="133" t="s">
        <v>2596</v>
      </c>
      <c r="K3118" s="143">
        <v>45931</v>
      </c>
      <c r="L3118" s="133" t="s">
        <v>1241</v>
      </c>
      <c r="M3118" s="133">
        <v>156</v>
      </c>
      <c r="N3118" s="147"/>
      <c r="P3118" s="140"/>
    </row>
    <row r="3119" spans="1:16" hidden="1" x14ac:dyDescent="0.35">
      <c r="A3119" s="146"/>
      <c r="B3119" s="143"/>
      <c r="C3119" s="133"/>
      <c r="D3119" s="133"/>
      <c r="E3119" s="145" t="s">
        <v>1342</v>
      </c>
      <c r="F3119" s="145">
        <v>1843</v>
      </c>
      <c r="G3119" s="133"/>
      <c r="H3119" s="144"/>
      <c r="I3119" s="133"/>
      <c r="J3119" s="133"/>
      <c r="K3119" s="133"/>
      <c r="L3119" s="133"/>
      <c r="M3119" s="133"/>
      <c r="N3119" s="147"/>
      <c r="P3119" s="140"/>
    </row>
    <row r="3120" spans="1:16" hidden="1" x14ac:dyDescent="0.35">
      <c r="A3120" s="146"/>
      <c r="B3120" s="143"/>
      <c r="C3120" s="133"/>
      <c r="D3120" s="133"/>
      <c r="E3120" s="145" t="s">
        <v>1064</v>
      </c>
      <c r="F3120" s="145">
        <v>570.79999999999995</v>
      </c>
      <c r="G3120" s="133"/>
      <c r="H3120" s="144"/>
      <c r="I3120" s="133"/>
      <c r="J3120" s="133"/>
      <c r="K3120" s="133"/>
      <c r="L3120" s="133"/>
      <c r="M3120" s="133"/>
      <c r="N3120" s="147"/>
      <c r="P3120" s="140"/>
    </row>
    <row r="3121" spans="1:16" hidden="1" x14ac:dyDescent="0.35">
      <c r="A3121" s="146"/>
      <c r="B3121" s="143"/>
      <c r="C3121" s="133"/>
      <c r="D3121" s="133"/>
      <c r="E3121" s="145"/>
      <c r="F3121" s="145"/>
      <c r="G3121" s="133"/>
      <c r="H3121" s="144"/>
      <c r="I3121" s="133"/>
      <c r="J3121" s="133"/>
      <c r="K3121" s="133"/>
      <c r="L3121" s="133"/>
      <c r="M3121" s="133"/>
      <c r="N3121" s="147"/>
      <c r="P3121" s="140"/>
    </row>
    <row r="3122" spans="1:16" hidden="1" x14ac:dyDescent="0.35">
      <c r="A3122" s="149">
        <v>118</v>
      </c>
      <c r="B3122" s="143">
        <v>45870</v>
      </c>
      <c r="C3122" s="133" t="s">
        <v>1716</v>
      </c>
      <c r="D3122" s="133" t="s">
        <v>2528</v>
      </c>
      <c r="E3122" s="145" t="s">
        <v>1067</v>
      </c>
      <c r="F3122" s="145">
        <v>257</v>
      </c>
      <c r="G3122" s="133" t="s">
        <v>1034</v>
      </c>
      <c r="H3122" s="144" t="s">
        <v>1341</v>
      </c>
      <c r="I3122" s="133" t="s">
        <v>1092</v>
      </c>
      <c r="J3122" s="133" t="s">
        <v>2570</v>
      </c>
      <c r="K3122" s="143">
        <v>45901</v>
      </c>
      <c r="L3122" s="133" t="s">
        <v>1092</v>
      </c>
      <c r="M3122" s="133">
        <v>257</v>
      </c>
      <c r="N3122" s="147">
        <f>+F3122+F3123+F3124-M3122-M3123-M3124-M3125</f>
        <v>0</v>
      </c>
      <c r="O3122" s="141"/>
      <c r="P3122" s="140"/>
    </row>
    <row r="3123" spans="1:16" hidden="1" x14ac:dyDescent="0.35">
      <c r="A3123" s="146"/>
      <c r="B3123" s="143"/>
      <c r="C3123" s="133"/>
      <c r="D3123" s="133"/>
      <c r="E3123" s="145" t="s">
        <v>1075</v>
      </c>
      <c r="F3123" s="145">
        <v>8230</v>
      </c>
      <c r="G3123" s="133" t="s">
        <v>1034</v>
      </c>
      <c r="H3123" s="144" t="s">
        <v>1341</v>
      </c>
      <c r="I3123" s="133" t="s">
        <v>1092</v>
      </c>
      <c r="J3123" s="133" t="s">
        <v>2576</v>
      </c>
      <c r="K3123" s="143">
        <v>45931</v>
      </c>
      <c r="L3123" s="133" t="s">
        <v>1092</v>
      </c>
      <c r="M3123" s="133">
        <v>7940</v>
      </c>
      <c r="N3123" s="147"/>
      <c r="P3123" s="140"/>
    </row>
    <row r="3124" spans="1:16" hidden="1" x14ac:dyDescent="0.35">
      <c r="A3124" s="146"/>
      <c r="B3124" s="143"/>
      <c r="C3124" s="133"/>
      <c r="D3124" s="133"/>
      <c r="E3124" s="145" t="s">
        <v>1342</v>
      </c>
      <c r="F3124" s="145">
        <v>1296</v>
      </c>
      <c r="G3124" s="133" t="s">
        <v>1034</v>
      </c>
      <c r="H3124" s="144" t="s">
        <v>1341</v>
      </c>
      <c r="I3124" s="133" t="s">
        <v>1092</v>
      </c>
      <c r="J3124" s="133" t="s">
        <v>2595</v>
      </c>
      <c r="K3124" s="143">
        <v>45931</v>
      </c>
      <c r="L3124" s="133" t="s">
        <v>1092</v>
      </c>
      <c r="M3124" s="133">
        <v>1296</v>
      </c>
      <c r="N3124" s="147"/>
      <c r="P3124" s="140"/>
    </row>
    <row r="3125" spans="1:16" hidden="1" x14ac:dyDescent="0.35">
      <c r="A3125" s="146"/>
      <c r="B3125" s="143"/>
      <c r="C3125" s="133"/>
      <c r="D3125" s="133"/>
      <c r="E3125" s="145"/>
      <c r="F3125" s="145"/>
      <c r="G3125" s="133" t="s">
        <v>1034</v>
      </c>
      <c r="H3125" s="144" t="s">
        <v>1341</v>
      </c>
      <c r="I3125" s="133" t="s">
        <v>1092</v>
      </c>
      <c r="J3125" s="133" t="s">
        <v>2596</v>
      </c>
      <c r="K3125" s="143">
        <v>45931</v>
      </c>
      <c r="L3125" s="133" t="s">
        <v>1241</v>
      </c>
      <c r="M3125" s="133">
        <v>290</v>
      </c>
      <c r="N3125" s="147"/>
      <c r="P3125" s="140"/>
    </row>
    <row r="3126" spans="1:16" hidden="1" x14ac:dyDescent="0.35">
      <c r="A3126" s="146"/>
      <c r="B3126" s="143"/>
      <c r="C3126" s="133"/>
      <c r="D3126" s="133"/>
      <c r="E3126" s="145"/>
      <c r="F3126" s="145"/>
      <c r="G3126" s="133"/>
      <c r="H3126" s="144"/>
      <c r="I3126" s="133"/>
      <c r="J3126" s="133"/>
      <c r="K3126" s="133"/>
      <c r="L3126" s="133"/>
      <c r="M3126" s="133"/>
      <c r="N3126" s="147"/>
      <c r="P3126" s="140"/>
    </row>
    <row r="3127" spans="1:16" hidden="1" x14ac:dyDescent="0.35">
      <c r="A3127" s="149">
        <v>119</v>
      </c>
      <c r="B3127" s="143">
        <v>45870</v>
      </c>
      <c r="C3127" s="133" t="s">
        <v>1715</v>
      </c>
      <c r="D3127" s="133" t="s">
        <v>2529</v>
      </c>
      <c r="E3127" s="145" t="s">
        <v>1067</v>
      </c>
      <c r="F3127" s="145">
        <v>2556</v>
      </c>
      <c r="G3127" s="133" t="s">
        <v>1034</v>
      </c>
      <c r="H3127" s="144" t="s">
        <v>1341</v>
      </c>
      <c r="I3127" s="133" t="s">
        <v>1092</v>
      </c>
      <c r="J3127" s="133" t="s">
        <v>2570</v>
      </c>
      <c r="K3127" s="143">
        <v>45901</v>
      </c>
      <c r="L3127" s="133" t="s">
        <v>1092</v>
      </c>
      <c r="M3127" s="133">
        <f>921.1+2556</f>
        <v>3477.1</v>
      </c>
      <c r="N3127" s="147">
        <f>+F3127+F3128+F3129+F3130-M3127-M3128-M3129</f>
        <v>4.5474735088646412E-13</v>
      </c>
      <c r="O3127" s="141"/>
      <c r="P3127" s="140"/>
    </row>
    <row r="3128" spans="1:16" hidden="1" x14ac:dyDescent="0.35">
      <c r="A3128" s="146"/>
      <c r="B3128" s="143"/>
      <c r="C3128" s="133"/>
      <c r="D3128" s="133"/>
      <c r="E3128" s="145" t="s">
        <v>1075</v>
      </c>
      <c r="F3128" s="145">
        <v>1492.2</v>
      </c>
      <c r="G3128" s="133" t="s">
        <v>1034</v>
      </c>
      <c r="H3128" s="144" t="s">
        <v>1341</v>
      </c>
      <c r="I3128" s="133" t="s">
        <v>1092</v>
      </c>
      <c r="J3128" s="133" t="s">
        <v>2592</v>
      </c>
      <c r="K3128" s="143">
        <v>45931</v>
      </c>
      <c r="L3128" s="133" t="s">
        <v>1092</v>
      </c>
      <c r="M3128" s="133">
        <f>1302.2+1555</f>
        <v>2857.2</v>
      </c>
      <c r="N3128" s="147"/>
      <c r="P3128" s="140"/>
    </row>
    <row r="3129" spans="1:16" hidden="1" x14ac:dyDescent="0.35">
      <c r="A3129" s="146"/>
      <c r="B3129" s="143"/>
      <c r="C3129" s="133"/>
      <c r="D3129" s="133"/>
      <c r="E3129" s="145" t="s">
        <v>1342</v>
      </c>
      <c r="F3129" s="145">
        <v>1555</v>
      </c>
      <c r="G3129" s="133" t="s">
        <v>1034</v>
      </c>
      <c r="H3129" s="144" t="s">
        <v>1341</v>
      </c>
      <c r="I3129" s="133" t="s">
        <v>1092</v>
      </c>
      <c r="J3129" s="133" t="s">
        <v>2596</v>
      </c>
      <c r="K3129" s="143">
        <v>45931</v>
      </c>
      <c r="L3129" s="133" t="s">
        <v>1241</v>
      </c>
      <c r="M3129" s="133">
        <v>190</v>
      </c>
      <c r="N3129" s="147"/>
      <c r="P3129" s="140"/>
    </row>
    <row r="3130" spans="1:16" hidden="1" x14ac:dyDescent="0.35">
      <c r="A3130" s="146"/>
      <c r="B3130" s="143"/>
      <c r="C3130" s="133"/>
      <c r="D3130" s="133"/>
      <c r="E3130" s="145" t="s">
        <v>1064</v>
      </c>
      <c r="F3130" s="145">
        <v>921.1</v>
      </c>
      <c r="G3130" s="133"/>
      <c r="H3130" s="144"/>
      <c r="I3130" s="133"/>
      <c r="J3130" s="133"/>
      <c r="K3130" s="133"/>
      <c r="L3130" s="133"/>
      <c r="M3130" s="133"/>
      <c r="N3130" s="147"/>
      <c r="P3130" s="140"/>
    </row>
    <row r="3131" spans="1:16" hidden="1" x14ac:dyDescent="0.35">
      <c r="A3131" s="146"/>
      <c r="B3131" s="143"/>
      <c r="C3131" s="133"/>
      <c r="D3131" s="133"/>
      <c r="E3131" s="145"/>
      <c r="F3131" s="145"/>
      <c r="G3131" s="133"/>
      <c r="H3131" s="144"/>
      <c r="I3131" s="133"/>
      <c r="J3131" s="133"/>
      <c r="K3131" s="133"/>
      <c r="L3131" s="133"/>
      <c r="M3131" s="133"/>
      <c r="N3131" s="147"/>
      <c r="P3131" s="140"/>
    </row>
    <row r="3132" spans="1:16" hidden="1" x14ac:dyDescent="0.35">
      <c r="A3132" s="149">
        <v>120</v>
      </c>
      <c r="B3132" s="143">
        <v>45870</v>
      </c>
      <c r="C3132" s="133" t="s">
        <v>1713</v>
      </c>
      <c r="D3132" s="133" t="s">
        <v>2530</v>
      </c>
      <c r="E3132" s="145" t="s">
        <v>1067</v>
      </c>
      <c r="F3132" s="145">
        <v>1537.3</v>
      </c>
      <c r="G3132" s="133" t="s">
        <v>1034</v>
      </c>
      <c r="H3132" s="144" t="s">
        <v>1341</v>
      </c>
      <c r="I3132" s="133" t="s">
        <v>1092</v>
      </c>
      <c r="J3132" s="133" t="s">
        <v>2570</v>
      </c>
      <c r="K3132" s="143">
        <v>45901</v>
      </c>
      <c r="L3132" s="133" t="s">
        <v>1092</v>
      </c>
      <c r="M3132" s="133">
        <v>1537.3</v>
      </c>
      <c r="N3132" s="147">
        <f>+F3132+F3133+F3134+F3135-M3132-M3133-M3134-M3135-M3136</f>
        <v>0</v>
      </c>
      <c r="O3132" s="141"/>
      <c r="P3132" s="140"/>
    </row>
    <row r="3133" spans="1:16" hidden="1" x14ac:dyDescent="0.35">
      <c r="A3133" s="146"/>
      <c r="B3133" s="143"/>
      <c r="C3133" s="133"/>
      <c r="D3133" s="133"/>
      <c r="E3133" s="145" t="s">
        <v>1075</v>
      </c>
      <c r="F3133" s="145">
        <v>2675</v>
      </c>
      <c r="G3133" s="133" t="s">
        <v>1034</v>
      </c>
      <c r="H3133" s="144" t="s">
        <v>1341</v>
      </c>
      <c r="I3133" s="133" t="s">
        <v>1092</v>
      </c>
      <c r="J3133" s="133" t="s">
        <v>2592</v>
      </c>
      <c r="K3133" s="143">
        <v>45931</v>
      </c>
      <c r="L3133" s="133" t="s">
        <v>1092</v>
      </c>
      <c r="M3133" s="133">
        <v>2455</v>
      </c>
      <c r="N3133" s="147"/>
      <c r="P3133" s="140"/>
    </row>
    <row r="3134" spans="1:16" hidden="1" x14ac:dyDescent="0.35">
      <c r="A3134" s="146"/>
      <c r="B3134" s="143"/>
      <c r="C3134" s="133"/>
      <c r="D3134" s="133"/>
      <c r="E3134" s="145" t="s">
        <v>1342</v>
      </c>
      <c r="F3134" s="145">
        <v>2174</v>
      </c>
      <c r="G3134" s="133" t="s">
        <v>1034</v>
      </c>
      <c r="H3134" s="144" t="s">
        <v>1341</v>
      </c>
      <c r="I3134" s="133" t="s">
        <v>1092</v>
      </c>
      <c r="J3134" s="133" t="s">
        <v>2595</v>
      </c>
      <c r="K3134" s="143">
        <v>45931</v>
      </c>
      <c r="L3134" s="133" t="s">
        <v>1092</v>
      </c>
      <c r="M3134" s="133">
        <v>2174</v>
      </c>
      <c r="N3134" s="147"/>
      <c r="P3134" s="140"/>
    </row>
    <row r="3135" spans="1:16" hidden="1" x14ac:dyDescent="0.35">
      <c r="A3135" s="146"/>
      <c r="B3135" s="143"/>
      <c r="C3135" s="133"/>
      <c r="D3135" s="133"/>
      <c r="E3135" s="145" t="s">
        <v>1071</v>
      </c>
      <c r="F3135" s="145">
        <v>1330.5</v>
      </c>
      <c r="G3135" s="133" t="s">
        <v>1034</v>
      </c>
      <c r="H3135" s="144" t="s">
        <v>1341</v>
      </c>
      <c r="I3135" s="133" t="s">
        <v>1092</v>
      </c>
      <c r="J3135" s="133" t="s">
        <v>2596</v>
      </c>
      <c r="K3135" s="143">
        <v>45931</v>
      </c>
      <c r="L3135" s="133" t="s">
        <v>1241</v>
      </c>
      <c r="M3135" s="133">
        <v>220</v>
      </c>
      <c r="N3135" s="147"/>
      <c r="P3135" s="140"/>
    </row>
    <row r="3136" spans="1:16" hidden="1" x14ac:dyDescent="0.35">
      <c r="A3136" s="146"/>
      <c r="B3136" s="143"/>
      <c r="C3136" s="133"/>
      <c r="D3136" s="133"/>
      <c r="E3136" s="145"/>
      <c r="F3136" s="145"/>
      <c r="G3136" s="133" t="s">
        <v>1034</v>
      </c>
      <c r="H3136" s="144" t="s">
        <v>1341</v>
      </c>
      <c r="I3136" s="133" t="s">
        <v>1092</v>
      </c>
      <c r="J3136" s="133" t="s">
        <v>2630</v>
      </c>
      <c r="K3136" s="143">
        <v>45962</v>
      </c>
      <c r="L3136" s="133" t="s">
        <v>1092</v>
      </c>
      <c r="M3136" s="133">
        <v>1330.5</v>
      </c>
      <c r="N3136" s="147"/>
      <c r="P3136" s="140"/>
    </row>
    <row r="3137" spans="1:16" hidden="1" x14ac:dyDescent="0.35">
      <c r="A3137" s="146"/>
      <c r="B3137" s="143"/>
      <c r="C3137" s="133"/>
      <c r="D3137" s="133"/>
      <c r="E3137" s="145"/>
      <c r="F3137" s="145"/>
      <c r="G3137" s="133"/>
      <c r="H3137" s="144"/>
      <c r="I3137" s="133"/>
      <c r="J3137" s="133"/>
      <c r="K3137" s="143"/>
      <c r="L3137" s="133"/>
      <c r="M3137" s="133"/>
      <c r="N3137" s="147"/>
      <c r="P3137" s="140"/>
    </row>
    <row r="3138" spans="1:16" hidden="1" x14ac:dyDescent="0.35">
      <c r="A3138" s="149">
        <v>121</v>
      </c>
      <c r="B3138" s="143">
        <v>45870</v>
      </c>
      <c r="C3138" s="133" t="s">
        <v>1712</v>
      </c>
      <c r="D3138" s="133" t="s">
        <v>2532</v>
      </c>
      <c r="E3138" s="145" t="s">
        <v>1118</v>
      </c>
      <c r="F3138" s="145">
        <v>916.5</v>
      </c>
      <c r="G3138" s="133" t="s">
        <v>1034</v>
      </c>
      <c r="H3138" s="144" t="s">
        <v>1341</v>
      </c>
      <c r="I3138" s="133" t="s">
        <v>1092</v>
      </c>
      <c r="J3138" s="133" t="s">
        <v>2570</v>
      </c>
      <c r="K3138" s="143">
        <v>45901</v>
      </c>
      <c r="L3138" s="133" t="s">
        <v>1092</v>
      </c>
      <c r="M3138" s="133">
        <v>916.5</v>
      </c>
      <c r="N3138" s="147">
        <f>+F3138+F3139+F3140-M3138-M3139-M3140-M3141</f>
        <v>0</v>
      </c>
      <c r="O3138" s="141"/>
      <c r="P3138" s="140"/>
    </row>
    <row r="3139" spans="1:16" hidden="1" x14ac:dyDescent="0.35">
      <c r="A3139" s="146"/>
      <c r="B3139" s="143"/>
      <c r="C3139" s="133"/>
      <c r="D3139" s="133"/>
      <c r="E3139" s="145" t="s">
        <v>1075</v>
      </c>
      <c r="F3139" s="145">
        <v>3965</v>
      </c>
      <c r="G3139" s="133" t="s">
        <v>1034</v>
      </c>
      <c r="H3139" s="144" t="s">
        <v>1341</v>
      </c>
      <c r="I3139" s="133" t="s">
        <v>1092</v>
      </c>
      <c r="J3139" s="133" t="s">
        <v>2592</v>
      </c>
      <c r="K3139" s="143">
        <v>45931</v>
      </c>
      <c r="L3139" s="133" t="s">
        <v>1092</v>
      </c>
      <c r="M3139" s="133">
        <v>3745</v>
      </c>
      <c r="N3139" s="147"/>
      <c r="P3139" s="140"/>
    </row>
    <row r="3140" spans="1:16" hidden="1" x14ac:dyDescent="0.35">
      <c r="A3140" s="146"/>
      <c r="B3140" s="143"/>
      <c r="C3140" s="133"/>
      <c r="D3140" s="133"/>
      <c r="E3140" s="145" t="s">
        <v>1342</v>
      </c>
      <c r="F3140" s="145">
        <v>2715</v>
      </c>
      <c r="G3140" s="133" t="s">
        <v>1034</v>
      </c>
      <c r="H3140" s="144" t="s">
        <v>1341</v>
      </c>
      <c r="I3140" s="133" t="s">
        <v>1092</v>
      </c>
      <c r="J3140" s="133" t="s">
        <v>2595</v>
      </c>
      <c r="K3140" s="143">
        <v>45931</v>
      </c>
      <c r="L3140" s="133" t="s">
        <v>1092</v>
      </c>
      <c r="M3140" s="133">
        <v>2715</v>
      </c>
      <c r="N3140" s="147"/>
      <c r="P3140" s="140"/>
    </row>
    <row r="3141" spans="1:16" hidden="1" x14ac:dyDescent="0.35">
      <c r="A3141" s="146"/>
      <c r="B3141" s="143"/>
      <c r="C3141" s="133"/>
      <c r="D3141" s="133"/>
      <c r="E3141" s="145"/>
      <c r="F3141" s="145"/>
      <c r="G3141" s="133" t="s">
        <v>1034</v>
      </c>
      <c r="H3141" s="144" t="s">
        <v>1341</v>
      </c>
      <c r="I3141" s="133" t="s">
        <v>1092</v>
      </c>
      <c r="J3141" s="133" t="s">
        <v>2596</v>
      </c>
      <c r="K3141" s="143">
        <v>45931</v>
      </c>
      <c r="L3141" s="133" t="s">
        <v>1241</v>
      </c>
      <c r="M3141" s="133">
        <v>220</v>
      </c>
      <c r="N3141" s="147"/>
      <c r="P3141" s="140"/>
    </row>
    <row r="3142" spans="1:16" hidden="1" x14ac:dyDescent="0.35">
      <c r="A3142" s="146"/>
      <c r="B3142" s="143"/>
      <c r="C3142" s="133"/>
      <c r="D3142" s="133"/>
      <c r="E3142" s="145"/>
      <c r="F3142" s="145"/>
      <c r="G3142" s="133"/>
      <c r="H3142" s="144"/>
      <c r="I3142" s="133"/>
      <c r="J3142" s="133"/>
      <c r="K3142" s="143"/>
      <c r="L3142" s="133"/>
      <c r="M3142" s="133"/>
      <c r="N3142" s="147"/>
      <c r="P3142" s="140"/>
    </row>
    <row r="3143" spans="1:16" hidden="1" x14ac:dyDescent="0.35">
      <c r="A3143" s="149">
        <v>122</v>
      </c>
      <c r="B3143" s="143">
        <v>45870</v>
      </c>
      <c r="C3143" s="133" t="s">
        <v>1711</v>
      </c>
      <c r="D3143" s="133" t="s">
        <v>2531</v>
      </c>
      <c r="E3143" s="145" t="s">
        <v>678</v>
      </c>
      <c r="F3143" s="145">
        <v>6113.64</v>
      </c>
      <c r="G3143" s="133" t="s">
        <v>1034</v>
      </c>
      <c r="H3143" s="144" t="s">
        <v>1341</v>
      </c>
      <c r="I3143" s="133" t="s">
        <v>1092</v>
      </c>
      <c r="J3143" s="133" t="s">
        <v>2570</v>
      </c>
      <c r="K3143" s="143">
        <v>45901</v>
      </c>
      <c r="L3143" s="133" t="s">
        <v>1092</v>
      </c>
      <c r="M3143" s="133">
        <v>6875.64</v>
      </c>
      <c r="N3143" s="147">
        <f>+F3143+F3144+F3145-M3143-M3144</f>
        <v>0</v>
      </c>
      <c r="O3143" s="141"/>
      <c r="P3143" s="140"/>
    </row>
    <row r="3144" spans="1:16" hidden="1" x14ac:dyDescent="0.35">
      <c r="A3144" s="146"/>
      <c r="B3144" s="143"/>
      <c r="C3144" s="133"/>
      <c r="D3144" s="133"/>
      <c r="E3144" s="145" t="s">
        <v>1067</v>
      </c>
      <c r="F3144" s="145">
        <v>263</v>
      </c>
      <c r="G3144" s="133" t="s">
        <v>1034</v>
      </c>
      <c r="H3144" s="144" t="s">
        <v>1341</v>
      </c>
      <c r="I3144" s="133" t="s">
        <v>1092</v>
      </c>
      <c r="J3144" s="133" t="s">
        <v>2596</v>
      </c>
      <c r="K3144" s="143">
        <v>45931</v>
      </c>
      <c r="L3144" s="133" t="s">
        <v>1241</v>
      </c>
      <c r="M3144" s="133">
        <v>190</v>
      </c>
      <c r="N3144" s="147"/>
      <c r="P3144" s="140"/>
    </row>
    <row r="3145" spans="1:16" hidden="1" x14ac:dyDescent="0.35">
      <c r="A3145" s="146"/>
      <c r="B3145" s="143"/>
      <c r="C3145" s="133"/>
      <c r="D3145" s="133"/>
      <c r="E3145" s="145" t="s">
        <v>1342</v>
      </c>
      <c r="F3145" s="145">
        <v>689</v>
      </c>
      <c r="G3145" s="133"/>
      <c r="H3145" s="144"/>
      <c r="I3145" s="133"/>
      <c r="J3145" s="133"/>
      <c r="K3145" s="133"/>
      <c r="L3145" s="133"/>
      <c r="M3145" s="133"/>
      <c r="N3145" s="147"/>
      <c r="P3145" s="140"/>
    </row>
    <row r="3146" spans="1:16" hidden="1" x14ac:dyDescent="0.35">
      <c r="A3146" s="146"/>
      <c r="B3146" s="143"/>
      <c r="C3146" s="133"/>
      <c r="D3146" s="133"/>
      <c r="E3146" s="145"/>
      <c r="F3146" s="145"/>
      <c r="G3146" s="133"/>
      <c r="H3146" s="144"/>
      <c r="I3146" s="133"/>
      <c r="J3146" s="133"/>
      <c r="K3146" s="133"/>
      <c r="L3146" s="133"/>
      <c r="M3146" s="133"/>
      <c r="N3146" s="147"/>
      <c r="P3146" s="140"/>
    </row>
    <row r="3147" spans="1:16" hidden="1" x14ac:dyDescent="0.35">
      <c r="A3147" s="156"/>
      <c r="B3147" s="152"/>
      <c r="C3147" s="151"/>
      <c r="D3147" s="151"/>
      <c r="E3147" s="154"/>
      <c r="F3147" s="154"/>
      <c r="G3147" s="151"/>
      <c r="H3147" s="153"/>
      <c r="I3147" s="151"/>
      <c r="J3147" s="151"/>
      <c r="K3147" s="151"/>
      <c r="L3147" s="151"/>
      <c r="M3147" s="151"/>
      <c r="N3147" s="151"/>
      <c r="P3147" s="140"/>
    </row>
    <row r="3148" spans="1:16" hidden="1" x14ac:dyDescent="0.35">
      <c r="A3148" s="146"/>
      <c r="B3148" s="143"/>
      <c r="C3148" s="133"/>
      <c r="D3148" s="133"/>
      <c r="E3148" s="145"/>
      <c r="F3148" s="145"/>
      <c r="G3148" s="133"/>
      <c r="H3148" s="144"/>
      <c r="I3148" s="133"/>
      <c r="J3148" s="133"/>
      <c r="K3148" s="133"/>
      <c r="L3148" s="133"/>
      <c r="M3148" s="133"/>
      <c r="N3148" s="147"/>
      <c r="P3148" s="140"/>
    </row>
    <row r="3149" spans="1:16" hidden="1" x14ac:dyDescent="0.35">
      <c r="A3149" s="149">
        <v>123</v>
      </c>
      <c r="B3149" s="143">
        <v>45901</v>
      </c>
      <c r="C3149" s="133" t="s">
        <v>1708</v>
      </c>
      <c r="D3149" s="133" t="s">
        <v>2535</v>
      </c>
      <c r="E3149" s="145" t="s">
        <v>1342</v>
      </c>
      <c r="F3149" s="145">
        <v>2093</v>
      </c>
      <c r="G3149" s="133" t="s">
        <v>1034</v>
      </c>
      <c r="H3149" s="144" t="s">
        <v>1341</v>
      </c>
      <c r="I3149" s="133" t="s">
        <v>1092</v>
      </c>
      <c r="J3149" s="133" t="s">
        <v>2592</v>
      </c>
      <c r="K3149" s="143">
        <v>45931</v>
      </c>
      <c r="L3149" s="133" t="s">
        <v>1092</v>
      </c>
      <c r="M3149" s="133">
        <v>8437</v>
      </c>
      <c r="N3149" s="147">
        <f>+F3149+F3150-M3149-M3150+F3151</f>
        <v>0</v>
      </c>
      <c r="O3149" s="141"/>
      <c r="P3149" s="140"/>
    </row>
    <row r="3150" spans="1:16" hidden="1" x14ac:dyDescent="0.35">
      <c r="A3150" s="146"/>
      <c r="B3150" s="143"/>
      <c r="C3150" s="133"/>
      <c r="D3150" s="133"/>
      <c r="E3150" s="145" t="s">
        <v>1067</v>
      </c>
      <c r="F3150" s="145">
        <v>580</v>
      </c>
      <c r="G3150" s="133" t="s">
        <v>1034</v>
      </c>
      <c r="H3150" s="144" t="s">
        <v>1341</v>
      </c>
      <c r="I3150" s="133" t="s">
        <v>1092</v>
      </c>
      <c r="J3150" s="133" t="s">
        <v>2596</v>
      </c>
      <c r="K3150" s="143">
        <v>45931</v>
      </c>
      <c r="L3150" s="133" t="s">
        <v>1241</v>
      </c>
      <c r="M3150" s="133">
        <v>210</v>
      </c>
      <c r="N3150" s="147"/>
      <c r="P3150" s="140"/>
    </row>
    <row r="3151" spans="1:16" hidden="1" x14ac:dyDescent="0.35">
      <c r="A3151" s="146"/>
      <c r="B3151" s="143"/>
      <c r="C3151" s="133"/>
      <c r="D3151" s="133"/>
      <c r="E3151" s="145" t="s">
        <v>1075</v>
      </c>
      <c r="F3151" s="145">
        <v>5974</v>
      </c>
      <c r="G3151" s="133"/>
      <c r="H3151" s="144"/>
      <c r="I3151" s="133"/>
      <c r="J3151" s="133"/>
      <c r="K3151" s="133"/>
      <c r="L3151" s="133"/>
      <c r="M3151" s="133"/>
      <c r="N3151" s="147"/>
      <c r="P3151" s="140"/>
    </row>
    <row r="3152" spans="1:16" hidden="1" x14ac:dyDescent="0.35">
      <c r="A3152" s="146"/>
      <c r="B3152" s="143"/>
      <c r="C3152" s="133"/>
      <c r="D3152" s="133"/>
      <c r="E3152" s="145"/>
      <c r="F3152" s="145"/>
      <c r="G3152" s="133"/>
      <c r="H3152" s="144"/>
      <c r="I3152" s="133"/>
      <c r="J3152" s="133"/>
      <c r="K3152" s="133"/>
      <c r="L3152" s="133"/>
      <c r="M3152" s="133"/>
      <c r="N3152" s="147"/>
      <c r="P3152" s="140"/>
    </row>
    <row r="3153" spans="1:16" hidden="1" x14ac:dyDescent="0.35">
      <c r="A3153" s="149">
        <v>124</v>
      </c>
      <c r="B3153" s="143">
        <v>45901</v>
      </c>
      <c r="C3153" s="133" t="s">
        <v>1707</v>
      </c>
      <c r="D3153" s="133" t="s">
        <v>2536</v>
      </c>
      <c r="E3153" s="145" t="s">
        <v>1342</v>
      </c>
      <c r="F3153" s="145">
        <v>358</v>
      </c>
      <c r="G3153" s="133" t="s">
        <v>1034</v>
      </c>
      <c r="H3153" s="144" t="s">
        <v>1341</v>
      </c>
      <c r="I3153" s="133" t="s">
        <v>1092</v>
      </c>
      <c r="J3153" s="133" t="s">
        <v>2576</v>
      </c>
      <c r="K3153" s="143">
        <v>45931</v>
      </c>
      <c r="L3153" s="133" t="s">
        <v>1092</v>
      </c>
      <c r="M3153" s="133">
        <v>1904.2</v>
      </c>
      <c r="N3153" s="147">
        <f>+F3153+F3154-M3153-M3154-M3155+F3155+F3156</f>
        <v>0</v>
      </c>
      <c r="O3153" s="141"/>
      <c r="P3153" s="140"/>
    </row>
    <row r="3154" spans="1:16" hidden="1" x14ac:dyDescent="0.35">
      <c r="A3154" s="146"/>
      <c r="B3154" s="143"/>
      <c r="C3154" s="133"/>
      <c r="D3154" s="133"/>
      <c r="E3154" s="145" t="s">
        <v>1067</v>
      </c>
      <c r="F3154" s="145">
        <v>889</v>
      </c>
      <c r="G3154" s="133" t="s">
        <v>1034</v>
      </c>
      <c r="H3154" s="144" t="s">
        <v>1341</v>
      </c>
      <c r="I3154" s="133" t="s">
        <v>1092</v>
      </c>
      <c r="J3154" s="133" t="s">
        <v>2592</v>
      </c>
      <c r="K3154" s="143">
        <v>45931</v>
      </c>
      <c r="L3154" s="133" t="s">
        <v>1092</v>
      </c>
      <c r="M3154" s="133">
        <f>1380.3+889+238</f>
        <v>2507.3000000000002</v>
      </c>
      <c r="N3154" s="147"/>
      <c r="P3154" s="140"/>
    </row>
    <row r="3155" spans="1:16" hidden="1" x14ac:dyDescent="0.35">
      <c r="A3155" s="146"/>
      <c r="B3155" s="143"/>
      <c r="C3155" s="133"/>
      <c r="D3155" s="133"/>
      <c r="E3155" s="145" t="s">
        <v>1064</v>
      </c>
      <c r="F3155" s="145">
        <v>1380.3</v>
      </c>
      <c r="G3155" s="133" t="s">
        <v>1034</v>
      </c>
      <c r="H3155" s="144" t="s">
        <v>1341</v>
      </c>
      <c r="I3155" s="133" t="s">
        <v>1092</v>
      </c>
      <c r="J3155" s="133" t="s">
        <v>2596</v>
      </c>
      <c r="K3155" s="143">
        <v>45931</v>
      </c>
      <c r="L3155" s="133" t="s">
        <v>1241</v>
      </c>
      <c r="M3155" s="133">
        <v>120</v>
      </c>
      <c r="N3155" s="147"/>
      <c r="P3155" s="140"/>
    </row>
    <row r="3156" spans="1:16" hidden="1" x14ac:dyDescent="0.35">
      <c r="A3156" s="146"/>
      <c r="B3156" s="143"/>
      <c r="C3156" s="133"/>
      <c r="D3156" s="133"/>
      <c r="E3156" s="145" t="s">
        <v>1118</v>
      </c>
      <c r="F3156" s="145">
        <v>1904.2</v>
      </c>
      <c r="G3156" s="133"/>
      <c r="H3156" s="144"/>
      <c r="I3156" s="133"/>
      <c r="J3156" s="133"/>
      <c r="K3156" s="133"/>
      <c r="L3156" s="133"/>
      <c r="M3156" s="133"/>
      <c r="N3156" s="147"/>
      <c r="P3156" s="140"/>
    </row>
    <row r="3157" spans="1:16" hidden="1" x14ac:dyDescent="0.35">
      <c r="A3157" s="146"/>
      <c r="B3157" s="143"/>
      <c r="C3157" s="133"/>
      <c r="D3157" s="133"/>
      <c r="E3157" s="145"/>
      <c r="F3157" s="145"/>
      <c r="G3157" s="133"/>
      <c r="H3157" s="144"/>
      <c r="I3157" s="133"/>
      <c r="J3157" s="133"/>
      <c r="K3157" s="133"/>
      <c r="L3157" s="133"/>
      <c r="M3157" s="133"/>
      <c r="N3157" s="147"/>
      <c r="P3157" s="140"/>
    </row>
    <row r="3158" spans="1:16" hidden="1" x14ac:dyDescent="0.35">
      <c r="A3158" s="149">
        <v>125</v>
      </c>
      <c r="B3158" s="143">
        <v>45901</v>
      </c>
      <c r="C3158" s="133" t="s">
        <v>1706</v>
      </c>
      <c r="D3158" s="133" t="s">
        <v>2538</v>
      </c>
      <c r="E3158" s="145" t="s">
        <v>1342</v>
      </c>
      <c r="F3158" s="145">
        <v>4207</v>
      </c>
      <c r="G3158" s="133" t="s">
        <v>1034</v>
      </c>
      <c r="H3158" s="144" t="s">
        <v>1341</v>
      </c>
      <c r="I3158" s="133" t="s">
        <v>1092</v>
      </c>
      <c r="J3158" s="133" t="s">
        <v>2592</v>
      </c>
      <c r="K3158" s="143">
        <v>45931</v>
      </c>
      <c r="L3158" s="133" t="s">
        <v>1092</v>
      </c>
      <c r="M3158" s="133">
        <v>1304</v>
      </c>
      <c r="N3158" s="147">
        <f>+F3158+F3159-M3158-M3159-M3160+F3160</f>
        <v>0</v>
      </c>
      <c r="O3158" s="141"/>
      <c r="P3158" s="140"/>
    </row>
    <row r="3159" spans="1:16" hidden="1" x14ac:dyDescent="0.35">
      <c r="A3159" s="146"/>
      <c r="B3159" s="143"/>
      <c r="C3159" s="133"/>
      <c r="D3159" s="133"/>
      <c r="E3159" s="145" t="s">
        <v>1067</v>
      </c>
      <c r="F3159" s="145">
        <v>1304</v>
      </c>
      <c r="G3159" s="133" t="s">
        <v>1034</v>
      </c>
      <c r="H3159" s="144" t="s">
        <v>1341</v>
      </c>
      <c r="I3159" s="133" t="s">
        <v>1092</v>
      </c>
      <c r="J3159" s="133" t="s">
        <v>2595</v>
      </c>
      <c r="K3159" s="143">
        <v>45931</v>
      </c>
      <c r="L3159" s="133" t="s">
        <v>1092</v>
      </c>
      <c r="M3159" s="133">
        <v>8464</v>
      </c>
      <c r="N3159" s="147"/>
      <c r="P3159" s="140"/>
    </row>
    <row r="3160" spans="1:16" hidden="1" x14ac:dyDescent="0.35">
      <c r="A3160" s="146"/>
      <c r="B3160" s="143"/>
      <c r="C3160" s="133"/>
      <c r="D3160" s="133"/>
      <c r="E3160" s="145" t="s">
        <v>1075</v>
      </c>
      <c r="F3160" s="145">
        <v>4547</v>
      </c>
      <c r="G3160" s="133" t="s">
        <v>1034</v>
      </c>
      <c r="H3160" s="144" t="s">
        <v>1341</v>
      </c>
      <c r="I3160" s="133" t="s">
        <v>1092</v>
      </c>
      <c r="J3160" s="133" t="s">
        <v>2596</v>
      </c>
      <c r="K3160" s="143">
        <v>45931</v>
      </c>
      <c r="L3160" s="133" t="s">
        <v>1241</v>
      </c>
      <c r="M3160" s="133">
        <v>290</v>
      </c>
      <c r="N3160" s="147"/>
      <c r="P3160" s="140"/>
    </row>
    <row r="3161" spans="1:16" hidden="1" x14ac:dyDescent="0.35">
      <c r="A3161" s="146"/>
      <c r="B3161" s="143"/>
      <c r="C3161" s="133"/>
      <c r="D3161" s="133"/>
      <c r="E3161" s="145"/>
      <c r="F3161" s="145"/>
      <c r="G3161" s="133"/>
      <c r="H3161" s="144"/>
      <c r="I3161" s="133"/>
      <c r="J3161" s="133"/>
      <c r="K3161" s="133"/>
      <c r="L3161" s="133"/>
      <c r="M3161" s="133"/>
      <c r="N3161" s="147"/>
      <c r="P3161" s="140"/>
    </row>
    <row r="3162" spans="1:16" hidden="1" x14ac:dyDescent="0.35">
      <c r="A3162" s="149">
        <v>126</v>
      </c>
      <c r="B3162" s="143">
        <v>45901</v>
      </c>
      <c r="C3162" s="133" t="s">
        <v>1704</v>
      </c>
      <c r="D3162" s="133" t="s">
        <v>2537</v>
      </c>
      <c r="E3162" s="145" t="s">
        <v>1342</v>
      </c>
      <c r="F3162" s="145">
        <v>4251</v>
      </c>
      <c r="G3162" s="133" t="s">
        <v>1034</v>
      </c>
      <c r="H3162" s="144" t="s">
        <v>1341</v>
      </c>
      <c r="I3162" s="133" t="s">
        <v>1092</v>
      </c>
      <c r="J3162" s="133" t="s">
        <v>2592</v>
      </c>
      <c r="K3162" s="143">
        <v>45931</v>
      </c>
      <c r="L3162" s="133" t="s">
        <v>1092</v>
      </c>
      <c r="M3162" s="133">
        <v>4228</v>
      </c>
      <c r="N3162" s="147">
        <f>+F3162+F3163-M3162-M3163-M3164</f>
        <v>0</v>
      </c>
      <c r="O3162" s="141"/>
      <c r="P3162" s="140"/>
    </row>
    <row r="3163" spans="1:16" hidden="1" x14ac:dyDescent="0.35">
      <c r="A3163" s="146"/>
      <c r="B3163" s="143"/>
      <c r="C3163" s="133"/>
      <c r="D3163" s="133"/>
      <c r="E3163" s="145" t="s">
        <v>1067</v>
      </c>
      <c r="F3163" s="145">
        <v>4228</v>
      </c>
      <c r="G3163" s="133" t="s">
        <v>1034</v>
      </c>
      <c r="H3163" s="144" t="s">
        <v>1341</v>
      </c>
      <c r="I3163" s="133" t="s">
        <v>1092</v>
      </c>
      <c r="J3163" s="133" t="s">
        <v>2595</v>
      </c>
      <c r="K3163" s="143">
        <v>45931</v>
      </c>
      <c r="L3163" s="133" t="s">
        <v>1092</v>
      </c>
      <c r="M3163" s="133">
        <v>4001</v>
      </c>
      <c r="N3163" s="147"/>
      <c r="P3163" s="140"/>
    </row>
    <row r="3164" spans="1:16" hidden="1" x14ac:dyDescent="0.35">
      <c r="A3164" s="146"/>
      <c r="B3164" s="143"/>
      <c r="C3164" s="133"/>
      <c r="D3164" s="133"/>
      <c r="E3164" s="145"/>
      <c r="F3164" s="145"/>
      <c r="G3164" s="133" t="s">
        <v>1034</v>
      </c>
      <c r="H3164" s="144" t="s">
        <v>1341</v>
      </c>
      <c r="I3164" s="133" t="s">
        <v>1092</v>
      </c>
      <c r="J3164" s="133" t="s">
        <v>2596</v>
      </c>
      <c r="K3164" s="143">
        <v>45931</v>
      </c>
      <c r="L3164" s="133" t="s">
        <v>1241</v>
      </c>
      <c r="M3164" s="133">
        <v>250</v>
      </c>
      <c r="N3164" s="147"/>
      <c r="P3164" s="140"/>
    </row>
    <row r="3165" spans="1:16" hidden="1" x14ac:dyDescent="0.35">
      <c r="A3165" s="146"/>
      <c r="B3165" s="143"/>
      <c r="C3165" s="133"/>
      <c r="D3165" s="133"/>
      <c r="E3165" s="145"/>
      <c r="F3165" s="145"/>
      <c r="G3165" s="133"/>
      <c r="H3165" s="144"/>
      <c r="I3165" s="133"/>
      <c r="J3165" s="133"/>
      <c r="K3165" s="143"/>
      <c r="L3165" s="133"/>
      <c r="M3165" s="133"/>
      <c r="N3165" s="147"/>
      <c r="P3165" s="140"/>
    </row>
    <row r="3166" spans="1:16" hidden="1" x14ac:dyDescent="0.35">
      <c r="A3166" s="149">
        <v>127</v>
      </c>
      <c r="B3166" s="143">
        <v>45901</v>
      </c>
      <c r="C3166" s="133" t="s">
        <v>1702</v>
      </c>
      <c r="D3166" s="133" t="s">
        <v>2537</v>
      </c>
      <c r="E3166" s="145" t="s">
        <v>1064</v>
      </c>
      <c r="F3166" s="145">
        <v>1875.9</v>
      </c>
      <c r="G3166" s="133" t="s">
        <v>1034</v>
      </c>
      <c r="H3166" s="144" t="s">
        <v>1341</v>
      </c>
      <c r="I3166" s="133" t="s">
        <v>1092</v>
      </c>
      <c r="J3166" s="133" t="s">
        <v>2592</v>
      </c>
      <c r="K3166" s="143">
        <v>45931</v>
      </c>
      <c r="L3166" s="133" t="s">
        <v>1092</v>
      </c>
      <c r="M3166" s="133">
        <v>1875.9</v>
      </c>
      <c r="N3166" s="147">
        <f>+F3166+F3167-M3166-M3167-M3168</f>
        <v>0</v>
      </c>
      <c r="O3166" s="141"/>
      <c r="P3166" s="140"/>
    </row>
    <row r="3167" spans="1:16" hidden="1" x14ac:dyDescent="0.35">
      <c r="A3167" s="146"/>
      <c r="B3167" s="143"/>
      <c r="C3167" s="133"/>
      <c r="D3167" s="133"/>
      <c r="E3167" s="145" t="s">
        <v>1075</v>
      </c>
      <c r="F3167" s="145">
        <v>7935</v>
      </c>
      <c r="G3167" s="133" t="s">
        <v>1034</v>
      </c>
      <c r="H3167" s="144" t="s">
        <v>1341</v>
      </c>
      <c r="I3167" s="133" t="s">
        <v>1092</v>
      </c>
      <c r="J3167" s="133" t="s">
        <v>2595</v>
      </c>
      <c r="K3167" s="143">
        <v>45931</v>
      </c>
      <c r="L3167" s="133" t="s">
        <v>1092</v>
      </c>
      <c r="M3167" s="133">
        <v>7674</v>
      </c>
      <c r="N3167" s="147"/>
      <c r="P3167" s="140"/>
    </row>
    <row r="3168" spans="1:16" hidden="1" x14ac:dyDescent="0.35">
      <c r="A3168" s="146"/>
      <c r="B3168" s="143"/>
      <c r="C3168" s="133"/>
      <c r="D3168" s="133"/>
      <c r="E3168" s="145"/>
      <c r="F3168" s="145"/>
      <c r="G3168" s="133" t="s">
        <v>1034</v>
      </c>
      <c r="H3168" s="144" t="s">
        <v>1341</v>
      </c>
      <c r="I3168" s="133" t="s">
        <v>1092</v>
      </c>
      <c r="J3168" s="133" t="s">
        <v>2596</v>
      </c>
      <c r="K3168" s="143">
        <v>45931</v>
      </c>
      <c r="L3168" s="133" t="s">
        <v>1241</v>
      </c>
      <c r="M3168" s="133">
        <v>261</v>
      </c>
      <c r="N3168" s="147"/>
      <c r="P3168" s="140"/>
    </row>
    <row r="3169" spans="1:16" hidden="1" x14ac:dyDescent="0.35">
      <c r="A3169" s="146"/>
      <c r="B3169" s="143"/>
      <c r="C3169" s="133"/>
      <c r="D3169" s="133"/>
      <c r="E3169" s="145"/>
      <c r="F3169" s="145"/>
      <c r="G3169" s="133"/>
      <c r="H3169" s="144"/>
      <c r="I3169" s="133"/>
      <c r="J3169" s="133"/>
      <c r="K3169" s="133"/>
      <c r="L3169" s="133"/>
      <c r="M3169" s="133"/>
      <c r="N3169" s="147"/>
      <c r="P3169" s="140"/>
    </row>
    <row r="3170" spans="1:16" hidden="1" x14ac:dyDescent="0.35">
      <c r="A3170" s="149">
        <v>128</v>
      </c>
      <c r="B3170" s="143">
        <v>45901</v>
      </c>
      <c r="C3170" s="133" t="s">
        <v>1701</v>
      </c>
      <c r="D3170" s="133" t="s">
        <v>2539</v>
      </c>
      <c r="E3170" s="148" t="s">
        <v>1059</v>
      </c>
      <c r="F3170" s="145">
        <v>84000</v>
      </c>
      <c r="G3170" s="133" t="s">
        <v>1034</v>
      </c>
      <c r="H3170" s="144" t="s">
        <v>1341</v>
      </c>
      <c r="I3170" s="133" t="s">
        <v>1092</v>
      </c>
      <c r="J3170" s="133" t="s">
        <v>2549</v>
      </c>
      <c r="K3170" s="143">
        <v>45901</v>
      </c>
      <c r="L3170" s="133" t="s">
        <v>1092</v>
      </c>
      <c r="M3170" s="133">
        <v>34523.629999999997</v>
      </c>
      <c r="N3170" s="147">
        <f>+F3170-M3170-M3171-M3172-M3173-M3174</f>
        <v>0</v>
      </c>
      <c r="O3170" s="141"/>
      <c r="P3170" s="140"/>
    </row>
    <row r="3171" spans="1:16" hidden="1" x14ac:dyDescent="0.35">
      <c r="A3171" s="146"/>
      <c r="B3171" s="143"/>
      <c r="C3171" s="133"/>
      <c r="D3171" s="133"/>
      <c r="E3171" s="145"/>
      <c r="F3171" s="145"/>
      <c r="G3171" s="133" t="s">
        <v>1034</v>
      </c>
      <c r="H3171" s="144" t="s">
        <v>1341</v>
      </c>
      <c r="I3171" s="133" t="s">
        <v>1092</v>
      </c>
      <c r="J3171" s="133" t="s">
        <v>2552</v>
      </c>
      <c r="K3171" s="143">
        <v>45901</v>
      </c>
      <c r="L3171" s="133" t="s">
        <v>1092</v>
      </c>
      <c r="M3171" s="133">
        <v>25602.560000000001</v>
      </c>
      <c r="N3171" s="147"/>
      <c r="P3171" s="140"/>
    </row>
    <row r="3172" spans="1:16" hidden="1" x14ac:dyDescent="0.35">
      <c r="A3172" s="146"/>
      <c r="B3172" s="143"/>
      <c r="C3172" s="133"/>
      <c r="D3172" s="133"/>
      <c r="E3172" s="145"/>
      <c r="F3172" s="145"/>
      <c r="G3172" s="133" t="s">
        <v>1034</v>
      </c>
      <c r="H3172" s="144" t="s">
        <v>1341</v>
      </c>
      <c r="I3172" s="133" t="s">
        <v>1092</v>
      </c>
      <c r="J3172" s="133" t="s">
        <v>2553</v>
      </c>
      <c r="K3172" s="143">
        <v>45901</v>
      </c>
      <c r="L3172" s="133" t="s">
        <v>1241</v>
      </c>
      <c r="M3172" s="133">
        <v>1873</v>
      </c>
      <c r="N3172" s="147"/>
      <c r="P3172" s="140"/>
    </row>
    <row r="3173" spans="1:16" hidden="1" x14ac:dyDescent="0.35">
      <c r="A3173" s="146"/>
      <c r="B3173" s="143"/>
      <c r="C3173" s="133"/>
      <c r="D3173" s="133"/>
      <c r="E3173" s="145"/>
      <c r="F3173" s="145"/>
      <c r="G3173" s="133" t="s">
        <v>1034</v>
      </c>
      <c r="H3173" s="144" t="s">
        <v>1341</v>
      </c>
      <c r="I3173" s="133" t="s">
        <v>1092</v>
      </c>
      <c r="J3173" s="133" t="s">
        <v>2566</v>
      </c>
      <c r="K3173" s="143">
        <v>45901</v>
      </c>
      <c r="L3173" s="133" t="s">
        <v>1092</v>
      </c>
      <c r="M3173" s="133">
        <v>19590.810000000001</v>
      </c>
      <c r="N3173" s="147"/>
      <c r="P3173" s="140"/>
    </row>
    <row r="3174" spans="1:16" hidden="1" x14ac:dyDescent="0.35">
      <c r="A3174" s="146"/>
      <c r="B3174" s="143"/>
      <c r="C3174" s="133"/>
      <c r="D3174" s="133"/>
      <c r="E3174" s="145"/>
      <c r="F3174" s="145"/>
      <c r="G3174" s="133" t="s">
        <v>1034</v>
      </c>
      <c r="H3174" s="144" t="s">
        <v>1341</v>
      </c>
      <c r="I3174" s="133" t="s">
        <v>1092</v>
      </c>
      <c r="J3174" s="133" t="s">
        <v>2570</v>
      </c>
      <c r="K3174" s="143">
        <v>45901</v>
      </c>
      <c r="L3174" s="133" t="s">
        <v>1092</v>
      </c>
      <c r="M3174" s="133">
        <v>2410</v>
      </c>
      <c r="N3174" s="147"/>
      <c r="P3174" s="140"/>
    </row>
    <row r="3175" spans="1:16" hidden="1" x14ac:dyDescent="0.35">
      <c r="A3175" s="146"/>
      <c r="B3175" s="143"/>
      <c r="C3175" s="133"/>
      <c r="D3175" s="133"/>
      <c r="E3175" s="145"/>
      <c r="F3175" s="145"/>
      <c r="G3175" s="133"/>
      <c r="H3175" s="144"/>
      <c r="I3175" s="133"/>
      <c r="J3175" s="133"/>
      <c r="K3175" s="143"/>
      <c r="L3175" s="133"/>
      <c r="M3175" s="133"/>
      <c r="N3175" s="259"/>
      <c r="P3175" s="140"/>
    </row>
    <row r="3176" spans="1:16" hidden="1" x14ac:dyDescent="0.35">
      <c r="A3176" s="149">
        <v>129</v>
      </c>
      <c r="B3176" s="143">
        <v>45901</v>
      </c>
      <c r="C3176" s="133" t="s">
        <v>1700</v>
      </c>
      <c r="D3176" s="133" t="s">
        <v>2540</v>
      </c>
      <c r="E3176" s="145" t="s">
        <v>1342</v>
      </c>
      <c r="F3176" s="145">
        <v>7594</v>
      </c>
      <c r="G3176" s="133" t="s">
        <v>1034</v>
      </c>
      <c r="H3176" s="144" t="s">
        <v>1341</v>
      </c>
      <c r="I3176" s="133" t="s">
        <v>1092</v>
      </c>
      <c r="J3176" s="133" t="s">
        <v>2576</v>
      </c>
      <c r="K3176" s="143">
        <v>45931</v>
      </c>
      <c r="L3176" s="133" t="s">
        <v>1092</v>
      </c>
      <c r="M3176" s="133">
        <v>2855.7</v>
      </c>
      <c r="N3176" s="259">
        <f>+F3176+F3177+F3178+F3179-M3176-M3177-M3178-M3179</f>
        <v>-9.0949470177292824E-13</v>
      </c>
      <c r="O3176" s="141"/>
      <c r="P3176" s="140"/>
    </row>
    <row r="3177" spans="1:16" hidden="1" x14ac:dyDescent="0.35">
      <c r="A3177" s="146"/>
      <c r="B3177" s="143"/>
      <c r="C3177" s="133"/>
      <c r="D3177" s="133"/>
      <c r="E3177" s="145" t="s">
        <v>1075</v>
      </c>
      <c r="F3177" s="145">
        <v>362.6</v>
      </c>
      <c r="G3177" s="133" t="s">
        <v>1034</v>
      </c>
      <c r="H3177" s="144" t="s">
        <v>1341</v>
      </c>
      <c r="I3177" s="133" t="s">
        <v>1092</v>
      </c>
      <c r="J3177" s="133" t="s">
        <v>2592</v>
      </c>
      <c r="K3177" s="143">
        <v>45931</v>
      </c>
      <c r="L3177" s="133" t="s">
        <v>1092</v>
      </c>
      <c r="M3177" s="133">
        <v>7398.2</v>
      </c>
      <c r="N3177" s="259"/>
      <c r="P3177" s="140"/>
    </row>
    <row r="3178" spans="1:16" hidden="1" x14ac:dyDescent="0.35">
      <c r="A3178" s="146"/>
      <c r="B3178" s="143"/>
      <c r="C3178" s="133"/>
      <c r="D3178" s="133"/>
      <c r="E3178" s="145" t="s">
        <v>1067</v>
      </c>
      <c r="F3178" s="145">
        <v>7398.2</v>
      </c>
      <c r="G3178" s="133" t="s">
        <v>1034</v>
      </c>
      <c r="H3178" s="144" t="s">
        <v>1341</v>
      </c>
      <c r="I3178" s="133" t="s">
        <v>1092</v>
      </c>
      <c r="J3178" s="133" t="s">
        <v>2595</v>
      </c>
      <c r="K3178" s="143">
        <v>45931</v>
      </c>
      <c r="L3178" s="133" t="s">
        <v>1092</v>
      </c>
      <c r="M3178" s="133">
        <v>7446.6</v>
      </c>
      <c r="N3178" s="259"/>
      <c r="P3178" s="140"/>
    </row>
    <row r="3179" spans="1:16" hidden="1" x14ac:dyDescent="0.35">
      <c r="A3179" s="146"/>
      <c r="B3179" s="143"/>
      <c r="C3179" s="133"/>
      <c r="D3179" s="133"/>
      <c r="E3179" s="145" t="s">
        <v>1118</v>
      </c>
      <c r="F3179" s="145">
        <v>2855.7</v>
      </c>
      <c r="G3179" s="133" t="s">
        <v>1034</v>
      </c>
      <c r="H3179" s="144" t="s">
        <v>1341</v>
      </c>
      <c r="I3179" s="133" t="s">
        <v>1092</v>
      </c>
      <c r="J3179" s="133" t="s">
        <v>2596</v>
      </c>
      <c r="K3179" s="143">
        <v>45931</v>
      </c>
      <c r="L3179" s="133" t="s">
        <v>1241</v>
      </c>
      <c r="M3179" s="133">
        <v>510</v>
      </c>
      <c r="N3179" s="259"/>
      <c r="P3179" s="140"/>
    </row>
    <row r="3180" spans="1:16" hidden="1" x14ac:dyDescent="0.35">
      <c r="A3180" s="146"/>
      <c r="B3180" s="143"/>
      <c r="C3180" s="133"/>
      <c r="D3180" s="133"/>
      <c r="E3180" s="145"/>
      <c r="F3180" s="145"/>
      <c r="G3180" s="133"/>
      <c r="H3180" s="144"/>
      <c r="I3180" s="133"/>
      <c r="J3180" s="133"/>
      <c r="K3180" s="133"/>
      <c r="L3180" s="133"/>
      <c r="M3180" s="133"/>
      <c r="N3180" s="259"/>
      <c r="P3180" s="140"/>
    </row>
    <row r="3181" spans="1:16" hidden="1" x14ac:dyDescent="0.35">
      <c r="A3181" s="149">
        <v>130</v>
      </c>
      <c r="B3181" s="143">
        <v>45901</v>
      </c>
      <c r="C3181" s="133" t="s">
        <v>1698</v>
      </c>
      <c r="D3181" s="133" t="s">
        <v>2541</v>
      </c>
      <c r="E3181" s="145" t="s">
        <v>1064</v>
      </c>
      <c r="F3181" s="145">
        <v>1459.2</v>
      </c>
      <c r="G3181" s="133" t="s">
        <v>1034</v>
      </c>
      <c r="H3181" s="144" t="s">
        <v>1341</v>
      </c>
      <c r="I3181" s="133" t="s">
        <v>1092</v>
      </c>
      <c r="J3181" s="133" t="s">
        <v>2595</v>
      </c>
      <c r="K3181" s="143">
        <v>45931</v>
      </c>
      <c r="L3181" s="133" t="s">
        <v>1092</v>
      </c>
      <c r="M3181" s="133">
        <v>5691.3</v>
      </c>
      <c r="N3181" s="259">
        <f>+F3181+F3182-M3181-M3182</f>
        <v>0</v>
      </c>
      <c r="O3181" s="141"/>
      <c r="P3181" s="140"/>
    </row>
    <row r="3182" spans="1:16" hidden="1" x14ac:dyDescent="0.35">
      <c r="A3182" s="146"/>
      <c r="B3182" s="143"/>
      <c r="C3182" s="133"/>
      <c r="D3182" s="133"/>
      <c r="E3182" s="145" t="s">
        <v>1075</v>
      </c>
      <c r="F3182" s="145">
        <v>4392.1000000000004</v>
      </c>
      <c r="G3182" s="133" t="s">
        <v>1034</v>
      </c>
      <c r="H3182" s="144" t="s">
        <v>1341</v>
      </c>
      <c r="I3182" s="133" t="s">
        <v>1092</v>
      </c>
      <c r="J3182" s="133" t="s">
        <v>2596</v>
      </c>
      <c r="K3182" s="143">
        <v>45931</v>
      </c>
      <c r="L3182" s="133" t="s">
        <v>1241</v>
      </c>
      <c r="M3182" s="133">
        <v>160</v>
      </c>
      <c r="N3182" s="259"/>
      <c r="P3182" s="140"/>
    </row>
    <row r="3183" spans="1:16" hidden="1" x14ac:dyDescent="0.35">
      <c r="A3183" s="146"/>
      <c r="B3183" s="143"/>
      <c r="C3183" s="133"/>
      <c r="D3183" s="133"/>
      <c r="E3183" s="145"/>
      <c r="F3183" s="145"/>
      <c r="G3183" s="133"/>
      <c r="H3183" s="144"/>
      <c r="I3183" s="133"/>
      <c r="J3183" s="133"/>
      <c r="K3183" s="133"/>
      <c r="L3183" s="133"/>
      <c r="M3183" s="133"/>
      <c r="N3183" s="259"/>
      <c r="P3183" s="140"/>
    </row>
    <row r="3184" spans="1:16" hidden="1" x14ac:dyDescent="0.35">
      <c r="A3184" s="149">
        <v>131</v>
      </c>
      <c r="B3184" s="143">
        <v>45901</v>
      </c>
      <c r="C3184" s="133" t="s">
        <v>1697</v>
      </c>
      <c r="D3184" s="133" t="s">
        <v>2541</v>
      </c>
      <c r="E3184" s="148" t="s">
        <v>1059</v>
      </c>
      <c r="F3184" s="145">
        <v>56000</v>
      </c>
      <c r="G3184" s="133" t="s">
        <v>1034</v>
      </c>
      <c r="H3184" s="144" t="s">
        <v>1341</v>
      </c>
      <c r="I3184" s="133" t="s">
        <v>1092</v>
      </c>
      <c r="J3184" s="133" t="s">
        <v>2566</v>
      </c>
      <c r="K3184" s="143">
        <v>45901</v>
      </c>
      <c r="L3184" s="133" t="s">
        <v>1092</v>
      </c>
      <c r="M3184" s="133">
        <v>9520.19</v>
      </c>
      <c r="N3184" s="259">
        <f>+F3184-M3184-M3185-M3186-M3187</f>
        <v>-3.637978807091713E-12</v>
      </c>
      <c r="O3184" s="141"/>
      <c r="P3184" s="140"/>
    </row>
    <row r="3185" spans="1:16" hidden="1" x14ac:dyDescent="0.35">
      <c r="A3185" s="149"/>
      <c r="B3185" s="143"/>
      <c r="C3185" s="133"/>
      <c r="D3185" s="133"/>
      <c r="E3185" s="148"/>
      <c r="F3185" s="145"/>
      <c r="G3185" s="133" t="s">
        <v>1034</v>
      </c>
      <c r="H3185" s="144" t="s">
        <v>1341</v>
      </c>
      <c r="I3185" s="133" t="s">
        <v>1092</v>
      </c>
      <c r="J3185" s="133" t="s">
        <v>2570</v>
      </c>
      <c r="K3185" s="143">
        <v>45901</v>
      </c>
      <c r="L3185" s="133" t="s">
        <v>1092</v>
      </c>
      <c r="M3185" s="133">
        <v>24756.16</v>
      </c>
      <c r="N3185" s="259"/>
      <c r="O3185" s="141"/>
      <c r="P3185" s="140"/>
    </row>
    <row r="3186" spans="1:16" hidden="1" x14ac:dyDescent="0.35">
      <c r="A3186" s="149"/>
      <c r="B3186" s="143"/>
      <c r="C3186" s="133"/>
      <c r="D3186" s="133"/>
      <c r="E3186" s="148"/>
      <c r="F3186" s="145"/>
      <c r="G3186" s="133" t="s">
        <v>1034</v>
      </c>
      <c r="H3186" s="144" t="s">
        <v>1341</v>
      </c>
      <c r="I3186" s="133" t="s">
        <v>1092</v>
      </c>
      <c r="J3186" s="133" t="s">
        <v>2576</v>
      </c>
      <c r="K3186" s="143">
        <v>45931</v>
      </c>
      <c r="L3186" s="133" t="s">
        <v>1092</v>
      </c>
      <c r="M3186" s="133">
        <v>20043.650000000001</v>
      </c>
      <c r="N3186" s="259"/>
      <c r="O3186" s="141"/>
      <c r="P3186" s="140"/>
    </row>
    <row r="3187" spans="1:16" hidden="1" x14ac:dyDescent="0.35">
      <c r="A3187" s="149"/>
      <c r="B3187" s="143"/>
      <c r="C3187" s="133"/>
      <c r="D3187" s="133"/>
      <c r="E3187" s="148"/>
      <c r="F3187" s="145"/>
      <c r="G3187" s="133" t="s">
        <v>1034</v>
      </c>
      <c r="H3187" s="144" t="s">
        <v>1341</v>
      </c>
      <c r="I3187" s="133" t="s">
        <v>1092</v>
      </c>
      <c r="J3187" s="133" t="s">
        <v>2596</v>
      </c>
      <c r="K3187" s="143">
        <v>45931</v>
      </c>
      <c r="L3187" s="133" t="s">
        <v>1241</v>
      </c>
      <c r="M3187" s="133">
        <v>1680</v>
      </c>
      <c r="N3187" s="259"/>
      <c r="O3187" s="141"/>
      <c r="P3187" s="140"/>
    </row>
    <row r="3188" spans="1:16" hidden="1" x14ac:dyDescent="0.35">
      <c r="A3188" s="146"/>
      <c r="B3188" s="143"/>
      <c r="C3188" s="133"/>
      <c r="D3188" s="133"/>
      <c r="E3188" s="145"/>
      <c r="F3188" s="145"/>
      <c r="G3188" s="133"/>
      <c r="H3188" s="144"/>
      <c r="I3188" s="133"/>
      <c r="J3188" s="133"/>
      <c r="K3188" s="133"/>
      <c r="L3188" s="133"/>
      <c r="M3188" s="133"/>
      <c r="N3188" s="259"/>
      <c r="P3188" s="140"/>
    </row>
    <row r="3189" spans="1:16" hidden="1" x14ac:dyDescent="0.35">
      <c r="A3189" s="149">
        <v>132</v>
      </c>
      <c r="B3189" s="143">
        <v>45901</v>
      </c>
      <c r="C3189" s="133" t="s">
        <v>1695</v>
      </c>
      <c r="D3189" s="133" t="s">
        <v>2543</v>
      </c>
      <c r="E3189" s="148" t="s">
        <v>2376</v>
      </c>
      <c r="F3189" s="145">
        <v>3000</v>
      </c>
      <c r="G3189" s="133" t="s">
        <v>1034</v>
      </c>
      <c r="H3189" s="144" t="s">
        <v>1341</v>
      </c>
      <c r="I3189" s="133" t="s">
        <v>1092</v>
      </c>
      <c r="J3189" s="133" t="s">
        <v>2595</v>
      </c>
      <c r="K3189" s="143">
        <v>45931</v>
      </c>
      <c r="L3189" s="133" t="s">
        <v>1092</v>
      </c>
      <c r="M3189" s="133">
        <v>3000</v>
      </c>
      <c r="N3189" s="259">
        <f>+F3189-M3189</f>
        <v>0</v>
      </c>
      <c r="O3189" s="141"/>
      <c r="P3189" s="140"/>
    </row>
    <row r="3190" spans="1:16" hidden="1" x14ac:dyDescent="0.35">
      <c r="A3190" s="146"/>
      <c r="B3190" s="143"/>
      <c r="C3190" s="133"/>
      <c r="D3190" s="133"/>
      <c r="E3190" s="145"/>
      <c r="F3190" s="145"/>
      <c r="G3190" s="133"/>
      <c r="H3190" s="144"/>
      <c r="I3190" s="133"/>
      <c r="J3190" s="133"/>
      <c r="K3190" s="133"/>
      <c r="L3190" s="133"/>
      <c r="M3190" s="133"/>
      <c r="N3190" s="259"/>
      <c r="P3190" s="140"/>
    </row>
    <row r="3191" spans="1:16" hidden="1" x14ac:dyDescent="0.35">
      <c r="A3191" s="149">
        <v>133</v>
      </c>
      <c r="B3191" s="143">
        <v>45901</v>
      </c>
      <c r="C3191" s="133" t="s">
        <v>1693</v>
      </c>
      <c r="D3191" s="133" t="s">
        <v>2544</v>
      </c>
      <c r="E3191" s="145" t="s">
        <v>1118</v>
      </c>
      <c r="F3191" s="145">
        <v>3426.9</v>
      </c>
      <c r="G3191" s="133" t="s">
        <v>1034</v>
      </c>
      <c r="H3191" s="144" t="s">
        <v>1341</v>
      </c>
      <c r="I3191" s="133" t="s">
        <v>1092</v>
      </c>
      <c r="J3191" s="133" t="s">
        <v>2595</v>
      </c>
      <c r="K3191" s="143">
        <v>45931</v>
      </c>
      <c r="L3191" s="133" t="s">
        <v>1092</v>
      </c>
      <c r="M3191" s="133">
        <v>13433.7</v>
      </c>
      <c r="N3191" s="259">
        <f>+F3191+F3192+F3193-M3191-M3192</f>
        <v>0</v>
      </c>
      <c r="O3191" s="141"/>
      <c r="P3191" s="140"/>
    </row>
    <row r="3192" spans="1:16" hidden="1" x14ac:dyDescent="0.35">
      <c r="A3192" s="146"/>
      <c r="B3192" s="143"/>
      <c r="C3192" s="133"/>
      <c r="D3192" s="133"/>
      <c r="E3192" s="145" t="s">
        <v>1342</v>
      </c>
      <c r="F3192" s="145">
        <v>6949</v>
      </c>
      <c r="G3192" s="133" t="s">
        <v>1034</v>
      </c>
      <c r="H3192" s="144" t="s">
        <v>1341</v>
      </c>
      <c r="I3192" s="133" t="s">
        <v>1092</v>
      </c>
      <c r="J3192" s="133" t="s">
        <v>2596</v>
      </c>
      <c r="K3192" s="143">
        <v>45931</v>
      </c>
      <c r="L3192" s="133" t="s">
        <v>1241</v>
      </c>
      <c r="M3192" s="133">
        <v>391</v>
      </c>
      <c r="N3192" s="259"/>
      <c r="P3192" s="140"/>
    </row>
    <row r="3193" spans="1:16" hidden="1" x14ac:dyDescent="0.35">
      <c r="A3193" s="146"/>
      <c r="B3193" s="143"/>
      <c r="C3193" s="133"/>
      <c r="D3193" s="133"/>
      <c r="E3193" s="145" t="s">
        <v>1067</v>
      </c>
      <c r="F3193" s="145">
        <v>3448.8</v>
      </c>
      <c r="G3193" s="133"/>
      <c r="H3193" s="144"/>
      <c r="I3193" s="133"/>
      <c r="J3193" s="133"/>
      <c r="K3193" s="133"/>
      <c r="L3193" s="133"/>
      <c r="M3193" s="133"/>
      <c r="N3193" s="259"/>
      <c r="P3193" s="140"/>
    </row>
    <row r="3194" spans="1:16" hidden="1" x14ac:dyDescent="0.35">
      <c r="A3194" s="146"/>
      <c r="B3194" s="143"/>
      <c r="C3194" s="133"/>
      <c r="D3194" s="133"/>
      <c r="E3194" s="145"/>
      <c r="F3194" s="145"/>
      <c r="G3194" s="133"/>
      <c r="H3194" s="144"/>
      <c r="I3194" s="133"/>
      <c r="J3194" s="133"/>
      <c r="K3194" s="133"/>
      <c r="L3194" s="133"/>
      <c r="M3194" s="133"/>
      <c r="N3194" s="259"/>
      <c r="P3194" s="140"/>
    </row>
    <row r="3195" spans="1:16" hidden="1" x14ac:dyDescent="0.35">
      <c r="A3195" s="149">
        <v>134</v>
      </c>
      <c r="B3195" s="143">
        <v>45901</v>
      </c>
      <c r="C3195" s="133" t="s">
        <v>1692</v>
      </c>
      <c r="D3195" s="133" t="s">
        <v>2544</v>
      </c>
      <c r="E3195" s="148" t="s">
        <v>1059</v>
      </c>
      <c r="F3195" s="145">
        <v>56000</v>
      </c>
      <c r="G3195" s="133" t="s">
        <v>1034</v>
      </c>
      <c r="H3195" s="144" t="s">
        <v>1341</v>
      </c>
      <c r="I3195" s="133" t="s">
        <v>1092</v>
      </c>
      <c r="J3195" s="133" t="s">
        <v>2576</v>
      </c>
      <c r="K3195" s="143">
        <v>45931</v>
      </c>
      <c r="L3195" s="133" t="s">
        <v>1092</v>
      </c>
      <c r="M3195" s="133">
        <v>7725.51</v>
      </c>
      <c r="N3195" s="259">
        <f>+F3195-M3195-M3196-M3197</f>
        <v>0</v>
      </c>
      <c r="O3195" s="141"/>
      <c r="P3195" s="140"/>
    </row>
    <row r="3196" spans="1:16" hidden="1" x14ac:dyDescent="0.35">
      <c r="A3196" s="149"/>
      <c r="B3196" s="143"/>
      <c r="C3196" s="133"/>
      <c r="D3196" s="133"/>
      <c r="E3196" s="148"/>
      <c r="F3196" s="145"/>
      <c r="G3196" s="133" t="s">
        <v>1034</v>
      </c>
      <c r="H3196" s="144" t="s">
        <v>1341</v>
      </c>
      <c r="I3196" s="133" t="s">
        <v>1092</v>
      </c>
      <c r="J3196" s="133" t="s">
        <v>2592</v>
      </c>
      <c r="K3196" s="143">
        <v>45931</v>
      </c>
      <c r="L3196" s="133" t="s">
        <v>1092</v>
      </c>
      <c r="M3196" s="133">
        <v>46594.49</v>
      </c>
      <c r="N3196" s="259"/>
      <c r="O3196" s="141"/>
      <c r="P3196" s="140"/>
    </row>
    <row r="3197" spans="1:16" hidden="1" x14ac:dyDescent="0.35">
      <c r="A3197" s="149"/>
      <c r="B3197" s="143"/>
      <c r="C3197" s="133"/>
      <c r="D3197" s="133"/>
      <c r="E3197" s="148"/>
      <c r="F3197" s="145"/>
      <c r="G3197" s="133" t="s">
        <v>1034</v>
      </c>
      <c r="H3197" s="144" t="s">
        <v>1341</v>
      </c>
      <c r="I3197" s="133" t="s">
        <v>1092</v>
      </c>
      <c r="J3197" s="133" t="s">
        <v>2596</v>
      </c>
      <c r="K3197" s="143">
        <v>45931</v>
      </c>
      <c r="L3197" s="133" t="s">
        <v>1241</v>
      </c>
      <c r="M3197" s="133">
        <v>1680</v>
      </c>
      <c r="N3197" s="259"/>
      <c r="O3197" s="141"/>
      <c r="P3197" s="140"/>
    </row>
    <row r="3198" spans="1:16" hidden="1" x14ac:dyDescent="0.35">
      <c r="A3198" s="146"/>
      <c r="B3198" s="143"/>
      <c r="C3198" s="133"/>
      <c r="D3198" s="133"/>
      <c r="E3198" s="145"/>
      <c r="F3198" s="145"/>
      <c r="G3198" s="133"/>
      <c r="H3198" s="144"/>
      <c r="I3198" s="133"/>
      <c r="J3198" s="133"/>
      <c r="K3198" s="133"/>
      <c r="L3198" s="133"/>
      <c r="M3198" s="133"/>
      <c r="N3198" s="259"/>
      <c r="P3198" s="140"/>
    </row>
    <row r="3199" spans="1:16" hidden="1" x14ac:dyDescent="0.35">
      <c r="A3199" s="149">
        <v>135</v>
      </c>
      <c r="B3199" s="143">
        <v>45901</v>
      </c>
      <c r="C3199" s="133" t="s">
        <v>1688</v>
      </c>
      <c r="D3199" s="133" t="s">
        <v>2545</v>
      </c>
      <c r="E3199" s="145" t="s">
        <v>1118</v>
      </c>
      <c r="F3199" s="145">
        <v>2160.5</v>
      </c>
      <c r="G3199" s="133" t="s">
        <v>1034</v>
      </c>
      <c r="H3199" s="144" t="s">
        <v>1341</v>
      </c>
      <c r="I3199" s="133" t="s">
        <v>1092</v>
      </c>
      <c r="J3199" s="133" t="s">
        <v>2595</v>
      </c>
      <c r="K3199" s="143">
        <v>45931</v>
      </c>
      <c r="L3199" s="133" t="s">
        <v>1092</v>
      </c>
      <c r="M3199" s="133">
        <v>11451.8</v>
      </c>
      <c r="N3199" s="259">
        <f>+F3199+F3200+F3201+F3202-M3199-M3200</f>
        <v>0</v>
      </c>
      <c r="O3199" s="141"/>
      <c r="P3199" s="140"/>
    </row>
    <row r="3200" spans="1:16" hidden="1" x14ac:dyDescent="0.35">
      <c r="A3200" s="146"/>
      <c r="B3200" s="143"/>
      <c r="C3200" s="133"/>
      <c r="D3200" s="133"/>
      <c r="E3200" s="145" t="s">
        <v>1342</v>
      </c>
      <c r="F3200" s="145">
        <v>1032</v>
      </c>
      <c r="G3200" s="133" t="s">
        <v>1034</v>
      </c>
      <c r="H3200" s="144" t="s">
        <v>1341</v>
      </c>
      <c r="I3200" s="133" t="s">
        <v>1092</v>
      </c>
      <c r="J3200" s="258" t="s">
        <v>2642</v>
      </c>
      <c r="K3200" s="143">
        <v>45962</v>
      </c>
      <c r="L3200" s="133" t="s">
        <v>1241</v>
      </c>
      <c r="M3200" s="133">
        <v>335</v>
      </c>
      <c r="N3200" s="259"/>
      <c r="P3200" s="140"/>
    </row>
    <row r="3201" spans="1:16" hidden="1" x14ac:dyDescent="0.35">
      <c r="A3201" s="146"/>
      <c r="B3201" s="143"/>
      <c r="C3201" s="133"/>
      <c r="D3201" s="133"/>
      <c r="E3201" s="145" t="s">
        <v>1067</v>
      </c>
      <c r="F3201" s="145">
        <v>2864</v>
      </c>
      <c r="G3201" s="133"/>
      <c r="H3201" s="144"/>
      <c r="I3201" s="133"/>
      <c r="J3201" s="133"/>
      <c r="K3201" s="133"/>
      <c r="L3201" s="133"/>
      <c r="M3201" s="133"/>
      <c r="N3201" s="259"/>
      <c r="P3201" s="140"/>
    </row>
    <row r="3202" spans="1:16" hidden="1" x14ac:dyDescent="0.35">
      <c r="A3202" s="146"/>
      <c r="B3202" s="143"/>
      <c r="C3202" s="133"/>
      <c r="D3202" s="133"/>
      <c r="E3202" s="145" t="s">
        <v>1078</v>
      </c>
      <c r="F3202" s="145">
        <v>5730.3</v>
      </c>
      <c r="G3202" s="133"/>
      <c r="H3202" s="144"/>
      <c r="I3202" s="133"/>
      <c r="J3202" s="133"/>
      <c r="K3202" s="133"/>
      <c r="L3202" s="133"/>
      <c r="M3202" s="133"/>
      <c r="N3202" s="259"/>
      <c r="P3202" s="140"/>
    </row>
    <row r="3203" spans="1:16" hidden="1" x14ac:dyDescent="0.35">
      <c r="A3203" s="146"/>
      <c r="B3203" s="143"/>
      <c r="C3203" s="133"/>
      <c r="D3203" s="133"/>
      <c r="E3203" s="145"/>
      <c r="F3203" s="145"/>
      <c r="G3203" s="133"/>
      <c r="H3203" s="144"/>
      <c r="I3203" s="133"/>
      <c r="J3203" s="133"/>
      <c r="K3203" s="133"/>
      <c r="L3203" s="133"/>
      <c r="M3203" s="133"/>
      <c r="N3203" s="259"/>
      <c r="P3203" s="140"/>
    </row>
    <row r="3204" spans="1:16" hidden="1" x14ac:dyDescent="0.35">
      <c r="A3204" s="149">
        <v>136</v>
      </c>
      <c r="B3204" s="143">
        <v>45901</v>
      </c>
      <c r="C3204" s="133" t="s">
        <v>1686</v>
      </c>
      <c r="D3204" s="133" t="s">
        <v>2547</v>
      </c>
      <c r="E3204" s="145" t="s">
        <v>1342</v>
      </c>
      <c r="F3204" s="145">
        <v>4321</v>
      </c>
      <c r="G3204" s="133" t="s">
        <v>1034</v>
      </c>
      <c r="H3204" s="144" t="s">
        <v>1341</v>
      </c>
      <c r="I3204" s="133" t="s">
        <v>1092</v>
      </c>
      <c r="J3204" s="133" t="s">
        <v>2595</v>
      </c>
      <c r="K3204" s="143">
        <v>45931</v>
      </c>
      <c r="L3204" s="133" t="s">
        <v>1092</v>
      </c>
      <c r="M3204" s="133">
        <v>8479.2000000000007</v>
      </c>
      <c r="N3204" s="259">
        <f>+F3204+F3205+F3206+F3207-M3204-M3205-M3206-M3207-M3208</f>
        <v>-1.8189894035458565E-12</v>
      </c>
      <c r="O3204" s="141"/>
      <c r="P3204" s="140"/>
    </row>
    <row r="3205" spans="1:16" hidden="1" x14ac:dyDescent="0.35">
      <c r="A3205" s="146"/>
      <c r="B3205" s="143"/>
      <c r="C3205" s="133"/>
      <c r="D3205" s="133"/>
      <c r="E3205" s="145" t="s">
        <v>1064</v>
      </c>
      <c r="F3205" s="145">
        <v>8479.2000000000007</v>
      </c>
      <c r="G3205" s="133" t="s">
        <v>1034</v>
      </c>
      <c r="H3205" s="144" t="s">
        <v>1341</v>
      </c>
      <c r="I3205" s="133" t="s">
        <v>1092</v>
      </c>
      <c r="J3205" s="133" t="s">
        <v>2600</v>
      </c>
      <c r="K3205" s="143">
        <v>45931</v>
      </c>
      <c r="L3205" s="133" t="s">
        <v>1092</v>
      </c>
      <c r="M3205" s="133">
        <v>10765.9</v>
      </c>
      <c r="N3205" s="259"/>
      <c r="P3205" s="140"/>
    </row>
    <row r="3206" spans="1:16" hidden="1" x14ac:dyDescent="0.35">
      <c r="A3206" s="146"/>
      <c r="B3206" s="143"/>
      <c r="C3206" s="133"/>
      <c r="D3206" s="133"/>
      <c r="E3206" s="145" t="s">
        <v>1075</v>
      </c>
      <c r="F3206" s="145">
        <v>11486.9</v>
      </c>
      <c r="G3206" s="133" t="s">
        <v>1034</v>
      </c>
      <c r="H3206" s="144" t="s">
        <v>1341</v>
      </c>
      <c r="I3206" s="133" t="s">
        <v>1092</v>
      </c>
      <c r="J3206" s="133" t="s">
        <v>2610</v>
      </c>
      <c r="K3206" s="143">
        <v>45962</v>
      </c>
      <c r="L3206" s="133" t="s">
        <v>1092</v>
      </c>
      <c r="M3206" s="133">
        <v>1534</v>
      </c>
      <c r="N3206" s="259"/>
      <c r="P3206" s="140"/>
    </row>
    <row r="3207" spans="1:16" hidden="1" x14ac:dyDescent="0.35">
      <c r="A3207" s="146"/>
      <c r="B3207" s="143"/>
      <c r="C3207" s="133"/>
      <c r="D3207" s="133"/>
      <c r="E3207" s="145"/>
      <c r="F3207" s="145"/>
      <c r="G3207" s="133" t="s">
        <v>1034</v>
      </c>
      <c r="H3207" s="144" t="s">
        <v>1341</v>
      </c>
      <c r="I3207" s="133" t="s">
        <v>1092</v>
      </c>
      <c r="J3207" s="133" t="s">
        <v>2616</v>
      </c>
      <c r="K3207" s="143">
        <v>45962</v>
      </c>
      <c r="L3207" s="133" t="s">
        <v>1092</v>
      </c>
      <c r="M3207" s="133">
        <v>2787</v>
      </c>
      <c r="N3207" s="259"/>
      <c r="P3207" s="140"/>
    </row>
    <row r="3208" spans="1:16" hidden="1" x14ac:dyDescent="0.35">
      <c r="A3208" s="146"/>
      <c r="B3208" s="143"/>
      <c r="C3208" s="133"/>
      <c r="D3208" s="133"/>
      <c r="E3208" s="145"/>
      <c r="F3208" s="145"/>
      <c r="G3208" s="133" t="s">
        <v>1034</v>
      </c>
      <c r="H3208" s="144" t="s">
        <v>1341</v>
      </c>
      <c r="I3208" s="133" t="s">
        <v>1092</v>
      </c>
      <c r="J3208" s="258" t="s">
        <v>2642</v>
      </c>
      <c r="K3208" s="143">
        <v>45962</v>
      </c>
      <c r="L3208" s="133" t="s">
        <v>1241</v>
      </c>
      <c r="M3208" s="133">
        <v>721</v>
      </c>
      <c r="N3208" s="259"/>
      <c r="P3208" s="140"/>
    </row>
    <row r="3209" spans="1:16" hidden="1" x14ac:dyDescent="0.35">
      <c r="A3209" s="146"/>
      <c r="B3209" s="143"/>
      <c r="C3209" s="133"/>
      <c r="D3209" s="133"/>
      <c r="E3209" s="145"/>
      <c r="F3209" s="145"/>
      <c r="G3209" s="133"/>
      <c r="H3209" s="144"/>
      <c r="I3209" s="133"/>
      <c r="J3209" s="133"/>
      <c r="K3209" s="143"/>
      <c r="L3209" s="133"/>
      <c r="M3209" s="133"/>
      <c r="N3209" s="259"/>
      <c r="P3209" s="140"/>
    </row>
    <row r="3210" spans="1:16" hidden="1" x14ac:dyDescent="0.35">
      <c r="A3210" s="149">
        <v>137</v>
      </c>
      <c r="B3210" s="143">
        <v>45901</v>
      </c>
      <c r="C3210" s="133" t="s">
        <v>1685</v>
      </c>
      <c r="D3210" s="133" t="s">
        <v>2550</v>
      </c>
      <c r="E3210" s="145" t="s">
        <v>1075</v>
      </c>
      <c r="F3210" s="145">
        <v>4663.8999999999996</v>
      </c>
      <c r="G3210" s="133" t="s">
        <v>1034</v>
      </c>
      <c r="H3210" s="144" t="s">
        <v>1341</v>
      </c>
      <c r="I3210" s="133" t="s">
        <v>1092</v>
      </c>
      <c r="J3210" s="133" t="s">
        <v>2600</v>
      </c>
      <c r="K3210" s="143">
        <v>45931</v>
      </c>
      <c r="L3210" s="133" t="s">
        <v>1092</v>
      </c>
      <c r="M3210" s="133">
        <v>4543.8999999999996</v>
      </c>
      <c r="N3210" s="259">
        <f>+F3210-M3210-M3211</f>
        <v>0</v>
      </c>
      <c r="O3210" s="141"/>
      <c r="P3210" s="140"/>
    </row>
    <row r="3211" spans="1:16" hidden="1" x14ac:dyDescent="0.35">
      <c r="A3211" s="146"/>
      <c r="B3211" s="143"/>
      <c r="C3211" s="133"/>
      <c r="D3211" s="133"/>
      <c r="E3211" s="145"/>
      <c r="F3211" s="145"/>
      <c r="G3211" s="133" t="s">
        <v>1034</v>
      </c>
      <c r="H3211" s="144" t="s">
        <v>1341</v>
      </c>
      <c r="I3211" s="133" t="s">
        <v>1092</v>
      </c>
      <c r="J3211" s="258" t="s">
        <v>2642</v>
      </c>
      <c r="K3211" s="143">
        <v>45962</v>
      </c>
      <c r="L3211" s="133" t="s">
        <v>1241</v>
      </c>
      <c r="M3211" s="133">
        <v>120</v>
      </c>
      <c r="N3211" s="259"/>
      <c r="P3211" s="140"/>
    </row>
    <row r="3212" spans="1:16" hidden="1" x14ac:dyDescent="0.35">
      <c r="A3212" s="146"/>
      <c r="B3212" s="143"/>
      <c r="C3212" s="133"/>
      <c r="D3212" s="133"/>
      <c r="E3212" s="145"/>
      <c r="F3212" s="145"/>
      <c r="G3212" s="133"/>
      <c r="H3212" s="144"/>
      <c r="I3212" s="133"/>
      <c r="J3212" s="258"/>
      <c r="K3212" s="143"/>
      <c r="L3212" s="133"/>
      <c r="M3212" s="133"/>
      <c r="N3212" s="259"/>
      <c r="P3212" s="140"/>
    </row>
    <row r="3213" spans="1:16" hidden="1" x14ac:dyDescent="0.35">
      <c r="A3213" s="149">
        <v>138</v>
      </c>
      <c r="B3213" s="143">
        <v>45901</v>
      </c>
      <c r="C3213" s="133" t="s">
        <v>1684</v>
      </c>
      <c r="D3213" s="133" t="s">
        <v>2555</v>
      </c>
      <c r="E3213" s="145" t="s">
        <v>1342</v>
      </c>
      <c r="F3213" s="145">
        <v>1823</v>
      </c>
      <c r="G3213" s="133" t="s">
        <v>1034</v>
      </c>
      <c r="H3213" s="144" t="s">
        <v>1341</v>
      </c>
      <c r="I3213" s="133" t="s">
        <v>1092</v>
      </c>
      <c r="J3213" s="133" t="s">
        <v>2595</v>
      </c>
      <c r="K3213" s="143">
        <v>45931</v>
      </c>
      <c r="L3213" s="133" t="s">
        <v>1092</v>
      </c>
      <c r="M3213" s="133">
        <f>2692.8+9072</f>
        <v>11764.8</v>
      </c>
      <c r="N3213" s="259">
        <f>+F3213+F3214+F3215+F3216-M3213-M3214-M3215-M3216</f>
        <v>0</v>
      </c>
      <c r="O3213" s="141"/>
      <c r="P3213" s="140"/>
    </row>
    <row r="3214" spans="1:16" hidden="1" x14ac:dyDescent="0.35">
      <c r="A3214" s="146"/>
      <c r="B3214" s="143"/>
      <c r="C3214" s="133"/>
      <c r="D3214" s="133"/>
      <c r="E3214" s="145" t="s">
        <v>1067</v>
      </c>
      <c r="F3214" s="145">
        <v>9072</v>
      </c>
      <c r="G3214" s="133" t="s">
        <v>1034</v>
      </c>
      <c r="H3214" s="144" t="s">
        <v>1341</v>
      </c>
      <c r="I3214" s="133" t="s">
        <v>1092</v>
      </c>
      <c r="J3214" s="133" t="s">
        <v>2600</v>
      </c>
      <c r="K3214" s="143">
        <v>45931</v>
      </c>
      <c r="L3214" s="133" t="s">
        <v>1092</v>
      </c>
      <c r="M3214" s="133">
        <v>5275</v>
      </c>
      <c r="N3214" s="259"/>
      <c r="P3214" s="140"/>
    </row>
    <row r="3215" spans="1:16" hidden="1" x14ac:dyDescent="0.35">
      <c r="A3215" s="146"/>
      <c r="B3215" s="143"/>
      <c r="C3215" s="133"/>
      <c r="D3215" s="133"/>
      <c r="E3215" s="145" t="s">
        <v>1075</v>
      </c>
      <c r="F3215" s="145">
        <v>5851</v>
      </c>
      <c r="G3215" s="133" t="s">
        <v>1034</v>
      </c>
      <c r="H3215" s="144" t="s">
        <v>1341</v>
      </c>
      <c r="I3215" s="133" t="s">
        <v>1092</v>
      </c>
      <c r="J3215" s="133" t="s">
        <v>2616</v>
      </c>
      <c r="K3215" s="143">
        <v>45962</v>
      </c>
      <c r="L3215" s="133" t="s">
        <v>1092</v>
      </c>
      <c r="M3215" s="133">
        <v>1823</v>
      </c>
      <c r="N3215" s="259"/>
      <c r="P3215" s="140"/>
    </row>
    <row r="3216" spans="1:16" hidden="1" x14ac:dyDescent="0.35">
      <c r="A3216" s="146"/>
      <c r="B3216" s="143"/>
      <c r="C3216" s="133"/>
      <c r="D3216" s="133"/>
      <c r="E3216" s="145" t="s">
        <v>1118</v>
      </c>
      <c r="F3216" s="145">
        <v>2692.8</v>
      </c>
      <c r="G3216" s="133" t="s">
        <v>1034</v>
      </c>
      <c r="H3216" s="144" t="s">
        <v>1341</v>
      </c>
      <c r="I3216" s="133" t="s">
        <v>1092</v>
      </c>
      <c r="J3216" s="258" t="s">
        <v>2642</v>
      </c>
      <c r="K3216" s="143">
        <v>45962</v>
      </c>
      <c r="L3216" s="133" t="s">
        <v>1241</v>
      </c>
      <c r="M3216" s="133">
        <v>576</v>
      </c>
      <c r="N3216" s="259"/>
      <c r="P3216" s="140"/>
    </row>
    <row r="3217" spans="1:16" hidden="1" x14ac:dyDescent="0.35">
      <c r="A3217" s="146"/>
      <c r="B3217" s="143"/>
      <c r="C3217" s="133"/>
      <c r="D3217" s="133"/>
      <c r="E3217" s="145"/>
      <c r="F3217" s="145"/>
      <c r="G3217" s="133"/>
      <c r="H3217" s="144"/>
      <c r="I3217" s="133"/>
      <c r="J3217" s="133"/>
      <c r="K3217" s="133"/>
      <c r="L3217" s="133"/>
      <c r="M3217" s="133"/>
      <c r="N3217" s="259"/>
      <c r="P3217" s="140"/>
    </row>
    <row r="3218" spans="1:16" hidden="1" x14ac:dyDescent="0.35">
      <c r="A3218" s="149">
        <v>139</v>
      </c>
      <c r="B3218" s="143">
        <v>45901</v>
      </c>
      <c r="C3218" s="133" t="s">
        <v>1682</v>
      </c>
      <c r="D3218" s="133" t="s">
        <v>2556</v>
      </c>
      <c r="E3218" s="145" t="s">
        <v>1342</v>
      </c>
      <c r="F3218" s="145">
        <v>3745</v>
      </c>
      <c r="G3218" s="133" t="s">
        <v>1034</v>
      </c>
      <c r="H3218" s="144" t="s">
        <v>1341</v>
      </c>
      <c r="I3218" s="133" t="s">
        <v>1092</v>
      </c>
      <c r="J3218" s="133" t="s">
        <v>2616</v>
      </c>
      <c r="K3218" s="143">
        <v>45962</v>
      </c>
      <c r="L3218" s="133" t="s">
        <v>1092</v>
      </c>
      <c r="M3218" s="133">
        <v>5264</v>
      </c>
      <c r="N3218" s="259">
        <f>+F3218+F3219-M3218-M3219</f>
        <v>0</v>
      </c>
      <c r="O3218" s="141"/>
      <c r="P3218" s="140"/>
    </row>
    <row r="3219" spans="1:16" hidden="1" x14ac:dyDescent="0.35">
      <c r="A3219" s="146"/>
      <c r="B3219" s="143"/>
      <c r="C3219" s="133"/>
      <c r="D3219" s="133"/>
      <c r="E3219" s="145" t="s">
        <v>1067</v>
      </c>
      <c r="F3219" s="145">
        <v>1729</v>
      </c>
      <c r="G3219" s="133" t="s">
        <v>1034</v>
      </c>
      <c r="H3219" s="144" t="s">
        <v>1341</v>
      </c>
      <c r="I3219" s="133" t="s">
        <v>1092</v>
      </c>
      <c r="J3219" s="258" t="s">
        <v>2642</v>
      </c>
      <c r="K3219" s="143">
        <v>45962</v>
      </c>
      <c r="L3219" s="133" t="s">
        <v>1241</v>
      </c>
      <c r="M3219" s="133">
        <v>210</v>
      </c>
      <c r="N3219" s="259"/>
      <c r="P3219" s="140"/>
    </row>
    <row r="3220" spans="1:16" hidden="1" x14ac:dyDescent="0.35">
      <c r="A3220" s="146"/>
      <c r="B3220" s="143"/>
      <c r="C3220" s="133"/>
      <c r="D3220" s="133"/>
      <c r="E3220" s="145"/>
      <c r="F3220" s="145"/>
      <c r="G3220" s="133"/>
      <c r="H3220" s="144"/>
      <c r="I3220" s="133"/>
      <c r="J3220" s="133"/>
      <c r="K3220" s="133"/>
      <c r="L3220" s="133"/>
      <c r="M3220" s="133"/>
      <c r="N3220" s="259"/>
      <c r="P3220" s="140"/>
    </row>
    <row r="3221" spans="1:16" hidden="1" x14ac:dyDescent="0.35">
      <c r="A3221" s="149">
        <v>140</v>
      </c>
      <c r="B3221" s="143">
        <v>45901</v>
      </c>
      <c r="C3221" s="133" t="s">
        <v>1681</v>
      </c>
      <c r="D3221" s="133" t="s">
        <v>2557</v>
      </c>
      <c r="E3221" s="145" t="s">
        <v>1342</v>
      </c>
      <c r="F3221" s="145">
        <v>1439</v>
      </c>
      <c r="G3221" s="133" t="s">
        <v>1034</v>
      </c>
      <c r="H3221" s="144" t="s">
        <v>1341</v>
      </c>
      <c r="I3221" s="133" t="s">
        <v>1092</v>
      </c>
      <c r="J3221" s="133" t="s">
        <v>2600</v>
      </c>
      <c r="K3221" s="143">
        <v>45931</v>
      </c>
      <c r="L3221" s="133" t="s">
        <v>1092</v>
      </c>
      <c r="M3221" s="133">
        <f>8671.5+1882.3</f>
        <v>10553.8</v>
      </c>
      <c r="N3221" s="259">
        <f>+F3221+F3222+F3223+F3224+F3225-M3221-M3222-M3223</f>
        <v>0</v>
      </c>
      <c r="O3221" s="141"/>
      <c r="P3221" s="140"/>
    </row>
    <row r="3222" spans="1:16" hidden="1" x14ac:dyDescent="0.35">
      <c r="A3222" s="146"/>
      <c r="B3222" s="143"/>
      <c r="C3222" s="133"/>
      <c r="D3222" s="133"/>
      <c r="E3222" s="145" t="s">
        <v>1118</v>
      </c>
      <c r="F3222" s="145">
        <v>1882.3</v>
      </c>
      <c r="G3222" s="133" t="s">
        <v>1034</v>
      </c>
      <c r="H3222" s="144" t="s">
        <v>1341</v>
      </c>
      <c r="I3222" s="133" t="s">
        <v>1092</v>
      </c>
      <c r="J3222" s="133" t="s">
        <v>2616</v>
      </c>
      <c r="K3222" s="143">
        <v>45962</v>
      </c>
      <c r="L3222" s="133" t="s">
        <v>1092</v>
      </c>
      <c r="M3222" s="133">
        <v>3757</v>
      </c>
      <c r="N3222" s="259"/>
      <c r="P3222" s="140"/>
    </row>
    <row r="3223" spans="1:16" hidden="1" x14ac:dyDescent="0.35">
      <c r="A3223" s="146"/>
      <c r="B3223" s="143"/>
      <c r="C3223" s="133"/>
      <c r="D3223" s="133"/>
      <c r="E3223" s="145" t="s">
        <v>1075</v>
      </c>
      <c r="F3223" s="145">
        <v>8671.5</v>
      </c>
      <c r="G3223" s="133" t="s">
        <v>1034</v>
      </c>
      <c r="H3223" s="144" t="s">
        <v>1341</v>
      </c>
      <c r="I3223" s="133" t="s">
        <v>1092</v>
      </c>
      <c r="J3223" s="258" t="s">
        <v>2642</v>
      </c>
      <c r="K3223" s="143">
        <v>45962</v>
      </c>
      <c r="L3223" s="133" t="s">
        <v>1241</v>
      </c>
      <c r="M3223" s="133">
        <v>421</v>
      </c>
      <c r="N3223" s="259"/>
      <c r="P3223" s="140"/>
    </row>
    <row r="3224" spans="1:16" hidden="1" x14ac:dyDescent="0.35">
      <c r="A3224" s="146"/>
      <c r="B3224" s="143"/>
      <c r="C3224" s="133"/>
      <c r="D3224" s="133"/>
      <c r="E3224" s="145" t="s">
        <v>1064</v>
      </c>
      <c r="F3224" s="145">
        <v>857</v>
      </c>
      <c r="G3224" s="133"/>
      <c r="H3224" s="144"/>
      <c r="I3224" s="133"/>
      <c r="J3224" s="133"/>
      <c r="K3224" s="133"/>
      <c r="L3224" s="133"/>
      <c r="M3224" s="133"/>
      <c r="N3224" s="259"/>
      <c r="P3224" s="140"/>
    </row>
    <row r="3225" spans="1:16" hidden="1" x14ac:dyDescent="0.35">
      <c r="A3225" s="146"/>
      <c r="B3225" s="143"/>
      <c r="C3225" s="133"/>
      <c r="D3225" s="133"/>
      <c r="E3225" s="145" t="s">
        <v>1067</v>
      </c>
      <c r="F3225" s="145">
        <v>1882</v>
      </c>
      <c r="G3225" s="133"/>
      <c r="H3225" s="144"/>
      <c r="I3225" s="133"/>
      <c r="J3225" s="133"/>
      <c r="K3225" s="133"/>
      <c r="L3225" s="133"/>
      <c r="M3225" s="133"/>
      <c r="N3225" s="259"/>
      <c r="P3225" s="140"/>
    </row>
    <row r="3226" spans="1:16" hidden="1" x14ac:dyDescent="0.35">
      <c r="A3226" s="146"/>
      <c r="B3226" s="143"/>
      <c r="C3226" s="133"/>
      <c r="D3226" s="133"/>
      <c r="E3226" s="145"/>
      <c r="F3226" s="145"/>
      <c r="G3226" s="133"/>
      <c r="H3226" s="144"/>
      <c r="I3226" s="133"/>
      <c r="J3226" s="133"/>
      <c r="K3226" s="133"/>
      <c r="L3226" s="133"/>
      <c r="M3226" s="133"/>
      <c r="N3226" s="259"/>
      <c r="P3226" s="140"/>
    </row>
    <row r="3227" spans="1:16" hidden="1" x14ac:dyDescent="0.35">
      <c r="A3227" s="149">
        <v>141</v>
      </c>
      <c r="B3227" s="143">
        <v>45901</v>
      </c>
      <c r="C3227" s="133" t="s">
        <v>1678</v>
      </c>
      <c r="D3227" s="133" t="s">
        <v>2558</v>
      </c>
      <c r="E3227" s="145" t="s">
        <v>1075</v>
      </c>
      <c r="F3227" s="145">
        <v>5108.3</v>
      </c>
      <c r="G3227" s="133" t="s">
        <v>1034</v>
      </c>
      <c r="H3227" s="144" t="s">
        <v>1341</v>
      </c>
      <c r="I3227" s="133" t="s">
        <v>1092</v>
      </c>
      <c r="J3227" s="133" t="s">
        <v>2600</v>
      </c>
      <c r="K3227" s="143">
        <v>45931</v>
      </c>
      <c r="L3227" s="133" t="s">
        <v>1092</v>
      </c>
      <c r="M3227" s="133">
        <v>4967.3</v>
      </c>
      <c r="N3227" s="259">
        <f>+F3227-M3227-M3228</f>
        <v>0</v>
      </c>
      <c r="O3227" s="141"/>
      <c r="P3227" s="140"/>
    </row>
    <row r="3228" spans="1:16" hidden="1" x14ac:dyDescent="0.35">
      <c r="A3228" s="149"/>
      <c r="B3228" s="143"/>
      <c r="C3228" s="133"/>
      <c r="D3228" s="133"/>
      <c r="E3228" s="145"/>
      <c r="F3228" s="145"/>
      <c r="G3228" s="133" t="s">
        <v>1034</v>
      </c>
      <c r="H3228" s="144" t="s">
        <v>1341</v>
      </c>
      <c r="I3228" s="133" t="s">
        <v>1092</v>
      </c>
      <c r="J3228" s="258" t="s">
        <v>2642</v>
      </c>
      <c r="K3228" s="143">
        <v>45962</v>
      </c>
      <c r="L3228" s="133" t="s">
        <v>1241</v>
      </c>
      <c r="M3228" s="133">
        <v>141</v>
      </c>
      <c r="N3228" s="259"/>
      <c r="O3228" s="141"/>
      <c r="P3228" s="140"/>
    </row>
    <row r="3229" spans="1:16" hidden="1" x14ac:dyDescent="0.35">
      <c r="A3229" s="149"/>
      <c r="B3229" s="143"/>
      <c r="C3229" s="133"/>
      <c r="D3229" s="133"/>
      <c r="E3229" s="145"/>
      <c r="F3229" s="145"/>
      <c r="G3229" s="133"/>
      <c r="H3229" s="144"/>
      <c r="I3229" s="133"/>
      <c r="J3229" s="258"/>
      <c r="K3229" s="143"/>
      <c r="L3229" s="133"/>
      <c r="M3229" s="133"/>
      <c r="N3229" s="259"/>
      <c r="O3229" s="141"/>
      <c r="P3229" s="140"/>
    </row>
    <row r="3230" spans="1:16" hidden="1" x14ac:dyDescent="0.35">
      <c r="A3230" s="149">
        <v>142</v>
      </c>
      <c r="B3230" s="143">
        <v>45901</v>
      </c>
      <c r="C3230" s="133" t="s">
        <v>1677</v>
      </c>
      <c r="D3230" s="133" t="s">
        <v>2559</v>
      </c>
      <c r="E3230" s="145" t="s">
        <v>1342</v>
      </c>
      <c r="F3230" s="145">
        <v>1283</v>
      </c>
      <c r="G3230" s="133" t="s">
        <v>1034</v>
      </c>
      <c r="H3230" s="144" t="s">
        <v>1341</v>
      </c>
      <c r="I3230" s="133" t="s">
        <v>1092</v>
      </c>
      <c r="J3230" s="133" t="s">
        <v>2600</v>
      </c>
      <c r="K3230" s="143">
        <v>45931</v>
      </c>
      <c r="L3230" s="133" t="s">
        <v>1092</v>
      </c>
      <c r="M3230" s="133">
        <v>6165.6</v>
      </c>
      <c r="N3230" s="259">
        <f>+F3230+F3231+F3232-M3230-M3231-M3232</f>
        <v>0</v>
      </c>
      <c r="O3230" s="141"/>
      <c r="P3230" s="140"/>
    </row>
    <row r="3231" spans="1:16" hidden="1" x14ac:dyDescent="0.35">
      <c r="A3231" s="146"/>
      <c r="B3231" s="143"/>
      <c r="C3231" s="133"/>
      <c r="D3231" s="133"/>
      <c r="E3231" s="145" t="s">
        <v>1067</v>
      </c>
      <c r="F3231" s="145">
        <v>2666</v>
      </c>
      <c r="G3231" s="133" t="s">
        <v>1034</v>
      </c>
      <c r="H3231" s="144" t="s">
        <v>1341</v>
      </c>
      <c r="I3231" s="133" t="s">
        <v>1092</v>
      </c>
      <c r="J3231" s="133" t="s">
        <v>2616</v>
      </c>
      <c r="K3231" s="143">
        <v>45962</v>
      </c>
      <c r="L3231" s="133" t="s">
        <v>1092</v>
      </c>
      <c r="M3231" s="133">
        <v>3537</v>
      </c>
      <c r="N3231" s="259"/>
      <c r="P3231" s="140"/>
    </row>
    <row r="3232" spans="1:16" hidden="1" x14ac:dyDescent="0.35">
      <c r="A3232" s="146"/>
      <c r="B3232" s="143"/>
      <c r="C3232" s="133"/>
      <c r="D3232" s="133"/>
      <c r="E3232" s="145" t="s">
        <v>1078</v>
      </c>
      <c r="F3232" s="145">
        <v>6165.6</v>
      </c>
      <c r="G3232" s="133" t="s">
        <v>1034</v>
      </c>
      <c r="H3232" s="144" t="s">
        <v>1341</v>
      </c>
      <c r="I3232" s="133" t="s">
        <v>1092</v>
      </c>
      <c r="J3232" s="258" t="s">
        <v>2642</v>
      </c>
      <c r="K3232" s="143">
        <v>45962</v>
      </c>
      <c r="L3232" s="133" t="s">
        <v>1241</v>
      </c>
      <c r="M3232" s="133">
        <v>412</v>
      </c>
      <c r="N3232" s="259"/>
      <c r="P3232" s="140"/>
    </row>
    <row r="3233" spans="1:16" hidden="1" x14ac:dyDescent="0.35">
      <c r="A3233" s="146"/>
      <c r="B3233" s="143"/>
      <c r="C3233" s="133"/>
      <c r="D3233" s="133"/>
      <c r="E3233" s="145"/>
      <c r="F3233" s="145"/>
      <c r="G3233" s="133"/>
      <c r="H3233" s="144"/>
      <c r="I3233" s="133"/>
      <c r="J3233" s="133"/>
      <c r="K3233" s="133"/>
      <c r="L3233" s="133"/>
      <c r="M3233" s="133"/>
      <c r="N3233" s="259"/>
      <c r="P3233" s="140"/>
    </row>
    <row r="3234" spans="1:16" hidden="1" x14ac:dyDescent="0.35">
      <c r="A3234" s="149">
        <v>143</v>
      </c>
      <c r="B3234" s="143">
        <v>45901</v>
      </c>
      <c r="C3234" s="133" t="s">
        <v>1676</v>
      </c>
      <c r="D3234" s="133" t="s">
        <v>2561</v>
      </c>
      <c r="E3234" s="145" t="s">
        <v>1342</v>
      </c>
      <c r="F3234" s="145">
        <v>3018</v>
      </c>
      <c r="G3234" s="133" t="s">
        <v>1034</v>
      </c>
      <c r="H3234" s="144" t="s">
        <v>1341</v>
      </c>
      <c r="I3234" s="133" t="s">
        <v>1092</v>
      </c>
      <c r="J3234" s="133" t="s">
        <v>2600</v>
      </c>
      <c r="K3234" s="143">
        <v>45931</v>
      </c>
      <c r="L3234" s="133" t="s">
        <v>1092</v>
      </c>
      <c r="M3234" s="133">
        <v>1811.1</v>
      </c>
      <c r="N3234" s="259">
        <f>+F3234+F3235+F3236-M3234-M3235-M3236</f>
        <v>4.5474735088646412E-13</v>
      </c>
      <c r="O3234" s="141"/>
      <c r="P3234" s="140"/>
    </row>
    <row r="3235" spans="1:16" hidden="1" x14ac:dyDescent="0.35">
      <c r="A3235" s="146"/>
      <c r="B3235" s="143"/>
      <c r="C3235" s="133"/>
      <c r="D3235" s="133"/>
      <c r="E3235" s="145" t="s">
        <v>1067</v>
      </c>
      <c r="F3235" s="145">
        <v>783</v>
      </c>
      <c r="G3235" s="133" t="s">
        <v>1034</v>
      </c>
      <c r="H3235" s="144" t="s">
        <v>1341</v>
      </c>
      <c r="I3235" s="133" t="s">
        <v>1092</v>
      </c>
      <c r="J3235" s="133" t="s">
        <v>2616</v>
      </c>
      <c r="K3235" s="143">
        <v>45962</v>
      </c>
      <c r="L3235" s="133" t="s">
        <v>1092</v>
      </c>
      <c r="M3235" s="133">
        <v>3510</v>
      </c>
      <c r="N3235" s="259"/>
      <c r="P3235" s="140"/>
    </row>
    <row r="3236" spans="1:16" hidden="1" x14ac:dyDescent="0.35">
      <c r="A3236" s="146"/>
      <c r="B3236" s="143"/>
      <c r="C3236" s="133"/>
      <c r="D3236" s="133"/>
      <c r="E3236" s="145" t="s">
        <v>1118</v>
      </c>
      <c r="F3236" s="145">
        <v>1811.1</v>
      </c>
      <c r="G3236" s="133" t="s">
        <v>1034</v>
      </c>
      <c r="H3236" s="144" t="s">
        <v>1341</v>
      </c>
      <c r="I3236" s="133" t="s">
        <v>1092</v>
      </c>
      <c r="J3236" s="258" t="s">
        <v>2642</v>
      </c>
      <c r="K3236" s="143">
        <v>45962</v>
      </c>
      <c r="L3236" s="133" t="s">
        <v>1241</v>
      </c>
      <c r="M3236" s="133">
        <v>291</v>
      </c>
      <c r="N3236" s="259"/>
      <c r="P3236" s="140"/>
    </row>
    <row r="3237" spans="1:16" hidden="1" x14ac:dyDescent="0.35">
      <c r="A3237" s="149"/>
      <c r="B3237" s="143"/>
      <c r="C3237" s="133"/>
      <c r="D3237" s="133"/>
      <c r="E3237" s="145"/>
      <c r="F3237" s="145"/>
      <c r="G3237" s="133"/>
      <c r="H3237" s="144"/>
      <c r="I3237" s="133"/>
      <c r="J3237" s="133"/>
      <c r="K3237" s="133"/>
      <c r="L3237" s="133"/>
      <c r="M3237" s="133"/>
      <c r="N3237" s="259"/>
      <c r="O3237" s="141"/>
      <c r="P3237" s="140"/>
    </row>
    <row r="3238" spans="1:16" hidden="1" x14ac:dyDescent="0.35">
      <c r="A3238" s="149">
        <v>144</v>
      </c>
      <c r="B3238" s="143">
        <v>45901</v>
      </c>
      <c r="C3238" s="133" t="s">
        <v>1675</v>
      </c>
      <c r="D3238" s="133" t="s">
        <v>2562</v>
      </c>
      <c r="E3238" s="148" t="s">
        <v>2376</v>
      </c>
      <c r="F3238" s="145">
        <v>2000</v>
      </c>
      <c r="G3238" s="133" t="s">
        <v>1034</v>
      </c>
      <c r="H3238" s="144" t="s">
        <v>1341</v>
      </c>
      <c r="I3238" s="133" t="s">
        <v>1092</v>
      </c>
      <c r="J3238" s="133" t="s">
        <v>2600</v>
      </c>
      <c r="K3238" s="143">
        <v>45931</v>
      </c>
      <c r="L3238" s="133" t="s">
        <v>1092</v>
      </c>
      <c r="M3238" s="133">
        <v>4058.4</v>
      </c>
      <c r="N3238" s="259">
        <f>+F3238+F3239-M3238</f>
        <v>0</v>
      </c>
      <c r="O3238" s="141"/>
      <c r="P3238" s="140"/>
    </row>
    <row r="3239" spans="1:16" hidden="1" x14ac:dyDescent="0.35">
      <c r="A3239" s="146"/>
      <c r="B3239" s="143"/>
      <c r="C3239" s="133"/>
      <c r="D3239" s="133"/>
      <c r="E3239" s="145" t="s">
        <v>1118</v>
      </c>
      <c r="F3239" s="145">
        <v>2058.4</v>
      </c>
      <c r="G3239" s="133"/>
      <c r="H3239" s="144"/>
      <c r="I3239" s="133"/>
      <c r="J3239" s="133"/>
      <c r="K3239" s="133"/>
      <c r="L3239" s="133"/>
      <c r="M3239" s="133"/>
      <c r="N3239" s="259"/>
      <c r="P3239" s="140"/>
    </row>
    <row r="3240" spans="1:16" hidden="1" x14ac:dyDescent="0.35">
      <c r="A3240" s="149"/>
      <c r="B3240" s="143"/>
      <c r="C3240" s="133"/>
      <c r="D3240" s="133"/>
      <c r="E3240" s="145"/>
      <c r="F3240" s="145"/>
      <c r="G3240" s="133"/>
      <c r="H3240" s="144"/>
      <c r="I3240" s="133"/>
      <c r="J3240" s="133"/>
      <c r="K3240" s="133"/>
      <c r="L3240" s="133"/>
      <c r="M3240" s="133"/>
      <c r="N3240" s="259"/>
      <c r="O3240" s="141"/>
      <c r="P3240" s="140"/>
    </row>
    <row r="3241" spans="1:16" hidden="1" x14ac:dyDescent="0.35">
      <c r="A3241" s="149">
        <v>145</v>
      </c>
      <c r="B3241" s="143">
        <v>45901</v>
      </c>
      <c r="C3241" s="133" t="s">
        <v>1673</v>
      </c>
      <c r="D3241" s="133" t="s">
        <v>2563</v>
      </c>
      <c r="E3241" s="145" t="s">
        <v>1342</v>
      </c>
      <c r="F3241" s="145">
        <v>4522</v>
      </c>
      <c r="G3241" s="133" t="s">
        <v>1034</v>
      </c>
      <c r="H3241" s="144" t="s">
        <v>1341</v>
      </c>
      <c r="I3241" s="133" t="s">
        <v>1092</v>
      </c>
      <c r="J3241" s="133" t="s">
        <v>2600</v>
      </c>
      <c r="K3241" s="143">
        <v>45931</v>
      </c>
      <c r="L3241" s="133" t="s">
        <v>1092</v>
      </c>
      <c r="M3241" s="133">
        <v>6271</v>
      </c>
      <c r="N3241" s="259">
        <f>+F3241+F3242+F3243-M3241-M3242-M3243</f>
        <v>0</v>
      </c>
      <c r="O3241" s="141"/>
      <c r="P3241" s="140"/>
    </row>
    <row r="3242" spans="1:16" hidden="1" x14ac:dyDescent="0.35">
      <c r="A3242" s="146"/>
      <c r="B3242" s="143"/>
      <c r="C3242" s="133"/>
      <c r="D3242" s="133"/>
      <c r="E3242" s="145" t="s">
        <v>1067</v>
      </c>
      <c r="F3242" s="145">
        <v>3804</v>
      </c>
      <c r="G3242" s="133" t="s">
        <v>1034</v>
      </c>
      <c r="H3242" s="144" t="s">
        <v>1341</v>
      </c>
      <c r="I3242" s="133" t="s">
        <v>1092</v>
      </c>
      <c r="J3242" s="133" t="s">
        <v>2616</v>
      </c>
      <c r="K3242" s="143">
        <v>45962</v>
      </c>
      <c r="L3242" s="133" t="s">
        <v>1092</v>
      </c>
      <c r="M3242" s="133">
        <v>7666</v>
      </c>
      <c r="N3242" s="259"/>
      <c r="P3242" s="140"/>
    </row>
    <row r="3243" spans="1:16" hidden="1" x14ac:dyDescent="0.35">
      <c r="A3243" s="146"/>
      <c r="B3243" s="143"/>
      <c r="C3243" s="133"/>
      <c r="D3243" s="133"/>
      <c r="E3243" s="145" t="s">
        <v>1075</v>
      </c>
      <c r="F3243" s="145">
        <v>6271</v>
      </c>
      <c r="G3243" s="133" t="s">
        <v>1034</v>
      </c>
      <c r="H3243" s="144" t="s">
        <v>1341</v>
      </c>
      <c r="I3243" s="133" t="s">
        <v>1092</v>
      </c>
      <c r="J3243" s="258" t="s">
        <v>2642</v>
      </c>
      <c r="K3243" s="143">
        <v>45962</v>
      </c>
      <c r="L3243" s="133" t="s">
        <v>1241</v>
      </c>
      <c r="M3243" s="133">
        <v>660</v>
      </c>
      <c r="N3243" s="259"/>
      <c r="P3243" s="140"/>
    </row>
    <row r="3244" spans="1:16" hidden="1" x14ac:dyDescent="0.35">
      <c r="A3244" s="149"/>
      <c r="B3244" s="143"/>
      <c r="C3244" s="133"/>
      <c r="D3244" s="133"/>
      <c r="E3244" s="145"/>
      <c r="F3244" s="145"/>
      <c r="G3244" s="133"/>
      <c r="H3244" s="144"/>
      <c r="I3244" s="133"/>
      <c r="J3244" s="133"/>
      <c r="K3244" s="133"/>
      <c r="L3244" s="133"/>
      <c r="M3244" s="133"/>
      <c r="N3244" s="259"/>
      <c r="O3244" s="141"/>
      <c r="P3244" s="140"/>
    </row>
    <row r="3245" spans="1:16" hidden="1" x14ac:dyDescent="0.35">
      <c r="A3245" s="149">
        <v>146</v>
      </c>
      <c r="B3245" s="143">
        <v>45901</v>
      </c>
      <c r="C3245" s="133" t="s">
        <v>1672</v>
      </c>
      <c r="D3245" s="133" t="s">
        <v>2569</v>
      </c>
      <c r="E3245" s="145" t="s">
        <v>1342</v>
      </c>
      <c r="F3245" s="145">
        <v>802</v>
      </c>
      <c r="G3245" s="133" t="s">
        <v>1034</v>
      </c>
      <c r="H3245" s="144" t="s">
        <v>1341</v>
      </c>
      <c r="I3245" s="133" t="s">
        <v>1092</v>
      </c>
      <c r="J3245" s="133" t="s">
        <v>2600</v>
      </c>
      <c r="K3245" s="143">
        <v>45931</v>
      </c>
      <c r="L3245" s="133" t="s">
        <v>1092</v>
      </c>
      <c r="M3245" s="133">
        <v>1948</v>
      </c>
      <c r="N3245" s="259">
        <f>+F3245+F3246+F3247+F3248-M3245-M3246-M3247</f>
        <v>0</v>
      </c>
      <c r="O3245" s="141"/>
      <c r="P3245" s="140"/>
    </row>
    <row r="3246" spans="1:16" hidden="1" x14ac:dyDescent="0.35">
      <c r="A3246" s="146"/>
      <c r="B3246" s="143"/>
      <c r="C3246" s="133"/>
      <c r="D3246" s="133"/>
      <c r="E3246" s="145" t="s">
        <v>1067</v>
      </c>
      <c r="F3246" s="145">
        <v>3201</v>
      </c>
      <c r="G3246" s="133" t="s">
        <v>1034</v>
      </c>
      <c r="H3246" s="144" t="s">
        <v>1341</v>
      </c>
      <c r="I3246" s="133" t="s">
        <v>1092</v>
      </c>
      <c r="J3246" s="133" t="s">
        <v>2616</v>
      </c>
      <c r="K3246" s="143">
        <v>45962</v>
      </c>
      <c r="L3246" s="133" t="s">
        <v>1092</v>
      </c>
      <c r="M3246" s="133">
        <v>5500.1</v>
      </c>
      <c r="N3246" s="259"/>
      <c r="P3246" s="140"/>
    </row>
    <row r="3247" spans="1:16" hidden="1" x14ac:dyDescent="0.35">
      <c r="A3247" s="146"/>
      <c r="B3247" s="143"/>
      <c r="C3247" s="133"/>
      <c r="D3247" s="133"/>
      <c r="E3247" s="145" t="s">
        <v>1064</v>
      </c>
      <c r="F3247" s="145">
        <v>1889.1</v>
      </c>
      <c r="G3247" s="133" t="s">
        <v>1034</v>
      </c>
      <c r="H3247" s="144" t="s">
        <v>1341</v>
      </c>
      <c r="I3247" s="133" t="s">
        <v>1092</v>
      </c>
      <c r="J3247" s="258" t="s">
        <v>2642</v>
      </c>
      <c r="K3247" s="143">
        <v>45962</v>
      </c>
      <c r="L3247" s="133" t="s">
        <v>1241</v>
      </c>
      <c r="M3247" s="133">
        <v>392</v>
      </c>
      <c r="N3247" s="259"/>
      <c r="P3247" s="140"/>
    </row>
    <row r="3248" spans="1:16" hidden="1" x14ac:dyDescent="0.35">
      <c r="A3248" s="149"/>
      <c r="B3248" s="143"/>
      <c r="C3248" s="133"/>
      <c r="D3248" s="133"/>
      <c r="E3248" s="145" t="s">
        <v>1118</v>
      </c>
      <c r="F3248" s="145">
        <v>1948</v>
      </c>
      <c r="G3248" s="133"/>
      <c r="H3248" s="144"/>
      <c r="I3248" s="133"/>
      <c r="J3248" s="133"/>
      <c r="K3248" s="133"/>
      <c r="L3248" s="133"/>
      <c r="M3248" s="133"/>
      <c r="N3248" s="259"/>
      <c r="O3248" s="141"/>
      <c r="P3248" s="140"/>
    </row>
    <row r="3249" spans="1:16" hidden="1" x14ac:dyDescent="0.35">
      <c r="A3249" s="149"/>
      <c r="B3249" s="143"/>
      <c r="C3249" s="133"/>
      <c r="D3249" s="133"/>
      <c r="E3249" s="145"/>
      <c r="F3249" s="145"/>
      <c r="G3249" s="133"/>
      <c r="H3249" s="144"/>
      <c r="I3249" s="133"/>
      <c r="J3249" s="133"/>
      <c r="K3249" s="133"/>
      <c r="L3249" s="133"/>
      <c r="M3249" s="133"/>
      <c r="N3249" s="259"/>
      <c r="O3249" s="141"/>
      <c r="P3249" s="140"/>
    </row>
    <row r="3250" spans="1:16" hidden="1" x14ac:dyDescent="0.35">
      <c r="A3250" s="149">
        <v>147</v>
      </c>
      <c r="B3250" s="143">
        <v>45901</v>
      </c>
      <c r="C3250" s="133" t="s">
        <v>1670</v>
      </c>
      <c r="D3250" s="133" t="s">
        <v>2568</v>
      </c>
      <c r="E3250" s="145" t="s">
        <v>1342</v>
      </c>
      <c r="F3250" s="145">
        <v>5329</v>
      </c>
      <c r="G3250" s="133" t="s">
        <v>1034</v>
      </c>
      <c r="H3250" s="144" t="s">
        <v>1341</v>
      </c>
      <c r="I3250" s="133" t="s">
        <v>1092</v>
      </c>
      <c r="J3250" s="133" t="s">
        <v>2600</v>
      </c>
      <c r="K3250" s="143">
        <v>45931</v>
      </c>
      <c r="L3250" s="133" t="s">
        <v>1092</v>
      </c>
      <c r="M3250" s="133">
        <v>4924</v>
      </c>
      <c r="N3250" s="259">
        <f>+F3250+F3251+F3252-M3250-M3251-M3252</f>
        <v>0</v>
      </c>
      <c r="O3250" s="141"/>
      <c r="P3250" s="140"/>
    </row>
    <row r="3251" spans="1:16" hidden="1" x14ac:dyDescent="0.35">
      <c r="A3251" s="146"/>
      <c r="B3251" s="143"/>
      <c r="C3251" s="133"/>
      <c r="D3251" s="133"/>
      <c r="E3251" s="145" t="s">
        <v>1075</v>
      </c>
      <c r="F3251" s="145">
        <v>4924</v>
      </c>
      <c r="G3251" s="133" t="s">
        <v>1034</v>
      </c>
      <c r="H3251" s="144" t="s">
        <v>1341</v>
      </c>
      <c r="I3251" s="133" t="s">
        <v>1092</v>
      </c>
      <c r="J3251" s="133" t="s">
        <v>2616</v>
      </c>
      <c r="K3251" s="143">
        <v>45962</v>
      </c>
      <c r="L3251" s="133" t="s">
        <v>1092</v>
      </c>
      <c r="M3251" s="133">
        <v>6229</v>
      </c>
      <c r="N3251" s="259"/>
      <c r="P3251" s="140"/>
    </row>
    <row r="3252" spans="1:16" hidden="1" x14ac:dyDescent="0.35">
      <c r="A3252" s="146"/>
      <c r="B3252" s="143"/>
      <c r="C3252" s="133"/>
      <c r="D3252" s="133"/>
      <c r="E3252" s="145" t="s">
        <v>1067</v>
      </c>
      <c r="F3252" s="145">
        <v>1350</v>
      </c>
      <c r="G3252" s="133" t="s">
        <v>1034</v>
      </c>
      <c r="H3252" s="144" t="s">
        <v>1341</v>
      </c>
      <c r="I3252" s="133" t="s">
        <v>1092</v>
      </c>
      <c r="J3252" s="258" t="s">
        <v>2642</v>
      </c>
      <c r="K3252" s="143">
        <v>45962</v>
      </c>
      <c r="L3252" s="133" t="s">
        <v>1241</v>
      </c>
      <c r="M3252" s="133">
        <v>450</v>
      </c>
      <c r="N3252" s="259"/>
      <c r="P3252" s="140"/>
    </row>
    <row r="3253" spans="1:16" hidden="1" x14ac:dyDescent="0.35">
      <c r="A3253" s="149"/>
      <c r="B3253" s="143"/>
      <c r="C3253" s="133"/>
      <c r="D3253" s="133"/>
      <c r="E3253" s="145"/>
      <c r="F3253" s="145"/>
      <c r="G3253" s="133"/>
      <c r="H3253" s="144"/>
      <c r="I3253" s="133"/>
      <c r="J3253" s="133"/>
      <c r="K3253" s="133"/>
      <c r="L3253" s="133"/>
      <c r="M3253" s="133"/>
      <c r="N3253" s="259"/>
      <c r="O3253" s="141"/>
      <c r="P3253" s="140"/>
    </row>
    <row r="3254" spans="1:16" hidden="1" x14ac:dyDescent="0.35">
      <c r="A3254" s="149">
        <v>148</v>
      </c>
      <c r="B3254" s="143">
        <v>45901</v>
      </c>
      <c r="C3254" s="133" t="s">
        <v>1666</v>
      </c>
      <c r="D3254" s="133" t="s">
        <v>2571</v>
      </c>
      <c r="E3254" s="145" t="s">
        <v>1064</v>
      </c>
      <c r="F3254" s="145">
        <v>1922.2</v>
      </c>
      <c r="G3254" s="133" t="s">
        <v>1034</v>
      </c>
      <c r="H3254" s="144" t="s">
        <v>1341</v>
      </c>
      <c r="I3254" s="133" t="s">
        <v>1092</v>
      </c>
      <c r="J3254" s="133" t="s">
        <v>2616</v>
      </c>
      <c r="K3254" s="143">
        <v>45962</v>
      </c>
      <c r="L3254" s="133" t="s">
        <v>1092</v>
      </c>
      <c r="M3254" s="133">
        <v>2114.1999999999998</v>
      </c>
      <c r="N3254" s="259">
        <f>+F3254+F3255-M3254-M3255</f>
        <v>0</v>
      </c>
      <c r="O3254" s="141"/>
      <c r="P3254" s="140"/>
    </row>
    <row r="3255" spans="1:16" hidden="1" x14ac:dyDescent="0.35">
      <c r="A3255" s="146"/>
      <c r="B3255" s="143"/>
      <c r="C3255" s="133"/>
      <c r="D3255" s="133"/>
      <c r="E3255" s="145" t="s">
        <v>1067</v>
      </c>
      <c r="F3255" s="145">
        <v>292</v>
      </c>
      <c r="G3255" s="133" t="s">
        <v>1034</v>
      </c>
      <c r="H3255" s="144" t="s">
        <v>1341</v>
      </c>
      <c r="I3255" s="133" t="s">
        <v>1092</v>
      </c>
      <c r="J3255" s="258" t="s">
        <v>2642</v>
      </c>
      <c r="K3255" s="143">
        <v>45962</v>
      </c>
      <c r="L3255" s="133" t="s">
        <v>1241</v>
      </c>
      <c r="M3255" s="133">
        <v>100</v>
      </c>
      <c r="N3255" s="260"/>
      <c r="P3255" s="140"/>
    </row>
    <row r="3256" spans="1:16" hidden="1" x14ac:dyDescent="0.35">
      <c r="A3256" s="149"/>
      <c r="B3256" s="143"/>
      <c r="C3256" s="133"/>
      <c r="D3256" s="133"/>
      <c r="E3256" s="145"/>
      <c r="F3256" s="145"/>
      <c r="G3256" s="133"/>
      <c r="H3256" s="144"/>
      <c r="I3256" s="133"/>
      <c r="J3256" s="133"/>
      <c r="K3256" s="133"/>
      <c r="L3256" s="133"/>
      <c r="M3256" s="133"/>
      <c r="N3256" s="260"/>
      <c r="O3256" s="141"/>
      <c r="P3256" s="140"/>
    </row>
    <row r="3257" spans="1:16" hidden="1" x14ac:dyDescent="0.35">
      <c r="A3257" s="257"/>
      <c r="B3257" s="152"/>
      <c r="C3257" s="151"/>
      <c r="D3257" s="151"/>
      <c r="E3257" s="154"/>
      <c r="F3257" s="154"/>
      <c r="G3257" s="151"/>
      <c r="H3257" s="153"/>
      <c r="I3257" s="151"/>
      <c r="J3257" s="151"/>
      <c r="K3257" s="151"/>
      <c r="L3257" s="151"/>
      <c r="M3257" s="151"/>
      <c r="N3257" s="261"/>
      <c r="O3257" s="141"/>
      <c r="P3257" s="140"/>
    </row>
    <row r="3258" spans="1:16" hidden="1" x14ac:dyDescent="0.35">
      <c r="A3258" s="149"/>
      <c r="B3258" s="143"/>
      <c r="C3258" s="133"/>
      <c r="D3258" s="133"/>
      <c r="E3258" s="145"/>
      <c r="F3258" s="145"/>
      <c r="G3258" s="133"/>
      <c r="H3258" s="144"/>
      <c r="I3258" s="133"/>
      <c r="J3258" s="133"/>
      <c r="K3258" s="133"/>
      <c r="L3258" s="133"/>
      <c r="M3258" s="133"/>
      <c r="N3258" s="260"/>
      <c r="O3258" s="141"/>
      <c r="P3258" s="140"/>
    </row>
    <row r="3259" spans="1:16" hidden="1" x14ac:dyDescent="0.35">
      <c r="A3259" s="149">
        <v>149</v>
      </c>
      <c r="B3259" s="143">
        <v>45931</v>
      </c>
      <c r="C3259" s="133" t="s">
        <v>1665</v>
      </c>
      <c r="D3259" s="133" t="s">
        <v>2572</v>
      </c>
      <c r="E3259" s="145" t="s">
        <v>1118</v>
      </c>
      <c r="F3259" s="145">
        <v>1832.9</v>
      </c>
      <c r="G3259" s="133" t="s">
        <v>1034</v>
      </c>
      <c r="H3259" s="144" t="s">
        <v>1341</v>
      </c>
      <c r="I3259" s="133" t="s">
        <v>1092</v>
      </c>
      <c r="J3259" s="133" t="s">
        <v>2600</v>
      </c>
      <c r="K3259" s="143">
        <v>45931</v>
      </c>
      <c r="L3259" s="133" t="s">
        <v>1092</v>
      </c>
      <c r="M3259" s="133">
        <v>1832.9</v>
      </c>
      <c r="N3259" s="259">
        <f>+F3259+F3260+F3261-M3259-M3260-M3261</f>
        <v>0</v>
      </c>
      <c r="O3259" s="141"/>
      <c r="P3259" s="140"/>
    </row>
    <row r="3260" spans="1:16" hidden="1" x14ac:dyDescent="0.35">
      <c r="A3260" s="146"/>
      <c r="B3260" s="143"/>
      <c r="C3260" s="133"/>
      <c r="D3260" s="133"/>
      <c r="E3260" s="145" t="s">
        <v>1342</v>
      </c>
      <c r="F3260" s="145">
        <v>5510</v>
      </c>
      <c r="G3260" s="133" t="s">
        <v>1034</v>
      </c>
      <c r="H3260" s="144" t="s">
        <v>1341</v>
      </c>
      <c r="I3260" s="133" t="s">
        <v>1092</v>
      </c>
      <c r="J3260" s="133" t="s">
        <v>2616</v>
      </c>
      <c r="K3260" s="143">
        <v>45962</v>
      </c>
      <c r="L3260" s="133" t="s">
        <v>1092</v>
      </c>
      <c r="M3260" s="133">
        <v>7317</v>
      </c>
      <c r="N3260" s="259"/>
      <c r="P3260" s="140"/>
    </row>
    <row r="3261" spans="1:16" hidden="1" x14ac:dyDescent="0.35">
      <c r="A3261" s="149"/>
      <c r="B3261" s="143"/>
      <c r="C3261" s="133"/>
      <c r="D3261" s="133"/>
      <c r="E3261" s="145" t="s">
        <v>1067</v>
      </c>
      <c r="F3261" s="145">
        <v>2287</v>
      </c>
      <c r="G3261" s="133" t="s">
        <v>1034</v>
      </c>
      <c r="H3261" s="144" t="s">
        <v>1341</v>
      </c>
      <c r="I3261" s="133" t="s">
        <v>1092</v>
      </c>
      <c r="J3261" s="258" t="s">
        <v>2642</v>
      </c>
      <c r="K3261" s="143">
        <v>45962</v>
      </c>
      <c r="L3261" s="133" t="s">
        <v>1241</v>
      </c>
      <c r="M3261" s="133">
        <v>480</v>
      </c>
      <c r="N3261" s="259"/>
      <c r="O3261" s="141"/>
      <c r="P3261" s="140"/>
    </row>
    <row r="3262" spans="1:16" hidden="1" x14ac:dyDescent="0.35">
      <c r="A3262" s="149"/>
      <c r="B3262" s="143"/>
      <c r="C3262" s="133"/>
      <c r="D3262" s="133"/>
      <c r="E3262" s="145"/>
      <c r="F3262" s="145"/>
      <c r="G3262" s="133"/>
      <c r="H3262" s="144"/>
      <c r="I3262" s="133"/>
      <c r="J3262" s="133"/>
      <c r="K3262" s="133"/>
      <c r="L3262" s="133"/>
      <c r="M3262" s="133"/>
      <c r="N3262" s="259"/>
      <c r="O3262" s="141"/>
      <c r="P3262" s="140"/>
    </row>
    <row r="3263" spans="1:16" hidden="1" x14ac:dyDescent="0.35">
      <c r="A3263" s="149">
        <v>150</v>
      </c>
      <c r="B3263" s="143">
        <v>45931</v>
      </c>
      <c r="C3263" s="133" t="s">
        <v>1663</v>
      </c>
      <c r="D3263" s="133" t="s">
        <v>2573</v>
      </c>
      <c r="E3263" s="145" t="s">
        <v>1067</v>
      </c>
      <c r="F3263" s="145">
        <v>266</v>
      </c>
      <c r="G3263" s="133" t="s">
        <v>1034</v>
      </c>
      <c r="H3263" s="144" t="s">
        <v>1341</v>
      </c>
      <c r="I3263" s="133" t="s">
        <v>1092</v>
      </c>
      <c r="J3263" s="133" t="s">
        <v>2616</v>
      </c>
      <c r="K3263" s="143">
        <v>45962</v>
      </c>
      <c r="L3263" s="133" t="s">
        <v>1092</v>
      </c>
      <c r="M3263" s="133">
        <v>266</v>
      </c>
      <c r="N3263" s="259">
        <f>+F3263-M3263</f>
        <v>0</v>
      </c>
      <c r="O3263" s="141"/>
      <c r="P3263" s="140"/>
    </row>
    <row r="3264" spans="1:16" hidden="1" x14ac:dyDescent="0.35">
      <c r="A3264" s="146"/>
      <c r="B3264" s="143"/>
      <c r="C3264" s="133"/>
      <c r="D3264" s="133"/>
      <c r="E3264" s="145"/>
      <c r="F3264" s="145"/>
      <c r="G3264" s="133"/>
      <c r="H3264" s="144"/>
      <c r="I3264" s="133"/>
      <c r="J3264" s="133"/>
      <c r="K3264" s="133"/>
      <c r="L3264" s="133"/>
      <c r="M3264" s="133"/>
      <c r="N3264" s="259"/>
      <c r="P3264" s="140"/>
    </row>
    <row r="3265" spans="1:16" hidden="1" x14ac:dyDescent="0.35">
      <c r="A3265" s="149">
        <v>151</v>
      </c>
      <c r="B3265" s="143">
        <v>45931</v>
      </c>
      <c r="C3265" s="133" t="s">
        <v>1661</v>
      </c>
      <c r="D3265" s="133" t="s">
        <v>2574</v>
      </c>
      <c r="E3265" s="145" t="s">
        <v>1118</v>
      </c>
      <c r="F3265" s="145">
        <v>2396.8000000000002</v>
      </c>
      <c r="G3265" s="133" t="s">
        <v>1034</v>
      </c>
      <c r="H3265" s="144" t="s">
        <v>1341</v>
      </c>
      <c r="I3265" s="133" t="s">
        <v>1092</v>
      </c>
      <c r="J3265" s="133" t="s">
        <v>2600</v>
      </c>
      <c r="K3265" s="143">
        <v>45931</v>
      </c>
      <c r="L3265" s="133" t="s">
        <v>1092</v>
      </c>
      <c r="M3265" s="133">
        <v>101.98</v>
      </c>
      <c r="N3265" s="259">
        <f>+F3265+F3266+F3267+F3268+F3269-M3265-M3266-M3267</f>
        <v>0</v>
      </c>
      <c r="O3265" s="141"/>
      <c r="P3265" s="140"/>
    </row>
    <row r="3266" spans="1:16" hidden="1" x14ac:dyDescent="0.35">
      <c r="A3266" s="146"/>
      <c r="B3266" s="143"/>
      <c r="C3266" s="133"/>
      <c r="D3266" s="133"/>
      <c r="E3266" s="145" t="s">
        <v>1342</v>
      </c>
      <c r="F3266" s="145">
        <v>1908</v>
      </c>
      <c r="G3266" s="133" t="s">
        <v>1034</v>
      </c>
      <c r="H3266" s="144" t="s">
        <v>1341</v>
      </c>
      <c r="I3266" s="133" t="s">
        <v>1092</v>
      </c>
      <c r="J3266" s="133" t="s">
        <v>2616</v>
      </c>
      <c r="K3266" s="143">
        <v>45962</v>
      </c>
      <c r="L3266" s="133" t="s">
        <v>1092</v>
      </c>
      <c r="M3266" s="133">
        <v>17697.32</v>
      </c>
      <c r="N3266" s="259"/>
      <c r="P3266" s="140"/>
    </row>
    <row r="3267" spans="1:16" hidden="1" x14ac:dyDescent="0.35">
      <c r="A3267" s="149"/>
      <c r="B3267" s="143"/>
      <c r="C3267" s="133"/>
      <c r="D3267" s="133"/>
      <c r="E3267" s="145" t="s">
        <v>1067</v>
      </c>
      <c r="F3267" s="145">
        <v>7752.8</v>
      </c>
      <c r="G3267" s="133" t="s">
        <v>1034</v>
      </c>
      <c r="H3267" s="144" t="s">
        <v>1341</v>
      </c>
      <c r="I3267" s="133" t="s">
        <v>1092</v>
      </c>
      <c r="J3267" s="258" t="s">
        <v>2642</v>
      </c>
      <c r="K3267" s="143">
        <v>45962</v>
      </c>
      <c r="L3267" s="133" t="s">
        <v>1241</v>
      </c>
      <c r="M3267" s="133">
        <v>931</v>
      </c>
      <c r="N3267" s="259"/>
      <c r="O3267" s="141"/>
      <c r="P3267" s="140"/>
    </row>
    <row r="3268" spans="1:16" hidden="1" x14ac:dyDescent="0.35">
      <c r="A3268" s="149"/>
      <c r="B3268" s="143"/>
      <c r="C3268" s="133"/>
      <c r="D3268" s="133"/>
      <c r="E3268" s="145" t="s">
        <v>1064</v>
      </c>
      <c r="F3268" s="145">
        <v>1711.3</v>
      </c>
      <c r="G3268" s="133"/>
      <c r="H3268" s="144"/>
      <c r="I3268" s="133"/>
      <c r="J3268" s="133"/>
      <c r="K3268" s="133"/>
      <c r="L3268" s="133"/>
      <c r="M3268" s="133"/>
      <c r="N3268" s="259"/>
      <c r="O3268" s="141"/>
      <c r="P3268" s="140"/>
    </row>
    <row r="3269" spans="1:16" hidden="1" x14ac:dyDescent="0.35">
      <c r="A3269" s="149"/>
      <c r="B3269" s="143"/>
      <c r="C3269" s="133"/>
      <c r="D3269" s="133"/>
      <c r="E3269" s="145" t="s">
        <v>1075</v>
      </c>
      <c r="F3269" s="145">
        <v>4961.3999999999996</v>
      </c>
      <c r="G3269" s="133"/>
      <c r="H3269" s="144"/>
      <c r="I3269" s="133"/>
      <c r="J3269" s="133"/>
      <c r="K3269" s="133"/>
      <c r="L3269" s="133"/>
      <c r="M3269" s="133"/>
      <c r="N3269" s="259"/>
      <c r="O3269" s="141"/>
      <c r="P3269" s="140"/>
    </row>
    <row r="3270" spans="1:16" hidden="1" x14ac:dyDescent="0.35">
      <c r="A3270" s="149"/>
      <c r="B3270" s="143"/>
      <c r="C3270" s="133"/>
      <c r="D3270" s="133"/>
      <c r="E3270" s="145"/>
      <c r="F3270" s="145"/>
      <c r="G3270" s="133"/>
      <c r="H3270" s="144"/>
      <c r="I3270" s="133"/>
      <c r="J3270" s="133"/>
      <c r="K3270" s="133"/>
      <c r="L3270" s="133"/>
      <c r="M3270" s="133"/>
      <c r="N3270" s="259"/>
      <c r="O3270" s="141"/>
      <c r="P3270" s="140"/>
    </row>
    <row r="3271" spans="1:16" hidden="1" x14ac:dyDescent="0.35">
      <c r="A3271" s="149">
        <v>152</v>
      </c>
      <c r="B3271" s="143">
        <v>45931</v>
      </c>
      <c r="C3271" s="133" t="s">
        <v>1659</v>
      </c>
      <c r="D3271" s="133" t="s">
        <v>2575</v>
      </c>
      <c r="E3271" s="145" t="s">
        <v>1075</v>
      </c>
      <c r="F3271" s="145">
        <v>6233</v>
      </c>
      <c r="G3271" s="133" t="s">
        <v>1034</v>
      </c>
      <c r="H3271" s="144" t="s">
        <v>1341</v>
      </c>
      <c r="I3271" s="133" t="s">
        <v>1092</v>
      </c>
      <c r="J3271" s="133" t="s">
        <v>2616</v>
      </c>
      <c r="K3271" s="143">
        <v>45962</v>
      </c>
      <c r="L3271" s="133" t="s">
        <v>1092</v>
      </c>
      <c r="M3271" s="133">
        <v>3859</v>
      </c>
      <c r="N3271" s="259">
        <f>+F3271+F3272+F3273-M3271-M3272-M3273</f>
        <v>0</v>
      </c>
      <c r="O3271" s="141"/>
      <c r="P3271" s="140"/>
    </row>
    <row r="3272" spans="1:16" hidden="1" x14ac:dyDescent="0.35">
      <c r="A3272" s="146"/>
      <c r="B3272" s="143"/>
      <c r="C3272" s="133"/>
      <c r="D3272" s="133"/>
      <c r="E3272" s="145" t="s">
        <v>1342</v>
      </c>
      <c r="F3272" s="145">
        <v>566</v>
      </c>
      <c r="G3272" s="133" t="s">
        <v>1034</v>
      </c>
      <c r="H3272" s="144" t="s">
        <v>1341</v>
      </c>
      <c r="I3272" s="133" t="s">
        <v>1092</v>
      </c>
      <c r="J3272" s="133" t="s">
        <v>2630</v>
      </c>
      <c r="K3272" s="143">
        <v>45962</v>
      </c>
      <c r="L3272" s="133" t="s">
        <v>1092</v>
      </c>
      <c r="M3272" s="133">
        <f>5773+566</f>
        <v>6339</v>
      </c>
      <c r="N3272" s="259"/>
      <c r="P3272" s="140"/>
    </row>
    <row r="3273" spans="1:16" hidden="1" x14ac:dyDescent="0.35">
      <c r="A3273" s="149"/>
      <c r="B3273" s="143"/>
      <c r="C3273" s="133"/>
      <c r="D3273" s="133"/>
      <c r="E3273" s="145" t="s">
        <v>1067</v>
      </c>
      <c r="F3273" s="145">
        <v>3859</v>
      </c>
      <c r="G3273" s="133" t="s">
        <v>1034</v>
      </c>
      <c r="H3273" s="144" t="s">
        <v>1341</v>
      </c>
      <c r="I3273" s="133" t="s">
        <v>1092</v>
      </c>
      <c r="J3273" s="258" t="s">
        <v>2642</v>
      </c>
      <c r="K3273" s="143">
        <v>45962</v>
      </c>
      <c r="L3273" s="133" t="s">
        <v>1241</v>
      </c>
      <c r="M3273" s="133">
        <v>460</v>
      </c>
      <c r="N3273" s="259"/>
      <c r="O3273" s="141"/>
      <c r="P3273" s="140"/>
    </row>
    <row r="3274" spans="1:16" hidden="1" x14ac:dyDescent="0.35">
      <c r="A3274" s="149"/>
      <c r="B3274" s="143"/>
      <c r="C3274" s="133"/>
      <c r="D3274" s="133"/>
      <c r="E3274" s="145"/>
      <c r="F3274" s="145"/>
      <c r="G3274" s="133"/>
      <c r="H3274" s="144"/>
      <c r="I3274" s="133"/>
      <c r="J3274" s="133"/>
      <c r="K3274" s="133"/>
      <c r="L3274" s="133"/>
      <c r="M3274" s="133"/>
      <c r="N3274" s="259"/>
      <c r="O3274" s="141"/>
      <c r="P3274" s="140"/>
    </row>
    <row r="3275" spans="1:16" hidden="1" x14ac:dyDescent="0.35">
      <c r="A3275" s="149">
        <v>153</v>
      </c>
      <c r="B3275" s="143">
        <v>45931</v>
      </c>
      <c r="C3275" s="133" t="s">
        <v>1657</v>
      </c>
      <c r="D3275" s="133" t="s">
        <v>2577</v>
      </c>
      <c r="E3275" s="145" t="s">
        <v>1064</v>
      </c>
      <c r="F3275" s="145">
        <v>417</v>
      </c>
      <c r="G3275" s="133" t="s">
        <v>1034</v>
      </c>
      <c r="H3275" s="144" t="s">
        <v>1341</v>
      </c>
      <c r="I3275" s="133" t="s">
        <v>1092</v>
      </c>
      <c r="J3275" s="133" t="s">
        <v>2630</v>
      </c>
      <c r="K3275" s="143">
        <v>45962</v>
      </c>
      <c r="L3275" s="133" t="s">
        <v>1092</v>
      </c>
      <c r="M3275" s="133">
        <v>3268.2</v>
      </c>
      <c r="N3275" s="259">
        <f>+F3275+F3276-M3275-M3276</f>
        <v>0</v>
      </c>
      <c r="O3275" s="141"/>
      <c r="P3275" s="140"/>
    </row>
    <row r="3276" spans="1:16" hidden="1" x14ac:dyDescent="0.35">
      <c r="A3276" s="146"/>
      <c r="B3276" s="143"/>
      <c r="C3276" s="133"/>
      <c r="D3276" s="133"/>
      <c r="E3276" s="145" t="s">
        <v>1075</v>
      </c>
      <c r="F3276" s="145">
        <v>3002.2</v>
      </c>
      <c r="G3276" s="133" t="s">
        <v>1034</v>
      </c>
      <c r="H3276" s="144" t="s">
        <v>1341</v>
      </c>
      <c r="I3276" s="133" t="s">
        <v>1092</v>
      </c>
      <c r="J3276" s="258" t="s">
        <v>2642</v>
      </c>
      <c r="K3276" s="143">
        <v>45962</v>
      </c>
      <c r="L3276" s="133" t="s">
        <v>1241</v>
      </c>
      <c r="M3276" s="133">
        <v>151</v>
      </c>
      <c r="N3276" s="259"/>
      <c r="P3276" s="140"/>
    </row>
    <row r="3277" spans="1:16" hidden="1" x14ac:dyDescent="0.35">
      <c r="A3277" s="149"/>
      <c r="B3277" s="143"/>
      <c r="C3277" s="133"/>
      <c r="D3277" s="133"/>
      <c r="E3277" s="145"/>
      <c r="F3277" s="145"/>
      <c r="G3277" s="133"/>
      <c r="H3277" s="144"/>
      <c r="I3277" s="133"/>
      <c r="J3277" s="133"/>
      <c r="K3277" s="133"/>
      <c r="L3277" s="133"/>
      <c r="M3277" s="133"/>
      <c r="N3277" s="259"/>
      <c r="O3277" s="141"/>
      <c r="P3277" s="140"/>
    </row>
    <row r="3278" spans="1:16" hidden="1" x14ac:dyDescent="0.35">
      <c r="A3278" s="149">
        <v>154</v>
      </c>
      <c r="B3278" s="143">
        <v>45931</v>
      </c>
      <c r="C3278" s="133" t="s">
        <v>1656</v>
      </c>
      <c r="D3278" s="133" t="s">
        <v>2579</v>
      </c>
      <c r="E3278" s="145" t="s">
        <v>1067</v>
      </c>
      <c r="F3278" s="145">
        <v>928</v>
      </c>
      <c r="G3278" s="133" t="s">
        <v>1034</v>
      </c>
      <c r="H3278" s="144" t="s">
        <v>1341</v>
      </c>
      <c r="I3278" s="133" t="s">
        <v>1092</v>
      </c>
      <c r="J3278" s="133" t="s">
        <v>2616</v>
      </c>
      <c r="K3278" s="143">
        <v>45962</v>
      </c>
      <c r="L3278" s="133" t="s">
        <v>1092</v>
      </c>
      <c r="M3278" s="133">
        <v>928</v>
      </c>
      <c r="N3278" s="259">
        <f>+F3278+F3279-M3278-M3279-M3280</f>
        <v>0</v>
      </c>
      <c r="O3278" s="141"/>
      <c r="P3278" s="140"/>
    </row>
    <row r="3279" spans="1:16" hidden="1" x14ac:dyDescent="0.35">
      <c r="A3279" s="146"/>
      <c r="B3279" s="143"/>
      <c r="C3279" s="133"/>
      <c r="D3279" s="133"/>
      <c r="E3279" s="145" t="s">
        <v>1342</v>
      </c>
      <c r="F3279" s="145">
        <v>3813</v>
      </c>
      <c r="G3279" s="133" t="s">
        <v>1034</v>
      </c>
      <c r="H3279" s="144" t="s">
        <v>1341</v>
      </c>
      <c r="I3279" s="133" t="s">
        <v>1092</v>
      </c>
      <c r="J3279" s="133" t="s">
        <v>2630</v>
      </c>
      <c r="K3279" s="143">
        <v>45962</v>
      </c>
      <c r="L3279" s="133" t="s">
        <v>1092</v>
      </c>
      <c r="M3279" s="133">
        <v>3603</v>
      </c>
      <c r="N3279" s="259"/>
      <c r="P3279" s="140"/>
    </row>
    <row r="3280" spans="1:16" hidden="1" x14ac:dyDescent="0.35">
      <c r="A3280" s="149"/>
      <c r="B3280" s="143"/>
      <c r="C3280" s="133"/>
      <c r="D3280" s="133"/>
      <c r="E3280" s="145"/>
      <c r="F3280" s="145"/>
      <c r="G3280" s="133" t="s">
        <v>1034</v>
      </c>
      <c r="H3280" s="144" t="s">
        <v>1341</v>
      </c>
      <c r="I3280" s="133" t="s">
        <v>1092</v>
      </c>
      <c r="J3280" s="258" t="s">
        <v>2642</v>
      </c>
      <c r="K3280" s="143">
        <v>45962</v>
      </c>
      <c r="L3280" s="133" t="s">
        <v>1241</v>
      </c>
      <c r="M3280" s="133">
        <v>210</v>
      </c>
      <c r="N3280" s="259"/>
      <c r="O3280" s="141"/>
      <c r="P3280" s="140"/>
    </row>
    <row r="3281" spans="1:16" hidden="1" x14ac:dyDescent="0.35">
      <c r="A3281" s="149"/>
      <c r="B3281" s="143"/>
      <c r="C3281" s="133"/>
      <c r="D3281" s="133"/>
      <c r="E3281" s="145"/>
      <c r="F3281" s="145"/>
      <c r="G3281" s="133"/>
      <c r="H3281" s="144"/>
      <c r="I3281" s="133"/>
      <c r="J3281" s="258"/>
      <c r="K3281" s="143"/>
      <c r="L3281" s="133"/>
      <c r="M3281" s="133"/>
      <c r="N3281" s="259"/>
      <c r="O3281" s="141"/>
      <c r="P3281" s="140"/>
    </row>
    <row r="3282" spans="1:16" hidden="1" x14ac:dyDescent="0.35">
      <c r="A3282" s="149">
        <v>155</v>
      </c>
      <c r="B3282" s="143">
        <v>45931</v>
      </c>
      <c r="C3282" s="133" t="s">
        <v>1654</v>
      </c>
      <c r="D3282" s="133" t="s">
        <v>2582</v>
      </c>
      <c r="E3282" s="145" t="s">
        <v>1067</v>
      </c>
      <c r="F3282" s="145">
        <v>1496</v>
      </c>
      <c r="G3282" s="133" t="s">
        <v>1034</v>
      </c>
      <c r="H3282" s="144" t="s">
        <v>1341</v>
      </c>
      <c r="I3282" s="133" t="s">
        <v>1092</v>
      </c>
      <c r="J3282" s="133" t="s">
        <v>2616</v>
      </c>
      <c r="K3282" s="143">
        <v>45962</v>
      </c>
      <c r="L3282" s="133" t="s">
        <v>1092</v>
      </c>
      <c r="M3282" s="133">
        <v>1496</v>
      </c>
      <c r="N3282" s="259">
        <f>+F3282+F3283-M3282-M3283-M3284</f>
        <v>0</v>
      </c>
      <c r="O3282" s="141"/>
      <c r="P3282" s="140"/>
    </row>
    <row r="3283" spans="1:16" hidden="1" x14ac:dyDescent="0.35">
      <c r="A3283" s="146"/>
      <c r="B3283" s="143"/>
      <c r="C3283" s="133"/>
      <c r="D3283" s="133"/>
      <c r="E3283" s="145" t="s">
        <v>1342</v>
      </c>
      <c r="F3283" s="145">
        <v>4635</v>
      </c>
      <c r="G3283" s="133" t="s">
        <v>1034</v>
      </c>
      <c r="H3283" s="144" t="s">
        <v>1341</v>
      </c>
      <c r="I3283" s="133" t="s">
        <v>1092</v>
      </c>
      <c r="J3283" s="133" t="s">
        <v>2630</v>
      </c>
      <c r="K3283" s="143">
        <v>45962</v>
      </c>
      <c r="L3283" s="133" t="s">
        <v>1092</v>
      </c>
      <c r="M3283" s="133">
        <v>4344</v>
      </c>
      <c r="N3283" s="259"/>
      <c r="P3283" s="140"/>
    </row>
    <row r="3284" spans="1:16" hidden="1" x14ac:dyDescent="0.35">
      <c r="A3284" s="149"/>
      <c r="B3284" s="143"/>
      <c r="C3284" s="133"/>
      <c r="D3284" s="133"/>
      <c r="E3284" s="145"/>
      <c r="F3284" s="145"/>
      <c r="G3284" s="133" t="s">
        <v>1034</v>
      </c>
      <c r="H3284" s="144" t="s">
        <v>1341</v>
      </c>
      <c r="I3284" s="133" t="s">
        <v>1092</v>
      </c>
      <c r="J3284" s="258" t="s">
        <v>2642</v>
      </c>
      <c r="K3284" s="143">
        <v>45962</v>
      </c>
      <c r="L3284" s="133" t="s">
        <v>1241</v>
      </c>
      <c r="M3284" s="133">
        <v>291</v>
      </c>
      <c r="N3284" s="259"/>
      <c r="O3284" s="141"/>
      <c r="P3284" s="140"/>
    </row>
    <row r="3285" spans="1:16" hidden="1" x14ac:dyDescent="0.35">
      <c r="A3285" s="149"/>
      <c r="B3285" s="143"/>
      <c r="C3285" s="133"/>
      <c r="D3285" s="133"/>
      <c r="E3285" s="145"/>
      <c r="F3285" s="145"/>
      <c r="G3285" s="133"/>
      <c r="H3285" s="144"/>
      <c r="I3285" s="133"/>
      <c r="J3285" s="258"/>
      <c r="K3285" s="143"/>
      <c r="L3285" s="133"/>
      <c r="M3285" s="133"/>
      <c r="N3285" s="259"/>
      <c r="O3285" s="141"/>
      <c r="P3285" s="140"/>
    </row>
    <row r="3286" spans="1:16" hidden="1" x14ac:dyDescent="0.35">
      <c r="A3286" s="149">
        <v>156</v>
      </c>
      <c r="B3286" s="143">
        <v>45931</v>
      </c>
      <c r="C3286" s="133" t="s">
        <v>1653</v>
      </c>
      <c r="D3286" s="133" t="s">
        <v>2583</v>
      </c>
      <c r="E3286" s="145" t="s">
        <v>1075</v>
      </c>
      <c r="F3286" s="145">
        <v>6992.1</v>
      </c>
      <c r="G3286" s="133" t="s">
        <v>1034</v>
      </c>
      <c r="H3286" s="144" t="s">
        <v>1341</v>
      </c>
      <c r="I3286" s="133" t="s">
        <v>1092</v>
      </c>
      <c r="J3286" s="133" t="s">
        <v>2616</v>
      </c>
      <c r="K3286" s="143">
        <v>45962</v>
      </c>
      <c r="L3286" s="133" t="s">
        <v>1092</v>
      </c>
      <c r="M3286" s="133">
        <f>473+903</f>
        <v>1376</v>
      </c>
      <c r="N3286" s="259">
        <f>+F3286+F3287+F3288+F3289+F3290-M3286-M3287-M3288-M3289</f>
        <v>0</v>
      </c>
      <c r="O3286" s="141"/>
      <c r="P3286" s="140"/>
    </row>
    <row r="3287" spans="1:16" hidden="1" x14ac:dyDescent="0.35">
      <c r="A3287" s="146"/>
      <c r="B3287" s="143"/>
      <c r="C3287" s="133"/>
      <c r="D3287" s="133"/>
      <c r="E3287" s="145" t="s">
        <v>1118</v>
      </c>
      <c r="F3287" s="145">
        <v>473</v>
      </c>
      <c r="G3287" s="133" t="s">
        <v>1034</v>
      </c>
      <c r="H3287" s="144" t="s">
        <v>1341</v>
      </c>
      <c r="I3287" s="133" t="s">
        <v>1092</v>
      </c>
      <c r="J3287" s="133" t="s">
        <v>2630</v>
      </c>
      <c r="K3287" s="143">
        <v>45962</v>
      </c>
      <c r="L3287" s="133" t="s">
        <v>1092</v>
      </c>
      <c r="M3287" s="133">
        <f>6582.1+1780</f>
        <v>8362.1</v>
      </c>
      <c r="N3287" s="259"/>
      <c r="P3287" s="140"/>
    </row>
    <row r="3288" spans="1:16" hidden="1" x14ac:dyDescent="0.35">
      <c r="A3288" s="149"/>
      <c r="B3288" s="143"/>
      <c r="C3288" s="133"/>
      <c r="D3288" s="133"/>
      <c r="E3288" s="145" t="s">
        <v>1342</v>
      </c>
      <c r="F3288" s="145">
        <v>2721</v>
      </c>
      <c r="G3288" s="133" t="s">
        <v>1034</v>
      </c>
      <c r="H3288" s="144" t="s">
        <v>1341</v>
      </c>
      <c r="I3288" s="133" t="s">
        <v>1092</v>
      </c>
      <c r="J3288" s="258" t="s">
        <v>2641</v>
      </c>
      <c r="K3288" s="143">
        <v>45962</v>
      </c>
      <c r="L3288" s="133" t="s">
        <v>1092</v>
      </c>
      <c r="M3288" s="133">
        <f>3131-410</f>
        <v>2721</v>
      </c>
      <c r="N3288" s="259"/>
      <c r="O3288" s="141"/>
      <c r="P3288" s="140"/>
    </row>
    <row r="3289" spans="1:16" hidden="1" x14ac:dyDescent="0.35">
      <c r="A3289" s="149"/>
      <c r="B3289" s="143"/>
      <c r="C3289" s="133"/>
      <c r="D3289" s="133"/>
      <c r="E3289" s="145" t="s">
        <v>1064</v>
      </c>
      <c r="F3289" s="145">
        <v>1780</v>
      </c>
      <c r="G3289" s="133" t="s">
        <v>1034</v>
      </c>
      <c r="H3289" s="144" t="s">
        <v>1341</v>
      </c>
      <c r="I3289" s="133" t="s">
        <v>1092</v>
      </c>
      <c r="J3289" s="258" t="s">
        <v>2642</v>
      </c>
      <c r="K3289" s="143">
        <v>45962</v>
      </c>
      <c r="L3289" s="133" t="s">
        <v>1241</v>
      </c>
      <c r="M3289" s="133">
        <v>410</v>
      </c>
      <c r="N3289" s="259"/>
      <c r="O3289" s="141"/>
      <c r="P3289" s="140"/>
    </row>
    <row r="3290" spans="1:16" hidden="1" x14ac:dyDescent="0.35">
      <c r="A3290" s="149"/>
      <c r="B3290" s="143"/>
      <c r="C3290" s="133"/>
      <c r="D3290" s="133"/>
      <c r="E3290" s="145" t="s">
        <v>1067</v>
      </c>
      <c r="F3290" s="145">
        <v>903</v>
      </c>
      <c r="G3290" s="133"/>
      <c r="H3290" s="144"/>
      <c r="I3290" s="133"/>
      <c r="J3290" s="133"/>
      <c r="K3290" s="133"/>
      <c r="L3290" s="133"/>
      <c r="M3290" s="133"/>
      <c r="N3290" s="259"/>
      <c r="O3290" s="141"/>
      <c r="P3290" s="140"/>
    </row>
    <row r="3291" spans="1:16" hidden="1" x14ac:dyDescent="0.35">
      <c r="A3291" s="149"/>
      <c r="B3291" s="143"/>
      <c r="C3291" s="133"/>
      <c r="D3291" s="133"/>
      <c r="E3291" s="145"/>
      <c r="F3291" s="145"/>
      <c r="G3291" s="133"/>
      <c r="H3291" s="144"/>
      <c r="I3291" s="133"/>
      <c r="J3291" s="133"/>
      <c r="K3291" s="133"/>
      <c r="L3291" s="133"/>
      <c r="M3291" s="133"/>
      <c r="N3291" s="259"/>
      <c r="O3291" s="141"/>
      <c r="P3291" s="140"/>
    </row>
    <row r="3292" spans="1:16" hidden="1" x14ac:dyDescent="0.35">
      <c r="A3292" s="149">
        <v>157</v>
      </c>
      <c r="B3292" s="143">
        <v>45931</v>
      </c>
      <c r="C3292" s="133" t="s">
        <v>1651</v>
      </c>
      <c r="D3292" s="133" t="s">
        <v>2584</v>
      </c>
      <c r="E3292" s="145" t="s">
        <v>1075</v>
      </c>
      <c r="F3292" s="145">
        <v>4035</v>
      </c>
      <c r="G3292" s="133" t="s">
        <v>1034</v>
      </c>
      <c r="H3292" s="144" t="s">
        <v>1341</v>
      </c>
      <c r="I3292" s="133" t="s">
        <v>1092</v>
      </c>
      <c r="J3292" s="133" t="s">
        <v>2600</v>
      </c>
      <c r="K3292" s="143">
        <v>45931</v>
      </c>
      <c r="L3292" s="133" t="s">
        <v>1092</v>
      </c>
      <c r="M3292" s="133">
        <v>4702</v>
      </c>
      <c r="N3292" s="259">
        <f>+F3292+F3293+F3294+F3295+F3296-M3292-M3293-M3294</f>
        <v>0</v>
      </c>
      <c r="O3292" s="141"/>
      <c r="P3292" s="140"/>
    </row>
    <row r="3293" spans="1:16" hidden="1" x14ac:dyDescent="0.35">
      <c r="A3293" s="146"/>
      <c r="B3293" s="143"/>
      <c r="C3293" s="133"/>
      <c r="D3293" s="133"/>
      <c r="E3293" s="145" t="s">
        <v>1118</v>
      </c>
      <c r="F3293" s="145">
        <v>976.1</v>
      </c>
      <c r="G3293" s="133" t="s">
        <v>1034</v>
      </c>
      <c r="H3293" s="144" t="s">
        <v>1341</v>
      </c>
      <c r="I3293" s="133" t="s">
        <v>1092</v>
      </c>
      <c r="J3293" s="133" t="s">
        <v>2616</v>
      </c>
      <c r="K3293" s="143">
        <v>45962</v>
      </c>
      <c r="L3293" s="133" t="s">
        <v>1092</v>
      </c>
      <c r="M3293" s="133">
        <v>10626.1</v>
      </c>
      <c r="N3293" s="147"/>
      <c r="P3293" s="140"/>
    </row>
    <row r="3294" spans="1:16" hidden="1" x14ac:dyDescent="0.35">
      <c r="A3294" s="149"/>
      <c r="B3294" s="143"/>
      <c r="C3294" s="133"/>
      <c r="D3294" s="133"/>
      <c r="E3294" s="145" t="s">
        <v>1342</v>
      </c>
      <c r="F3294" s="145">
        <v>4957</v>
      </c>
      <c r="G3294" s="133" t="s">
        <v>1034</v>
      </c>
      <c r="H3294" s="144" t="s">
        <v>1341</v>
      </c>
      <c r="I3294" s="133" t="s">
        <v>1092</v>
      </c>
      <c r="J3294" s="258" t="s">
        <v>2642</v>
      </c>
      <c r="K3294" s="143">
        <v>45962</v>
      </c>
      <c r="L3294" s="133" t="s">
        <v>1241</v>
      </c>
      <c r="M3294" s="133">
        <v>815</v>
      </c>
      <c r="N3294" s="147"/>
      <c r="O3294" s="141"/>
      <c r="P3294" s="140"/>
    </row>
    <row r="3295" spans="1:16" hidden="1" x14ac:dyDescent="0.35">
      <c r="A3295" s="149"/>
      <c r="B3295" s="143"/>
      <c r="C3295" s="133"/>
      <c r="D3295" s="133"/>
      <c r="E3295" s="145" t="s">
        <v>1078</v>
      </c>
      <c r="F3295" s="145">
        <v>6032</v>
      </c>
      <c r="G3295" s="133"/>
      <c r="H3295" s="144"/>
      <c r="I3295" s="133"/>
      <c r="J3295" s="133"/>
      <c r="K3295" s="133"/>
      <c r="L3295" s="133"/>
      <c r="M3295" s="133"/>
      <c r="N3295" s="147"/>
      <c r="O3295" s="141"/>
      <c r="P3295" s="140"/>
    </row>
    <row r="3296" spans="1:16" hidden="1" x14ac:dyDescent="0.35">
      <c r="A3296" s="149"/>
      <c r="B3296" s="143"/>
      <c r="C3296" s="133"/>
      <c r="D3296" s="133"/>
      <c r="E3296" s="145" t="s">
        <v>1067</v>
      </c>
      <c r="F3296" s="145">
        <v>143</v>
      </c>
      <c r="G3296" s="133"/>
      <c r="H3296" s="144"/>
      <c r="I3296" s="133"/>
      <c r="J3296" s="133"/>
      <c r="K3296" s="133"/>
      <c r="L3296" s="133"/>
      <c r="M3296" s="133"/>
      <c r="N3296" s="147"/>
      <c r="O3296" s="141"/>
      <c r="P3296" s="140"/>
    </row>
    <row r="3297" spans="1:16" hidden="1" x14ac:dyDescent="0.35">
      <c r="A3297" s="149"/>
      <c r="B3297" s="143"/>
      <c r="C3297" s="133"/>
      <c r="D3297" s="133"/>
      <c r="E3297" s="145"/>
      <c r="F3297" s="145"/>
      <c r="G3297" s="133"/>
      <c r="H3297" s="144"/>
      <c r="I3297" s="133"/>
      <c r="J3297" s="133"/>
      <c r="K3297" s="133"/>
      <c r="L3297" s="133"/>
      <c r="M3297" s="133"/>
      <c r="N3297" s="147"/>
      <c r="O3297" s="141"/>
      <c r="P3297" s="140"/>
    </row>
    <row r="3298" spans="1:16" hidden="1" x14ac:dyDescent="0.35">
      <c r="A3298" s="149">
        <v>158</v>
      </c>
      <c r="B3298" s="143">
        <v>45931</v>
      </c>
      <c r="C3298" s="133" t="s">
        <v>1650</v>
      </c>
      <c r="D3298" s="133" t="s">
        <v>2581</v>
      </c>
      <c r="E3298" s="145" t="s">
        <v>1064</v>
      </c>
      <c r="F3298" s="145">
        <v>706.2</v>
      </c>
      <c r="G3298" s="133" t="s">
        <v>1034</v>
      </c>
      <c r="H3298" s="144" t="s">
        <v>1341</v>
      </c>
      <c r="I3298" s="133" t="s">
        <v>1092</v>
      </c>
      <c r="J3298" s="133" t="s">
        <v>2630</v>
      </c>
      <c r="K3298" s="143">
        <v>45962</v>
      </c>
      <c r="L3298" s="133" t="s">
        <v>1092</v>
      </c>
      <c r="M3298" s="133">
        <f>706.2+2709</f>
        <v>3415.2</v>
      </c>
      <c r="N3298" s="147">
        <f>+F3298+F3299+F3300-M3298-M3299-M3300</f>
        <v>9.0949470177292824E-13</v>
      </c>
      <c r="O3298" s="141"/>
      <c r="P3298" s="140"/>
    </row>
    <row r="3299" spans="1:16" hidden="1" x14ac:dyDescent="0.35">
      <c r="A3299" s="146"/>
      <c r="B3299" s="143"/>
      <c r="C3299" s="133"/>
      <c r="D3299" s="133"/>
      <c r="E3299" s="145" t="s">
        <v>1342</v>
      </c>
      <c r="F3299" s="145">
        <v>5351</v>
      </c>
      <c r="G3299" s="133" t="s">
        <v>1034</v>
      </c>
      <c r="H3299" s="144" t="s">
        <v>1341</v>
      </c>
      <c r="I3299" s="133" t="s">
        <v>1092</v>
      </c>
      <c r="J3299" s="258" t="s">
        <v>2641</v>
      </c>
      <c r="K3299" s="143">
        <v>45962</v>
      </c>
      <c r="L3299" s="133" t="s">
        <v>1092</v>
      </c>
      <c r="M3299" s="133">
        <v>4912</v>
      </c>
      <c r="N3299" s="147"/>
      <c r="P3299" s="140"/>
    </row>
    <row r="3300" spans="1:16" hidden="1" x14ac:dyDescent="0.35">
      <c r="A3300" s="149"/>
      <c r="B3300" s="143"/>
      <c r="C3300" s="133"/>
      <c r="D3300" s="133"/>
      <c r="E3300" s="145" t="s">
        <v>1067</v>
      </c>
      <c r="F3300" s="145">
        <v>2709</v>
      </c>
      <c r="G3300" s="133" t="s">
        <v>1034</v>
      </c>
      <c r="H3300" s="144" t="s">
        <v>1341</v>
      </c>
      <c r="I3300" s="133" t="s">
        <v>1092</v>
      </c>
      <c r="J3300" s="258" t="s">
        <v>2642</v>
      </c>
      <c r="K3300" s="143">
        <v>45962</v>
      </c>
      <c r="L3300" s="133" t="s">
        <v>1241</v>
      </c>
      <c r="M3300" s="133">
        <v>439</v>
      </c>
      <c r="N3300" s="147"/>
      <c r="O3300" s="141"/>
      <c r="P3300" s="140"/>
    </row>
    <row r="3301" spans="1:16" hidden="1" x14ac:dyDescent="0.35">
      <c r="A3301" s="149"/>
      <c r="B3301" s="143"/>
      <c r="C3301" s="133"/>
      <c r="D3301" s="133"/>
      <c r="E3301" s="145"/>
      <c r="F3301" s="145"/>
      <c r="G3301" s="133"/>
      <c r="H3301" s="144"/>
      <c r="I3301" s="133"/>
      <c r="J3301" s="258"/>
      <c r="K3301" s="143"/>
      <c r="L3301" s="133"/>
      <c r="M3301" s="133"/>
      <c r="N3301" s="147"/>
      <c r="O3301" s="141"/>
      <c r="P3301" s="140"/>
    </row>
    <row r="3302" spans="1:16" hidden="1" x14ac:dyDescent="0.35">
      <c r="A3302" s="149"/>
      <c r="B3302" s="143"/>
      <c r="C3302" s="133"/>
      <c r="D3302" s="133"/>
      <c r="E3302" s="145"/>
      <c r="F3302" s="145"/>
      <c r="G3302" s="133"/>
      <c r="H3302" s="144"/>
      <c r="I3302" s="133"/>
      <c r="J3302" s="133"/>
      <c r="K3302" s="133"/>
      <c r="L3302" s="133"/>
      <c r="M3302" s="133"/>
      <c r="N3302" s="147"/>
      <c r="O3302" s="141"/>
      <c r="P3302" s="140"/>
    </row>
    <row r="3303" spans="1:16" hidden="1" x14ac:dyDescent="0.35">
      <c r="A3303" s="149">
        <v>159</v>
      </c>
      <c r="B3303" s="143">
        <v>45931</v>
      </c>
      <c r="C3303" s="133" t="s">
        <v>1648</v>
      </c>
      <c r="D3303" s="133" t="s">
        <v>2585</v>
      </c>
      <c r="E3303" s="145" t="s">
        <v>1075</v>
      </c>
      <c r="F3303" s="145">
        <v>5465</v>
      </c>
      <c r="G3303" s="133" t="s">
        <v>1034</v>
      </c>
      <c r="H3303" s="144" t="s">
        <v>1341</v>
      </c>
      <c r="I3303" s="133" t="s">
        <v>1092</v>
      </c>
      <c r="J3303" s="133" t="s">
        <v>2630</v>
      </c>
      <c r="K3303" s="143">
        <v>45962</v>
      </c>
      <c r="L3303" s="133" t="s">
        <v>1092</v>
      </c>
      <c r="M3303" s="133">
        <v>6639</v>
      </c>
      <c r="N3303" s="259">
        <f>+F3303+F3304-M3303-M3304</f>
        <v>0</v>
      </c>
      <c r="O3303" s="141"/>
      <c r="P3303" s="140"/>
    </row>
    <row r="3304" spans="1:16" hidden="1" x14ac:dyDescent="0.35">
      <c r="A3304" s="146"/>
      <c r="B3304" s="143"/>
      <c r="C3304" s="133"/>
      <c r="D3304" s="133"/>
      <c r="E3304" s="145" t="s">
        <v>1067</v>
      </c>
      <c r="F3304" s="145">
        <v>1425</v>
      </c>
      <c r="G3304" s="133" t="s">
        <v>1034</v>
      </c>
      <c r="H3304" s="144" t="s">
        <v>1341</v>
      </c>
      <c r="I3304" s="133" t="s">
        <v>1092</v>
      </c>
      <c r="J3304" s="258" t="s">
        <v>2642</v>
      </c>
      <c r="K3304" s="143">
        <v>45962</v>
      </c>
      <c r="L3304" s="133" t="s">
        <v>1241</v>
      </c>
      <c r="M3304" s="133">
        <v>251</v>
      </c>
      <c r="N3304" s="147"/>
      <c r="P3304" s="140"/>
    </row>
    <row r="3305" spans="1:16" hidden="1" x14ac:dyDescent="0.35">
      <c r="A3305" s="149"/>
      <c r="B3305" s="143"/>
      <c r="C3305" s="133"/>
      <c r="D3305" s="133"/>
      <c r="E3305" s="145"/>
      <c r="F3305" s="145"/>
      <c r="G3305" s="133"/>
      <c r="H3305" s="144"/>
      <c r="I3305" s="133"/>
      <c r="J3305" s="133"/>
      <c r="K3305" s="133"/>
      <c r="L3305" s="133"/>
      <c r="M3305" s="133"/>
      <c r="N3305" s="147"/>
      <c r="O3305" s="141"/>
      <c r="P3305" s="140"/>
    </row>
    <row r="3306" spans="1:16" hidden="1" x14ac:dyDescent="0.35">
      <c r="A3306" s="149">
        <v>160</v>
      </c>
      <c r="B3306" s="143">
        <v>45931</v>
      </c>
      <c r="C3306" s="133" t="s">
        <v>1647</v>
      </c>
      <c r="D3306" s="133" t="s">
        <v>2586</v>
      </c>
      <c r="E3306" s="145" t="s">
        <v>1064</v>
      </c>
      <c r="F3306" s="145">
        <v>1821.4</v>
      </c>
      <c r="G3306" s="133" t="s">
        <v>1034</v>
      </c>
      <c r="H3306" s="144" t="s">
        <v>1341</v>
      </c>
      <c r="I3306" s="133" t="s">
        <v>1092</v>
      </c>
      <c r="J3306" s="133" t="s">
        <v>2630</v>
      </c>
      <c r="K3306" s="143">
        <v>45962</v>
      </c>
      <c r="L3306" s="133" t="s">
        <v>1092</v>
      </c>
      <c r="M3306" s="133">
        <v>2263</v>
      </c>
      <c r="N3306" s="147">
        <f>+F3306+F3307+F3308-M3306-M3307-M3308</f>
        <v>-4.5474735088646412E-13</v>
      </c>
      <c r="O3306" s="141"/>
      <c r="P3306" s="140"/>
    </row>
    <row r="3307" spans="1:16" hidden="1" x14ac:dyDescent="0.35">
      <c r="A3307" s="146"/>
      <c r="B3307" s="143"/>
      <c r="C3307" s="133"/>
      <c r="D3307" s="133"/>
      <c r="E3307" s="145" t="s">
        <v>1342</v>
      </c>
      <c r="F3307" s="145">
        <v>1307</v>
      </c>
      <c r="G3307" s="133" t="s">
        <v>1034</v>
      </c>
      <c r="H3307" s="144" t="s">
        <v>1341</v>
      </c>
      <c r="I3307" s="133" t="s">
        <v>1092</v>
      </c>
      <c r="J3307" s="258" t="s">
        <v>2641</v>
      </c>
      <c r="K3307" s="143">
        <v>45962</v>
      </c>
      <c r="L3307" s="133" t="s">
        <v>1092</v>
      </c>
      <c r="M3307" s="133">
        <f>1821.4+1038</f>
        <v>2859.4</v>
      </c>
      <c r="N3307" s="147"/>
      <c r="P3307" s="140"/>
    </row>
    <row r="3308" spans="1:16" hidden="1" x14ac:dyDescent="0.35">
      <c r="A3308" s="149"/>
      <c r="B3308" s="143"/>
      <c r="C3308" s="133"/>
      <c r="D3308" s="133"/>
      <c r="E3308" s="145" t="s">
        <v>1067</v>
      </c>
      <c r="F3308" s="145">
        <v>2263</v>
      </c>
      <c r="G3308" s="133" t="s">
        <v>1034</v>
      </c>
      <c r="H3308" s="144" t="s">
        <v>1341</v>
      </c>
      <c r="I3308" s="133" t="s">
        <v>1092</v>
      </c>
      <c r="J3308" s="258" t="s">
        <v>2642</v>
      </c>
      <c r="K3308" s="143">
        <v>45962</v>
      </c>
      <c r="L3308" s="133" t="s">
        <v>1241</v>
      </c>
      <c r="M3308" s="133">
        <v>269</v>
      </c>
      <c r="N3308" s="147"/>
      <c r="O3308" s="141"/>
      <c r="P3308" s="140"/>
    </row>
    <row r="3309" spans="1:16" hidden="1" x14ac:dyDescent="0.35">
      <c r="A3309" s="149"/>
      <c r="B3309" s="143"/>
      <c r="C3309" s="133"/>
      <c r="D3309" s="133"/>
      <c r="E3309" s="145"/>
      <c r="F3309" s="145"/>
      <c r="G3309" s="133"/>
      <c r="H3309" s="144"/>
      <c r="I3309" s="133"/>
      <c r="J3309" s="133"/>
      <c r="K3309" s="133"/>
      <c r="L3309" s="133"/>
      <c r="M3309" s="133"/>
      <c r="N3309" s="147"/>
      <c r="O3309" s="141"/>
      <c r="P3309" s="140"/>
    </row>
    <row r="3310" spans="1:16" hidden="1" x14ac:dyDescent="0.35">
      <c r="A3310" s="149">
        <v>161</v>
      </c>
      <c r="B3310" s="143">
        <v>45931</v>
      </c>
      <c r="C3310" s="133" t="s">
        <v>1646</v>
      </c>
      <c r="D3310" s="133" t="s">
        <v>2589</v>
      </c>
      <c r="E3310" s="145" t="s">
        <v>1118</v>
      </c>
      <c r="F3310" s="145">
        <v>3277.4</v>
      </c>
      <c r="G3310" s="133" t="s">
        <v>1034</v>
      </c>
      <c r="H3310" s="144" t="s">
        <v>1341</v>
      </c>
      <c r="I3310" s="133" t="s">
        <v>1092</v>
      </c>
      <c r="J3310" s="133" t="s">
        <v>2616</v>
      </c>
      <c r="K3310" s="143">
        <v>45962</v>
      </c>
      <c r="L3310" s="133" t="s">
        <v>1092</v>
      </c>
      <c r="M3310" s="133">
        <v>3277.4</v>
      </c>
      <c r="N3310" s="147">
        <f>+F3310+F3311+F3312-M3310-M3311-M3312-M3313</f>
        <v>0</v>
      </c>
      <c r="O3310" s="141"/>
      <c r="P3310" s="140"/>
    </row>
    <row r="3311" spans="1:16" hidden="1" x14ac:dyDescent="0.35">
      <c r="A3311" s="146"/>
      <c r="B3311" s="143"/>
      <c r="C3311" s="133"/>
      <c r="D3311" s="133"/>
      <c r="E3311" s="145" t="s">
        <v>1075</v>
      </c>
      <c r="F3311" s="145">
        <v>4953</v>
      </c>
      <c r="G3311" s="133" t="s">
        <v>1034</v>
      </c>
      <c r="H3311" s="144" t="s">
        <v>1341</v>
      </c>
      <c r="I3311" s="133" t="s">
        <v>1092</v>
      </c>
      <c r="J3311" s="133" t="s">
        <v>2630</v>
      </c>
      <c r="K3311" s="143">
        <v>45962</v>
      </c>
      <c r="L3311" s="133" t="s">
        <v>1092</v>
      </c>
      <c r="M3311" s="133">
        <v>7289</v>
      </c>
      <c r="N3311" s="147"/>
      <c r="P3311" s="140"/>
    </row>
    <row r="3312" spans="1:16" hidden="1" x14ac:dyDescent="0.35">
      <c r="A3312" s="149"/>
      <c r="B3312" s="143"/>
      <c r="C3312" s="133"/>
      <c r="D3312" s="133"/>
      <c r="E3312" s="145" t="s">
        <v>1067</v>
      </c>
      <c r="F3312" s="145">
        <v>7289</v>
      </c>
      <c r="G3312" s="133" t="s">
        <v>1034</v>
      </c>
      <c r="H3312" s="144" t="s">
        <v>1341</v>
      </c>
      <c r="I3312" s="133" t="s">
        <v>1092</v>
      </c>
      <c r="J3312" s="258" t="s">
        <v>2641</v>
      </c>
      <c r="K3312" s="143">
        <v>45962</v>
      </c>
      <c r="L3312" s="133" t="s">
        <v>1092</v>
      </c>
      <c r="M3312" s="133">
        <v>4213</v>
      </c>
      <c r="N3312" s="147"/>
      <c r="O3312" s="141"/>
      <c r="P3312" s="140"/>
    </row>
    <row r="3313" spans="1:16" hidden="1" x14ac:dyDescent="0.35">
      <c r="A3313" s="149"/>
      <c r="B3313" s="143"/>
      <c r="C3313" s="133"/>
      <c r="D3313" s="133"/>
      <c r="E3313" s="145"/>
      <c r="F3313" s="145"/>
      <c r="G3313" s="133" t="s">
        <v>1034</v>
      </c>
      <c r="H3313" s="144" t="s">
        <v>1341</v>
      </c>
      <c r="I3313" s="133" t="s">
        <v>1092</v>
      </c>
      <c r="J3313" s="258" t="s">
        <v>2642</v>
      </c>
      <c r="K3313" s="143">
        <v>45962</v>
      </c>
      <c r="L3313" s="133" t="s">
        <v>1241</v>
      </c>
      <c r="M3313" s="133">
        <v>740</v>
      </c>
      <c r="N3313" s="147"/>
      <c r="O3313" s="141"/>
      <c r="P3313" s="140"/>
    </row>
    <row r="3314" spans="1:16" hidden="1" x14ac:dyDescent="0.35">
      <c r="A3314" s="149"/>
      <c r="B3314" s="143"/>
      <c r="C3314" s="133"/>
      <c r="D3314" s="133"/>
      <c r="E3314" s="145"/>
      <c r="F3314" s="145"/>
      <c r="G3314" s="133"/>
      <c r="H3314" s="144"/>
      <c r="I3314" s="133"/>
      <c r="J3314" s="133"/>
      <c r="K3314" s="133"/>
      <c r="L3314" s="133"/>
      <c r="M3314" s="133"/>
      <c r="N3314" s="147"/>
      <c r="O3314" s="141"/>
      <c r="P3314" s="140"/>
    </row>
    <row r="3315" spans="1:16" hidden="1" x14ac:dyDescent="0.35">
      <c r="A3315" s="149">
        <v>162</v>
      </c>
      <c r="B3315" s="143">
        <v>45931</v>
      </c>
      <c r="C3315" s="133" t="s">
        <v>1645</v>
      </c>
      <c r="D3315" s="133" t="s">
        <v>2590</v>
      </c>
      <c r="E3315" s="145" t="s">
        <v>1118</v>
      </c>
      <c r="F3315" s="145">
        <v>455.6</v>
      </c>
      <c r="G3315" s="133" t="s">
        <v>1034</v>
      </c>
      <c r="H3315" s="144" t="s">
        <v>1341</v>
      </c>
      <c r="I3315" s="133" t="s">
        <v>1092</v>
      </c>
      <c r="J3315" s="133" t="s">
        <v>2630</v>
      </c>
      <c r="K3315" s="143">
        <v>45962</v>
      </c>
      <c r="L3315" s="133" t="s">
        <v>1092</v>
      </c>
      <c r="M3315" s="133">
        <v>455.6</v>
      </c>
      <c r="N3315" s="147">
        <f>+F3315+F3316+F3317-M3315-M3316-M3317</f>
        <v>0</v>
      </c>
      <c r="O3315" s="141"/>
      <c r="P3315" s="140"/>
    </row>
    <row r="3316" spans="1:16" hidden="1" x14ac:dyDescent="0.35">
      <c r="A3316" s="146"/>
      <c r="B3316" s="143"/>
      <c r="C3316" s="133"/>
      <c r="D3316" s="133"/>
      <c r="E3316" s="145" t="s">
        <v>1075</v>
      </c>
      <c r="F3316" s="145">
        <v>1551</v>
      </c>
      <c r="G3316" s="133" t="s">
        <v>1034</v>
      </c>
      <c r="H3316" s="144" t="s">
        <v>1341</v>
      </c>
      <c r="I3316" s="133" t="s">
        <v>1092</v>
      </c>
      <c r="J3316" s="258" t="s">
        <v>2641</v>
      </c>
      <c r="K3316" s="143">
        <v>45962</v>
      </c>
      <c r="L3316" s="133" t="s">
        <v>1092</v>
      </c>
      <c r="M3316" s="133">
        <f>1551+9508</f>
        <v>11059</v>
      </c>
      <c r="N3316" s="147"/>
      <c r="P3316" s="140"/>
    </row>
    <row r="3317" spans="1:16" hidden="1" x14ac:dyDescent="0.35">
      <c r="A3317" s="149"/>
      <c r="B3317" s="143"/>
      <c r="C3317" s="133"/>
      <c r="D3317" s="133"/>
      <c r="E3317" s="145" t="s">
        <v>1342</v>
      </c>
      <c r="F3317" s="145">
        <v>10097</v>
      </c>
      <c r="G3317" s="133" t="s">
        <v>1034</v>
      </c>
      <c r="H3317" s="144" t="s">
        <v>1341</v>
      </c>
      <c r="I3317" s="133" t="s">
        <v>1092</v>
      </c>
      <c r="J3317" s="258" t="s">
        <v>2642</v>
      </c>
      <c r="K3317" s="143">
        <v>45962</v>
      </c>
      <c r="L3317" s="133" t="s">
        <v>1241</v>
      </c>
      <c r="M3317" s="133">
        <v>589</v>
      </c>
      <c r="N3317" s="147"/>
      <c r="O3317" s="141"/>
      <c r="P3317" s="140"/>
    </row>
    <row r="3318" spans="1:16" hidden="1" x14ac:dyDescent="0.35">
      <c r="A3318" s="149"/>
      <c r="B3318" s="143"/>
      <c r="C3318" s="133"/>
      <c r="D3318" s="133"/>
      <c r="E3318" s="145"/>
      <c r="F3318" s="145"/>
      <c r="G3318" s="133"/>
      <c r="H3318" s="144"/>
      <c r="I3318" s="133"/>
      <c r="J3318" s="133"/>
      <c r="K3318" s="133"/>
      <c r="L3318" s="133"/>
      <c r="M3318" s="133"/>
      <c r="N3318" s="147"/>
      <c r="O3318" s="141"/>
      <c r="P3318" s="140"/>
    </row>
    <row r="3319" spans="1:16" hidden="1" x14ac:dyDescent="0.35">
      <c r="A3319" s="149">
        <v>163</v>
      </c>
      <c r="B3319" s="143">
        <v>45931</v>
      </c>
      <c r="C3319" s="133" t="s">
        <v>1643</v>
      </c>
      <c r="D3319" s="133" t="s">
        <v>2591</v>
      </c>
      <c r="E3319" s="145" t="s">
        <v>1342</v>
      </c>
      <c r="F3319" s="145">
        <v>6294</v>
      </c>
      <c r="G3319" s="133" t="s">
        <v>1034</v>
      </c>
      <c r="H3319" s="144" t="s">
        <v>1341</v>
      </c>
      <c r="I3319" s="133" t="s">
        <v>1092</v>
      </c>
      <c r="J3319" s="258" t="s">
        <v>2641</v>
      </c>
      <c r="K3319" s="143">
        <v>45962</v>
      </c>
      <c r="L3319" s="133" t="s">
        <v>1092</v>
      </c>
      <c r="M3319" s="133">
        <v>5979</v>
      </c>
      <c r="N3319" s="147">
        <f>+F3319-M3319-M3320</f>
        <v>0</v>
      </c>
      <c r="O3319" s="141"/>
      <c r="P3319" s="140"/>
    </row>
    <row r="3320" spans="1:16" hidden="1" x14ac:dyDescent="0.35">
      <c r="A3320" s="149"/>
      <c r="B3320" s="143"/>
      <c r="C3320" s="133"/>
      <c r="D3320" s="133"/>
      <c r="E3320" s="145"/>
      <c r="F3320" s="145"/>
      <c r="G3320" s="133" t="s">
        <v>1034</v>
      </c>
      <c r="H3320" s="144" t="s">
        <v>1341</v>
      </c>
      <c r="I3320" s="133" t="s">
        <v>1092</v>
      </c>
      <c r="J3320" s="258" t="s">
        <v>2642</v>
      </c>
      <c r="K3320" s="143">
        <v>45962</v>
      </c>
      <c r="L3320" s="133" t="s">
        <v>1241</v>
      </c>
      <c r="M3320" s="133">
        <v>315</v>
      </c>
      <c r="N3320" s="147"/>
      <c r="O3320" s="141"/>
      <c r="P3320" s="140"/>
    </row>
    <row r="3321" spans="1:16" hidden="1" x14ac:dyDescent="0.35">
      <c r="A3321" s="149"/>
      <c r="B3321" s="143"/>
      <c r="C3321" s="133"/>
      <c r="D3321" s="133"/>
      <c r="E3321" s="145"/>
      <c r="F3321" s="145"/>
      <c r="G3321" s="133"/>
      <c r="H3321" s="144"/>
      <c r="I3321" s="133"/>
      <c r="J3321" s="133"/>
      <c r="K3321" s="133"/>
      <c r="L3321" s="133"/>
      <c r="M3321" s="133"/>
      <c r="N3321" s="147"/>
      <c r="O3321" s="141"/>
      <c r="P3321" s="140"/>
    </row>
    <row r="3322" spans="1:16" hidden="1" x14ac:dyDescent="0.35">
      <c r="A3322" s="149">
        <v>164</v>
      </c>
      <c r="B3322" s="143">
        <v>45931</v>
      </c>
      <c r="C3322" s="133" t="s">
        <v>1642</v>
      </c>
      <c r="D3322" s="133" t="s">
        <v>2593</v>
      </c>
      <c r="E3322" s="145" t="s">
        <v>1118</v>
      </c>
      <c r="F3322" s="145">
        <v>2376.3000000000002</v>
      </c>
      <c r="G3322" s="133" t="s">
        <v>1034</v>
      </c>
      <c r="H3322" s="144" t="s">
        <v>1341</v>
      </c>
      <c r="I3322" s="133" t="s">
        <v>1092</v>
      </c>
      <c r="J3322" s="133" t="s">
        <v>2630</v>
      </c>
      <c r="K3322" s="143">
        <v>45962</v>
      </c>
      <c r="L3322" s="133" t="s">
        <v>1092</v>
      </c>
      <c r="M3322" s="133">
        <f>2376.3+1657</f>
        <v>4033.3</v>
      </c>
      <c r="N3322" s="147">
        <f>+F3322+F3323+F3324-M3322-M3323-M3324</f>
        <v>0</v>
      </c>
      <c r="O3322" s="141"/>
      <c r="P3322" s="140"/>
    </row>
    <row r="3323" spans="1:16" hidden="1" x14ac:dyDescent="0.35">
      <c r="A3323" s="146"/>
      <c r="B3323" s="143"/>
      <c r="C3323" s="133"/>
      <c r="D3323" s="133"/>
      <c r="E3323" s="145" t="s">
        <v>1067</v>
      </c>
      <c r="F3323" s="145">
        <v>1657</v>
      </c>
      <c r="G3323" s="133" t="s">
        <v>1034</v>
      </c>
      <c r="H3323" s="144" t="s">
        <v>1341</v>
      </c>
      <c r="I3323" s="133" t="s">
        <v>1092</v>
      </c>
      <c r="J3323" s="258" t="s">
        <v>2641</v>
      </c>
      <c r="K3323" s="143">
        <v>45962</v>
      </c>
      <c r="L3323" s="133" t="s">
        <v>1092</v>
      </c>
      <c r="M3323" s="133">
        <v>1050</v>
      </c>
      <c r="N3323" s="142"/>
      <c r="P3323" s="140"/>
    </row>
    <row r="3324" spans="1:16" hidden="1" x14ac:dyDescent="0.35">
      <c r="A3324" s="149"/>
      <c r="B3324" s="143"/>
      <c r="C3324" s="133"/>
      <c r="D3324" s="133"/>
      <c r="E3324" s="145" t="s">
        <v>1342</v>
      </c>
      <c r="F3324" s="145">
        <v>1351</v>
      </c>
      <c r="G3324" s="133" t="s">
        <v>1034</v>
      </c>
      <c r="H3324" s="144" t="s">
        <v>1341</v>
      </c>
      <c r="I3324" s="133" t="s">
        <v>1092</v>
      </c>
      <c r="J3324" s="258" t="s">
        <v>2642</v>
      </c>
      <c r="K3324" s="143">
        <v>45962</v>
      </c>
      <c r="L3324" s="133" t="s">
        <v>1241</v>
      </c>
      <c r="M3324" s="133">
        <v>301</v>
      </c>
      <c r="N3324" s="142"/>
      <c r="O3324" s="141"/>
      <c r="P3324" s="140"/>
    </row>
    <row r="3325" spans="1:16" hidden="1" x14ac:dyDescent="0.35">
      <c r="A3325" s="149"/>
      <c r="B3325" s="143"/>
      <c r="C3325" s="133"/>
      <c r="D3325" s="133"/>
      <c r="E3325" s="145"/>
      <c r="F3325" s="145"/>
      <c r="G3325" s="133"/>
      <c r="H3325" s="144"/>
      <c r="I3325" s="133"/>
      <c r="J3325" s="133"/>
      <c r="K3325" s="133"/>
      <c r="L3325" s="133"/>
      <c r="M3325" s="133"/>
      <c r="N3325" s="142"/>
      <c r="O3325" s="141"/>
      <c r="P3325" s="140"/>
    </row>
    <row r="3326" spans="1:16" hidden="1" x14ac:dyDescent="0.35">
      <c r="A3326" s="149"/>
      <c r="B3326" s="143"/>
      <c r="C3326" s="133"/>
      <c r="D3326" s="133"/>
      <c r="E3326" s="145"/>
      <c r="F3326" s="145"/>
      <c r="G3326" s="133"/>
      <c r="H3326" s="144"/>
      <c r="I3326" s="133"/>
      <c r="J3326" s="133"/>
      <c r="K3326" s="133"/>
      <c r="L3326" s="133"/>
      <c r="M3326" s="133"/>
      <c r="N3326" s="142"/>
      <c r="O3326" s="141"/>
      <c r="P3326" s="140"/>
    </row>
    <row r="3327" spans="1:16" hidden="1" x14ac:dyDescent="0.35">
      <c r="A3327" s="149">
        <v>165</v>
      </c>
      <c r="B3327" s="143">
        <v>45931</v>
      </c>
      <c r="C3327" s="133" t="s">
        <v>1641</v>
      </c>
      <c r="D3327" s="133" t="s">
        <v>2594</v>
      </c>
      <c r="E3327" s="145" t="s">
        <v>1064</v>
      </c>
      <c r="F3327" s="145">
        <v>555.1</v>
      </c>
      <c r="G3327" s="133" t="s">
        <v>1034</v>
      </c>
      <c r="H3327" s="144" t="s">
        <v>1341</v>
      </c>
      <c r="I3327" s="133" t="s">
        <v>1092</v>
      </c>
      <c r="J3327" s="266" t="s">
        <v>2661</v>
      </c>
      <c r="K3327" s="143">
        <v>45992</v>
      </c>
      <c r="L3327" s="133" t="s">
        <v>1092</v>
      </c>
      <c r="M3327" s="133">
        <v>1953</v>
      </c>
      <c r="N3327" s="147">
        <f>+F3327+F3328+F3329+F3330-M3327-M3328-M3329-M3330-M3331</f>
        <v>0</v>
      </c>
      <c r="O3327" s="141"/>
      <c r="P3327" s="140"/>
    </row>
    <row r="3328" spans="1:16" hidden="1" x14ac:dyDescent="0.35">
      <c r="A3328" s="146"/>
      <c r="B3328" s="143"/>
      <c r="C3328" s="133"/>
      <c r="D3328" s="133"/>
      <c r="E3328" s="145" t="s">
        <v>1075</v>
      </c>
      <c r="F3328" s="145">
        <v>2245</v>
      </c>
      <c r="G3328" s="133" t="s">
        <v>1034</v>
      </c>
      <c r="H3328" s="144" t="s">
        <v>1341</v>
      </c>
      <c r="I3328" s="133" t="s">
        <v>1092</v>
      </c>
      <c r="J3328" s="276" t="s">
        <v>2681</v>
      </c>
      <c r="K3328" s="143">
        <v>45992</v>
      </c>
      <c r="L3328" s="133" t="s">
        <v>1092</v>
      </c>
      <c r="M3328" s="133">
        <v>5105</v>
      </c>
      <c r="N3328" s="142"/>
      <c r="P3328" s="140"/>
    </row>
    <row r="3329" spans="1:16" hidden="1" x14ac:dyDescent="0.35">
      <c r="A3329" s="149"/>
      <c r="B3329" s="143"/>
      <c r="C3329" s="133"/>
      <c r="D3329" s="133"/>
      <c r="E3329" s="145" t="s">
        <v>1342</v>
      </c>
      <c r="F3329" s="145">
        <v>5105</v>
      </c>
      <c r="G3329" s="133" t="s">
        <v>1034</v>
      </c>
      <c r="H3329" s="144" t="s">
        <v>1341</v>
      </c>
      <c r="I3329" s="133" t="s">
        <v>1092</v>
      </c>
      <c r="J3329" s="278" t="s">
        <v>2688</v>
      </c>
      <c r="K3329" s="143">
        <v>45992</v>
      </c>
      <c r="L3329" s="133" t="s">
        <v>1092</v>
      </c>
      <c r="M3329" s="133">
        <v>555.1</v>
      </c>
      <c r="N3329" s="142"/>
      <c r="O3329" s="141"/>
      <c r="P3329" s="140"/>
    </row>
    <row r="3330" spans="1:16" hidden="1" x14ac:dyDescent="0.35">
      <c r="A3330" s="149"/>
      <c r="B3330" s="143"/>
      <c r="C3330" s="133"/>
      <c r="D3330" s="133"/>
      <c r="E3330" s="145" t="s">
        <v>1071</v>
      </c>
      <c r="F3330" s="145">
        <v>1432.5</v>
      </c>
      <c r="G3330" s="133" t="s">
        <v>1034</v>
      </c>
      <c r="H3330" s="144" t="s">
        <v>1341</v>
      </c>
      <c r="I3330" s="133" t="s">
        <v>1092</v>
      </c>
      <c r="J3330" s="278" t="s">
        <v>2689</v>
      </c>
      <c r="K3330" s="143">
        <v>45992</v>
      </c>
      <c r="L3330" s="133" t="s">
        <v>1241</v>
      </c>
      <c r="M3330" s="133">
        <v>292</v>
      </c>
      <c r="N3330" s="142"/>
      <c r="O3330" s="141"/>
      <c r="P3330" s="140"/>
    </row>
    <row r="3331" spans="1:16" hidden="1" x14ac:dyDescent="0.35">
      <c r="A3331" s="149"/>
      <c r="B3331" s="143"/>
      <c r="C3331" s="133"/>
      <c r="D3331" s="133"/>
      <c r="E3331" s="145"/>
      <c r="F3331" s="145"/>
      <c r="G3331" s="133" t="s">
        <v>1034</v>
      </c>
      <c r="H3331" s="144" t="s">
        <v>1341</v>
      </c>
      <c r="I3331" s="133" t="s">
        <v>1092</v>
      </c>
      <c r="J3331" s="294" t="s">
        <v>2705</v>
      </c>
      <c r="K3331" s="143">
        <v>46023</v>
      </c>
      <c r="L3331" s="133" t="s">
        <v>1092</v>
      </c>
      <c r="M3331" s="133">
        <v>1432.5</v>
      </c>
      <c r="N3331" s="142"/>
      <c r="O3331" s="141"/>
      <c r="P3331" s="140"/>
    </row>
    <row r="3332" spans="1:16" hidden="1" x14ac:dyDescent="0.35">
      <c r="A3332" s="149"/>
      <c r="B3332" s="143"/>
      <c r="C3332" s="133"/>
      <c r="D3332" s="133"/>
      <c r="E3332" s="145"/>
      <c r="F3332" s="145"/>
      <c r="G3332" s="133"/>
      <c r="H3332" s="144"/>
      <c r="I3332" s="133"/>
      <c r="J3332" s="133"/>
      <c r="K3332" s="133"/>
      <c r="L3332" s="133"/>
      <c r="M3332" s="133"/>
      <c r="N3332" s="147"/>
      <c r="O3332" s="141"/>
      <c r="P3332" s="140"/>
    </row>
    <row r="3333" spans="1:16" hidden="1" x14ac:dyDescent="0.35">
      <c r="A3333" s="149">
        <v>166</v>
      </c>
      <c r="B3333" s="143">
        <v>45931</v>
      </c>
      <c r="C3333" s="133" t="s">
        <v>1640</v>
      </c>
      <c r="D3333" s="133" t="s">
        <v>2597</v>
      </c>
      <c r="E3333" s="145" t="s">
        <v>1075</v>
      </c>
      <c r="F3333" s="145">
        <v>3802</v>
      </c>
      <c r="G3333" s="133" t="s">
        <v>1034</v>
      </c>
      <c r="H3333" s="144" t="s">
        <v>1341</v>
      </c>
      <c r="I3333" s="133" t="s">
        <v>1092</v>
      </c>
      <c r="J3333" s="266" t="s">
        <v>2661</v>
      </c>
      <c r="K3333" s="143">
        <v>45992</v>
      </c>
      <c r="L3333" s="133" t="s">
        <v>1092</v>
      </c>
      <c r="M3333" s="133">
        <v>3529</v>
      </c>
      <c r="N3333" s="147">
        <f>+F3333+F3334-M3333-M3334-M3335</f>
        <v>0</v>
      </c>
      <c r="O3333" s="141"/>
      <c r="P3333" s="140"/>
    </row>
    <row r="3334" spans="1:16" hidden="1" x14ac:dyDescent="0.35">
      <c r="A3334" s="146"/>
      <c r="B3334" s="143"/>
      <c r="C3334" s="133"/>
      <c r="D3334" s="133"/>
      <c r="E3334" s="145" t="s">
        <v>1342</v>
      </c>
      <c r="F3334" s="145">
        <v>4958</v>
      </c>
      <c r="G3334" s="133" t="s">
        <v>1034</v>
      </c>
      <c r="H3334" s="144" t="s">
        <v>1341</v>
      </c>
      <c r="I3334" s="133" t="s">
        <v>1092</v>
      </c>
      <c r="J3334" s="276" t="s">
        <v>2681</v>
      </c>
      <c r="K3334" s="143">
        <v>45992</v>
      </c>
      <c r="L3334" s="133" t="s">
        <v>1092</v>
      </c>
      <c r="M3334" s="133">
        <v>4958</v>
      </c>
      <c r="N3334" s="147"/>
      <c r="P3334" s="140"/>
    </row>
    <row r="3335" spans="1:16" hidden="1" x14ac:dyDescent="0.35">
      <c r="A3335" s="146"/>
      <c r="B3335" s="143"/>
      <c r="C3335" s="133"/>
      <c r="D3335" s="133"/>
      <c r="E3335" s="145"/>
      <c r="F3335" s="145"/>
      <c r="G3335" s="133" t="s">
        <v>1034</v>
      </c>
      <c r="H3335" s="144" t="s">
        <v>1341</v>
      </c>
      <c r="I3335" s="133" t="s">
        <v>1092</v>
      </c>
      <c r="J3335" s="278" t="s">
        <v>2689</v>
      </c>
      <c r="K3335" s="143">
        <v>45992</v>
      </c>
      <c r="L3335" s="133" t="s">
        <v>1241</v>
      </c>
      <c r="M3335" s="133">
        <v>273</v>
      </c>
      <c r="N3335" s="147"/>
      <c r="P3335" s="140"/>
    </row>
    <row r="3336" spans="1:16" hidden="1" x14ac:dyDescent="0.35">
      <c r="A3336" s="149"/>
      <c r="B3336" s="143"/>
      <c r="C3336" s="133"/>
      <c r="D3336" s="133"/>
      <c r="E3336" s="145"/>
      <c r="F3336" s="145"/>
      <c r="G3336" s="133"/>
      <c r="H3336" s="144"/>
      <c r="I3336" s="133"/>
      <c r="J3336" s="133"/>
      <c r="K3336" s="133"/>
      <c r="L3336" s="133"/>
      <c r="M3336" s="133"/>
      <c r="N3336" s="147"/>
      <c r="O3336" s="141"/>
      <c r="P3336" s="140"/>
    </row>
    <row r="3337" spans="1:16" hidden="1" x14ac:dyDescent="0.35">
      <c r="A3337" s="149">
        <v>167</v>
      </c>
      <c r="B3337" s="143">
        <v>45931</v>
      </c>
      <c r="C3337" s="133" t="s">
        <v>1638</v>
      </c>
      <c r="D3337" s="133" t="s">
        <v>2597</v>
      </c>
      <c r="E3337" s="148" t="s">
        <v>1059</v>
      </c>
      <c r="F3337" s="145">
        <v>28000</v>
      </c>
      <c r="G3337" s="133" t="s">
        <v>1034</v>
      </c>
      <c r="H3337" s="144" t="s">
        <v>1341</v>
      </c>
      <c r="I3337" s="133" t="s">
        <v>1092</v>
      </c>
      <c r="J3337" s="133" t="s">
        <v>2630</v>
      </c>
      <c r="K3337" s="143">
        <v>45962</v>
      </c>
      <c r="L3337" s="133" t="s">
        <v>1092</v>
      </c>
      <c r="M3337" s="133">
        <v>27090</v>
      </c>
      <c r="N3337" s="259">
        <f>+F3337-M3337-M3338</f>
        <v>0</v>
      </c>
      <c r="O3337" s="141"/>
      <c r="P3337" s="140"/>
    </row>
    <row r="3338" spans="1:16" hidden="1" x14ac:dyDescent="0.35">
      <c r="A3338" s="149"/>
      <c r="B3338" s="143"/>
      <c r="C3338" s="133"/>
      <c r="D3338" s="133"/>
      <c r="E3338" s="148"/>
      <c r="F3338" s="145"/>
      <c r="G3338" s="133" t="s">
        <v>1034</v>
      </c>
      <c r="H3338" s="144" t="s">
        <v>1341</v>
      </c>
      <c r="I3338" s="133" t="s">
        <v>1092</v>
      </c>
      <c r="J3338" s="258" t="s">
        <v>2642</v>
      </c>
      <c r="K3338" s="143">
        <v>45962</v>
      </c>
      <c r="L3338" s="133" t="s">
        <v>1241</v>
      </c>
      <c r="M3338" s="133">
        <v>910</v>
      </c>
      <c r="N3338" s="147"/>
      <c r="O3338" s="141"/>
      <c r="P3338" s="140"/>
    </row>
    <row r="3339" spans="1:16" hidden="1" x14ac:dyDescent="0.35">
      <c r="A3339" s="146"/>
      <c r="B3339" s="143"/>
      <c r="C3339" s="133"/>
      <c r="D3339" s="133"/>
      <c r="E3339" s="145"/>
      <c r="F3339" s="145"/>
      <c r="G3339" s="133"/>
      <c r="H3339" s="144"/>
      <c r="I3339" s="133"/>
      <c r="J3339" s="133"/>
      <c r="K3339" s="133"/>
      <c r="L3339" s="133"/>
      <c r="M3339" s="133"/>
      <c r="N3339" s="147"/>
      <c r="P3339" s="140"/>
    </row>
    <row r="3340" spans="1:16" hidden="1" x14ac:dyDescent="0.35">
      <c r="A3340" s="149">
        <v>168</v>
      </c>
      <c r="B3340" s="143">
        <v>45931</v>
      </c>
      <c r="C3340" s="133" t="s">
        <v>1636</v>
      </c>
      <c r="D3340" s="133" t="s">
        <v>2598</v>
      </c>
      <c r="E3340" s="145" t="s">
        <v>1118</v>
      </c>
      <c r="F3340" s="145">
        <v>928.7</v>
      </c>
      <c r="G3340" s="133" t="s">
        <v>1034</v>
      </c>
      <c r="H3340" s="144" t="s">
        <v>1341</v>
      </c>
      <c r="I3340" s="133" t="s">
        <v>1092</v>
      </c>
      <c r="J3340" s="258" t="s">
        <v>2641</v>
      </c>
      <c r="K3340" s="143">
        <v>45962</v>
      </c>
      <c r="L3340" s="133" t="s">
        <v>1092</v>
      </c>
      <c r="M3340" s="133">
        <f>928.7+3118</f>
        <v>4046.7</v>
      </c>
      <c r="N3340" s="147">
        <f>+F3340+F3341+F3342-M3340-M3341-M3342</f>
        <v>0</v>
      </c>
      <c r="O3340" s="141"/>
      <c r="P3340" s="140"/>
    </row>
    <row r="3341" spans="1:16" hidden="1" x14ac:dyDescent="0.35">
      <c r="A3341" s="146"/>
      <c r="B3341" s="143"/>
      <c r="C3341" s="133"/>
      <c r="D3341" s="133"/>
      <c r="E3341" s="145" t="s">
        <v>1067</v>
      </c>
      <c r="F3341" s="145">
        <v>3118</v>
      </c>
      <c r="G3341" s="133" t="s">
        <v>1034</v>
      </c>
      <c r="H3341" s="144" t="s">
        <v>1341</v>
      </c>
      <c r="I3341" s="133" t="s">
        <v>1092</v>
      </c>
      <c r="J3341" s="278" t="s">
        <v>2688</v>
      </c>
      <c r="K3341" s="143">
        <v>45992</v>
      </c>
      <c r="L3341" s="133" t="s">
        <v>1092</v>
      </c>
      <c r="M3341" s="133">
        <v>3574</v>
      </c>
      <c r="N3341" s="147"/>
      <c r="P3341" s="140"/>
    </row>
    <row r="3342" spans="1:16" hidden="1" x14ac:dyDescent="0.35">
      <c r="A3342" s="149"/>
      <c r="B3342" s="143"/>
      <c r="C3342" s="133"/>
      <c r="D3342" s="133"/>
      <c r="E3342" s="145" t="s">
        <v>1342</v>
      </c>
      <c r="F3342" s="145">
        <v>3954</v>
      </c>
      <c r="G3342" s="133" t="s">
        <v>1034</v>
      </c>
      <c r="H3342" s="144" t="s">
        <v>1341</v>
      </c>
      <c r="I3342" s="133" t="s">
        <v>1092</v>
      </c>
      <c r="J3342" s="278" t="s">
        <v>2689</v>
      </c>
      <c r="K3342" s="143">
        <v>45992</v>
      </c>
      <c r="L3342" s="133" t="s">
        <v>1241</v>
      </c>
      <c r="M3342" s="133">
        <v>380</v>
      </c>
      <c r="N3342" s="147"/>
      <c r="O3342" s="141"/>
      <c r="P3342" s="140"/>
    </row>
    <row r="3343" spans="1:16" hidden="1" x14ac:dyDescent="0.35">
      <c r="A3343" s="149"/>
      <c r="B3343" s="143"/>
      <c r="C3343" s="133"/>
      <c r="D3343" s="133"/>
      <c r="E3343" s="145"/>
      <c r="F3343" s="145"/>
      <c r="G3343" s="133"/>
      <c r="H3343" s="144"/>
      <c r="I3343" s="133"/>
      <c r="J3343" s="133"/>
      <c r="K3343" s="133"/>
      <c r="L3343" s="133"/>
      <c r="M3343" s="133"/>
      <c r="N3343" s="147"/>
      <c r="O3343" s="141"/>
      <c r="P3343" s="140"/>
    </row>
    <row r="3344" spans="1:16" hidden="1" x14ac:dyDescent="0.35">
      <c r="A3344" s="149">
        <v>169</v>
      </c>
      <c r="B3344" s="143">
        <v>45931</v>
      </c>
      <c r="C3344" s="133" t="s">
        <v>1635</v>
      </c>
      <c r="D3344" s="133" t="s">
        <v>2599</v>
      </c>
      <c r="E3344" s="145" t="s">
        <v>1078</v>
      </c>
      <c r="F3344" s="145">
        <v>6100.18</v>
      </c>
      <c r="G3344" s="133" t="s">
        <v>1034</v>
      </c>
      <c r="H3344" s="144" t="s">
        <v>1341</v>
      </c>
      <c r="I3344" s="133" t="s">
        <v>1092</v>
      </c>
      <c r="J3344" s="133" t="s">
        <v>2630</v>
      </c>
      <c r="K3344" s="143">
        <v>45962</v>
      </c>
      <c r="L3344" s="133" t="s">
        <v>1092</v>
      </c>
      <c r="M3344" s="133">
        <v>6100.18</v>
      </c>
      <c r="N3344" s="147">
        <f>+F3344+F3345+F3346+F3347+F3348-M3344-M3345-M3346-M3347-M3348</f>
        <v>0</v>
      </c>
      <c r="O3344" s="141"/>
      <c r="P3344" s="140"/>
    </row>
    <row r="3345" spans="1:16" hidden="1" x14ac:dyDescent="0.35">
      <c r="A3345" s="146"/>
      <c r="B3345" s="143"/>
      <c r="C3345" s="133"/>
      <c r="D3345" s="133"/>
      <c r="E3345" s="145" t="s">
        <v>1067</v>
      </c>
      <c r="F3345" s="145">
        <v>5130</v>
      </c>
      <c r="G3345" s="133" t="s">
        <v>1034</v>
      </c>
      <c r="H3345" s="144" t="s">
        <v>1341</v>
      </c>
      <c r="I3345" s="133" t="s">
        <v>1092</v>
      </c>
      <c r="J3345" s="258" t="s">
        <v>2641</v>
      </c>
      <c r="K3345" s="143">
        <v>45962</v>
      </c>
      <c r="L3345" s="133" t="s">
        <v>1092</v>
      </c>
      <c r="M3345" s="133">
        <v>5130</v>
      </c>
      <c r="N3345" s="147"/>
      <c r="P3345" s="140"/>
    </row>
    <row r="3346" spans="1:16" hidden="1" x14ac:dyDescent="0.35">
      <c r="A3346" s="149"/>
      <c r="B3346" s="143"/>
      <c r="C3346" s="133"/>
      <c r="D3346" s="133"/>
      <c r="E3346" s="145" t="s">
        <v>1342</v>
      </c>
      <c r="F3346" s="145">
        <v>6887</v>
      </c>
      <c r="G3346" s="133" t="s">
        <v>1034</v>
      </c>
      <c r="H3346" s="144" t="s">
        <v>1341</v>
      </c>
      <c r="I3346" s="133" t="s">
        <v>1092</v>
      </c>
      <c r="J3346" s="266" t="s">
        <v>2661</v>
      </c>
      <c r="K3346" s="143">
        <v>45992</v>
      </c>
      <c r="L3346" s="133" t="s">
        <v>1092</v>
      </c>
      <c r="M3346" s="133">
        <v>3350.7</v>
      </c>
      <c r="N3346" s="147"/>
      <c r="O3346" s="141"/>
      <c r="P3346" s="140"/>
    </row>
    <row r="3347" spans="1:16" hidden="1" x14ac:dyDescent="0.35">
      <c r="A3347" s="149"/>
      <c r="B3347" s="143"/>
      <c r="C3347" s="133"/>
      <c r="D3347" s="133"/>
      <c r="E3347" s="145" t="s">
        <v>1064</v>
      </c>
      <c r="F3347" s="145">
        <v>2572.8000000000002</v>
      </c>
      <c r="G3347" s="133" t="s">
        <v>1034</v>
      </c>
      <c r="H3347" s="144" t="s">
        <v>1341</v>
      </c>
      <c r="I3347" s="133" t="s">
        <v>1092</v>
      </c>
      <c r="J3347" s="278" t="s">
        <v>2688</v>
      </c>
      <c r="K3347" s="143">
        <v>45992</v>
      </c>
      <c r="L3347" s="133" t="s">
        <v>1092</v>
      </c>
      <c r="M3347" s="133">
        <f>2572.8+5762</f>
        <v>8334.7999999999993</v>
      </c>
      <c r="N3347" s="147"/>
      <c r="O3347" s="141"/>
      <c r="P3347" s="140"/>
    </row>
    <row r="3348" spans="1:16" hidden="1" x14ac:dyDescent="0.35">
      <c r="A3348" s="149"/>
      <c r="B3348" s="143"/>
      <c r="C3348" s="133"/>
      <c r="D3348" s="133"/>
      <c r="E3348" s="145" t="s">
        <v>1075</v>
      </c>
      <c r="F3348" s="145">
        <v>3350.7</v>
      </c>
      <c r="G3348" s="133" t="s">
        <v>1034</v>
      </c>
      <c r="H3348" s="144" t="s">
        <v>1341</v>
      </c>
      <c r="I3348" s="133" t="s">
        <v>1092</v>
      </c>
      <c r="J3348" s="278" t="s">
        <v>2689</v>
      </c>
      <c r="K3348" s="143">
        <v>45992</v>
      </c>
      <c r="L3348" s="133" t="s">
        <v>1241</v>
      </c>
      <c r="M3348" s="133">
        <v>1125</v>
      </c>
      <c r="N3348" s="147"/>
      <c r="O3348" s="141"/>
      <c r="P3348" s="140"/>
    </row>
    <row r="3349" spans="1:16" hidden="1" x14ac:dyDescent="0.35">
      <c r="A3349" s="149"/>
      <c r="B3349" s="143"/>
      <c r="C3349" s="133"/>
      <c r="D3349" s="133"/>
      <c r="E3349" s="145"/>
      <c r="F3349" s="145"/>
      <c r="G3349" s="133"/>
      <c r="H3349" s="144"/>
      <c r="I3349" s="133"/>
      <c r="J3349" s="133"/>
      <c r="K3349" s="133"/>
      <c r="L3349" s="133"/>
      <c r="M3349" s="133"/>
      <c r="N3349" s="147"/>
      <c r="O3349" s="141"/>
      <c r="P3349" s="140"/>
    </row>
    <row r="3350" spans="1:16" hidden="1" x14ac:dyDescent="0.35">
      <c r="A3350" s="149">
        <v>170</v>
      </c>
      <c r="B3350" s="143">
        <v>45931</v>
      </c>
      <c r="C3350" s="133" t="s">
        <v>1634</v>
      </c>
      <c r="D3350" s="133" t="s">
        <v>2601</v>
      </c>
      <c r="E3350" s="145" t="s">
        <v>1342</v>
      </c>
      <c r="F3350" s="145">
        <v>6842</v>
      </c>
      <c r="G3350" s="133" t="s">
        <v>1034</v>
      </c>
      <c r="H3350" s="144" t="s">
        <v>1341</v>
      </c>
      <c r="I3350" s="133" t="s">
        <v>1092</v>
      </c>
      <c r="J3350" s="266" t="s">
        <v>2661</v>
      </c>
      <c r="K3350" s="143">
        <v>45992</v>
      </c>
      <c r="L3350" s="133" t="s">
        <v>1092</v>
      </c>
      <c r="M3350" s="133">
        <f>540+3798</f>
        <v>4338</v>
      </c>
      <c r="N3350" s="147">
        <f>+F3350+F3351+F3352-M3350-M3351-M3352</f>
        <v>0</v>
      </c>
      <c r="O3350" s="141"/>
      <c r="P3350" s="140"/>
    </row>
    <row r="3351" spans="1:16" hidden="1" x14ac:dyDescent="0.35">
      <c r="A3351" s="149"/>
      <c r="B3351" s="143"/>
      <c r="C3351" s="133"/>
      <c r="D3351" s="133"/>
      <c r="E3351" s="145" t="s">
        <v>1075</v>
      </c>
      <c r="F3351" s="145">
        <v>4270</v>
      </c>
      <c r="G3351" s="133" t="s">
        <v>1034</v>
      </c>
      <c r="H3351" s="144" t="s">
        <v>1341</v>
      </c>
      <c r="I3351" s="133" t="s">
        <v>1092</v>
      </c>
      <c r="J3351" s="278" t="s">
        <v>2688</v>
      </c>
      <c r="K3351" s="143">
        <v>45992</v>
      </c>
      <c r="L3351" s="133" t="s">
        <v>1092</v>
      </c>
      <c r="M3351" s="133">
        <v>6842</v>
      </c>
      <c r="N3351" s="147"/>
      <c r="O3351" s="141"/>
      <c r="P3351" s="140"/>
    </row>
    <row r="3352" spans="1:16" hidden="1" x14ac:dyDescent="0.35">
      <c r="A3352" s="149"/>
      <c r="B3352" s="143"/>
      <c r="C3352" s="133"/>
      <c r="D3352" s="133"/>
      <c r="E3352" s="145" t="s">
        <v>1067</v>
      </c>
      <c r="F3352" s="145">
        <v>540</v>
      </c>
      <c r="G3352" s="133" t="s">
        <v>1034</v>
      </c>
      <c r="H3352" s="144" t="s">
        <v>1341</v>
      </c>
      <c r="I3352" s="133" t="s">
        <v>1092</v>
      </c>
      <c r="J3352" s="278" t="s">
        <v>2689</v>
      </c>
      <c r="K3352" s="143">
        <v>45992</v>
      </c>
      <c r="L3352" s="133" t="s">
        <v>1241</v>
      </c>
      <c r="M3352" s="133">
        <v>472</v>
      </c>
      <c r="N3352" s="147"/>
      <c r="O3352" s="141"/>
      <c r="P3352" s="140"/>
    </row>
    <row r="3353" spans="1:16" hidden="1" x14ac:dyDescent="0.35">
      <c r="A3353" s="149"/>
      <c r="B3353" s="143"/>
      <c r="C3353" s="133"/>
      <c r="D3353" s="133"/>
      <c r="E3353" s="145"/>
      <c r="F3353" s="145"/>
      <c r="G3353" s="133"/>
      <c r="H3353" s="144"/>
      <c r="I3353" s="133"/>
      <c r="J3353" s="133"/>
      <c r="K3353" s="133"/>
      <c r="L3353" s="133"/>
      <c r="M3353" s="133"/>
      <c r="N3353" s="147"/>
      <c r="O3353" s="141"/>
      <c r="P3353" s="140"/>
    </row>
    <row r="3354" spans="1:16" hidden="1" x14ac:dyDescent="0.35">
      <c r="A3354" s="149">
        <v>171</v>
      </c>
      <c r="B3354" s="143">
        <v>45931</v>
      </c>
      <c r="C3354" s="133" t="s">
        <v>1632</v>
      </c>
      <c r="D3354" s="133" t="s">
        <v>2601</v>
      </c>
      <c r="E3354" s="148" t="s">
        <v>1059</v>
      </c>
      <c r="F3354" s="145">
        <v>247500</v>
      </c>
      <c r="G3354" s="133" t="s">
        <v>1034</v>
      </c>
      <c r="H3354" s="144" t="s">
        <v>1341</v>
      </c>
      <c r="I3354" s="133" t="s">
        <v>1092</v>
      </c>
      <c r="J3354" s="133" t="s">
        <v>2637</v>
      </c>
      <c r="K3354" s="143">
        <v>45962</v>
      </c>
      <c r="L3354" s="133" t="s">
        <v>2638</v>
      </c>
      <c r="M3354" s="133">
        <v>100000</v>
      </c>
      <c r="N3354" s="147">
        <f>+F3354-M3354-M3355-M3356-M3357-M3358-M3359-M3360</f>
        <v>0</v>
      </c>
      <c r="O3354" s="141"/>
      <c r="P3354" s="140"/>
    </row>
    <row r="3355" spans="1:16" hidden="1" x14ac:dyDescent="0.35">
      <c r="A3355" s="149"/>
      <c r="B3355" s="143"/>
      <c r="C3355" s="133"/>
      <c r="D3355" s="133"/>
      <c r="E3355" s="145"/>
      <c r="F3355" s="145"/>
      <c r="G3355" s="133" t="s">
        <v>1034</v>
      </c>
      <c r="H3355" s="144" t="s">
        <v>1341</v>
      </c>
      <c r="I3355" s="133" t="s">
        <v>1092</v>
      </c>
      <c r="J3355" s="258" t="s">
        <v>2641</v>
      </c>
      <c r="K3355" s="143">
        <v>45962</v>
      </c>
      <c r="L3355" s="133" t="s">
        <v>1092</v>
      </c>
      <c r="M3355" s="133">
        <v>3280.2</v>
      </c>
      <c r="N3355" s="147"/>
      <c r="O3355" s="141"/>
      <c r="P3355" s="140"/>
    </row>
    <row r="3356" spans="1:16" hidden="1" x14ac:dyDescent="0.35">
      <c r="A3356" s="149"/>
      <c r="B3356" s="143"/>
      <c r="C3356" s="133"/>
      <c r="D3356" s="133"/>
      <c r="E3356" s="145"/>
      <c r="F3356" s="145"/>
      <c r="G3356" s="133" t="s">
        <v>1034</v>
      </c>
      <c r="H3356" s="144" t="s">
        <v>1341</v>
      </c>
      <c r="I3356" s="133" t="s">
        <v>1092</v>
      </c>
      <c r="J3356" s="266" t="s">
        <v>2661</v>
      </c>
      <c r="K3356" s="143">
        <v>45992</v>
      </c>
      <c r="L3356" s="133" t="s">
        <v>1092</v>
      </c>
      <c r="M3356" s="133">
        <v>48599.199999999997</v>
      </c>
      <c r="N3356" s="147"/>
      <c r="O3356" s="141"/>
      <c r="P3356" s="140"/>
    </row>
    <row r="3357" spans="1:16" hidden="1" x14ac:dyDescent="0.35">
      <c r="A3357" s="149"/>
      <c r="B3357" s="143"/>
      <c r="C3357" s="133"/>
      <c r="D3357" s="133"/>
      <c r="E3357" s="145"/>
      <c r="F3357" s="145"/>
      <c r="G3357" s="133" t="s">
        <v>1034</v>
      </c>
      <c r="H3357" s="144" t="s">
        <v>1341</v>
      </c>
      <c r="I3357" s="133" t="s">
        <v>1092</v>
      </c>
      <c r="J3357" s="272" t="s">
        <v>2669</v>
      </c>
      <c r="K3357" s="143">
        <v>45992</v>
      </c>
      <c r="L3357" s="133" t="s">
        <v>1092</v>
      </c>
      <c r="M3357" s="133">
        <v>32814.1</v>
      </c>
      <c r="N3357" s="147"/>
      <c r="O3357" s="141"/>
      <c r="P3357" s="140"/>
    </row>
    <row r="3358" spans="1:16" hidden="1" x14ac:dyDescent="0.35">
      <c r="A3358" s="149"/>
      <c r="B3358" s="143"/>
      <c r="C3358" s="133"/>
      <c r="D3358" s="133"/>
      <c r="E3358" s="145"/>
      <c r="F3358" s="145"/>
      <c r="G3358" s="133" t="s">
        <v>1034</v>
      </c>
      <c r="H3358" s="144" t="s">
        <v>1341</v>
      </c>
      <c r="I3358" s="133" t="s">
        <v>1092</v>
      </c>
      <c r="J3358" s="276" t="s">
        <v>2681</v>
      </c>
      <c r="K3358" s="143">
        <v>45992</v>
      </c>
      <c r="L3358" s="133" t="s">
        <v>1092</v>
      </c>
      <c r="M3358" s="133">
        <v>38992.5</v>
      </c>
      <c r="N3358" s="147"/>
      <c r="O3358" s="141"/>
      <c r="P3358" s="140"/>
    </row>
    <row r="3359" spans="1:16" hidden="1" x14ac:dyDescent="0.35">
      <c r="A3359" s="149"/>
      <c r="B3359" s="143"/>
      <c r="C3359" s="133"/>
      <c r="D3359" s="133"/>
      <c r="E3359" s="145"/>
      <c r="F3359" s="145"/>
      <c r="G3359" s="133" t="s">
        <v>1034</v>
      </c>
      <c r="H3359" s="144" t="s">
        <v>1341</v>
      </c>
      <c r="I3359" s="133" t="s">
        <v>1092</v>
      </c>
      <c r="J3359" s="278" t="s">
        <v>2688</v>
      </c>
      <c r="K3359" s="143">
        <v>45992</v>
      </c>
      <c r="L3359" s="133" t="s">
        <v>1092</v>
      </c>
      <c r="M3359" s="133">
        <v>13664</v>
      </c>
      <c r="N3359" s="147"/>
      <c r="O3359" s="141"/>
      <c r="P3359" s="140"/>
    </row>
    <row r="3360" spans="1:16" hidden="1" x14ac:dyDescent="0.35">
      <c r="A3360" s="149"/>
      <c r="B3360" s="143"/>
      <c r="C3360" s="133"/>
      <c r="D3360" s="133"/>
      <c r="E3360" s="145"/>
      <c r="F3360" s="145"/>
      <c r="G3360" s="133" t="s">
        <v>1034</v>
      </c>
      <c r="H3360" s="144" t="s">
        <v>1341</v>
      </c>
      <c r="I3360" s="133" t="s">
        <v>1092</v>
      </c>
      <c r="J3360" s="278" t="s">
        <v>2689</v>
      </c>
      <c r="K3360" s="143">
        <v>45992</v>
      </c>
      <c r="L3360" s="133" t="s">
        <v>1241</v>
      </c>
      <c r="M3360" s="133">
        <v>10150</v>
      </c>
      <c r="N3360" s="147"/>
      <c r="O3360" s="141"/>
      <c r="P3360" s="140"/>
    </row>
    <row r="3361" spans="1:16" hidden="1" x14ac:dyDescent="0.35">
      <c r="A3361" s="149"/>
      <c r="B3361" s="143"/>
      <c r="C3361" s="133"/>
      <c r="D3361" s="133"/>
      <c r="E3361" s="145"/>
      <c r="F3361" s="145"/>
      <c r="G3361" s="133"/>
      <c r="H3361" s="144"/>
      <c r="I3361" s="133"/>
      <c r="J3361" s="258"/>
      <c r="K3361" s="143"/>
      <c r="L3361" s="133"/>
      <c r="M3361" s="133"/>
      <c r="N3361" s="142"/>
      <c r="O3361" s="141"/>
      <c r="P3361" s="140"/>
    </row>
    <row r="3362" spans="1:16" hidden="1" x14ac:dyDescent="0.35">
      <c r="A3362" s="257"/>
      <c r="B3362" s="152"/>
      <c r="C3362" s="151"/>
      <c r="D3362" s="151"/>
      <c r="E3362" s="154"/>
      <c r="F3362" s="154"/>
      <c r="G3362" s="151"/>
      <c r="H3362" s="153"/>
      <c r="I3362" s="151"/>
      <c r="J3362" s="151"/>
      <c r="K3362" s="151"/>
      <c r="L3362" s="151"/>
      <c r="M3362" s="151"/>
      <c r="N3362" s="150"/>
      <c r="O3362" s="141"/>
      <c r="P3362" s="140"/>
    </row>
    <row r="3363" spans="1:16" hidden="1" x14ac:dyDescent="0.35">
      <c r="A3363" s="149"/>
      <c r="B3363" s="143"/>
      <c r="C3363" s="133"/>
      <c r="D3363" s="133"/>
      <c r="E3363" s="145"/>
      <c r="F3363" s="145"/>
      <c r="G3363" s="133"/>
      <c r="H3363" s="144"/>
      <c r="I3363" s="133"/>
      <c r="J3363" s="133"/>
      <c r="K3363" s="133"/>
      <c r="L3363" s="133"/>
      <c r="M3363" s="133"/>
      <c r="N3363" s="142"/>
      <c r="O3363" s="141"/>
      <c r="P3363" s="140"/>
    </row>
    <row r="3364" spans="1:16" hidden="1" x14ac:dyDescent="0.35">
      <c r="A3364" s="149">
        <v>172</v>
      </c>
      <c r="B3364" s="143">
        <v>45962</v>
      </c>
      <c r="C3364" s="133" t="s">
        <v>1630</v>
      </c>
      <c r="D3364" s="133" t="s">
        <v>2603</v>
      </c>
      <c r="E3364" s="145" t="s">
        <v>1342</v>
      </c>
      <c r="F3364" s="145">
        <v>3728</v>
      </c>
      <c r="G3364" s="133" t="s">
        <v>1034</v>
      </c>
      <c r="H3364" s="144" t="s">
        <v>1341</v>
      </c>
      <c r="I3364" s="133" t="s">
        <v>1092</v>
      </c>
      <c r="J3364" s="278" t="s">
        <v>2688</v>
      </c>
      <c r="K3364" s="143">
        <v>45992</v>
      </c>
      <c r="L3364" s="133" t="s">
        <v>1092</v>
      </c>
      <c r="M3364" s="133">
        <v>3587</v>
      </c>
      <c r="N3364" s="142">
        <f>+F3364-M3364-M3365</f>
        <v>0</v>
      </c>
      <c r="O3364" s="141"/>
      <c r="P3364" s="140"/>
    </row>
    <row r="3365" spans="1:16" hidden="1" x14ac:dyDescent="0.35">
      <c r="A3365" s="149"/>
      <c r="B3365" s="143"/>
      <c r="C3365" s="133"/>
      <c r="D3365" s="133"/>
      <c r="E3365" s="145"/>
      <c r="F3365" s="145"/>
      <c r="G3365" s="133" t="s">
        <v>1034</v>
      </c>
      <c r="H3365" s="144" t="s">
        <v>1341</v>
      </c>
      <c r="I3365" s="133" t="s">
        <v>1092</v>
      </c>
      <c r="J3365" s="278" t="s">
        <v>2689</v>
      </c>
      <c r="K3365" s="143">
        <v>45992</v>
      </c>
      <c r="L3365" s="133" t="s">
        <v>1241</v>
      </c>
      <c r="M3365" s="133">
        <v>141</v>
      </c>
      <c r="N3365" s="142"/>
      <c r="O3365" s="141"/>
      <c r="P3365" s="140"/>
    </row>
    <row r="3366" spans="1:16" hidden="1" x14ac:dyDescent="0.35">
      <c r="A3366" s="149"/>
      <c r="B3366" s="143"/>
      <c r="C3366" s="133"/>
      <c r="D3366" s="133"/>
      <c r="E3366" s="145"/>
      <c r="F3366" s="145"/>
      <c r="G3366" s="133"/>
      <c r="H3366" s="144"/>
      <c r="I3366" s="133"/>
      <c r="J3366" s="278"/>
      <c r="K3366" s="143"/>
      <c r="L3366" s="133"/>
      <c r="M3366" s="133"/>
      <c r="N3366" s="142"/>
      <c r="O3366" s="141"/>
      <c r="P3366" s="140"/>
    </row>
    <row r="3367" spans="1:16" hidden="1" x14ac:dyDescent="0.35">
      <c r="A3367" s="149">
        <v>173</v>
      </c>
      <c r="B3367" s="143">
        <v>45962</v>
      </c>
      <c r="C3367" s="133" t="s">
        <v>1628</v>
      </c>
      <c r="D3367" s="133" t="s">
        <v>2604</v>
      </c>
      <c r="E3367" s="145" t="s">
        <v>1064</v>
      </c>
      <c r="F3367" s="145">
        <v>804.7</v>
      </c>
      <c r="G3367" s="133" t="s">
        <v>1034</v>
      </c>
      <c r="H3367" s="144" t="s">
        <v>1341</v>
      </c>
      <c r="I3367" s="133" t="s">
        <v>1092</v>
      </c>
      <c r="J3367" s="266" t="s">
        <v>2661</v>
      </c>
      <c r="K3367" s="143">
        <v>45992</v>
      </c>
      <c r="L3367" s="133" t="s">
        <v>1092</v>
      </c>
      <c r="M3367" s="133">
        <v>10474.299999999999</v>
      </c>
      <c r="N3367" s="147">
        <f>+F3367+F3368-M3367:M3368-M3368-M3369</f>
        <v>6.8212102632969618E-13</v>
      </c>
      <c r="O3367" s="141"/>
      <c r="P3367" s="140"/>
    </row>
    <row r="3368" spans="1:16" hidden="1" x14ac:dyDescent="0.35">
      <c r="A3368" s="149"/>
      <c r="B3368" s="143"/>
      <c r="C3368" s="133"/>
      <c r="D3368" s="133"/>
      <c r="E3368" s="145" t="s">
        <v>1075</v>
      </c>
      <c r="F3368" s="145">
        <v>10925.3</v>
      </c>
      <c r="G3368" s="133" t="s">
        <v>1034</v>
      </c>
      <c r="H3368" s="144" t="s">
        <v>1341</v>
      </c>
      <c r="I3368" s="133" t="s">
        <v>1092</v>
      </c>
      <c r="J3368" s="278" t="s">
        <v>2688</v>
      </c>
      <c r="K3368" s="143">
        <v>45992</v>
      </c>
      <c r="L3368" s="133" t="s">
        <v>1092</v>
      </c>
      <c r="M3368" s="133">
        <v>804.7</v>
      </c>
      <c r="N3368" s="142"/>
      <c r="O3368" s="141"/>
      <c r="P3368" s="140"/>
    </row>
    <row r="3369" spans="1:16" hidden="1" x14ac:dyDescent="0.35">
      <c r="A3369" s="149"/>
      <c r="B3369" s="143"/>
      <c r="C3369" s="133"/>
      <c r="D3369" s="133"/>
      <c r="E3369" s="145"/>
      <c r="F3369" s="145"/>
      <c r="G3369" s="133" t="s">
        <v>1034</v>
      </c>
      <c r="H3369" s="144" t="s">
        <v>1341</v>
      </c>
      <c r="I3369" s="133" t="s">
        <v>1092</v>
      </c>
      <c r="J3369" s="278" t="s">
        <v>2689</v>
      </c>
      <c r="K3369" s="143">
        <v>45992</v>
      </c>
      <c r="L3369" s="133" t="s">
        <v>1241</v>
      </c>
      <c r="M3369" s="133">
        <v>451</v>
      </c>
      <c r="N3369" s="142"/>
      <c r="O3369" s="141"/>
      <c r="P3369" s="140"/>
    </row>
    <row r="3370" spans="1:16" hidden="1" x14ac:dyDescent="0.35">
      <c r="A3370" s="149"/>
      <c r="B3370" s="143"/>
      <c r="C3370" s="133"/>
      <c r="D3370" s="133"/>
      <c r="E3370" s="145"/>
      <c r="F3370" s="145"/>
      <c r="G3370" s="133"/>
      <c r="H3370" s="144"/>
      <c r="I3370" s="133"/>
      <c r="J3370" s="278"/>
      <c r="K3370" s="143"/>
      <c r="L3370" s="133"/>
      <c r="M3370" s="133"/>
      <c r="N3370" s="142"/>
      <c r="O3370" s="141"/>
      <c r="P3370" s="140"/>
    </row>
    <row r="3371" spans="1:16" hidden="1" x14ac:dyDescent="0.35">
      <c r="A3371" s="149"/>
      <c r="B3371" s="143"/>
      <c r="C3371" s="133"/>
      <c r="D3371" s="133"/>
      <c r="E3371" s="145"/>
      <c r="F3371" s="145"/>
      <c r="G3371" s="133"/>
      <c r="H3371" s="144"/>
      <c r="I3371" s="133"/>
      <c r="J3371" s="133"/>
      <c r="K3371" s="133"/>
      <c r="L3371" s="133"/>
      <c r="M3371" s="133"/>
      <c r="N3371" s="142"/>
      <c r="O3371" s="141"/>
      <c r="P3371" s="140"/>
    </row>
    <row r="3372" spans="1:16" hidden="1" x14ac:dyDescent="0.35">
      <c r="A3372" s="149">
        <v>174</v>
      </c>
      <c r="B3372" s="143">
        <v>45962</v>
      </c>
      <c r="C3372" s="133" t="s">
        <v>1626</v>
      </c>
      <c r="D3372" s="133" t="s">
        <v>2605</v>
      </c>
      <c r="E3372" s="145" t="s">
        <v>1342</v>
      </c>
      <c r="F3372" s="145">
        <v>3662</v>
      </c>
      <c r="G3372" s="133" t="s">
        <v>1034</v>
      </c>
      <c r="H3372" s="144" t="s">
        <v>1341</v>
      </c>
      <c r="I3372" s="133" t="s">
        <v>1092</v>
      </c>
      <c r="J3372" s="266" t="s">
        <v>2661</v>
      </c>
      <c r="K3372" s="143">
        <v>45992</v>
      </c>
      <c r="L3372" s="133" t="s">
        <v>1092</v>
      </c>
      <c r="M3372" s="133">
        <f>119+836+78</f>
        <v>1033</v>
      </c>
      <c r="N3372" s="147">
        <f>+F3372+F3373+F3374+F3375-M3372-M3373-M3374</f>
        <v>0</v>
      </c>
      <c r="O3372" s="141"/>
      <c r="P3372" s="140"/>
    </row>
    <row r="3373" spans="1:16" hidden="1" x14ac:dyDescent="0.35">
      <c r="A3373" s="149"/>
      <c r="B3373" s="143"/>
      <c r="C3373" s="133"/>
      <c r="D3373" s="133"/>
      <c r="E3373" s="145" t="s">
        <v>1075</v>
      </c>
      <c r="F3373" s="145">
        <v>119</v>
      </c>
      <c r="G3373" s="133" t="s">
        <v>1034</v>
      </c>
      <c r="H3373" s="144" t="s">
        <v>1341</v>
      </c>
      <c r="I3373" s="133" t="s">
        <v>1092</v>
      </c>
      <c r="J3373" s="294" t="s">
        <v>2705</v>
      </c>
      <c r="K3373" s="143">
        <v>46023</v>
      </c>
      <c r="L3373" s="133" t="s">
        <v>1092</v>
      </c>
      <c r="M3373" s="133">
        <v>3480</v>
      </c>
      <c r="N3373" s="147"/>
      <c r="O3373" s="141"/>
      <c r="P3373" s="140"/>
    </row>
    <row r="3374" spans="1:16" hidden="1" x14ac:dyDescent="0.35">
      <c r="A3374" s="149"/>
      <c r="B3374" s="143"/>
      <c r="C3374" s="133"/>
      <c r="D3374" s="133"/>
      <c r="E3374" s="145" t="s">
        <v>1118</v>
      </c>
      <c r="F3374" s="145">
        <v>836</v>
      </c>
      <c r="G3374" s="133" t="s">
        <v>1034</v>
      </c>
      <c r="H3374" s="144" t="s">
        <v>1341</v>
      </c>
      <c r="I3374" s="133" t="s">
        <v>1092</v>
      </c>
      <c r="J3374" s="305" t="s">
        <v>2720</v>
      </c>
      <c r="K3374" s="143">
        <v>46023</v>
      </c>
      <c r="L3374" s="133" t="s">
        <v>1241</v>
      </c>
      <c r="M3374" s="133">
        <v>182</v>
      </c>
      <c r="N3374" s="147"/>
      <c r="O3374" s="141"/>
      <c r="P3374" s="140"/>
    </row>
    <row r="3375" spans="1:16" hidden="1" x14ac:dyDescent="0.35">
      <c r="A3375" s="149"/>
      <c r="B3375" s="143"/>
      <c r="C3375" s="133"/>
      <c r="D3375" s="133"/>
      <c r="E3375" s="145" t="s">
        <v>1067</v>
      </c>
      <c r="F3375" s="145">
        <v>78</v>
      </c>
      <c r="G3375" s="133"/>
      <c r="H3375" s="144"/>
      <c r="I3375" s="133"/>
      <c r="J3375" s="133"/>
      <c r="K3375" s="133"/>
      <c r="L3375" s="133"/>
      <c r="M3375" s="133"/>
      <c r="N3375" s="147"/>
      <c r="O3375" s="141"/>
      <c r="P3375" s="140"/>
    </row>
    <row r="3376" spans="1:16" hidden="1" x14ac:dyDescent="0.35">
      <c r="A3376" s="149"/>
      <c r="B3376" s="143"/>
      <c r="C3376" s="133"/>
      <c r="D3376" s="133"/>
      <c r="E3376" s="145"/>
      <c r="F3376" s="145"/>
      <c r="G3376" s="133"/>
      <c r="H3376" s="144"/>
      <c r="I3376" s="133"/>
      <c r="J3376" s="133"/>
      <c r="K3376" s="133"/>
      <c r="L3376" s="133"/>
      <c r="M3376" s="133"/>
      <c r="N3376" s="147"/>
      <c r="O3376" s="141"/>
      <c r="P3376" s="140"/>
    </row>
    <row r="3377" spans="1:16" hidden="1" x14ac:dyDescent="0.35">
      <c r="A3377" s="149">
        <v>175</v>
      </c>
      <c r="B3377" s="143">
        <v>45962</v>
      </c>
      <c r="C3377" s="133" t="s">
        <v>1622</v>
      </c>
      <c r="D3377" s="133" t="s">
        <v>2606</v>
      </c>
      <c r="E3377" s="145" t="s">
        <v>1075</v>
      </c>
      <c r="F3377" s="145">
        <v>1854</v>
      </c>
      <c r="G3377" s="133" t="s">
        <v>1034</v>
      </c>
      <c r="H3377" s="144" t="s">
        <v>1341</v>
      </c>
      <c r="I3377" s="133" t="s">
        <v>1092</v>
      </c>
      <c r="J3377" s="266" t="s">
        <v>2661</v>
      </c>
      <c r="K3377" s="143">
        <v>45992</v>
      </c>
      <c r="L3377" s="133" t="s">
        <v>1092</v>
      </c>
      <c r="M3377" s="133">
        <v>1831</v>
      </c>
      <c r="N3377" s="147">
        <f>+F3377+F3378+F3379-M3377-M3378-M3379-M3380</f>
        <v>0</v>
      </c>
      <c r="O3377" s="141"/>
      <c r="P3377" s="140"/>
    </row>
    <row r="3378" spans="1:16" hidden="1" x14ac:dyDescent="0.35">
      <c r="A3378" s="149"/>
      <c r="B3378" s="143"/>
      <c r="C3378" s="133"/>
      <c r="D3378" s="133"/>
      <c r="E3378" s="145" t="s">
        <v>1067</v>
      </c>
      <c r="F3378" s="145">
        <v>1831</v>
      </c>
      <c r="G3378" s="133" t="s">
        <v>1034</v>
      </c>
      <c r="H3378" s="144" t="s">
        <v>1341</v>
      </c>
      <c r="I3378" s="133" t="s">
        <v>1092</v>
      </c>
      <c r="J3378" s="272" t="s">
        <v>2669</v>
      </c>
      <c r="K3378" s="143">
        <v>45992</v>
      </c>
      <c r="L3378" s="133" t="s">
        <v>1092</v>
      </c>
      <c r="M3378" s="133">
        <v>1854</v>
      </c>
      <c r="N3378" s="147"/>
      <c r="O3378" s="141"/>
      <c r="P3378" s="140"/>
    </row>
    <row r="3379" spans="1:16" hidden="1" x14ac:dyDescent="0.35">
      <c r="A3379" s="149"/>
      <c r="B3379" s="143"/>
      <c r="C3379" s="133"/>
      <c r="D3379" s="133"/>
      <c r="E3379" s="145" t="s">
        <v>1342</v>
      </c>
      <c r="F3379" s="145">
        <v>1446</v>
      </c>
      <c r="G3379" s="133" t="s">
        <v>1034</v>
      </c>
      <c r="H3379" s="144" t="s">
        <v>1341</v>
      </c>
      <c r="I3379" s="133" t="s">
        <v>1092</v>
      </c>
      <c r="J3379" s="294" t="s">
        <v>2705</v>
      </c>
      <c r="K3379" s="143">
        <v>46023</v>
      </c>
      <c r="L3379" s="133" t="s">
        <v>1092</v>
      </c>
      <c r="M3379" s="133">
        <v>1266</v>
      </c>
      <c r="N3379" s="147"/>
      <c r="O3379" s="141"/>
      <c r="P3379" s="140"/>
    </row>
    <row r="3380" spans="1:16" hidden="1" x14ac:dyDescent="0.35">
      <c r="A3380" s="149"/>
      <c r="B3380" s="143"/>
      <c r="C3380" s="133"/>
      <c r="D3380" s="133"/>
      <c r="E3380" s="145"/>
      <c r="F3380" s="145"/>
      <c r="G3380" s="133" t="s">
        <v>1034</v>
      </c>
      <c r="H3380" s="144" t="s">
        <v>1341</v>
      </c>
      <c r="I3380" s="133" t="s">
        <v>1092</v>
      </c>
      <c r="J3380" s="305" t="s">
        <v>2720</v>
      </c>
      <c r="K3380" s="143">
        <v>46023</v>
      </c>
      <c r="L3380" s="133" t="s">
        <v>1241</v>
      </c>
      <c r="M3380" s="133">
        <v>180</v>
      </c>
      <c r="N3380" s="147"/>
      <c r="O3380" s="141"/>
      <c r="P3380" s="140"/>
    </row>
    <row r="3381" spans="1:16" hidden="1" x14ac:dyDescent="0.35">
      <c r="A3381" s="149"/>
      <c r="B3381" s="143"/>
      <c r="C3381" s="133"/>
      <c r="D3381" s="133"/>
      <c r="E3381" s="145"/>
      <c r="F3381" s="145"/>
      <c r="G3381" s="133"/>
      <c r="H3381" s="144"/>
      <c r="I3381" s="133"/>
      <c r="J3381" s="305"/>
      <c r="K3381" s="143"/>
      <c r="L3381" s="133"/>
      <c r="M3381" s="133"/>
      <c r="N3381" s="147"/>
      <c r="O3381" s="141"/>
      <c r="P3381" s="140"/>
    </row>
    <row r="3382" spans="1:16" hidden="1" x14ac:dyDescent="0.35">
      <c r="A3382" s="149">
        <v>176</v>
      </c>
      <c r="B3382" s="143">
        <v>45962</v>
      </c>
      <c r="C3382" s="133" t="s">
        <v>1620</v>
      </c>
      <c r="D3382" s="133" t="s">
        <v>2607</v>
      </c>
      <c r="E3382" s="145" t="s">
        <v>1342</v>
      </c>
      <c r="F3382" s="145">
        <v>2622</v>
      </c>
      <c r="G3382" s="133" t="s">
        <v>1034</v>
      </c>
      <c r="H3382" s="144" t="s">
        <v>1341</v>
      </c>
      <c r="I3382" s="133" t="s">
        <v>1092</v>
      </c>
      <c r="J3382" s="272" t="s">
        <v>2669</v>
      </c>
      <c r="K3382" s="143">
        <v>45992</v>
      </c>
      <c r="L3382" s="133" t="s">
        <v>1092</v>
      </c>
      <c r="M3382" s="133">
        <f>1018.5+2605.7</f>
        <v>3624.2</v>
      </c>
      <c r="N3382" s="147">
        <f>+F3382+F3383+F3384+F3385+F3386-M3382-M3383-M3384-M3385-M3386</f>
        <v>0</v>
      </c>
      <c r="O3382" s="141"/>
      <c r="P3382" s="140"/>
    </row>
    <row r="3383" spans="1:16" hidden="1" x14ac:dyDescent="0.35">
      <c r="A3383" s="149"/>
      <c r="B3383" s="143"/>
      <c r="C3383" s="133"/>
      <c r="D3383" s="133"/>
      <c r="E3383" s="145" t="s">
        <v>1075</v>
      </c>
      <c r="F3383" s="145">
        <v>2923.7</v>
      </c>
      <c r="G3383" s="133" t="s">
        <v>1034</v>
      </c>
      <c r="H3383" s="144" t="s">
        <v>1341</v>
      </c>
      <c r="I3383" s="133" t="s">
        <v>1092</v>
      </c>
      <c r="J3383" s="278" t="s">
        <v>2688</v>
      </c>
      <c r="K3383" s="143">
        <v>45992</v>
      </c>
      <c r="L3383" s="133" t="s">
        <v>1092</v>
      </c>
      <c r="M3383" s="133">
        <v>807.3</v>
      </c>
      <c r="N3383" s="147"/>
      <c r="O3383" s="141"/>
      <c r="P3383" s="140"/>
    </row>
    <row r="3384" spans="1:16" hidden="1" x14ac:dyDescent="0.35">
      <c r="A3384" s="149"/>
      <c r="B3384" s="143"/>
      <c r="C3384" s="133"/>
      <c r="D3384" s="133"/>
      <c r="E3384" s="145" t="s">
        <v>1118</v>
      </c>
      <c r="F3384" s="145">
        <v>1018.5</v>
      </c>
      <c r="G3384" s="133" t="s">
        <v>1034</v>
      </c>
      <c r="H3384" s="144" t="s">
        <v>1341</v>
      </c>
      <c r="I3384" s="133" t="s">
        <v>1092</v>
      </c>
      <c r="J3384" s="278" t="s">
        <v>2689</v>
      </c>
      <c r="K3384" s="143">
        <v>45992</v>
      </c>
      <c r="L3384" s="133" t="s">
        <v>1241</v>
      </c>
      <c r="M3384" s="133">
        <v>318</v>
      </c>
      <c r="N3384" s="147"/>
      <c r="O3384" s="141"/>
      <c r="P3384" s="140"/>
    </row>
    <row r="3385" spans="1:16" hidden="1" x14ac:dyDescent="0.35">
      <c r="A3385" s="149"/>
      <c r="B3385" s="143"/>
      <c r="C3385" s="133"/>
      <c r="D3385" s="133"/>
      <c r="E3385" s="145" t="s">
        <v>1064</v>
      </c>
      <c r="F3385" s="145">
        <v>807.3</v>
      </c>
      <c r="G3385" s="133" t="s">
        <v>1034</v>
      </c>
      <c r="H3385" s="144" t="s">
        <v>1341</v>
      </c>
      <c r="I3385" s="133" t="s">
        <v>1092</v>
      </c>
      <c r="J3385" s="294" t="s">
        <v>2705</v>
      </c>
      <c r="K3385" s="143">
        <v>46023</v>
      </c>
      <c r="L3385" s="133" t="s">
        <v>1092</v>
      </c>
      <c r="M3385" s="133">
        <f>580+2312</f>
        <v>2892</v>
      </c>
      <c r="N3385" s="147"/>
      <c r="O3385" s="141"/>
      <c r="P3385" s="140"/>
    </row>
    <row r="3386" spans="1:16" hidden="1" x14ac:dyDescent="0.35">
      <c r="A3386" s="149"/>
      <c r="B3386" s="143"/>
      <c r="C3386" s="133"/>
      <c r="D3386" s="133"/>
      <c r="E3386" s="145" t="s">
        <v>1071</v>
      </c>
      <c r="F3386" s="145">
        <v>580</v>
      </c>
      <c r="G3386" s="133" t="s">
        <v>1034</v>
      </c>
      <c r="H3386" s="144" t="s">
        <v>1341</v>
      </c>
      <c r="I3386" s="133" t="s">
        <v>1092</v>
      </c>
      <c r="J3386" s="305" t="s">
        <v>2720</v>
      </c>
      <c r="K3386" s="143">
        <v>46023</v>
      </c>
      <c r="L3386" s="133" t="s">
        <v>1241</v>
      </c>
      <c r="M3386" s="133">
        <v>310</v>
      </c>
      <c r="N3386" s="147"/>
      <c r="O3386" s="141"/>
      <c r="P3386" s="140"/>
    </row>
    <row r="3387" spans="1:16" hidden="1" x14ac:dyDescent="0.35">
      <c r="A3387" s="149"/>
      <c r="B3387" s="143"/>
      <c r="C3387" s="133"/>
      <c r="D3387" s="133"/>
      <c r="E3387" s="145"/>
      <c r="F3387" s="145"/>
      <c r="G3387" s="133"/>
      <c r="H3387" s="144"/>
      <c r="I3387" s="133"/>
      <c r="J3387" s="133"/>
      <c r="K3387" s="133"/>
      <c r="L3387" s="133"/>
      <c r="M3387" s="133"/>
      <c r="N3387" s="147"/>
      <c r="O3387" s="141"/>
      <c r="P3387" s="140"/>
    </row>
    <row r="3388" spans="1:16" hidden="1" x14ac:dyDescent="0.35">
      <c r="A3388" s="149">
        <v>177</v>
      </c>
      <c r="B3388" s="143">
        <v>45962</v>
      </c>
      <c r="C3388" s="133" t="s">
        <v>1618</v>
      </c>
      <c r="D3388" s="133" t="s">
        <v>2608</v>
      </c>
      <c r="E3388" s="145" t="s">
        <v>1118</v>
      </c>
      <c r="F3388" s="145">
        <v>1669.9</v>
      </c>
      <c r="G3388" s="133" t="s">
        <v>1034</v>
      </c>
      <c r="H3388" s="144" t="s">
        <v>1341</v>
      </c>
      <c r="I3388" s="133" t="s">
        <v>1092</v>
      </c>
      <c r="J3388" s="266" t="s">
        <v>2661</v>
      </c>
      <c r="K3388" s="143">
        <v>45992</v>
      </c>
      <c r="L3388" s="133" t="s">
        <v>1092</v>
      </c>
      <c r="M3388" s="133">
        <f>1669.9+867</f>
        <v>2536.9</v>
      </c>
      <c r="N3388" s="147">
        <f>+F3388+F3389-M3388</f>
        <v>0</v>
      </c>
      <c r="O3388" s="141"/>
      <c r="P3388" s="140"/>
    </row>
    <row r="3389" spans="1:16" hidden="1" x14ac:dyDescent="0.35">
      <c r="A3389" s="149"/>
      <c r="B3389" s="143"/>
      <c r="C3389" s="133"/>
      <c r="D3389" s="133"/>
      <c r="E3389" s="145" t="s">
        <v>1067</v>
      </c>
      <c r="F3389" s="145">
        <v>867</v>
      </c>
      <c r="G3389" s="133"/>
      <c r="H3389" s="144"/>
      <c r="I3389" s="133"/>
      <c r="J3389" s="133"/>
      <c r="K3389" s="133"/>
      <c r="L3389" s="133"/>
      <c r="M3389" s="133"/>
      <c r="N3389" s="147"/>
      <c r="O3389" s="141"/>
      <c r="P3389" s="140"/>
    </row>
    <row r="3390" spans="1:16" hidden="1" x14ac:dyDescent="0.35">
      <c r="A3390" s="149"/>
      <c r="B3390" s="143"/>
      <c r="C3390" s="133"/>
      <c r="D3390" s="133"/>
      <c r="E3390" s="145"/>
      <c r="F3390" s="145"/>
      <c r="G3390" s="133"/>
      <c r="H3390" s="144"/>
      <c r="I3390" s="133"/>
      <c r="J3390" s="133"/>
      <c r="K3390" s="133"/>
      <c r="L3390" s="133"/>
      <c r="M3390" s="133"/>
      <c r="N3390" s="147"/>
      <c r="O3390" s="141"/>
      <c r="P3390" s="140"/>
    </row>
    <row r="3391" spans="1:16" hidden="1" x14ac:dyDescent="0.35">
      <c r="A3391" s="149">
        <v>178</v>
      </c>
      <c r="B3391" s="143">
        <v>45962</v>
      </c>
      <c r="C3391" s="133" t="s">
        <v>1616</v>
      </c>
      <c r="D3391" s="133" t="s">
        <v>2611</v>
      </c>
      <c r="E3391" s="145" t="s">
        <v>1075</v>
      </c>
      <c r="F3391" s="145">
        <v>3183</v>
      </c>
      <c r="G3391" s="133" t="s">
        <v>1034</v>
      </c>
      <c r="H3391" s="144" t="s">
        <v>1341</v>
      </c>
      <c r="I3391" s="133" t="s">
        <v>1092</v>
      </c>
      <c r="J3391" s="272" t="s">
        <v>2669</v>
      </c>
      <c r="K3391" s="143">
        <v>45992</v>
      </c>
      <c r="L3391" s="133" t="s">
        <v>1092</v>
      </c>
      <c r="M3391" s="133">
        <f>2893+2370</f>
        <v>5263</v>
      </c>
      <c r="N3391" s="147">
        <f>+F3391+F3392-M3391-M3392</f>
        <v>0</v>
      </c>
      <c r="O3391" s="141"/>
      <c r="P3391" s="140"/>
    </row>
    <row r="3392" spans="1:16" hidden="1" x14ac:dyDescent="0.35">
      <c r="A3392" s="149"/>
      <c r="B3392" s="143"/>
      <c r="C3392" s="133"/>
      <c r="D3392" s="133"/>
      <c r="E3392" s="145" t="s">
        <v>1067</v>
      </c>
      <c r="F3392" s="145">
        <v>2370</v>
      </c>
      <c r="G3392" s="133" t="s">
        <v>1034</v>
      </c>
      <c r="H3392" s="144" t="s">
        <v>1341</v>
      </c>
      <c r="I3392" s="133" t="s">
        <v>1092</v>
      </c>
      <c r="J3392" s="278" t="s">
        <v>2689</v>
      </c>
      <c r="K3392" s="143">
        <v>45992</v>
      </c>
      <c r="L3392" s="133" t="s">
        <v>1241</v>
      </c>
      <c r="M3392" s="133">
        <v>290</v>
      </c>
      <c r="N3392" s="147"/>
      <c r="O3392" s="141"/>
      <c r="P3392" s="140"/>
    </row>
    <row r="3393" spans="1:16" hidden="1" x14ac:dyDescent="0.35">
      <c r="A3393" s="149"/>
      <c r="B3393" s="143"/>
      <c r="C3393" s="133"/>
      <c r="D3393" s="133"/>
      <c r="E3393" s="145"/>
      <c r="F3393" s="145"/>
      <c r="G3393" s="133"/>
      <c r="H3393" s="144"/>
      <c r="I3393" s="133"/>
      <c r="J3393" s="133"/>
      <c r="K3393" s="133"/>
      <c r="L3393" s="133"/>
      <c r="M3393" s="133"/>
      <c r="N3393" s="147"/>
      <c r="O3393" s="141"/>
      <c r="P3393" s="140"/>
    </row>
    <row r="3394" spans="1:16" hidden="1" x14ac:dyDescent="0.35">
      <c r="A3394" s="149">
        <v>179</v>
      </c>
      <c r="B3394" s="143">
        <v>45962</v>
      </c>
      <c r="C3394" s="133" t="s">
        <v>1613</v>
      </c>
      <c r="D3394" s="133" t="s">
        <v>2612</v>
      </c>
      <c r="E3394" s="145" t="s">
        <v>1075</v>
      </c>
      <c r="F3394" s="145">
        <v>8496.7000000000007</v>
      </c>
      <c r="G3394" s="133" t="s">
        <v>1034</v>
      </c>
      <c r="H3394" s="144" t="s">
        <v>1341</v>
      </c>
      <c r="I3394" s="133" t="s">
        <v>1092</v>
      </c>
      <c r="J3394" s="266" t="s">
        <v>2661</v>
      </c>
      <c r="K3394" s="143">
        <v>45992</v>
      </c>
      <c r="L3394" s="133" t="s">
        <v>1092</v>
      </c>
      <c r="M3394" s="133">
        <v>2204</v>
      </c>
      <c r="N3394" s="147">
        <f>+F3394+F3395+F3396+F3397+F3398-M3394-M3395-M3396-M3397-M3398</f>
        <v>-9.0949470177292824E-13</v>
      </c>
      <c r="O3394" s="141"/>
      <c r="P3394" s="140"/>
    </row>
    <row r="3395" spans="1:16" hidden="1" x14ac:dyDescent="0.35">
      <c r="A3395" s="149"/>
      <c r="B3395" s="143"/>
      <c r="C3395" s="133"/>
      <c r="D3395" s="133"/>
      <c r="E3395" s="145" t="s">
        <v>1067</v>
      </c>
      <c r="F3395" s="145">
        <v>2204</v>
      </c>
      <c r="G3395" s="133" t="s">
        <v>1034</v>
      </c>
      <c r="H3395" s="144" t="s">
        <v>1341</v>
      </c>
      <c r="I3395" s="133" t="s">
        <v>1092</v>
      </c>
      <c r="J3395" s="272" t="s">
        <v>2669</v>
      </c>
      <c r="K3395" s="143">
        <v>45992</v>
      </c>
      <c r="L3395" s="133" t="s">
        <v>1092</v>
      </c>
      <c r="M3395" s="133">
        <v>8496.7000000000007</v>
      </c>
      <c r="N3395" s="147"/>
      <c r="O3395" s="141"/>
      <c r="P3395" s="140"/>
    </row>
    <row r="3396" spans="1:16" hidden="1" x14ac:dyDescent="0.35">
      <c r="A3396" s="149"/>
      <c r="B3396" s="143"/>
      <c r="C3396" s="133"/>
      <c r="D3396" s="133"/>
      <c r="E3396" s="145" t="s">
        <v>1064</v>
      </c>
      <c r="F3396" s="145">
        <v>544</v>
      </c>
      <c r="G3396" s="133" t="s">
        <v>1034</v>
      </c>
      <c r="H3396" s="144" t="s">
        <v>1341</v>
      </c>
      <c r="I3396" s="133" t="s">
        <v>1092</v>
      </c>
      <c r="J3396" s="278" t="s">
        <v>2688</v>
      </c>
      <c r="K3396" s="143">
        <v>45992</v>
      </c>
      <c r="L3396" s="133" t="s">
        <v>1092</v>
      </c>
      <c r="M3396" s="133">
        <v>544</v>
      </c>
      <c r="N3396" s="147"/>
      <c r="O3396" s="141"/>
      <c r="P3396" s="140"/>
    </row>
    <row r="3397" spans="1:16" hidden="1" x14ac:dyDescent="0.35">
      <c r="A3397" s="149"/>
      <c r="B3397" s="143"/>
      <c r="C3397" s="133"/>
      <c r="D3397" s="133"/>
      <c r="E3397" s="145" t="s">
        <v>1342</v>
      </c>
      <c r="F3397" s="145">
        <v>2299</v>
      </c>
      <c r="G3397" s="133" t="s">
        <v>1034</v>
      </c>
      <c r="H3397" s="144" t="s">
        <v>1341</v>
      </c>
      <c r="I3397" s="133" t="s">
        <v>1092</v>
      </c>
      <c r="J3397" s="294" t="s">
        <v>2705</v>
      </c>
      <c r="K3397" s="143">
        <v>46023</v>
      </c>
      <c r="L3397" s="133" t="s">
        <v>1092</v>
      </c>
      <c r="M3397" s="133">
        <v>2278.8000000000002</v>
      </c>
      <c r="N3397" s="147"/>
      <c r="O3397" s="141"/>
      <c r="P3397" s="140"/>
    </row>
    <row r="3398" spans="1:16" hidden="1" x14ac:dyDescent="0.35">
      <c r="A3398" s="149"/>
      <c r="B3398" s="143"/>
      <c r="C3398" s="133"/>
      <c r="D3398" s="133"/>
      <c r="E3398" s="145" t="s">
        <v>1071</v>
      </c>
      <c r="F3398" s="145">
        <v>480.8</v>
      </c>
      <c r="G3398" s="133" t="s">
        <v>1034</v>
      </c>
      <c r="H3398" s="144" t="s">
        <v>1341</v>
      </c>
      <c r="I3398" s="133" t="s">
        <v>1092</v>
      </c>
      <c r="J3398" s="305" t="s">
        <v>2720</v>
      </c>
      <c r="K3398" s="143">
        <v>46023</v>
      </c>
      <c r="L3398" s="133" t="s">
        <v>1241</v>
      </c>
      <c r="M3398" s="133">
        <v>501</v>
      </c>
      <c r="N3398" s="147"/>
      <c r="O3398" s="141"/>
      <c r="P3398" s="140"/>
    </row>
    <row r="3399" spans="1:16" hidden="1" x14ac:dyDescent="0.35">
      <c r="A3399" s="149"/>
      <c r="B3399" s="143"/>
      <c r="C3399" s="133"/>
      <c r="D3399" s="133"/>
      <c r="E3399" s="145"/>
      <c r="F3399" s="145"/>
      <c r="G3399" s="133"/>
      <c r="H3399" s="144"/>
      <c r="I3399" s="133"/>
      <c r="J3399" s="133"/>
      <c r="K3399" s="133"/>
      <c r="L3399" s="133"/>
      <c r="M3399" s="133"/>
      <c r="N3399" s="147"/>
      <c r="O3399" s="141"/>
      <c r="P3399" s="140"/>
    </row>
    <row r="3400" spans="1:16" hidden="1" x14ac:dyDescent="0.35">
      <c r="A3400" s="149">
        <v>180</v>
      </c>
      <c r="B3400" s="143">
        <v>45962</v>
      </c>
      <c r="C3400" s="133" t="s">
        <v>1612</v>
      </c>
      <c r="D3400" s="133" t="s">
        <v>2613</v>
      </c>
      <c r="E3400" s="145" t="s">
        <v>1342</v>
      </c>
      <c r="F3400" s="145">
        <v>4234</v>
      </c>
      <c r="G3400" s="133" t="s">
        <v>1034</v>
      </c>
      <c r="H3400" s="144" t="s">
        <v>1341</v>
      </c>
      <c r="I3400" s="133" t="s">
        <v>1092</v>
      </c>
      <c r="J3400" s="294" t="s">
        <v>2705</v>
      </c>
      <c r="K3400" s="143">
        <v>46023</v>
      </c>
      <c r="L3400" s="133" t="s">
        <v>1092</v>
      </c>
      <c r="M3400" s="133">
        <v>4064</v>
      </c>
      <c r="N3400" s="147">
        <f>+F3400-M3400-M3401</f>
        <v>0</v>
      </c>
      <c r="O3400" s="141"/>
      <c r="P3400" s="140"/>
    </row>
    <row r="3401" spans="1:16" hidden="1" x14ac:dyDescent="0.35">
      <c r="A3401" s="149"/>
      <c r="B3401" s="143"/>
      <c r="C3401" s="133"/>
      <c r="D3401" s="133"/>
      <c r="E3401" s="145"/>
      <c r="F3401" s="145"/>
      <c r="G3401" s="133" t="s">
        <v>1034</v>
      </c>
      <c r="H3401" s="144" t="s">
        <v>1341</v>
      </c>
      <c r="I3401" s="133" t="s">
        <v>1092</v>
      </c>
      <c r="J3401" s="305" t="s">
        <v>2720</v>
      </c>
      <c r="K3401" s="143">
        <v>46023</v>
      </c>
      <c r="L3401" s="133" t="s">
        <v>1241</v>
      </c>
      <c r="M3401" s="133">
        <v>170</v>
      </c>
      <c r="N3401" s="147"/>
      <c r="O3401" s="141"/>
      <c r="P3401" s="140"/>
    </row>
    <row r="3402" spans="1:16" hidden="1" x14ac:dyDescent="0.35">
      <c r="A3402" s="149"/>
      <c r="B3402" s="143"/>
      <c r="C3402" s="133"/>
      <c r="D3402" s="133"/>
      <c r="E3402" s="145"/>
      <c r="F3402" s="145"/>
      <c r="G3402" s="133"/>
      <c r="H3402" s="144"/>
      <c r="I3402" s="133"/>
      <c r="J3402" s="133"/>
      <c r="K3402" s="305"/>
      <c r="L3402" s="143"/>
      <c r="M3402" s="133"/>
      <c r="N3402" s="147"/>
      <c r="O3402" s="141"/>
      <c r="P3402" s="140"/>
    </row>
    <row r="3403" spans="1:16" hidden="1" x14ac:dyDescent="0.35">
      <c r="A3403" s="149">
        <v>181</v>
      </c>
      <c r="B3403" s="143">
        <v>45962</v>
      </c>
      <c r="C3403" s="133" t="s">
        <v>1611</v>
      </c>
      <c r="D3403" s="133" t="s">
        <v>2614</v>
      </c>
      <c r="E3403" s="145" t="s">
        <v>1118</v>
      </c>
      <c r="F3403" s="145">
        <v>957.6</v>
      </c>
      <c r="G3403" s="133" t="s">
        <v>1034</v>
      </c>
      <c r="H3403" s="144" t="s">
        <v>1341</v>
      </c>
      <c r="I3403" s="133" t="s">
        <v>1092</v>
      </c>
      <c r="J3403" s="272" t="s">
        <v>2669</v>
      </c>
      <c r="K3403" s="143">
        <v>45992</v>
      </c>
      <c r="L3403" s="133" t="s">
        <v>1092</v>
      </c>
      <c r="M3403" s="133">
        <v>957.6</v>
      </c>
      <c r="N3403" s="147">
        <f>+F3403-M3403</f>
        <v>0</v>
      </c>
      <c r="O3403" s="141"/>
      <c r="P3403" s="140"/>
    </row>
    <row r="3404" spans="1:16" hidden="1" x14ac:dyDescent="0.35">
      <c r="A3404" s="149"/>
      <c r="B3404" s="143"/>
      <c r="C3404" s="133"/>
      <c r="D3404" s="133"/>
      <c r="E3404" s="145"/>
      <c r="F3404" s="145"/>
      <c r="G3404" s="133"/>
      <c r="H3404" s="144"/>
      <c r="I3404" s="133"/>
      <c r="J3404" s="133"/>
      <c r="K3404" s="133"/>
      <c r="L3404" s="133"/>
      <c r="M3404" s="133"/>
      <c r="N3404" s="147"/>
      <c r="O3404" s="141"/>
      <c r="P3404" s="140"/>
    </row>
    <row r="3405" spans="1:16" hidden="1" x14ac:dyDescent="0.35">
      <c r="A3405" s="149">
        <v>182</v>
      </c>
      <c r="B3405" s="143">
        <v>45962</v>
      </c>
      <c r="C3405" s="133" t="s">
        <v>1610</v>
      </c>
      <c r="D3405" s="133" t="s">
        <v>2615</v>
      </c>
      <c r="E3405" s="145" t="s">
        <v>1064</v>
      </c>
      <c r="F3405" s="145">
        <v>851.9</v>
      </c>
      <c r="G3405" s="133" t="s">
        <v>1034</v>
      </c>
      <c r="H3405" s="144" t="s">
        <v>1341</v>
      </c>
      <c r="I3405" s="133" t="s">
        <v>1092</v>
      </c>
      <c r="J3405" s="272" t="s">
        <v>2669</v>
      </c>
      <c r="K3405" s="143">
        <v>45992</v>
      </c>
      <c r="L3405" s="133" t="s">
        <v>1092</v>
      </c>
      <c r="M3405" s="133">
        <f>6930.8+752</f>
        <v>7682.8</v>
      </c>
      <c r="N3405" s="147">
        <f>+F3405+F3406+F3407+F3408-M3405-M3406-M3407-M3408</f>
        <v>4.5474735088646412E-13</v>
      </c>
      <c r="O3405" s="141"/>
      <c r="P3405" s="140"/>
    </row>
    <row r="3406" spans="1:16" hidden="1" x14ac:dyDescent="0.35">
      <c r="A3406" s="149"/>
      <c r="B3406" s="143"/>
      <c r="C3406" s="133"/>
      <c r="D3406" s="133"/>
      <c r="E3406" s="145" t="s">
        <v>1075</v>
      </c>
      <c r="F3406" s="145">
        <v>6930.8</v>
      </c>
      <c r="G3406" s="133" t="s">
        <v>1034</v>
      </c>
      <c r="H3406" s="144" t="s">
        <v>1341</v>
      </c>
      <c r="I3406" s="133" t="s">
        <v>1092</v>
      </c>
      <c r="J3406" s="278" t="s">
        <v>2688</v>
      </c>
      <c r="K3406" s="143">
        <v>45992</v>
      </c>
      <c r="L3406" s="133" t="s">
        <v>1092</v>
      </c>
      <c r="M3406" s="133">
        <v>851.9</v>
      </c>
      <c r="N3406" s="147"/>
      <c r="O3406" s="141"/>
      <c r="P3406" s="140"/>
    </row>
    <row r="3407" spans="1:16" hidden="1" x14ac:dyDescent="0.35">
      <c r="A3407" s="149"/>
      <c r="B3407" s="143"/>
      <c r="C3407" s="133"/>
      <c r="D3407" s="133"/>
      <c r="E3407" s="145" t="s">
        <v>1342</v>
      </c>
      <c r="F3407" s="145">
        <v>3903</v>
      </c>
      <c r="G3407" s="133" t="s">
        <v>1034</v>
      </c>
      <c r="H3407" s="144" t="s">
        <v>1341</v>
      </c>
      <c r="I3407" s="133" t="s">
        <v>1092</v>
      </c>
      <c r="J3407" s="300" t="s">
        <v>2714</v>
      </c>
      <c r="K3407" s="143">
        <v>46023</v>
      </c>
      <c r="L3407" s="133" t="s">
        <v>1092</v>
      </c>
      <c r="M3407" s="133">
        <v>3443</v>
      </c>
      <c r="N3407" s="147"/>
      <c r="O3407" s="141"/>
      <c r="P3407" s="140"/>
    </row>
    <row r="3408" spans="1:16" hidden="1" x14ac:dyDescent="0.35">
      <c r="A3408" s="149"/>
      <c r="B3408" s="143"/>
      <c r="C3408" s="133"/>
      <c r="D3408" s="133"/>
      <c r="E3408" s="145" t="s">
        <v>1067</v>
      </c>
      <c r="F3408" s="145">
        <v>752</v>
      </c>
      <c r="G3408" s="133" t="s">
        <v>1034</v>
      </c>
      <c r="H3408" s="144" t="s">
        <v>1341</v>
      </c>
      <c r="I3408" s="133" t="s">
        <v>1092</v>
      </c>
      <c r="J3408" s="305" t="s">
        <v>2720</v>
      </c>
      <c r="K3408" s="143">
        <v>46023</v>
      </c>
      <c r="L3408" s="133" t="s">
        <v>1241</v>
      </c>
      <c r="M3408" s="133">
        <v>460</v>
      </c>
      <c r="N3408" s="147"/>
      <c r="O3408" s="141"/>
      <c r="P3408" s="140"/>
    </row>
    <row r="3409" spans="1:16" hidden="1" x14ac:dyDescent="0.35">
      <c r="A3409" s="149"/>
      <c r="B3409" s="143"/>
      <c r="C3409" s="133"/>
      <c r="D3409" s="133"/>
      <c r="E3409" s="145"/>
      <c r="F3409" s="145"/>
      <c r="G3409" s="133"/>
      <c r="H3409" s="144"/>
      <c r="I3409" s="133"/>
      <c r="J3409" s="133"/>
      <c r="K3409" s="133"/>
      <c r="L3409" s="133"/>
      <c r="M3409" s="133"/>
      <c r="N3409" s="147"/>
      <c r="O3409" s="141"/>
      <c r="P3409" s="140"/>
    </row>
    <row r="3410" spans="1:16" hidden="1" x14ac:dyDescent="0.35">
      <c r="A3410" s="149">
        <v>183</v>
      </c>
      <c r="B3410" s="143">
        <v>45962</v>
      </c>
      <c r="C3410" s="133" t="s">
        <v>1607</v>
      </c>
      <c r="D3410" s="133" t="s">
        <v>2617</v>
      </c>
      <c r="E3410" s="145" t="s">
        <v>1342</v>
      </c>
      <c r="F3410" s="145">
        <v>2163</v>
      </c>
      <c r="G3410" s="133" t="s">
        <v>1034</v>
      </c>
      <c r="H3410" s="144" t="s">
        <v>1341</v>
      </c>
      <c r="I3410" s="133" t="s">
        <v>1092</v>
      </c>
      <c r="J3410" s="300" t="s">
        <v>2714</v>
      </c>
      <c r="K3410" s="143">
        <v>46023</v>
      </c>
      <c r="L3410" s="133" t="s">
        <v>1092</v>
      </c>
      <c r="M3410" s="133">
        <v>2093</v>
      </c>
      <c r="N3410" s="147">
        <f>+F3410-M3410-M3411</f>
        <v>0</v>
      </c>
      <c r="O3410" s="141"/>
      <c r="P3410" s="140"/>
    </row>
    <row r="3411" spans="1:16" hidden="1" x14ac:dyDescent="0.35">
      <c r="A3411" s="149"/>
      <c r="B3411" s="143"/>
      <c r="C3411" s="133"/>
      <c r="D3411" s="133"/>
      <c r="E3411" s="145"/>
      <c r="F3411" s="145"/>
      <c r="G3411" s="133" t="s">
        <v>1034</v>
      </c>
      <c r="H3411" s="144" t="s">
        <v>1341</v>
      </c>
      <c r="I3411" s="133" t="s">
        <v>1092</v>
      </c>
      <c r="J3411" s="305" t="s">
        <v>2720</v>
      </c>
      <c r="K3411" s="143">
        <v>46023</v>
      </c>
      <c r="L3411" s="133" t="s">
        <v>1241</v>
      </c>
      <c r="M3411" s="133">
        <v>70</v>
      </c>
      <c r="N3411" s="147"/>
      <c r="O3411" s="141"/>
      <c r="P3411" s="140"/>
    </row>
    <row r="3412" spans="1:16" hidden="1" x14ac:dyDescent="0.35">
      <c r="A3412" s="149"/>
      <c r="B3412" s="143"/>
      <c r="C3412" s="133"/>
      <c r="D3412" s="133"/>
      <c r="E3412" s="145"/>
      <c r="F3412" s="145"/>
      <c r="G3412" s="133"/>
      <c r="H3412" s="144"/>
      <c r="I3412" s="133"/>
      <c r="J3412" s="133"/>
      <c r="K3412" s="305"/>
      <c r="L3412" s="143"/>
      <c r="M3412" s="133"/>
      <c r="N3412" s="147"/>
      <c r="O3412" s="141"/>
      <c r="P3412" s="140"/>
    </row>
    <row r="3413" spans="1:16" hidden="1" x14ac:dyDescent="0.35">
      <c r="A3413" s="149">
        <v>184</v>
      </c>
      <c r="B3413" s="143">
        <v>45962</v>
      </c>
      <c r="C3413" s="133" t="s">
        <v>1605</v>
      </c>
      <c r="D3413" s="133" t="s">
        <v>2620</v>
      </c>
      <c r="E3413" s="145" t="s">
        <v>1064</v>
      </c>
      <c r="F3413" s="145">
        <v>4034.9</v>
      </c>
      <c r="G3413" s="133" t="s">
        <v>1034</v>
      </c>
      <c r="H3413" s="144" t="s">
        <v>1341</v>
      </c>
      <c r="I3413" s="133" t="s">
        <v>1092</v>
      </c>
      <c r="J3413" s="272" t="s">
        <v>2669</v>
      </c>
      <c r="K3413" s="143">
        <v>45992</v>
      </c>
      <c r="L3413" s="133" t="s">
        <v>1092</v>
      </c>
      <c r="M3413" s="133">
        <f>3202+628</f>
        <v>3830</v>
      </c>
      <c r="N3413" s="147">
        <f>+F3413+F3414+F3415+F3416-M3413-M3414-M3415-M3416</f>
        <v>0</v>
      </c>
      <c r="O3413" s="141"/>
      <c r="P3413" s="140"/>
    </row>
    <row r="3414" spans="1:16" hidden="1" x14ac:dyDescent="0.35">
      <c r="A3414" s="149"/>
      <c r="B3414" s="143"/>
      <c r="C3414" s="133"/>
      <c r="D3414" s="133"/>
      <c r="E3414" s="145" t="s">
        <v>1075</v>
      </c>
      <c r="F3414" s="145">
        <v>3662</v>
      </c>
      <c r="G3414" s="133" t="s">
        <v>1034</v>
      </c>
      <c r="H3414" s="144" t="s">
        <v>1341</v>
      </c>
      <c r="I3414" s="133" t="s">
        <v>1092</v>
      </c>
      <c r="J3414" s="278" t="s">
        <v>2689</v>
      </c>
      <c r="K3414" s="143">
        <v>45992</v>
      </c>
      <c r="L3414" s="133" t="s">
        <v>1241</v>
      </c>
      <c r="M3414" s="133">
        <v>460</v>
      </c>
      <c r="N3414" s="147"/>
      <c r="O3414" s="141"/>
      <c r="P3414" s="140"/>
    </row>
    <row r="3415" spans="1:16" hidden="1" x14ac:dyDescent="0.35">
      <c r="A3415" s="149"/>
      <c r="B3415" s="143"/>
      <c r="C3415" s="133"/>
      <c r="D3415" s="133"/>
      <c r="E3415" s="145" t="s">
        <v>1342</v>
      </c>
      <c r="F3415" s="145">
        <v>2821</v>
      </c>
      <c r="G3415" s="133" t="s">
        <v>1034</v>
      </c>
      <c r="H3415" s="144" t="s">
        <v>1341</v>
      </c>
      <c r="I3415" s="133" t="s">
        <v>1092</v>
      </c>
      <c r="J3415" s="300" t="s">
        <v>2714</v>
      </c>
      <c r="K3415" s="143">
        <v>46023</v>
      </c>
      <c r="L3415" s="133" t="s">
        <v>1092</v>
      </c>
      <c r="M3415" s="133">
        <f>4034.9+2376</f>
        <v>6410.9</v>
      </c>
      <c r="N3415" s="147"/>
      <c r="O3415" s="141"/>
      <c r="P3415" s="140"/>
    </row>
    <row r="3416" spans="1:16" hidden="1" x14ac:dyDescent="0.35">
      <c r="A3416" s="149"/>
      <c r="B3416" s="143"/>
      <c r="C3416" s="133"/>
      <c r="D3416" s="133"/>
      <c r="E3416" s="145" t="s">
        <v>1067</v>
      </c>
      <c r="F3416" s="145">
        <v>628</v>
      </c>
      <c r="G3416" s="133" t="s">
        <v>1034</v>
      </c>
      <c r="H3416" s="144" t="s">
        <v>1341</v>
      </c>
      <c r="I3416" s="133" t="s">
        <v>1092</v>
      </c>
      <c r="J3416" s="305" t="s">
        <v>2720</v>
      </c>
      <c r="K3416" s="143">
        <v>46023</v>
      </c>
      <c r="L3416" s="133" t="s">
        <v>1241</v>
      </c>
      <c r="M3416" s="133">
        <v>445</v>
      </c>
      <c r="N3416" s="147"/>
      <c r="O3416" s="141"/>
      <c r="P3416" s="140"/>
    </row>
    <row r="3417" spans="1:16" hidden="1" x14ac:dyDescent="0.35">
      <c r="A3417" s="149"/>
      <c r="B3417" s="143"/>
      <c r="C3417" s="133"/>
      <c r="D3417" s="133"/>
      <c r="E3417" s="145"/>
      <c r="F3417" s="145"/>
      <c r="G3417" s="133"/>
      <c r="H3417" s="144"/>
      <c r="I3417" s="133"/>
      <c r="J3417" s="133"/>
      <c r="K3417" s="133"/>
      <c r="L3417" s="133"/>
      <c r="M3417" s="133"/>
      <c r="N3417" s="147"/>
      <c r="O3417" s="141"/>
      <c r="P3417" s="140"/>
    </row>
    <row r="3418" spans="1:16" hidden="1" x14ac:dyDescent="0.35">
      <c r="A3418" s="149">
        <v>185</v>
      </c>
      <c r="B3418" s="143">
        <v>45962</v>
      </c>
      <c r="C3418" s="133" t="s">
        <v>1603</v>
      </c>
      <c r="D3418" s="133" t="s">
        <v>2621</v>
      </c>
      <c r="E3418" s="145" t="s">
        <v>1067</v>
      </c>
      <c r="F3418" s="145">
        <v>4075</v>
      </c>
      <c r="G3418" s="133" t="s">
        <v>1034</v>
      </c>
      <c r="H3418" s="144" t="s">
        <v>1341</v>
      </c>
      <c r="I3418" s="133" t="s">
        <v>1092</v>
      </c>
      <c r="J3418" s="272" t="s">
        <v>2669</v>
      </c>
      <c r="K3418" s="143">
        <v>45992</v>
      </c>
      <c r="L3418" s="133" t="s">
        <v>1092</v>
      </c>
      <c r="M3418" s="133">
        <v>4075</v>
      </c>
      <c r="N3418" s="147">
        <f>+F3418-M3418</f>
        <v>0</v>
      </c>
      <c r="O3418" s="141"/>
      <c r="P3418" s="140"/>
    </row>
    <row r="3419" spans="1:16" hidden="1" x14ac:dyDescent="0.35">
      <c r="A3419" s="149"/>
      <c r="B3419" s="143"/>
      <c r="C3419" s="133"/>
      <c r="D3419" s="133"/>
      <c r="E3419" s="145"/>
      <c r="F3419" s="145"/>
      <c r="G3419" s="133"/>
      <c r="H3419" s="144"/>
      <c r="I3419" s="133"/>
      <c r="J3419" s="133"/>
      <c r="K3419" s="133"/>
      <c r="L3419" s="133"/>
      <c r="M3419" s="133"/>
      <c r="N3419" s="147"/>
      <c r="O3419" s="141"/>
      <c r="P3419" s="140"/>
    </row>
    <row r="3420" spans="1:16" hidden="1" x14ac:dyDescent="0.35">
      <c r="A3420" s="149">
        <v>186</v>
      </c>
      <c r="B3420" s="143">
        <v>45962</v>
      </c>
      <c r="C3420" s="133" t="s">
        <v>1600</v>
      </c>
      <c r="D3420" s="133" t="s">
        <v>2629</v>
      </c>
      <c r="E3420" s="145" t="s">
        <v>1071</v>
      </c>
      <c r="F3420" s="145">
        <v>2351.1999999999998</v>
      </c>
      <c r="G3420" s="133" t="s">
        <v>1034</v>
      </c>
      <c r="H3420" s="144" t="s">
        <v>1341</v>
      </c>
      <c r="I3420" s="133" t="s">
        <v>1092</v>
      </c>
      <c r="J3420" s="272" t="s">
        <v>2669</v>
      </c>
      <c r="K3420" s="143">
        <v>45992</v>
      </c>
      <c r="L3420" s="133" t="s">
        <v>1092</v>
      </c>
      <c r="M3420" s="133">
        <f>2810+932</f>
        <v>3742</v>
      </c>
      <c r="N3420" s="147">
        <f>+F3420+F3421+F3422+F3423-M3420-M3421-M3422</f>
        <v>0</v>
      </c>
      <c r="O3420" s="141"/>
      <c r="P3420" s="140"/>
    </row>
    <row r="3421" spans="1:16" hidden="1" x14ac:dyDescent="0.35">
      <c r="A3421" s="149"/>
      <c r="B3421" s="143"/>
      <c r="C3421" s="133"/>
      <c r="D3421" s="133"/>
      <c r="E3421" s="145" t="s">
        <v>1075</v>
      </c>
      <c r="F3421" s="145">
        <v>2810</v>
      </c>
      <c r="G3421" s="133" t="s">
        <v>1034</v>
      </c>
      <c r="H3421" s="144" t="s">
        <v>1341</v>
      </c>
      <c r="I3421" s="133" t="s">
        <v>1092</v>
      </c>
      <c r="J3421" s="300" t="s">
        <v>2714</v>
      </c>
      <c r="K3421" s="143">
        <v>46023</v>
      </c>
      <c r="L3421" s="133" t="s">
        <v>1092</v>
      </c>
      <c r="M3421" s="133">
        <f>2351+1356</f>
        <v>3707</v>
      </c>
      <c r="N3421" s="147"/>
      <c r="O3421" s="141"/>
      <c r="P3421" s="140"/>
    </row>
    <row r="3422" spans="1:16" hidden="1" x14ac:dyDescent="0.35">
      <c r="A3422" s="149"/>
      <c r="B3422" s="143"/>
      <c r="C3422" s="133"/>
      <c r="D3422" s="133"/>
      <c r="E3422" s="145" t="s">
        <v>1342</v>
      </c>
      <c r="F3422" s="145">
        <v>1596</v>
      </c>
      <c r="G3422" s="133" t="s">
        <v>1034</v>
      </c>
      <c r="H3422" s="144" t="s">
        <v>1341</v>
      </c>
      <c r="I3422" s="133" t="s">
        <v>1092</v>
      </c>
      <c r="J3422" s="305" t="s">
        <v>2720</v>
      </c>
      <c r="K3422" s="143">
        <v>46023</v>
      </c>
      <c r="L3422" s="133" t="s">
        <v>1241</v>
      </c>
      <c r="M3422" s="133">
        <v>240.2</v>
      </c>
      <c r="N3422" s="147"/>
      <c r="O3422" s="141"/>
      <c r="P3422" s="140"/>
    </row>
    <row r="3423" spans="1:16" hidden="1" x14ac:dyDescent="0.35">
      <c r="A3423" s="149"/>
      <c r="B3423" s="143"/>
      <c r="C3423" s="133"/>
      <c r="D3423" s="133"/>
      <c r="E3423" s="145" t="s">
        <v>1067</v>
      </c>
      <c r="F3423" s="145">
        <v>932</v>
      </c>
      <c r="G3423" s="133"/>
      <c r="H3423" s="144"/>
      <c r="I3423" s="133"/>
      <c r="J3423" s="133"/>
      <c r="K3423" s="133"/>
      <c r="L3423" s="133"/>
      <c r="M3423" s="133"/>
      <c r="N3423" s="147"/>
      <c r="O3423" s="141"/>
      <c r="P3423" s="140"/>
    </row>
    <row r="3424" spans="1:16" hidden="1" x14ac:dyDescent="0.35">
      <c r="A3424" s="149"/>
      <c r="B3424" s="143"/>
      <c r="C3424" s="133"/>
      <c r="D3424" s="133"/>
      <c r="E3424" s="145"/>
      <c r="F3424" s="145"/>
      <c r="G3424" s="133"/>
      <c r="H3424" s="144"/>
      <c r="I3424" s="133"/>
      <c r="J3424" s="133"/>
      <c r="K3424" s="133"/>
      <c r="L3424" s="133"/>
      <c r="M3424" s="133"/>
      <c r="N3424" s="147"/>
      <c r="O3424" s="141"/>
      <c r="P3424" s="140"/>
    </row>
    <row r="3425" spans="1:16" hidden="1" x14ac:dyDescent="0.35">
      <c r="A3425" s="149">
        <v>187</v>
      </c>
      <c r="B3425" s="143">
        <v>45962</v>
      </c>
      <c r="C3425" s="133" t="s">
        <v>1597</v>
      </c>
      <c r="D3425" s="133" t="s">
        <v>2628</v>
      </c>
      <c r="E3425" s="145" t="s">
        <v>1118</v>
      </c>
      <c r="F3425" s="145">
        <v>466.6</v>
      </c>
      <c r="G3425" s="133" t="s">
        <v>1034</v>
      </c>
      <c r="H3425" s="144" t="s">
        <v>1341</v>
      </c>
      <c r="I3425" s="133" t="s">
        <v>1092</v>
      </c>
      <c r="J3425" s="272" t="s">
        <v>2669</v>
      </c>
      <c r="K3425" s="143">
        <v>45992</v>
      </c>
      <c r="L3425" s="133" t="s">
        <v>1092</v>
      </c>
      <c r="M3425" s="133">
        <f>466.6+4652</f>
        <v>5118.6000000000004</v>
      </c>
      <c r="N3425" s="147">
        <f>+F3425+F3426+F3427+F3428-M3425-M3426-M3427-M3428</f>
        <v>0</v>
      </c>
      <c r="O3425" s="141"/>
      <c r="P3425" s="140"/>
    </row>
    <row r="3426" spans="1:16" hidden="1" x14ac:dyDescent="0.35">
      <c r="A3426" s="149"/>
      <c r="B3426" s="143"/>
      <c r="C3426" s="133"/>
      <c r="D3426" s="133"/>
      <c r="E3426" s="145" t="s">
        <v>1075</v>
      </c>
      <c r="F3426" s="145">
        <f>2460.17+1755.83</f>
        <v>4216</v>
      </c>
      <c r="G3426" s="133" t="s">
        <v>1034</v>
      </c>
      <c r="H3426" s="144" t="s">
        <v>1341</v>
      </c>
      <c r="I3426" s="133" t="s">
        <v>1092</v>
      </c>
      <c r="J3426" s="276" t="s">
        <v>2681</v>
      </c>
      <c r="K3426" s="143">
        <v>45992</v>
      </c>
      <c r="L3426" s="133" t="s">
        <v>1092</v>
      </c>
      <c r="M3426" s="133">
        <f>2271.17+1755.83</f>
        <v>4027</v>
      </c>
      <c r="N3426" s="147"/>
      <c r="O3426" s="141"/>
      <c r="P3426" s="140"/>
    </row>
    <row r="3427" spans="1:16" hidden="1" x14ac:dyDescent="0.35">
      <c r="A3427" s="149"/>
      <c r="B3427" s="143"/>
      <c r="C3427" s="133"/>
      <c r="D3427" s="133"/>
      <c r="E3427" s="145" t="s">
        <v>1342</v>
      </c>
      <c r="F3427" s="145">
        <v>406</v>
      </c>
      <c r="G3427" s="133" t="s">
        <v>1034</v>
      </c>
      <c r="H3427" s="144" t="s">
        <v>1341</v>
      </c>
      <c r="I3427" s="133" t="s">
        <v>1092</v>
      </c>
      <c r="J3427" s="278" t="s">
        <v>2689</v>
      </c>
      <c r="K3427" s="143">
        <v>45992</v>
      </c>
      <c r="L3427" s="133" t="s">
        <v>1241</v>
      </c>
      <c r="M3427" s="133">
        <v>189</v>
      </c>
      <c r="N3427" s="147"/>
      <c r="O3427" s="141"/>
      <c r="P3427" s="140"/>
    </row>
    <row r="3428" spans="1:16" hidden="1" x14ac:dyDescent="0.35">
      <c r="A3428" s="149"/>
      <c r="B3428" s="143"/>
      <c r="C3428" s="133"/>
      <c r="D3428" s="133"/>
      <c r="E3428" s="145" t="s">
        <v>1067</v>
      </c>
      <c r="F3428" s="145">
        <v>4652</v>
      </c>
      <c r="G3428" s="133" t="s">
        <v>1034</v>
      </c>
      <c r="H3428" s="144" t="s">
        <v>1341</v>
      </c>
      <c r="I3428" s="133" t="s">
        <v>1092</v>
      </c>
      <c r="J3428" s="305" t="s">
        <v>2720</v>
      </c>
      <c r="K3428" s="143">
        <v>46023</v>
      </c>
      <c r="L3428" s="133" t="s">
        <v>1241</v>
      </c>
      <c r="M3428" s="133">
        <v>406</v>
      </c>
      <c r="N3428" s="147"/>
      <c r="O3428" s="141"/>
      <c r="P3428" s="140"/>
    </row>
    <row r="3429" spans="1:16" hidden="1" x14ac:dyDescent="0.35">
      <c r="A3429" s="149"/>
      <c r="B3429" s="143"/>
      <c r="C3429" s="133"/>
      <c r="D3429" s="133"/>
      <c r="E3429" s="145"/>
      <c r="F3429" s="145"/>
      <c r="G3429" s="133"/>
      <c r="H3429" s="144"/>
      <c r="I3429" s="133"/>
      <c r="J3429" s="133"/>
      <c r="K3429" s="133"/>
      <c r="L3429" s="133"/>
      <c r="M3429" s="133"/>
      <c r="N3429" s="147"/>
      <c r="O3429" s="141"/>
      <c r="P3429" s="140"/>
    </row>
    <row r="3430" spans="1:16" hidden="1" x14ac:dyDescent="0.35">
      <c r="A3430" s="149">
        <v>188</v>
      </c>
      <c r="B3430" s="143">
        <v>45962</v>
      </c>
      <c r="C3430" s="133" t="s">
        <v>1595</v>
      </c>
      <c r="D3430" s="133" t="s">
        <v>2631</v>
      </c>
      <c r="E3430" s="145" t="s">
        <v>1075</v>
      </c>
      <c r="F3430" s="145">
        <v>2970</v>
      </c>
      <c r="G3430" s="133" t="s">
        <v>1034</v>
      </c>
      <c r="H3430" s="144" t="s">
        <v>1341</v>
      </c>
      <c r="I3430" s="133" t="s">
        <v>1092</v>
      </c>
      <c r="J3430" s="276" t="s">
        <v>2681</v>
      </c>
      <c r="K3430" s="143">
        <v>45992</v>
      </c>
      <c r="L3430" s="133" t="s">
        <v>1092</v>
      </c>
      <c r="M3430" s="133">
        <f>2788+762</f>
        <v>3550</v>
      </c>
      <c r="N3430" s="147">
        <f>+F3430+F3431+F3432-M3430-M3431-M3432</f>
        <v>0</v>
      </c>
      <c r="O3430" s="141"/>
      <c r="P3430" s="140"/>
    </row>
    <row r="3431" spans="1:16" hidden="1" x14ac:dyDescent="0.35">
      <c r="A3431" s="149"/>
      <c r="B3431" s="143"/>
      <c r="C3431" s="133"/>
      <c r="D3431" s="133"/>
      <c r="E3431" s="145" t="s">
        <v>1342</v>
      </c>
      <c r="F3431" s="145">
        <v>751</v>
      </c>
      <c r="G3431" s="133" t="s">
        <v>1034</v>
      </c>
      <c r="H3431" s="144" t="s">
        <v>1341</v>
      </c>
      <c r="I3431" s="133" t="s">
        <v>1092</v>
      </c>
      <c r="J3431" s="278" t="s">
        <v>2689</v>
      </c>
      <c r="K3431" s="143">
        <v>45992</v>
      </c>
      <c r="L3431" s="133" t="s">
        <v>1241</v>
      </c>
      <c r="M3431" s="133">
        <v>182</v>
      </c>
      <c r="N3431" s="147"/>
      <c r="O3431" s="141"/>
      <c r="P3431" s="140"/>
    </row>
    <row r="3432" spans="1:16" hidden="1" x14ac:dyDescent="0.35">
      <c r="A3432" s="149"/>
      <c r="B3432" s="143"/>
      <c r="C3432" s="133"/>
      <c r="D3432" s="133"/>
      <c r="E3432" s="145" t="s">
        <v>1067</v>
      </c>
      <c r="F3432" s="145">
        <v>762</v>
      </c>
      <c r="G3432" s="133" t="s">
        <v>1034</v>
      </c>
      <c r="H3432" s="144" t="s">
        <v>1341</v>
      </c>
      <c r="I3432" s="133" t="s">
        <v>1092</v>
      </c>
      <c r="J3432" s="305" t="s">
        <v>2720</v>
      </c>
      <c r="K3432" s="143">
        <v>46023</v>
      </c>
      <c r="L3432" s="133" t="s">
        <v>1241</v>
      </c>
      <c r="M3432" s="133">
        <v>751</v>
      </c>
      <c r="N3432" s="147"/>
      <c r="O3432" s="141"/>
      <c r="P3432" s="140"/>
    </row>
    <row r="3433" spans="1:16" hidden="1" x14ac:dyDescent="0.35">
      <c r="A3433" s="149"/>
      <c r="B3433" s="143"/>
      <c r="C3433" s="133"/>
      <c r="D3433" s="133"/>
      <c r="E3433" s="145"/>
      <c r="F3433" s="145"/>
      <c r="G3433" s="133"/>
      <c r="H3433" s="144"/>
      <c r="I3433" s="133"/>
      <c r="J3433" s="133"/>
      <c r="K3433" s="133"/>
      <c r="L3433" s="133"/>
      <c r="M3433" s="133"/>
      <c r="N3433" s="147"/>
      <c r="O3433" s="141"/>
      <c r="P3433" s="140"/>
    </row>
    <row r="3434" spans="1:16" hidden="1" x14ac:dyDescent="0.35">
      <c r="A3434" s="149">
        <v>189</v>
      </c>
      <c r="B3434" s="143">
        <v>45962</v>
      </c>
      <c r="C3434" s="133" t="s">
        <v>1593</v>
      </c>
      <c r="D3434" s="133" t="s">
        <v>2632</v>
      </c>
      <c r="E3434" s="145" t="s">
        <v>1075</v>
      </c>
      <c r="F3434" s="145">
        <v>526.70000000000005</v>
      </c>
      <c r="G3434" s="133" t="s">
        <v>1034</v>
      </c>
      <c r="H3434" s="144" t="s">
        <v>1341</v>
      </c>
      <c r="I3434" s="133" t="s">
        <v>1092</v>
      </c>
      <c r="J3434" s="276" t="s">
        <v>2681</v>
      </c>
      <c r="K3434" s="143">
        <v>45992</v>
      </c>
      <c r="L3434" s="133" t="s">
        <v>1092</v>
      </c>
      <c r="M3434" s="133">
        <v>526.70000000000005</v>
      </c>
      <c r="N3434" s="147">
        <f>+F3434-M3434</f>
        <v>0</v>
      </c>
      <c r="O3434" s="141"/>
      <c r="P3434" s="140"/>
    </row>
    <row r="3435" spans="1:16" hidden="1" x14ac:dyDescent="0.35">
      <c r="A3435" s="149"/>
      <c r="B3435" s="143"/>
      <c r="C3435" s="133"/>
      <c r="D3435" s="133"/>
      <c r="E3435" s="145"/>
      <c r="F3435" s="145"/>
      <c r="G3435" s="133"/>
      <c r="H3435" s="144"/>
      <c r="I3435" s="133"/>
      <c r="J3435" s="133"/>
      <c r="K3435" s="133"/>
      <c r="L3435" s="133"/>
      <c r="M3435" s="133"/>
      <c r="N3435" s="147"/>
      <c r="O3435" s="141"/>
      <c r="P3435" s="140"/>
    </row>
    <row r="3436" spans="1:16" hidden="1" x14ac:dyDescent="0.35">
      <c r="A3436" s="149">
        <v>190</v>
      </c>
      <c r="B3436" s="143">
        <v>45962</v>
      </c>
      <c r="C3436" s="133" t="s">
        <v>1592</v>
      </c>
      <c r="D3436" s="133" t="s">
        <v>2633</v>
      </c>
      <c r="E3436" s="145" t="s">
        <v>1067</v>
      </c>
      <c r="F3436" s="145">
        <v>644</v>
      </c>
      <c r="G3436" s="133" t="s">
        <v>1034</v>
      </c>
      <c r="H3436" s="144" t="s">
        <v>1341</v>
      </c>
      <c r="I3436" s="133" t="s">
        <v>1092</v>
      </c>
      <c r="J3436" s="276" t="s">
        <v>2681</v>
      </c>
      <c r="K3436" s="143">
        <v>45992</v>
      </c>
      <c r="L3436" s="133" t="s">
        <v>1092</v>
      </c>
      <c r="M3436" s="133">
        <v>644</v>
      </c>
      <c r="N3436" s="147">
        <f>+F3436-M3436</f>
        <v>0</v>
      </c>
      <c r="O3436" s="141"/>
      <c r="P3436" s="140"/>
    </row>
    <row r="3437" spans="1:16" hidden="1" x14ac:dyDescent="0.35">
      <c r="A3437" s="149"/>
      <c r="B3437" s="143"/>
      <c r="C3437" s="133"/>
      <c r="D3437" s="133"/>
      <c r="E3437" s="145"/>
      <c r="F3437" s="145"/>
      <c r="G3437" s="133"/>
      <c r="H3437" s="144"/>
      <c r="I3437" s="133"/>
      <c r="J3437" s="133"/>
      <c r="K3437" s="133"/>
      <c r="L3437" s="133"/>
      <c r="M3437" s="133"/>
      <c r="N3437" s="147"/>
      <c r="O3437" s="141"/>
      <c r="P3437" s="140"/>
    </row>
    <row r="3438" spans="1:16" hidden="1" x14ac:dyDescent="0.35">
      <c r="A3438" s="149">
        <v>191</v>
      </c>
      <c r="B3438" s="143">
        <v>45962</v>
      </c>
      <c r="C3438" s="133" t="s">
        <v>1590</v>
      </c>
      <c r="D3438" s="133" t="s">
        <v>2634</v>
      </c>
      <c r="E3438" s="145" t="s">
        <v>1118</v>
      </c>
      <c r="F3438" s="145">
        <v>4343</v>
      </c>
      <c r="G3438" s="133" t="s">
        <v>1034</v>
      </c>
      <c r="H3438" s="144" t="s">
        <v>1341</v>
      </c>
      <c r="I3438" s="133" t="s">
        <v>1092</v>
      </c>
      <c r="J3438" s="276" t="s">
        <v>2681</v>
      </c>
      <c r="K3438" s="143">
        <v>45992</v>
      </c>
      <c r="L3438" s="133" t="s">
        <v>1092</v>
      </c>
      <c r="M3438" s="133">
        <f>4343+739</f>
        <v>5082</v>
      </c>
      <c r="N3438" s="147">
        <f>+F3438+F3439+F3440-M3438-M3439-M3440</f>
        <v>0</v>
      </c>
      <c r="O3438" s="141"/>
      <c r="P3438" s="140"/>
    </row>
    <row r="3439" spans="1:16" hidden="1" x14ac:dyDescent="0.35">
      <c r="A3439" s="149"/>
      <c r="B3439" s="143"/>
      <c r="C3439" s="133"/>
      <c r="D3439" s="133"/>
      <c r="E3439" s="145" t="s">
        <v>1342</v>
      </c>
      <c r="F3439" s="145">
        <v>4280</v>
      </c>
      <c r="G3439" s="133" t="s">
        <v>1034</v>
      </c>
      <c r="H3439" s="144" t="s">
        <v>1341</v>
      </c>
      <c r="I3439" s="133" t="s">
        <v>1092</v>
      </c>
      <c r="J3439" s="305" t="s">
        <v>2719</v>
      </c>
      <c r="K3439" s="143">
        <v>46023</v>
      </c>
      <c r="L3439" s="133" t="s">
        <v>1092</v>
      </c>
      <c r="M3439" s="133">
        <v>3897</v>
      </c>
      <c r="N3439" s="147"/>
      <c r="O3439" s="141"/>
      <c r="P3439" s="140"/>
    </row>
    <row r="3440" spans="1:16" hidden="1" x14ac:dyDescent="0.35">
      <c r="A3440" s="149"/>
      <c r="B3440" s="143"/>
      <c r="C3440" s="133"/>
      <c r="D3440" s="133"/>
      <c r="E3440" s="145" t="s">
        <v>1067</v>
      </c>
      <c r="F3440" s="145">
        <v>739</v>
      </c>
      <c r="G3440" s="133" t="s">
        <v>1034</v>
      </c>
      <c r="H3440" s="144" t="s">
        <v>1341</v>
      </c>
      <c r="I3440" s="133" t="s">
        <v>1092</v>
      </c>
      <c r="J3440" s="305" t="s">
        <v>2720</v>
      </c>
      <c r="K3440" s="143">
        <v>46023</v>
      </c>
      <c r="L3440" s="133" t="s">
        <v>1241</v>
      </c>
      <c r="M3440" s="133">
        <v>383</v>
      </c>
      <c r="N3440" s="147"/>
      <c r="O3440" s="141"/>
      <c r="P3440" s="140"/>
    </row>
    <row r="3441" spans="1:16" hidden="1" x14ac:dyDescent="0.35">
      <c r="A3441" s="149"/>
      <c r="B3441" s="143"/>
      <c r="C3441" s="133"/>
      <c r="D3441" s="133"/>
      <c r="E3441" s="145"/>
      <c r="F3441" s="145"/>
      <c r="G3441" s="133"/>
      <c r="H3441" s="144"/>
      <c r="I3441" s="133"/>
      <c r="J3441" s="133"/>
      <c r="K3441" s="133"/>
      <c r="L3441" s="133"/>
      <c r="M3441" s="133"/>
      <c r="N3441" s="147"/>
      <c r="O3441" s="141"/>
      <c r="P3441" s="140"/>
    </row>
    <row r="3442" spans="1:16" hidden="1" x14ac:dyDescent="0.35">
      <c r="A3442" s="149">
        <v>192</v>
      </c>
      <c r="B3442" s="143">
        <v>45962</v>
      </c>
      <c r="C3442" s="133" t="s">
        <v>1588</v>
      </c>
      <c r="D3442" s="133" t="s">
        <v>2639</v>
      </c>
      <c r="E3442" s="145" t="s">
        <v>1118</v>
      </c>
      <c r="F3442" s="145">
        <v>1169.3</v>
      </c>
      <c r="G3442" s="133" t="s">
        <v>1034</v>
      </c>
      <c r="H3442" s="144" t="s">
        <v>1341</v>
      </c>
      <c r="I3442" s="133" t="s">
        <v>1092</v>
      </c>
      <c r="J3442" s="276" t="s">
        <v>2681</v>
      </c>
      <c r="K3442" s="143">
        <v>45992</v>
      </c>
      <c r="L3442" s="133" t="s">
        <v>1092</v>
      </c>
      <c r="M3442" s="133">
        <v>2067</v>
      </c>
      <c r="N3442" s="147">
        <f>+F3442+F3443+F3444-M3442-M3443-M3444-M3445</f>
        <v>2.2737367544323206E-13</v>
      </c>
      <c r="O3442" s="141"/>
      <c r="P3442" s="140"/>
    </row>
    <row r="3443" spans="1:16" hidden="1" x14ac:dyDescent="0.35">
      <c r="A3443" s="149"/>
      <c r="B3443" s="143"/>
      <c r="C3443" s="133"/>
      <c r="D3443" s="133"/>
      <c r="E3443" s="145" t="s">
        <v>1342</v>
      </c>
      <c r="F3443" s="145">
        <v>403</v>
      </c>
      <c r="G3443" s="133" t="s">
        <v>1034</v>
      </c>
      <c r="H3443" s="144" t="s">
        <v>1341</v>
      </c>
      <c r="I3443" s="133" t="s">
        <v>1092</v>
      </c>
      <c r="J3443" s="278" t="s">
        <v>2688</v>
      </c>
      <c r="K3443" s="143">
        <v>45992</v>
      </c>
      <c r="L3443" s="133" t="s">
        <v>1092</v>
      </c>
      <c r="M3443" s="133">
        <v>1169.3</v>
      </c>
      <c r="N3443" s="147"/>
      <c r="O3443" s="141"/>
      <c r="P3443" s="140"/>
    </row>
    <row r="3444" spans="1:16" hidden="1" x14ac:dyDescent="0.35">
      <c r="A3444" s="149"/>
      <c r="B3444" s="143"/>
      <c r="C3444" s="133"/>
      <c r="D3444" s="133"/>
      <c r="E3444" s="145" t="s">
        <v>1067</v>
      </c>
      <c r="F3444" s="145">
        <v>2067</v>
      </c>
      <c r="G3444" s="133" t="s">
        <v>1034</v>
      </c>
      <c r="H3444" s="144" t="s">
        <v>1341</v>
      </c>
      <c r="I3444" s="133" t="s">
        <v>1092</v>
      </c>
      <c r="J3444" s="305" t="s">
        <v>2719</v>
      </c>
      <c r="K3444" s="143">
        <v>46023</v>
      </c>
      <c r="L3444" s="133" t="s">
        <v>1092</v>
      </c>
      <c r="M3444" s="133">
        <v>257</v>
      </c>
      <c r="N3444" s="147"/>
      <c r="O3444" s="141"/>
      <c r="P3444" s="140"/>
    </row>
    <row r="3445" spans="1:16" hidden="1" x14ac:dyDescent="0.35">
      <c r="A3445" s="149"/>
      <c r="B3445" s="143"/>
      <c r="C3445" s="133"/>
      <c r="D3445" s="133"/>
      <c r="E3445" s="145"/>
      <c r="F3445" s="145"/>
      <c r="G3445" s="133" t="s">
        <v>1034</v>
      </c>
      <c r="H3445" s="144" t="s">
        <v>1341</v>
      </c>
      <c r="I3445" s="133" t="s">
        <v>1092</v>
      </c>
      <c r="J3445" s="305" t="s">
        <v>2720</v>
      </c>
      <c r="K3445" s="143">
        <v>46023</v>
      </c>
      <c r="L3445" s="133" t="s">
        <v>1241</v>
      </c>
      <c r="M3445" s="133">
        <v>146</v>
      </c>
      <c r="N3445" s="147"/>
      <c r="O3445" s="141"/>
      <c r="P3445" s="140"/>
    </row>
    <row r="3446" spans="1:16" hidden="1" x14ac:dyDescent="0.35">
      <c r="A3446" s="149"/>
      <c r="B3446" s="143"/>
      <c r="C3446" s="133"/>
      <c r="D3446" s="133"/>
      <c r="E3446" s="145"/>
      <c r="F3446" s="145"/>
      <c r="G3446" s="133"/>
      <c r="H3446" s="144"/>
      <c r="I3446" s="133"/>
      <c r="J3446" s="133"/>
      <c r="K3446" s="133"/>
      <c r="L3446" s="133"/>
      <c r="M3446" s="133"/>
      <c r="N3446" s="147"/>
      <c r="O3446" s="141"/>
      <c r="P3446" s="140"/>
    </row>
    <row r="3447" spans="1:16" hidden="1" x14ac:dyDescent="0.35">
      <c r="A3447" s="149">
        <v>193</v>
      </c>
      <c r="B3447" s="143">
        <v>45962</v>
      </c>
      <c r="C3447" s="258" t="s">
        <v>1586</v>
      </c>
      <c r="D3447" s="258" t="s">
        <v>2643</v>
      </c>
      <c r="E3447" s="145" t="s">
        <v>1075</v>
      </c>
      <c r="F3447" s="145">
        <v>4282</v>
      </c>
      <c r="G3447" s="133" t="s">
        <v>1034</v>
      </c>
      <c r="H3447" s="144" t="s">
        <v>1341</v>
      </c>
      <c r="I3447" s="133" t="s">
        <v>1092</v>
      </c>
      <c r="J3447" s="276" t="s">
        <v>2681</v>
      </c>
      <c r="K3447" s="143">
        <v>45992</v>
      </c>
      <c r="L3447" s="133" t="s">
        <v>1092</v>
      </c>
      <c r="M3447" s="133">
        <v>2578</v>
      </c>
      <c r="N3447" s="147">
        <f>+F3447+F3448-M3447-M3448-M3449</f>
        <v>-2.5579538487363607E-13</v>
      </c>
      <c r="O3447" s="141"/>
      <c r="P3447" s="140"/>
    </row>
    <row r="3448" spans="1:16" hidden="1" x14ac:dyDescent="0.35">
      <c r="A3448" s="149"/>
      <c r="B3448" s="143"/>
      <c r="C3448" s="133"/>
      <c r="D3448" s="133"/>
      <c r="E3448" s="145" t="s">
        <v>1067</v>
      </c>
      <c r="F3448" s="145">
        <v>2578</v>
      </c>
      <c r="G3448" s="133" t="s">
        <v>1034</v>
      </c>
      <c r="H3448" s="144" t="s">
        <v>1341</v>
      </c>
      <c r="I3448" s="133" t="s">
        <v>1092</v>
      </c>
      <c r="J3448" s="281" t="s">
        <v>2694</v>
      </c>
      <c r="K3448" s="143">
        <v>45992</v>
      </c>
      <c r="L3448" s="133" t="s">
        <v>1092</v>
      </c>
      <c r="M3448" s="133">
        <v>4110.72</v>
      </c>
      <c r="N3448" s="147"/>
      <c r="O3448" s="141"/>
      <c r="P3448" s="140"/>
    </row>
    <row r="3449" spans="1:16" hidden="1" x14ac:dyDescent="0.35">
      <c r="A3449" s="149"/>
      <c r="B3449" s="143"/>
      <c r="C3449" s="133"/>
      <c r="D3449" s="133"/>
      <c r="E3449" s="145"/>
      <c r="F3449" s="145"/>
      <c r="G3449" s="133" t="s">
        <v>1034</v>
      </c>
      <c r="H3449" s="144" t="s">
        <v>1341</v>
      </c>
      <c r="I3449" s="133" t="s">
        <v>1092</v>
      </c>
      <c r="J3449" s="305" t="s">
        <v>2720</v>
      </c>
      <c r="K3449" s="143">
        <v>46023</v>
      </c>
      <c r="L3449" s="133" t="s">
        <v>1241</v>
      </c>
      <c r="M3449" s="133">
        <v>171.28</v>
      </c>
      <c r="N3449" s="147"/>
      <c r="O3449" s="141"/>
      <c r="P3449" s="140"/>
    </row>
    <row r="3450" spans="1:16" hidden="1" x14ac:dyDescent="0.35">
      <c r="A3450" s="149"/>
      <c r="B3450" s="143"/>
      <c r="C3450" s="133"/>
      <c r="D3450" s="133"/>
      <c r="E3450" s="145"/>
      <c r="F3450" s="145"/>
      <c r="G3450" s="133"/>
      <c r="H3450" s="144"/>
      <c r="I3450" s="133"/>
      <c r="J3450" s="305"/>
      <c r="K3450" s="143"/>
      <c r="L3450" s="133"/>
      <c r="M3450" s="133"/>
      <c r="N3450" s="147"/>
      <c r="O3450" s="141"/>
      <c r="P3450" s="140"/>
    </row>
    <row r="3451" spans="1:16" hidden="1" x14ac:dyDescent="0.35">
      <c r="A3451" s="257"/>
      <c r="B3451" s="152"/>
      <c r="C3451" s="151"/>
      <c r="D3451" s="151"/>
      <c r="E3451" s="154"/>
      <c r="F3451" s="154"/>
      <c r="G3451" s="151"/>
      <c r="H3451" s="153"/>
      <c r="I3451" s="151"/>
      <c r="J3451" s="151"/>
      <c r="K3451" s="151"/>
      <c r="L3451" s="151"/>
      <c r="M3451" s="151"/>
      <c r="N3451" s="151"/>
      <c r="O3451" s="141"/>
      <c r="P3451" s="140"/>
    </row>
    <row r="3452" spans="1:16" hidden="1" x14ac:dyDescent="0.35">
      <c r="A3452" s="149"/>
      <c r="B3452" s="143"/>
      <c r="C3452" s="133"/>
      <c r="D3452" s="133"/>
      <c r="E3452" s="145"/>
      <c r="F3452" s="145"/>
      <c r="G3452" s="133"/>
      <c r="H3452" s="144"/>
      <c r="I3452" s="133"/>
      <c r="J3452" s="133"/>
      <c r="K3452" s="133"/>
      <c r="L3452" s="133"/>
      <c r="M3452" s="133"/>
      <c r="N3452" s="147"/>
      <c r="O3452" s="141"/>
      <c r="P3452" s="140"/>
    </row>
    <row r="3453" spans="1:16" hidden="1" x14ac:dyDescent="0.35">
      <c r="A3453" s="149">
        <v>194</v>
      </c>
      <c r="B3453" s="143">
        <v>45992</v>
      </c>
      <c r="C3453" s="262" t="s">
        <v>1584</v>
      </c>
      <c r="D3453" s="262" t="s">
        <v>2644</v>
      </c>
      <c r="E3453" s="145" t="s">
        <v>1075</v>
      </c>
      <c r="F3453" s="145">
        <v>3951</v>
      </c>
      <c r="G3453" s="133" t="s">
        <v>1034</v>
      </c>
      <c r="H3453" s="144" t="s">
        <v>1341</v>
      </c>
      <c r="I3453" s="133" t="s">
        <v>1092</v>
      </c>
      <c r="J3453" s="276" t="s">
        <v>2681</v>
      </c>
      <c r="K3453" s="143">
        <v>45992</v>
      </c>
      <c r="L3453" s="133" t="s">
        <v>1092</v>
      </c>
      <c r="M3453" s="133">
        <v>686.5</v>
      </c>
      <c r="N3453" s="147">
        <f>+F3453+F3454+F3455+F3456+F3457-M3453-M3454-M3455-M3456-M3457</f>
        <v>0</v>
      </c>
      <c r="O3453" s="141"/>
      <c r="P3453" s="140"/>
    </row>
    <row r="3454" spans="1:16" hidden="1" x14ac:dyDescent="0.35">
      <c r="A3454" s="149"/>
      <c r="B3454" s="143"/>
      <c r="C3454" s="133"/>
      <c r="D3454" s="133"/>
      <c r="E3454" s="145" t="s">
        <v>1067</v>
      </c>
      <c r="F3454" s="145">
        <v>3905</v>
      </c>
      <c r="G3454" s="133" t="s">
        <v>1034</v>
      </c>
      <c r="H3454" s="144" t="s">
        <v>1341</v>
      </c>
      <c r="I3454" s="133" t="s">
        <v>1092</v>
      </c>
      <c r="J3454" s="278" t="s">
        <v>2688</v>
      </c>
      <c r="K3454" s="143">
        <v>45992</v>
      </c>
      <c r="L3454" s="133" t="s">
        <v>1092</v>
      </c>
      <c r="M3454" s="133">
        <f>961.1+3905</f>
        <v>4866.1000000000004</v>
      </c>
      <c r="N3454" s="147"/>
      <c r="O3454" s="141"/>
      <c r="P3454" s="140"/>
    </row>
    <row r="3455" spans="1:16" hidden="1" x14ac:dyDescent="0.35">
      <c r="A3455" s="149"/>
      <c r="B3455" s="143"/>
      <c r="C3455" s="133"/>
      <c r="D3455" s="133"/>
      <c r="E3455" s="145" t="s">
        <v>1064</v>
      </c>
      <c r="F3455" s="145">
        <v>961.1</v>
      </c>
      <c r="G3455" s="133" t="s">
        <v>1034</v>
      </c>
      <c r="H3455" s="144" t="s">
        <v>1341</v>
      </c>
      <c r="I3455" s="133" t="s">
        <v>1092</v>
      </c>
      <c r="J3455" s="294" t="s">
        <v>2705</v>
      </c>
      <c r="K3455" s="143">
        <v>46023</v>
      </c>
      <c r="L3455" s="133" t="s">
        <v>1092</v>
      </c>
      <c r="M3455" s="133">
        <v>3575</v>
      </c>
      <c r="N3455" s="147"/>
      <c r="O3455" s="141"/>
      <c r="P3455" s="140"/>
    </row>
    <row r="3456" spans="1:16" hidden="1" x14ac:dyDescent="0.35">
      <c r="A3456" s="149"/>
      <c r="B3456" s="143"/>
      <c r="C3456" s="133"/>
      <c r="D3456" s="133"/>
      <c r="E3456" s="145" t="s">
        <v>1118</v>
      </c>
      <c r="F3456" s="145">
        <v>686.5</v>
      </c>
      <c r="G3456" s="133" t="s">
        <v>1034</v>
      </c>
      <c r="H3456" s="144" t="s">
        <v>1341</v>
      </c>
      <c r="I3456" s="133" t="s">
        <v>1092</v>
      </c>
      <c r="J3456" s="305" t="s">
        <v>2719</v>
      </c>
      <c r="K3456" s="143">
        <v>46023</v>
      </c>
      <c r="L3456" s="133" t="s">
        <v>1092</v>
      </c>
      <c r="M3456" s="133">
        <v>4092</v>
      </c>
      <c r="N3456" s="147"/>
      <c r="O3456" s="141"/>
      <c r="P3456" s="140"/>
    </row>
    <row r="3457" spans="1:16" hidden="1" x14ac:dyDescent="0.35">
      <c r="A3457" s="149"/>
      <c r="B3457" s="143"/>
      <c r="C3457" s="133"/>
      <c r="D3457" s="133"/>
      <c r="E3457" s="145" t="s">
        <v>1342</v>
      </c>
      <c r="F3457" s="145">
        <v>4092</v>
      </c>
      <c r="G3457" s="133" t="s">
        <v>1034</v>
      </c>
      <c r="H3457" s="144" t="s">
        <v>1341</v>
      </c>
      <c r="I3457" s="133" t="s">
        <v>1092</v>
      </c>
      <c r="J3457" s="305" t="s">
        <v>2720</v>
      </c>
      <c r="K3457" s="143">
        <v>46023</v>
      </c>
      <c r="L3457" s="133" t="s">
        <v>1241</v>
      </c>
      <c r="M3457" s="133">
        <v>376</v>
      </c>
      <c r="N3457" s="147"/>
      <c r="O3457" s="141"/>
      <c r="P3457" s="140"/>
    </row>
    <row r="3458" spans="1:16" hidden="1" x14ac:dyDescent="0.35">
      <c r="A3458" s="149"/>
      <c r="B3458" s="143"/>
      <c r="C3458" s="133"/>
      <c r="D3458" s="133"/>
      <c r="E3458" s="145"/>
      <c r="F3458" s="145"/>
      <c r="G3458" s="133"/>
      <c r="H3458" s="144"/>
      <c r="I3458" s="133"/>
      <c r="J3458" s="133"/>
      <c r="K3458" s="133"/>
      <c r="L3458" s="133"/>
      <c r="M3458" s="133"/>
      <c r="N3458" s="147"/>
      <c r="O3458" s="141"/>
      <c r="P3458" s="140"/>
    </row>
    <row r="3459" spans="1:16" hidden="1" x14ac:dyDescent="0.35">
      <c r="A3459" s="149">
        <v>195</v>
      </c>
      <c r="B3459" s="143">
        <v>45992</v>
      </c>
      <c r="C3459" s="262" t="s">
        <v>1583</v>
      </c>
      <c r="D3459" s="262" t="s">
        <v>2645</v>
      </c>
      <c r="E3459" s="145" t="s">
        <v>1075</v>
      </c>
      <c r="F3459" s="145">
        <v>4376</v>
      </c>
      <c r="G3459" s="133" t="s">
        <v>1034</v>
      </c>
      <c r="H3459" s="144" t="s">
        <v>1341</v>
      </c>
      <c r="I3459" s="133" t="s">
        <v>1092</v>
      </c>
      <c r="J3459" s="278" t="s">
        <v>2688</v>
      </c>
      <c r="K3459" s="143">
        <v>45992</v>
      </c>
      <c r="L3459" s="133" t="s">
        <v>1092</v>
      </c>
      <c r="M3459" s="133">
        <v>385</v>
      </c>
      <c r="N3459" s="147">
        <f>+F3459+F3460-M3459-M3460-M3461</f>
        <v>0</v>
      </c>
      <c r="O3459" s="141"/>
      <c r="P3459" s="140"/>
    </row>
    <row r="3460" spans="1:16" hidden="1" x14ac:dyDescent="0.35">
      <c r="A3460" s="149"/>
      <c r="B3460" s="143"/>
      <c r="C3460" s="133"/>
      <c r="D3460" s="133"/>
      <c r="E3460" s="145" t="s">
        <v>1067</v>
      </c>
      <c r="F3460" s="145">
        <v>385</v>
      </c>
      <c r="G3460" s="133" t="s">
        <v>1034</v>
      </c>
      <c r="H3460" s="144" t="s">
        <v>1341</v>
      </c>
      <c r="I3460" s="133" t="s">
        <v>1092</v>
      </c>
      <c r="J3460" s="294" t="s">
        <v>2705</v>
      </c>
      <c r="K3460" s="143">
        <v>46023</v>
      </c>
      <c r="L3460" s="133" t="s">
        <v>1092</v>
      </c>
      <c r="M3460" s="133">
        <v>4206</v>
      </c>
      <c r="N3460" s="147"/>
      <c r="O3460" s="141"/>
      <c r="P3460" s="140"/>
    </row>
    <row r="3461" spans="1:16" hidden="1" x14ac:dyDescent="0.35">
      <c r="A3461" s="149"/>
      <c r="B3461" s="143"/>
      <c r="C3461" s="133"/>
      <c r="D3461" s="133"/>
      <c r="E3461" s="145"/>
      <c r="F3461" s="145"/>
      <c r="G3461" s="133" t="s">
        <v>1034</v>
      </c>
      <c r="H3461" s="144" t="s">
        <v>1341</v>
      </c>
      <c r="I3461" s="133" t="s">
        <v>1092</v>
      </c>
      <c r="J3461" s="305" t="s">
        <v>2720</v>
      </c>
      <c r="K3461" s="143">
        <v>46023</v>
      </c>
      <c r="L3461" s="133" t="s">
        <v>1241</v>
      </c>
      <c r="M3461" s="133">
        <v>170</v>
      </c>
      <c r="N3461" s="147"/>
      <c r="O3461" s="141"/>
      <c r="P3461" s="140"/>
    </row>
    <row r="3462" spans="1:16" hidden="1" x14ac:dyDescent="0.35">
      <c r="A3462" s="149"/>
      <c r="B3462" s="143"/>
      <c r="C3462" s="133"/>
      <c r="D3462" s="133"/>
      <c r="E3462" s="145"/>
      <c r="F3462" s="145"/>
      <c r="G3462" s="133"/>
      <c r="H3462" s="144"/>
      <c r="I3462" s="133"/>
      <c r="J3462" s="133"/>
      <c r="K3462" s="133"/>
      <c r="L3462" s="133"/>
      <c r="M3462" s="133"/>
      <c r="N3462" s="147"/>
      <c r="O3462" s="141"/>
      <c r="P3462" s="140"/>
    </row>
    <row r="3463" spans="1:16" hidden="1" x14ac:dyDescent="0.35">
      <c r="A3463" s="149">
        <v>196</v>
      </c>
      <c r="B3463" s="143">
        <v>45992</v>
      </c>
      <c r="C3463" s="262" t="s">
        <v>1582</v>
      </c>
      <c r="D3463" s="262" t="s">
        <v>2646</v>
      </c>
      <c r="E3463" s="145" t="s">
        <v>1064</v>
      </c>
      <c r="F3463" s="145">
        <v>1288.0999999999999</v>
      </c>
      <c r="G3463" s="133" t="s">
        <v>1034</v>
      </c>
      <c r="H3463" s="144" t="s">
        <v>1341</v>
      </c>
      <c r="I3463" s="133" t="s">
        <v>1092</v>
      </c>
      <c r="J3463" s="300" t="s">
        <v>2714</v>
      </c>
      <c r="K3463" s="143">
        <v>46023</v>
      </c>
      <c r="L3463" s="133" t="s">
        <v>1092</v>
      </c>
      <c r="M3463" s="133">
        <v>1288.0999999999999</v>
      </c>
      <c r="N3463" s="147">
        <f>+F3463-M3463</f>
        <v>0</v>
      </c>
      <c r="O3463" s="141"/>
      <c r="P3463" s="140"/>
    </row>
    <row r="3464" spans="1:16" hidden="1" x14ac:dyDescent="0.35">
      <c r="A3464" s="149"/>
      <c r="B3464" s="143"/>
      <c r="C3464" s="133"/>
      <c r="D3464" s="133"/>
      <c r="E3464" s="145"/>
      <c r="F3464" s="145"/>
      <c r="G3464" s="133"/>
      <c r="H3464" s="144"/>
      <c r="I3464" s="133"/>
      <c r="J3464" s="133"/>
      <c r="K3464" s="133"/>
      <c r="L3464" s="133"/>
      <c r="M3464" s="133"/>
      <c r="N3464" s="147"/>
      <c r="O3464" s="141"/>
      <c r="P3464" s="140"/>
    </row>
    <row r="3465" spans="1:16" hidden="1" x14ac:dyDescent="0.35">
      <c r="A3465" s="149">
        <v>197</v>
      </c>
      <c r="B3465" s="143">
        <v>45992</v>
      </c>
      <c r="C3465" s="262" t="s">
        <v>1581</v>
      </c>
      <c r="D3465" s="262" t="s">
        <v>2647</v>
      </c>
      <c r="E3465" s="145" t="s">
        <v>1075</v>
      </c>
      <c r="F3465" s="145">
        <v>2494</v>
      </c>
      <c r="G3465" s="133" t="s">
        <v>1034</v>
      </c>
      <c r="H3465" s="144" t="s">
        <v>1341</v>
      </c>
      <c r="I3465" s="133" t="s">
        <v>1092</v>
      </c>
      <c r="J3465" s="276" t="s">
        <v>2681</v>
      </c>
      <c r="K3465" s="143">
        <v>45992</v>
      </c>
      <c r="L3465" s="133" t="s">
        <v>1092</v>
      </c>
      <c r="M3465" s="133">
        <v>1904.6</v>
      </c>
      <c r="N3465" s="147">
        <f>+F3465+F3466+F3467-M3465-M3466-M3467-M3468</f>
        <v>4.5474735088646412E-13</v>
      </c>
      <c r="O3465" s="141"/>
      <c r="P3465" s="140"/>
    </row>
    <row r="3466" spans="1:16" hidden="1" x14ac:dyDescent="0.35">
      <c r="A3466" s="149"/>
      <c r="B3466" s="143"/>
      <c r="C3466" s="133"/>
      <c r="D3466" s="133"/>
      <c r="E3466" s="145" t="s">
        <v>1118</v>
      </c>
      <c r="F3466" s="145">
        <v>1904.6</v>
      </c>
      <c r="G3466" s="133" t="s">
        <v>1034</v>
      </c>
      <c r="H3466" s="144" t="s">
        <v>1341</v>
      </c>
      <c r="I3466" s="133" t="s">
        <v>1092</v>
      </c>
      <c r="J3466" s="294" t="s">
        <v>2705</v>
      </c>
      <c r="K3466" s="143">
        <v>46023</v>
      </c>
      <c r="L3466" s="133" t="s">
        <v>1092</v>
      </c>
      <c r="M3466" s="133">
        <v>2494</v>
      </c>
      <c r="N3466" s="147"/>
      <c r="O3466" s="141"/>
      <c r="P3466" s="140"/>
    </row>
    <row r="3467" spans="1:16" hidden="1" x14ac:dyDescent="0.35">
      <c r="A3467" s="149"/>
      <c r="B3467" s="143"/>
      <c r="C3467" s="133"/>
      <c r="D3467" s="133"/>
      <c r="E3467" s="145" t="s">
        <v>1342</v>
      </c>
      <c r="F3467" s="145">
        <v>1430</v>
      </c>
      <c r="G3467" s="133" t="s">
        <v>1034</v>
      </c>
      <c r="H3467" s="144" t="s">
        <v>1341</v>
      </c>
      <c r="I3467" s="133" t="s">
        <v>1092</v>
      </c>
      <c r="J3467" s="305" t="s">
        <v>2719</v>
      </c>
      <c r="K3467" s="143">
        <v>46023</v>
      </c>
      <c r="L3467" s="133" t="s">
        <v>1092</v>
      </c>
      <c r="M3467" s="133">
        <v>1279</v>
      </c>
      <c r="N3467" s="147"/>
      <c r="O3467" s="141"/>
      <c r="P3467" s="140"/>
    </row>
    <row r="3468" spans="1:16" hidden="1" x14ac:dyDescent="0.35">
      <c r="A3468" s="149"/>
      <c r="B3468" s="143"/>
      <c r="C3468" s="133"/>
      <c r="D3468" s="133"/>
      <c r="E3468" s="145"/>
      <c r="F3468" s="145"/>
      <c r="G3468" s="133" t="s">
        <v>1034</v>
      </c>
      <c r="H3468" s="144" t="s">
        <v>1341</v>
      </c>
      <c r="I3468" s="133" t="s">
        <v>1092</v>
      </c>
      <c r="J3468" s="305" t="s">
        <v>2720</v>
      </c>
      <c r="K3468" s="143">
        <v>46023</v>
      </c>
      <c r="L3468" s="133" t="s">
        <v>1241</v>
      </c>
      <c r="M3468" s="133">
        <v>151</v>
      </c>
      <c r="N3468" s="147"/>
      <c r="O3468" s="141"/>
      <c r="P3468" s="140"/>
    </row>
    <row r="3469" spans="1:16" hidden="1" x14ac:dyDescent="0.35">
      <c r="A3469" s="149"/>
      <c r="B3469" s="143"/>
      <c r="C3469" s="133"/>
      <c r="D3469" s="133"/>
      <c r="E3469" s="145"/>
      <c r="F3469" s="145"/>
      <c r="G3469" s="133"/>
      <c r="H3469" s="144"/>
      <c r="I3469" s="133"/>
      <c r="J3469" s="133"/>
      <c r="K3469" s="133"/>
      <c r="L3469" s="133"/>
      <c r="M3469" s="133"/>
      <c r="N3469" s="147"/>
      <c r="O3469" s="141"/>
      <c r="P3469" s="140"/>
    </row>
    <row r="3470" spans="1:16" hidden="1" x14ac:dyDescent="0.35">
      <c r="A3470" s="149">
        <v>198</v>
      </c>
      <c r="B3470" s="143">
        <v>45992</v>
      </c>
      <c r="C3470" s="262" t="s">
        <v>1579</v>
      </c>
      <c r="D3470" s="262" t="s">
        <v>2648</v>
      </c>
      <c r="E3470" s="145" t="s">
        <v>1075</v>
      </c>
      <c r="F3470" s="145">
        <v>600</v>
      </c>
      <c r="G3470" s="133" t="s">
        <v>1034</v>
      </c>
      <c r="H3470" s="144" t="s">
        <v>1341</v>
      </c>
      <c r="I3470" s="133" t="s">
        <v>1092</v>
      </c>
      <c r="J3470" s="276" t="s">
        <v>2681</v>
      </c>
      <c r="K3470" s="143">
        <v>45992</v>
      </c>
      <c r="L3470" s="133" t="s">
        <v>1092</v>
      </c>
      <c r="M3470" s="133">
        <v>2088</v>
      </c>
      <c r="N3470" s="147">
        <f>+F3470+F3471+F3472+F3473-M3470-M3471-M3472-M3473-M3474</f>
        <v>0</v>
      </c>
      <c r="O3470" s="141"/>
      <c r="P3470" s="140"/>
    </row>
    <row r="3471" spans="1:16" hidden="1" x14ac:dyDescent="0.35">
      <c r="A3471" s="149"/>
      <c r="B3471" s="143"/>
      <c r="C3471" s="133"/>
      <c r="D3471" s="133"/>
      <c r="E3471" s="145" t="s">
        <v>1118</v>
      </c>
      <c r="F3471" s="145">
        <v>2088</v>
      </c>
      <c r="G3471" s="133" t="s">
        <v>1034</v>
      </c>
      <c r="H3471" s="144" t="s">
        <v>1341</v>
      </c>
      <c r="I3471" s="133" t="s">
        <v>1092</v>
      </c>
      <c r="J3471" s="281" t="s">
        <v>2694</v>
      </c>
      <c r="K3471" s="143">
        <v>45992</v>
      </c>
      <c r="L3471" s="133" t="s">
        <v>1092</v>
      </c>
      <c r="M3471" s="133">
        <v>2266</v>
      </c>
      <c r="N3471" s="147"/>
      <c r="O3471" s="141"/>
      <c r="P3471" s="140"/>
    </row>
    <row r="3472" spans="1:16" hidden="1" x14ac:dyDescent="0.35">
      <c r="A3472" s="149"/>
      <c r="B3472" s="143"/>
      <c r="C3472" s="133"/>
      <c r="D3472" s="133"/>
      <c r="E3472" s="145" t="s">
        <v>1342</v>
      </c>
      <c r="F3472" s="145">
        <v>934</v>
      </c>
      <c r="G3472" s="133" t="s">
        <v>1034</v>
      </c>
      <c r="H3472" s="144" t="s">
        <v>1341</v>
      </c>
      <c r="I3472" s="133" t="s">
        <v>1092</v>
      </c>
      <c r="J3472" s="294" t="s">
        <v>2705</v>
      </c>
      <c r="K3472" s="143">
        <v>46023</v>
      </c>
      <c r="L3472" s="133" t="s">
        <v>1092</v>
      </c>
      <c r="M3472" s="133">
        <v>540</v>
      </c>
      <c r="N3472" s="147"/>
      <c r="O3472" s="141"/>
      <c r="P3472" s="140"/>
    </row>
    <row r="3473" spans="1:16" hidden="1" x14ac:dyDescent="0.35">
      <c r="A3473" s="149"/>
      <c r="B3473" s="143"/>
      <c r="C3473" s="133"/>
      <c r="D3473" s="133"/>
      <c r="E3473" s="145" t="s">
        <v>1067</v>
      </c>
      <c r="F3473" s="145">
        <v>2266</v>
      </c>
      <c r="G3473" s="133" t="s">
        <v>1034</v>
      </c>
      <c r="H3473" s="144" t="s">
        <v>1341</v>
      </c>
      <c r="I3473" s="133" t="s">
        <v>1092</v>
      </c>
      <c r="J3473" s="305" t="s">
        <v>2719</v>
      </c>
      <c r="K3473" s="143">
        <v>46023</v>
      </c>
      <c r="L3473" s="133" t="s">
        <v>1092</v>
      </c>
      <c r="M3473" s="133">
        <v>934</v>
      </c>
      <c r="N3473" s="147"/>
      <c r="O3473" s="141"/>
      <c r="P3473" s="140"/>
    </row>
    <row r="3474" spans="1:16" hidden="1" x14ac:dyDescent="0.35">
      <c r="A3474" s="149"/>
      <c r="B3474" s="143"/>
      <c r="C3474" s="133"/>
      <c r="D3474" s="133"/>
      <c r="E3474" s="145"/>
      <c r="F3474" s="145"/>
      <c r="G3474" s="133" t="s">
        <v>1034</v>
      </c>
      <c r="H3474" s="144" t="s">
        <v>1341</v>
      </c>
      <c r="I3474" s="133" t="s">
        <v>1092</v>
      </c>
      <c r="J3474" s="305" t="s">
        <v>2720</v>
      </c>
      <c r="K3474" s="143">
        <v>46023</v>
      </c>
      <c r="L3474" s="133" t="s">
        <v>1241</v>
      </c>
      <c r="M3474" s="133">
        <v>60</v>
      </c>
      <c r="N3474" s="147"/>
      <c r="O3474" s="141"/>
      <c r="P3474" s="140"/>
    </row>
    <row r="3475" spans="1:16" hidden="1" x14ac:dyDescent="0.35">
      <c r="A3475" s="149"/>
      <c r="B3475" s="143"/>
      <c r="C3475" s="133"/>
      <c r="D3475" s="133"/>
      <c r="E3475" s="145"/>
      <c r="F3475" s="145"/>
      <c r="G3475" s="133"/>
      <c r="H3475" s="144"/>
      <c r="I3475" s="133"/>
      <c r="J3475" s="305"/>
      <c r="K3475" s="143"/>
      <c r="L3475" s="133"/>
      <c r="M3475" s="133"/>
      <c r="N3475" s="147"/>
      <c r="O3475" s="141"/>
      <c r="P3475" s="140"/>
    </row>
    <row r="3476" spans="1:16" hidden="1" x14ac:dyDescent="0.35">
      <c r="A3476" s="149">
        <v>199</v>
      </c>
      <c r="B3476" s="143">
        <v>45992</v>
      </c>
      <c r="C3476" s="262" t="s">
        <v>1577</v>
      </c>
      <c r="D3476" s="262" t="s">
        <v>2649</v>
      </c>
      <c r="E3476" s="145" t="s">
        <v>1075</v>
      </c>
      <c r="F3476" s="145">
        <v>2090</v>
      </c>
      <c r="G3476" s="133" t="s">
        <v>1034</v>
      </c>
      <c r="H3476" s="144" t="s">
        <v>1341</v>
      </c>
      <c r="I3476" s="133" t="s">
        <v>1092</v>
      </c>
      <c r="J3476" s="294" t="s">
        <v>2705</v>
      </c>
      <c r="K3476" s="143">
        <v>46023</v>
      </c>
      <c r="L3476" s="133" t="s">
        <v>1092</v>
      </c>
      <c r="M3476" s="133">
        <f>1729+4441</f>
        <v>6170</v>
      </c>
      <c r="N3476" s="147">
        <f>+F3476+F3477+F3478-M3476-M3477-M3478</f>
        <v>0</v>
      </c>
      <c r="O3476" s="141"/>
      <c r="P3476" s="140"/>
    </row>
    <row r="3477" spans="1:16" hidden="1" x14ac:dyDescent="0.35">
      <c r="A3477" s="149"/>
      <c r="B3477" s="143"/>
      <c r="C3477" s="133"/>
      <c r="D3477" s="133"/>
      <c r="E3477" s="145" t="s">
        <v>1067</v>
      </c>
      <c r="F3477" s="145">
        <v>4441</v>
      </c>
      <c r="G3477" s="133" t="s">
        <v>1034</v>
      </c>
      <c r="H3477" s="144" t="s">
        <v>1341</v>
      </c>
      <c r="I3477" s="133" t="s">
        <v>1092</v>
      </c>
      <c r="J3477" s="305" t="s">
        <v>2719</v>
      </c>
      <c r="K3477" s="143">
        <v>46023</v>
      </c>
      <c r="L3477" s="133" t="s">
        <v>1092</v>
      </c>
      <c r="M3477" s="133">
        <v>2675</v>
      </c>
      <c r="N3477" s="147"/>
      <c r="O3477" s="141"/>
      <c r="P3477" s="140"/>
    </row>
    <row r="3478" spans="1:16" hidden="1" x14ac:dyDescent="0.35">
      <c r="A3478" s="149"/>
      <c r="B3478" s="143"/>
      <c r="C3478" s="133"/>
      <c r="D3478" s="133"/>
      <c r="E3478" s="145" t="s">
        <v>1342</v>
      </c>
      <c r="F3478" s="145">
        <v>2675</v>
      </c>
      <c r="G3478" s="133" t="s">
        <v>1034</v>
      </c>
      <c r="H3478" s="144" t="s">
        <v>1341</v>
      </c>
      <c r="I3478" s="133" t="s">
        <v>1092</v>
      </c>
      <c r="J3478" s="305" t="s">
        <v>2720</v>
      </c>
      <c r="K3478" s="143">
        <v>46023</v>
      </c>
      <c r="L3478" s="133" t="s">
        <v>1241</v>
      </c>
      <c r="M3478" s="133">
        <v>361</v>
      </c>
      <c r="N3478" s="147"/>
      <c r="O3478" s="141"/>
      <c r="P3478" s="140"/>
    </row>
    <row r="3479" spans="1:16" hidden="1" x14ac:dyDescent="0.35">
      <c r="A3479" s="149"/>
      <c r="B3479" s="143"/>
      <c r="C3479" s="133"/>
      <c r="D3479" s="133"/>
      <c r="E3479" s="145"/>
      <c r="F3479" s="145"/>
      <c r="G3479" s="133"/>
      <c r="H3479" s="144"/>
      <c r="I3479" s="133"/>
      <c r="J3479" s="133"/>
      <c r="K3479" s="133"/>
      <c r="L3479" s="133"/>
      <c r="M3479" s="133"/>
      <c r="N3479" s="147"/>
      <c r="O3479" s="141"/>
      <c r="P3479" s="140"/>
    </row>
    <row r="3480" spans="1:16" hidden="1" x14ac:dyDescent="0.35">
      <c r="A3480" s="149">
        <v>200</v>
      </c>
      <c r="B3480" s="143">
        <v>45992</v>
      </c>
      <c r="C3480" s="263" t="s">
        <v>1574</v>
      </c>
      <c r="D3480" s="263" t="s">
        <v>2650</v>
      </c>
      <c r="E3480" s="145" t="s">
        <v>1067</v>
      </c>
      <c r="F3480" s="145">
        <v>234</v>
      </c>
      <c r="G3480" s="133" t="s">
        <v>1034</v>
      </c>
      <c r="H3480" s="144" t="s">
        <v>1341</v>
      </c>
      <c r="I3480" s="133" t="s">
        <v>1092</v>
      </c>
      <c r="J3480" s="276" t="s">
        <v>2681</v>
      </c>
      <c r="K3480" s="143">
        <v>45992</v>
      </c>
      <c r="L3480" s="133" t="s">
        <v>1092</v>
      </c>
      <c r="M3480" s="133">
        <v>1531.3</v>
      </c>
      <c r="N3480" s="147">
        <f>+F3480+F3481+F3482-M3480-M3481-M3482-M3483</f>
        <v>2.2737367544323206E-13</v>
      </c>
      <c r="O3480" s="141"/>
      <c r="P3480" s="140"/>
    </row>
    <row r="3481" spans="1:16" hidden="1" x14ac:dyDescent="0.35">
      <c r="A3481" s="149"/>
      <c r="B3481" s="143"/>
      <c r="C3481" s="133"/>
      <c r="D3481" s="133"/>
      <c r="E3481" s="145" t="s">
        <v>1118</v>
      </c>
      <c r="F3481" s="145">
        <v>1531.3</v>
      </c>
      <c r="G3481" s="133" t="s">
        <v>1034</v>
      </c>
      <c r="H3481" s="144" t="s">
        <v>1341</v>
      </c>
      <c r="I3481" s="133" t="s">
        <v>1092</v>
      </c>
      <c r="J3481" s="281" t="s">
        <v>2694</v>
      </c>
      <c r="K3481" s="143">
        <v>45992</v>
      </c>
      <c r="L3481" s="133" t="s">
        <v>1092</v>
      </c>
      <c r="M3481" s="133">
        <v>234</v>
      </c>
      <c r="N3481" s="147"/>
      <c r="O3481" s="141"/>
      <c r="P3481" s="140"/>
    </row>
    <row r="3482" spans="1:16" hidden="1" x14ac:dyDescent="0.35">
      <c r="A3482" s="149"/>
      <c r="B3482" s="143"/>
      <c r="C3482" s="133"/>
      <c r="D3482" s="133"/>
      <c r="E3482" s="145" t="s">
        <v>1342</v>
      </c>
      <c r="F3482" s="145">
        <v>295</v>
      </c>
      <c r="G3482" s="133" t="s">
        <v>1034</v>
      </c>
      <c r="H3482" s="144" t="s">
        <v>1341</v>
      </c>
      <c r="I3482" s="133" t="s">
        <v>1092</v>
      </c>
      <c r="J3482" s="294" t="s">
        <v>2705</v>
      </c>
      <c r="K3482" s="143">
        <v>46023</v>
      </c>
      <c r="L3482" s="133" t="s">
        <v>1092</v>
      </c>
      <c r="M3482" s="133">
        <v>210</v>
      </c>
      <c r="N3482" s="147"/>
      <c r="O3482" s="141"/>
      <c r="P3482" s="140"/>
    </row>
    <row r="3483" spans="1:16" hidden="1" x14ac:dyDescent="0.35">
      <c r="A3483" s="149"/>
      <c r="B3483" s="143"/>
      <c r="C3483" s="133"/>
      <c r="D3483" s="133"/>
      <c r="E3483" s="145"/>
      <c r="F3483" s="145"/>
      <c r="G3483" s="133" t="s">
        <v>1034</v>
      </c>
      <c r="H3483" s="144" t="s">
        <v>1341</v>
      </c>
      <c r="I3483" s="133" t="s">
        <v>1092</v>
      </c>
      <c r="J3483" s="305" t="s">
        <v>2720</v>
      </c>
      <c r="K3483" s="143">
        <v>46023</v>
      </c>
      <c r="L3483" s="133" t="s">
        <v>1241</v>
      </c>
      <c r="M3483" s="133">
        <v>85</v>
      </c>
      <c r="N3483" s="147"/>
      <c r="O3483" s="141"/>
      <c r="P3483" s="140"/>
    </row>
    <row r="3484" spans="1:16" hidden="1" x14ac:dyDescent="0.35">
      <c r="A3484" s="149"/>
      <c r="B3484" s="143"/>
      <c r="C3484" s="133"/>
      <c r="D3484" s="133"/>
      <c r="E3484" s="145"/>
      <c r="F3484" s="145"/>
      <c r="G3484" s="133"/>
      <c r="H3484" s="144"/>
      <c r="I3484" s="133"/>
      <c r="J3484" s="133"/>
      <c r="K3484" s="133"/>
      <c r="L3484" s="133"/>
      <c r="M3484" s="133"/>
      <c r="N3484" s="147"/>
      <c r="O3484" s="141"/>
      <c r="P3484" s="140"/>
    </row>
    <row r="3485" spans="1:16" hidden="1" x14ac:dyDescent="0.35">
      <c r="A3485" s="149">
        <v>201</v>
      </c>
      <c r="B3485" s="143">
        <v>45992</v>
      </c>
      <c r="C3485" s="264" t="s">
        <v>1572</v>
      </c>
      <c r="D3485" s="264" t="s">
        <v>2652</v>
      </c>
      <c r="E3485" s="145" t="s">
        <v>1064</v>
      </c>
      <c r="F3485" s="145">
        <v>915.2</v>
      </c>
      <c r="G3485" s="133" t="s">
        <v>1034</v>
      </c>
      <c r="H3485" s="144" t="s">
        <v>1341</v>
      </c>
      <c r="I3485" s="133" t="s">
        <v>1092</v>
      </c>
      <c r="J3485" s="294" t="s">
        <v>2705</v>
      </c>
      <c r="K3485" s="143">
        <v>46023</v>
      </c>
      <c r="L3485" s="133" t="s">
        <v>1092</v>
      </c>
      <c r="M3485" s="133">
        <f>915.2+479.8</f>
        <v>1395</v>
      </c>
      <c r="N3485" s="147">
        <f>+F3485+F3486-M3485-M3486</f>
        <v>0</v>
      </c>
      <c r="O3485" s="141"/>
      <c r="P3485" s="140"/>
    </row>
    <row r="3486" spans="1:16" hidden="1" x14ac:dyDescent="0.35">
      <c r="A3486" s="149"/>
      <c r="B3486" s="143"/>
      <c r="C3486" s="133"/>
      <c r="D3486" s="133"/>
      <c r="E3486" s="145" t="s">
        <v>1075</v>
      </c>
      <c r="F3486" s="145">
        <v>530.79999999999995</v>
      </c>
      <c r="G3486" s="133" t="s">
        <v>1034</v>
      </c>
      <c r="H3486" s="144" t="s">
        <v>1341</v>
      </c>
      <c r="I3486" s="133" t="s">
        <v>1092</v>
      </c>
      <c r="J3486" s="305" t="s">
        <v>2720</v>
      </c>
      <c r="K3486" s="143">
        <v>46023</v>
      </c>
      <c r="L3486" s="133" t="s">
        <v>1241</v>
      </c>
      <c r="M3486" s="133">
        <v>51</v>
      </c>
      <c r="N3486" s="147"/>
      <c r="O3486" s="141"/>
      <c r="P3486" s="140"/>
    </row>
    <row r="3487" spans="1:16" hidden="1" x14ac:dyDescent="0.35">
      <c r="A3487" s="149"/>
      <c r="B3487" s="143"/>
      <c r="C3487" s="133"/>
      <c r="D3487" s="133"/>
      <c r="E3487" s="145"/>
      <c r="F3487" s="145"/>
      <c r="G3487" s="133"/>
      <c r="H3487" s="144"/>
      <c r="I3487" s="133"/>
      <c r="J3487" s="133"/>
      <c r="K3487" s="133"/>
      <c r="L3487" s="133"/>
      <c r="M3487" s="133"/>
      <c r="N3487" s="147"/>
      <c r="O3487" s="141"/>
      <c r="P3487" s="140"/>
    </row>
    <row r="3488" spans="1:16" hidden="1" x14ac:dyDescent="0.35">
      <c r="A3488" s="149">
        <v>202</v>
      </c>
      <c r="B3488" s="143">
        <v>45992</v>
      </c>
      <c r="C3488" s="264" t="s">
        <v>1571</v>
      </c>
      <c r="D3488" s="264" t="s">
        <v>2653</v>
      </c>
      <c r="E3488" s="145" t="s">
        <v>1118</v>
      </c>
      <c r="F3488" s="145">
        <v>456.8</v>
      </c>
      <c r="G3488" s="133" t="s">
        <v>1034</v>
      </c>
      <c r="H3488" s="144" t="s">
        <v>1341</v>
      </c>
      <c r="I3488" s="133" t="s">
        <v>1092</v>
      </c>
      <c r="J3488" s="276" t="s">
        <v>2681</v>
      </c>
      <c r="K3488" s="143">
        <v>45992</v>
      </c>
      <c r="L3488" s="133" t="s">
        <v>1092</v>
      </c>
      <c r="M3488" s="133">
        <v>456.8</v>
      </c>
      <c r="N3488" s="147">
        <f>+F3488+F3489-M3488-M3489</f>
        <v>0</v>
      </c>
      <c r="O3488" s="141"/>
      <c r="P3488" s="140"/>
    </row>
    <row r="3489" spans="1:16" hidden="1" x14ac:dyDescent="0.35">
      <c r="A3489" s="149"/>
      <c r="B3489" s="143"/>
      <c r="C3489" s="133"/>
      <c r="D3489" s="133"/>
      <c r="E3489" s="145" t="s">
        <v>1067</v>
      </c>
      <c r="F3489" s="145">
        <v>3433</v>
      </c>
      <c r="G3489" s="133" t="s">
        <v>1034</v>
      </c>
      <c r="H3489" s="144" t="s">
        <v>1341</v>
      </c>
      <c r="I3489" s="133" t="s">
        <v>1092</v>
      </c>
      <c r="J3489" s="281" t="s">
        <v>2694</v>
      </c>
      <c r="K3489" s="143">
        <v>45992</v>
      </c>
      <c r="L3489" s="133" t="s">
        <v>1092</v>
      </c>
      <c r="M3489" s="133">
        <v>3433</v>
      </c>
      <c r="N3489" s="147"/>
      <c r="O3489" s="141"/>
      <c r="P3489" s="140"/>
    </row>
    <row r="3490" spans="1:16" hidden="1" x14ac:dyDescent="0.35">
      <c r="A3490" s="149"/>
      <c r="B3490" s="143"/>
      <c r="C3490" s="133"/>
      <c r="D3490" s="133"/>
      <c r="E3490" s="145"/>
      <c r="F3490" s="145"/>
      <c r="G3490" s="133"/>
      <c r="H3490" s="144"/>
      <c r="I3490" s="133"/>
      <c r="J3490" s="281"/>
      <c r="K3490" s="143"/>
      <c r="L3490" s="133"/>
      <c r="M3490" s="133"/>
      <c r="N3490" s="147"/>
      <c r="O3490" s="141"/>
      <c r="P3490" s="140"/>
    </row>
    <row r="3491" spans="1:16" hidden="1" x14ac:dyDescent="0.35">
      <c r="A3491" s="149"/>
      <c r="B3491" s="143"/>
      <c r="C3491" s="133"/>
      <c r="D3491" s="133"/>
      <c r="E3491" s="145"/>
      <c r="F3491" s="145"/>
      <c r="G3491" s="133"/>
      <c r="H3491" s="144"/>
      <c r="I3491" s="133"/>
      <c r="J3491" s="133"/>
      <c r="K3491" s="133"/>
      <c r="L3491" s="133"/>
      <c r="M3491" s="133"/>
      <c r="N3491" s="147"/>
      <c r="O3491" s="141"/>
      <c r="P3491" s="140"/>
    </row>
    <row r="3492" spans="1:16" hidden="1" x14ac:dyDescent="0.35">
      <c r="A3492" s="149">
        <v>203</v>
      </c>
      <c r="B3492" s="143">
        <v>45992</v>
      </c>
      <c r="C3492" s="266" t="s">
        <v>1570</v>
      </c>
      <c r="D3492" s="266" t="s">
        <v>2656</v>
      </c>
      <c r="E3492" s="145" t="s">
        <v>1067</v>
      </c>
      <c r="F3492" s="145">
        <v>1987</v>
      </c>
      <c r="G3492" s="133" t="s">
        <v>1034</v>
      </c>
      <c r="H3492" s="144" t="s">
        <v>1341</v>
      </c>
      <c r="I3492" s="133" t="s">
        <v>1092</v>
      </c>
      <c r="J3492" s="294" t="s">
        <v>2705</v>
      </c>
      <c r="K3492" s="143">
        <v>46023</v>
      </c>
      <c r="L3492" s="133" t="s">
        <v>1092</v>
      </c>
      <c r="M3492" s="133">
        <f>1987+2410</f>
        <v>4397</v>
      </c>
      <c r="N3492" s="147">
        <f>+F3492+F3493+F3494-M3492-M3493-M3494</f>
        <v>0</v>
      </c>
      <c r="O3492" s="141"/>
      <c r="P3492" s="140"/>
    </row>
    <row r="3493" spans="1:16" hidden="1" x14ac:dyDescent="0.35">
      <c r="A3493" s="149"/>
      <c r="B3493" s="143"/>
      <c r="C3493" s="133"/>
      <c r="D3493" s="133"/>
      <c r="E3493" s="145" t="s">
        <v>1075</v>
      </c>
      <c r="F3493" s="145">
        <v>2410</v>
      </c>
      <c r="G3493" s="133" t="s">
        <v>1034</v>
      </c>
      <c r="H3493" s="144" t="s">
        <v>1341</v>
      </c>
      <c r="I3493" s="133" t="s">
        <v>1092</v>
      </c>
      <c r="J3493" s="305" t="s">
        <v>2719</v>
      </c>
      <c r="K3493" s="143">
        <v>46023</v>
      </c>
      <c r="L3493" s="133" t="s">
        <v>1092</v>
      </c>
      <c r="M3493" s="133">
        <v>4117</v>
      </c>
      <c r="N3493" s="147"/>
      <c r="O3493" s="141"/>
      <c r="P3493" s="140"/>
    </row>
    <row r="3494" spans="1:16" hidden="1" x14ac:dyDescent="0.35">
      <c r="A3494" s="149"/>
      <c r="B3494" s="143"/>
      <c r="C3494" s="133"/>
      <c r="D3494" s="133"/>
      <c r="E3494" s="145" t="s">
        <v>1342</v>
      </c>
      <c r="F3494" s="145">
        <v>4467</v>
      </c>
      <c r="G3494" s="133" t="s">
        <v>1034</v>
      </c>
      <c r="H3494" s="144" t="s">
        <v>1341</v>
      </c>
      <c r="I3494" s="133" t="s">
        <v>1092</v>
      </c>
      <c r="J3494" s="305" t="s">
        <v>2720</v>
      </c>
      <c r="K3494" s="143">
        <v>46023</v>
      </c>
      <c r="L3494" s="133" t="s">
        <v>1241</v>
      </c>
      <c r="M3494" s="133">
        <v>350</v>
      </c>
      <c r="N3494" s="147"/>
      <c r="O3494" s="141"/>
      <c r="P3494" s="140"/>
    </row>
    <row r="3495" spans="1:16" hidden="1" x14ac:dyDescent="0.35">
      <c r="A3495" s="149"/>
      <c r="B3495" s="143"/>
      <c r="C3495" s="133"/>
      <c r="D3495" s="133"/>
      <c r="E3495" s="145"/>
      <c r="F3495" s="145"/>
      <c r="G3495" s="133"/>
      <c r="H3495" s="144"/>
      <c r="I3495" s="133"/>
      <c r="J3495" s="133"/>
      <c r="K3495" s="133"/>
      <c r="L3495" s="133"/>
      <c r="M3495" s="133"/>
      <c r="N3495" s="147"/>
      <c r="O3495" s="141"/>
      <c r="P3495" s="140"/>
    </row>
    <row r="3496" spans="1:16" hidden="1" x14ac:dyDescent="0.35">
      <c r="A3496" s="149">
        <v>204</v>
      </c>
      <c r="B3496" s="143">
        <v>45992</v>
      </c>
      <c r="C3496" s="266" t="s">
        <v>1568</v>
      </c>
      <c r="D3496" s="266" t="s">
        <v>2657</v>
      </c>
      <c r="E3496" s="145" t="s">
        <v>1067</v>
      </c>
      <c r="F3496" s="145">
        <v>1269</v>
      </c>
      <c r="G3496" s="133" t="s">
        <v>1034</v>
      </c>
      <c r="H3496" s="144" t="s">
        <v>1341</v>
      </c>
      <c r="I3496" s="133" t="s">
        <v>1092</v>
      </c>
      <c r="J3496" s="281" t="s">
        <v>2694</v>
      </c>
      <c r="K3496" s="143">
        <v>45992</v>
      </c>
      <c r="L3496" s="133" t="s">
        <v>1092</v>
      </c>
      <c r="M3496" s="133">
        <v>1587.48</v>
      </c>
      <c r="N3496" s="147">
        <f>+F3496+F3497+F3498+F3499+F3500-M3496-M3497-M3498-M3499-M3500</f>
        <v>9.0949470177292824E-13</v>
      </c>
      <c r="O3496" s="141"/>
      <c r="P3496" s="140"/>
    </row>
    <row r="3497" spans="1:16" hidden="1" x14ac:dyDescent="0.35">
      <c r="A3497" s="149"/>
      <c r="B3497" s="143"/>
      <c r="C3497" s="133"/>
      <c r="D3497" s="133"/>
      <c r="E3497" s="145" t="s">
        <v>1075</v>
      </c>
      <c r="F3497" s="145">
        <v>676.1</v>
      </c>
      <c r="G3497" s="133" t="s">
        <v>1034</v>
      </c>
      <c r="H3497" s="144" t="s">
        <v>1341</v>
      </c>
      <c r="I3497" s="133" t="s">
        <v>1092</v>
      </c>
      <c r="J3497" s="294" t="s">
        <v>2705</v>
      </c>
      <c r="K3497" s="143">
        <v>46023</v>
      </c>
      <c r="L3497" s="133" t="s">
        <v>1092</v>
      </c>
      <c r="M3497" s="294">
        <f>676.1+20.92+1269</f>
        <v>1966.02</v>
      </c>
      <c r="N3497" s="147"/>
      <c r="O3497" s="141"/>
      <c r="P3497" s="140"/>
    </row>
    <row r="3498" spans="1:16" hidden="1" x14ac:dyDescent="0.35">
      <c r="A3498" s="149"/>
      <c r="B3498" s="143"/>
      <c r="C3498" s="133"/>
      <c r="D3498" s="133"/>
      <c r="E3498" s="145" t="s">
        <v>1342</v>
      </c>
      <c r="F3498" s="145">
        <v>4138</v>
      </c>
      <c r="G3498" s="133" t="s">
        <v>1034</v>
      </c>
      <c r="H3498" s="144" t="s">
        <v>1341</v>
      </c>
      <c r="I3498" s="133" t="s">
        <v>1092</v>
      </c>
      <c r="J3498" s="300" t="s">
        <v>2714</v>
      </c>
      <c r="K3498" s="143">
        <v>46023</v>
      </c>
      <c r="L3498" s="133" t="s">
        <v>1092</v>
      </c>
      <c r="M3498" s="133">
        <v>1085.7</v>
      </c>
      <c r="N3498" s="147"/>
      <c r="O3498" s="141"/>
      <c r="P3498" s="140"/>
    </row>
    <row r="3499" spans="1:16" hidden="1" x14ac:dyDescent="0.35">
      <c r="A3499" s="149"/>
      <c r="B3499" s="143"/>
      <c r="C3499" s="133"/>
      <c r="D3499" s="133"/>
      <c r="E3499" s="145" t="s">
        <v>1064</v>
      </c>
      <c r="F3499" s="145">
        <v>1085.7</v>
      </c>
      <c r="G3499" s="133" t="s">
        <v>1034</v>
      </c>
      <c r="H3499" s="144" t="s">
        <v>1341</v>
      </c>
      <c r="I3499" s="133" t="s">
        <v>1092</v>
      </c>
      <c r="J3499" s="305" t="s">
        <v>2719</v>
      </c>
      <c r="K3499" s="143">
        <v>46023</v>
      </c>
      <c r="L3499" s="133" t="s">
        <v>1092</v>
      </c>
      <c r="M3499" s="133">
        <v>3857</v>
      </c>
      <c r="N3499" s="147"/>
      <c r="O3499" s="141"/>
      <c r="P3499" s="140"/>
    </row>
    <row r="3500" spans="1:16" hidden="1" x14ac:dyDescent="0.35">
      <c r="A3500" s="149"/>
      <c r="B3500" s="143"/>
      <c r="C3500" s="133"/>
      <c r="D3500" s="133"/>
      <c r="E3500" s="145" t="s">
        <v>1118</v>
      </c>
      <c r="F3500" s="145">
        <v>1608.4</v>
      </c>
      <c r="G3500" s="133" t="s">
        <v>1034</v>
      </c>
      <c r="H3500" s="144" t="s">
        <v>1341</v>
      </c>
      <c r="I3500" s="133" t="s">
        <v>1092</v>
      </c>
      <c r="J3500" s="305" t="s">
        <v>2720</v>
      </c>
      <c r="K3500" s="143">
        <v>46023</v>
      </c>
      <c r="L3500" s="133" t="s">
        <v>1241</v>
      </c>
      <c r="M3500" s="133">
        <v>281</v>
      </c>
      <c r="N3500" s="147"/>
      <c r="O3500" s="141"/>
      <c r="P3500" s="140"/>
    </row>
    <row r="3501" spans="1:16" hidden="1" x14ac:dyDescent="0.35">
      <c r="A3501" s="149"/>
      <c r="B3501" s="143"/>
      <c r="C3501" s="133"/>
      <c r="D3501" s="133"/>
      <c r="E3501" s="145"/>
      <c r="F3501" s="145"/>
      <c r="G3501" s="133"/>
      <c r="H3501" s="144"/>
      <c r="I3501" s="133"/>
      <c r="J3501" s="133"/>
      <c r="K3501" s="133"/>
      <c r="L3501" s="133"/>
      <c r="M3501" s="133"/>
      <c r="N3501" s="147"/>
      <c r="O3501" s="141"/>
      <c r="P3501" s="140"/>
    </row>
    <row r="3502" spans="1:16" hidden="1" x14ac:dyDescent="0.35">
      <c r="A3502" s="149">
        <v>205</v>
      </c>
      <c r="B3502" s="143">
        <v>45992</v>
      </c>
      <c r="C3502" s="268" t="s">
        <v>1564</v>
      </c>
      <c r="D3502" s="268" t="s">
        <v>2662</v>
      </c>
      <c r="E3502" s="145" t="s">
        <v>1067</v>
      </c>
      <c r="F3502" s="145">
        <v>2555</v>
      </c>
      <c r="G3502" s="133" t="s">
        <v>1034</v>
      </c>
      <c r="H3502" s="144" t="s">
        <v>1341</v>
      </c>
      <c r="I3502" s="133" t="s">
        <v>1092</v>
      </c>
      <c r="J3502" s="294" t="s">
        <v>2705</v>
      </c>
      <c r="K3502" s="143">
        <v>46023</v>
      </c>
      <c r="L3502" s="133" t="s">
        <v>1092</v>
      </c>
      <c r="M3502" s="133">
        <f>1240+2555</f>
        <v>3795</v>
      </c>
      <c r="N3502" s="147">
        <f>+F3502+F3503+F3504-M3502-M3503-M3504</f>
        <v>0</v>
      </c>
      <c r="O3502" s="141"/>
      <c r="P3502" s="140"/>
    </row>
    <row r="3503" spans="1:16" hidden="1" x14ac:dyDescent="0.35">
      <c r="A3503" s="149"/>
      <c r="B3503" s="143"/>
      <c r="C3503" s="133"/>
      <c r="D3503" s="133"/>
      <c r="E3503" s="145" t="s">
        <v>1075</v>
      </c>
      <c r="F3503" s="145">
        <v>3336</v>
      </c>
      <c r="G3503" s="133" t="s">
        <v>1034</v>
      </c>
      <c r="H3503" s="144" t="s">
        <v>1341</v>
      </c>
      <c r="I3503" s="133" t="s">
        <v>1092</v>
      </c>
      <c r="J3503" s="300" t="s">
        <v>2714</v>
      </c>
      <c r="K3503" s="143">
        <v>46023</v>
      </c>
      <c r="L3503" s="133" t="s">
        <v>1092</v>
      </c>
      <c r="M3503" s="133">
        <v>3056</v>
      </c>
      <c r="N3503" s="147"/>
      <c r="O3503" s="141"/>
      <c r="P3503" s="140"/>
    </row>
    <row r="3504" spans="1:16" hidden="1" x14ac:dyDescent="0.35">
      <c r="A3504" s="149"/>
      <c r="B3504" s="143"/>
      <c r="C3504" s="133"/>
      <c r="D3504" s="133"/>
      <c r="E3504" s="145" t="s">
        <v>1118</v>
      </c>
      <c r="F3504" s="145">
        <v>1240</v>
      </c>
      <c r="G3504" s="133" t="s">
        <v>1034</v>
      </c>
      <c r="H3504" s="144" t="s">
        <v>1341</v>
      </c>
      <c r="I3504" s="133" t="s">
        <v>1092</v>
      </c>
      <c r="J3504" s="305" t="s">
        <v>2720</v>
      </c>
      <c r="K3504" s="143">
        <v>46023</v>
      </c>
      <c r="L3504" s="133" t="s">
        <v>1241</v>
      </c>
      <c r="M3504" s="133">
        <v>280</v>
      </c>
      <c r="N3504" s="147"/>
      <c r="O3504" s="141"/>
      <c r="P3504" s="140"/>
    </row>
    <row r="3505" spans="1:16" hidden="1" x14ac:dyDescent="0.35">
      <c r="A3505" s="149"/>
      <c r="B3505" s="143"/>
      <c r="C3505" s="133"/>
      <c r="D3505" s="133"/>
      <c r="E3505" s="145"/>
      <c r="F3505" s="145"/>
      <c r="G3505" s="133"/>
      <c r="H3505" s="144"/>
      <c r="I3505" s="133"/>
      <c r="J3505" s="133"/>
      <c r="K3505" s="133"/>
      <c r="L3505" s="133"/>
      <c r="M3505" s="133"/>
      <c r="N3505" s="147"/>
      <c r="O3505" s="141"/>
      <c r="P3505" s="140"/>
    </row>
    <row r="3506" spans="1:16" hidden="1" x14ac:dyDescent="0.35">
      <c r="A3506" s="149">
        <v>206</v>
      </c>
      <c r="B3506" s="143">
        <v>45992</v>
      </c>
      <c r="C3506" s="269" t="s">
        <v>1562</v>
      </c>
      <c r="D3506" s="269" t="s">
        <v>2663</v>
      </c>
      <c r="E3506" s="302" t="s">
        <v>1064</v>
      </c>
      <c r="F3506" s="145">
        <v>1201.9000000000001</v>
      </c>
      <c r="G3506" s="133" t="s">
        <v>1034</v>
      </c>
      <c r="H3506" s="144" t="s">
        <v>1341</v>
      </c>
      <c r="I3506" s="133" t="s">
        <v>1092</v>
      </c>
      <c r="J3506" s="300" t="s">
        <v>2714</v>
      </c>
      <c r="K3506" s="143">
        <v>46023</v>
      </c>
      <c r="L3506" s="133" t="s">
        <v>1092</v>
      </c>
      <c r="M3506" s="133">
        <f>1201.9+2452.4+188</f>
        <v>3842.3</v>
      </c>
      <c r="N3506" s="147">
        <f>+F3506+F3507+F3508-M3506-M3507</f>
        <v>0</v>
      </c>
      <c r="O3506" s="141"/>
      <c r="P3506" s="140"/>
    </row>
    <row r="3507" spans="1:16" hidden="1" x14ac:dyDescent="0.35">
      <c r="A3507" s="149"/>
      <c r="B3507" s="143"/>
      <c r="C3507" s="133"/>
      <c r="D3507" s="133"/>
      <c r="E3507" s="145" t="s">
        <v>1075</v>
      </c>
      <c r="F3507" s="145">
        <v>2614.4</v>
      </c>
      <c r="G3507" s="133" t="s">
        <v>1034</v>
      </c>
      <c r="H3507" s="144" t="s">
        <v>1341</v>
      </c>
      <c r="I3507" s="133" t="s">
        <v>1092</v>
      </c>
      <c r="J3507" s="305" t="s">
        <v>2720</v>
      </c>
      <c r="K3507" s="143">
        <v>46023</v>
      </c>
      <c r="L3507" s="133" t="s">
        <v>1241</v>
      </c>
      <c r="M3507" s="133">
        <v>162</v>
      </c>
      <c r="N3507" s="147"/>
      <c r="O3507" s="141"/>
      <c r="P3507" s="140"/>
    </row>
    <row r="3508" spans="1:16" hidden="1" x14ac:dyDescent="0.35">
      <c r="A3508" s="149"/>
      <c r="B3508" s="143"/>
      <c r="C3508" s="133"/>
      <c r="D3508" s="133"/>
      <c r="E3508" s="145" t="s">
        <v>1342</v>
      </c>
      <c r="F3508" s="145">
        <v>188</v>
      </c>
      <c r="G3508" s="133"/>
      <c r="H3508" s="144"/>
      <c r="I3508" s="133"/>
      <c r="J3508" s="133"/>
      <c r="K3508" s="133"/>
      <c r="L3508" s="133"/>
      <c r="M3508" s="133"/>
      <c r="N3508" s="147"/>
      <c r="O3508" s="141"/>
      <c r="P3508" s="140"/>
    </row>
    <row r="3509" spans="1:16" hidden="1" x14ac:dyDescent="0.35">
      <c r="A3509" s="149"/>
      <c r="B3509" s="143"/>
      <c r="C3509" s="133"/>
      <c r="D3509" s="133"/>
      <c r="E3509" s="145"/>
      <c r="F3509" s="145"/>
      <c r="G3509" s="133"/>
      <c r="H3509" s="144"/>
      <c r="I3509" s="133"/>
      <c r="J3509" s="133"/>
      <c r="K3509" s="133"/>
      <c r="L3509" s="133"/>
      <c r="M3509" s="133"/>
      <c r="N3509" s="147"/>
      <c r="O3509" s="141"/>
      <c r="P3509" s="140"/>
    </row>
    <row r="3510" spans="1:16" hidden="1" x14ac:dyDescent="0.35">
      <c r="A3510" s="149">
        <v>207</v>
      </c>
      <c r="B3510" s="143">
        <v>45992</v>
      </c>
      <c r="C3510" s="270" t="s">
        <v>1560</v>
      </c>
      <c r="D3510" s="270" t="s">
        <v>2664</v>
      </c>
      <c r="E3510" s="145" t="s">
        <v>1342</v>
      </c>
      <c r="F3510" s="145">
        <v>4060</v>
      </c>
      <c r="G3510" s="133" t="s">
        <v>1034</v>
      </c>
      <c r="H3510" s="144" t="s">
        <v>1341</v>
      </c>
      <c r="I3510" s="133" t="s">
        <v>1092</v>
      </c>
      <c r="J3510" s="294" t="s">
        <v>2705</v>
      </c>
      <c r="K3510" s="143">
        <v>46023</v>
      </c>
      <c r="L3510" s="133" t="s">
        <v>1092</v>
      </c>
      <c r="M3510" s="133">
        <v>805</v>
      </c>
      <c r="N3510" s="147">
        <f>+F3510+F3511-M3510-M3511-M3512</f>
        <v>0</v>
      </c>
      <c r="O3510" s="141"/>
      <c r="P3510" s="140"/>
    </row>
    <row r="3511" spans="1:16" hidden="1" x14ac:dyDescent="0.35">
      <c r="A3511" s="149"/>
      <c r="B3511" s="143"/>
      <c r="C3511" s="133"/>
      <c r="D3511" s="133"/>
      <c r="E3511" s="145" t="s">
        <v>1067</v>
      </c>
      <c r="F3511" s="145">
        <v>805</v>
      </c>
      <c r="G3511" s="133" t="s">
        <v>1034</v>
      </c>
      <c r="H3511" s="144" t="s">
        <v>1341</v>
      </c>
      <c r="I3511" s="133" t="s">
        <v>1092</v>
      </c>
      <c r="J3511" s="305" t="s">
        <v>2719</v>
      </c>
      <c r="K3511" s="143">
        <v>46023</v>
      </c>
      <c r="L3511" s="133" t="s">
        <v>1092</v>
      </c>
      <c r="M3511" s="133">
        <v>3869</v>
      </c>
      <c r="N3511" s="147"/>
      <c r="O3511" s="141"/>
      <c r="P3511" s="140"/>
    </row>
    <row r="3512" spans="1:16" hidden="1" x14ac:dyDescent="0.35">
      <c r="A3512" s="149"/>
      <c r="B3512" s="143"/>
      <c r="C3512" s="133"/>
      <c r="D3512" s="133"/>
      <c r="E3512" s="145"/>
      <c r="F3512" s="145"/>
      <c r="G3512" s="133" t="s">
        <v>1034</v>
      </c>
      <c r="H3512" s="144" t="s">
        <v>1341</v>
      </c>
      <c r="I3512" s="133" t="s">
        <v>1092</v>
      </c>
      <c r="J3512" s="305" t="s">
        <v>2720</v>
      </c>
      <c r="K3512" s="143">
        <v>46023</v>
      </c>
      <c r="L3512" s="133" t="s">
        <v>1241</v>
      </c>
      <c r="M3512" s="133">
        <v>191</v>
      </c>
      <c r="N3512" s="147"/>
      <c r="O3512" s="141"/>
      <c r="P3512" s="140"/>
    </row>
    <row r="3513" spans="1:16" hidden="1" x14ac:dyDescent="0.35">
      <c r="A3513" s="149"/>
      <c r="B3513" s="143"/>
      <c r="C3513" s="133"/>
      <c r="D3513" s="133"/>
      <c r="E3513" s="145"/>
      <c r="F3513" s="145"/>
      <c r="G3513" s="133"/>
      <c r="H3513" s="144"/>
      <c r="I3513" s="133"/>
      <c r="J3513" s="133"/>
      <c r="K3513" s="133"/>
      <c r="L3513" s="133"/>
      <c r="M3513" s="133"/>
      <c r="N3513" s="147"/>
      <c r="O3513" s="141"/>
      <c r="P3513" s="140"/>
    </row>
    <row r="3514" spans="1:16" hidden="1" x14ac:dyDescent="0.35">
      <c r="A3514" s="149">
        <v>208</v>
      </c>
      <c r="B3514" s="143">
        <v>45992</v>
      </c>
      <c r="C3514" s="271" t="s">
        <v>1558</v>
      </c>
      <c r="D3514" s="271" t="s">
        <v>2667</v>
      </c>
      <c r="E3514" s="145" t="s">
        <v>1075</v>
      </c>
      <c r="F3514" s="145">
        <v>3189</v>
      </c>
      <c r="G3514" s="133" t="s">
        <v>1034</v>
      </c>
      <c r="H3514" s="144" t="s">
        <v>1341</v>
      </c>
      <c r="I3514" s="133" t="s">
        <v>1092</v>
      </c>
      <c r="J3514" s="294" t="s">
        <v>2705</v>
      </c>
      <c r="K3514" s="143">
        <v>46023</v>
      </c>
      <c r="L3514" s="133" t="s">
        <v>1092</v>
      </c>
      <c r="M3514" s="133">
        <v>960</v>
      </c>
      <c r="N3514" s="147">
        <f>+F3514+F3515-M3514-M3515-M3516</f>
        <v>0</v>
      </c>
      <c r="O3514" s="141"/>
      <c r="P3514" s="140"/>
    </row>
    <row r="3515" spans="1:16" hidden="1" x14ac:dyDescent="0.35">
      <c r="A3515" s="149"/>
      <c r="B3515" s="143"/>
      <c r="C3515" s="133"/>
      <c r="D3515" s="133"/>
      <c r="E3515" s="145" t="s">
        <v>1067</v>
      </c>
      <c r="F3515" s="145">
        <v>960</v>
      </c>
      <c r="G3515" s="133" t="s">
        <v>1034</v>
      </c>
      <c r="H3515" s="144" t="s">
        <v>1341</v>
      </c>
      <c r="I3515" s="133" t="s">
        <v>1092</v>
      </c>
      <c r="J3515" s="300" t="s">
        <v>2714</v>
      </c>
      <c r="K3515" s="143">
        <v>46023</v>
      </c>
      <c r="L3515" s="133" t="s">
        <v>1092</v>
      </c>
      <c r="M3515" s="133">
        <v>3031</v>
      </c>
      <c r="N3515" s="147"/>
      <c r="O3515" s="141"/>
      <c r="P3515" s="140"/>
    </row>
    <row r="3516" spans="1:16" hidden="1" x14ac:dyDescent="0.35">
      <c r="A3516" s="149"/>
      <c r="B3516" s="143"/>
      <c r="C3516" s="133"/>
      <c r="D3516" s="133"/>
      <c r="E3516" s="145"/>
      <c r="F3516" s="145"/>
      <c r="G3516" s="133" t="s">
        <v>1034</v>
      </c>
      <c r="H3516" s="144" t="s">
        <v>1341</v>
      </c>
      <c r="I3516" s="133" t="s">
        <v>1092</v>
      </c>
      <c r="J3516" s="305" t="s">
        <v>2720</v>
      </c>
      <c r="K3516" s="143">
        <v>46023</v>
      </c>
      <c r="L3516" s="133" t="s">
        <v>1241</v>
      </c>
      <c r="M3516" s="133">
        <v>158</v>
      </c>
      <c r="N3516" s="147"/>
      <c r="O3516" s="141"/>
      <c r="P3516" s="140"/>
    </row>
    <row r="3517" spans="1:16" hidden="1" x14ac:dyDescent="0.35">
      <c r="A3517" s="149"/>
      <c r="B3517" s="143"/>
      <c r="C3517" s="133"/>
      <c r="D3517" s="133"/>
      <c r="E3517" s="145"/>
      <c r="F3517" s="145"/>
      <c r="G3517" s="133"/>
      <c r="H3517" s="144"/>
      <c r="I3517" s="133"/>
      <c r="J3517" s="133"/>
      <c r="K3517" s="133"/>
      <c r="L3517" s="133"/>
      <c r="M3517" s="133"/>
      <c r="N3517" s="147"/>
      <c r="O3517" s="141"/>
      <c r="P3517" s="140"/>
    </row>
    <row r="3518" spans="1:16" hidden="1" x14ac:dyDescent="0.35">
      <c r="A3518" s="149">
        <v>209</v>
      </c>
      <c r="B3518" s="143">
        <v>45992</v>
      </c>
      <c r="C3518" s="273" t="s">
        <v>1556</v>
      </c>
      <c r="D3518" s="273" t="s">
        <v>2670</v>
      </c>
      <c r="E3518" s="145" t="s">
        <v>1342</v>
      </c>
      <c r="F3518" s="145">
        <v>9493</v>
      </c>
      <c r="G3518" s="133" t="s">
        <v>1034</v>
      </c>
      <c r="H3518" s="144" t="s">
        <v>1341</v>
      </c>
      <c r="I3518" s="133" t="s">
        <v>1092</v>
      </c>
      <c r="J3518" s="294" t="s">
        <v>2705</v>
      </c>
      <c r="K3518" s="143">
        <v>46023</v>
      </c>
      <c r="L3518" s="133" t="s">
        <v>1092</v>
      </c>
      <c r="M3518" s="133">
        <v>843</v>
      </c>
      <c r="N3518" s="147">
        <f>+F3518+F3519-M3518-M3519-M3520</f>
        <v>0</v>
      </c>
      <c r="O3518" s="141"/>
      <c r="P3518" s="140"/>
    </row>
    <row r="3519" spans="1:16" hidden="1" x14ac:dyDescent="0.35">
      <c r="A3519" s="149"/>
      <c r="B3519" s="143"/>
      <c r="C3519" s="133"/>
      <c r="D3519" s="133"/>
      <c r="E3519" s="145" t="s">
        <v>1067</v>
      </c>
      <c r="F3519" s="145">
        <v>843</v>
      </c>
      <c r="G3519" s="133" t="s">
        <v>1034</v>
      </c>
      <c r="H3519" s="144" t="s">
        <v>1341</v>
      </c>
      <c r="I3519" s="133" t="s">
        <v>1092</v>
      </c>
      <c r="J3519" s="305" t="s">
        <v>2719</v>
      </c>
      <c r="K3519" s="143">
        <v>46023</v>
      </c>
      <c r="L3519" s="133" t="s">
        <v>1092</v>
      </c>
      <c r="M3519" s="133">
        <v>9094</v>
      </c>
      <c r="N3519" s="147"/>
      <c r="O3519" s="141"/>
      <c r="P3519" s="140"/>
    </row>
    <row r="3520" spans="1:16" hidden="1" x14ac:dyDescent="0.35">
      <c r="A3520" s="149"/>
      <c r="B3520" s="143"/>
      <c r="C3520" s="133"/>
      <c r="D3520" s="133"/>
      <c r="E3520" s="145"/>
      <c r="F3520" s="145"/>
      <c r="G3520" s="133" t="s">
        <v>1034</v>
      </c>
      <c r="H3520" s="144" t="s">
        <v>1341</v>
      </c>
      <c r="I3520" s="133" t="s">
        <v>1092</v>
      </c>
      <c r="J3520" s="305" t="s">
        <v>2720</v>
      </c>
      <c r="K3520" s="143">
        <v>46023</v>
      </c>
      <c r="L3520" s="133" t="s">
        <v>1241</v>
      </c>
      <c r="M3520" s="133">
        <v>399</v>
      </c>
      <c r="N3520" s="147"/>
      <c r="O3520" s="141"/>
      <c r="P3520" s="140"/>
    </row>
    <row r="3521" spans="1:16" hidden="1" x14ac:dyDescent="0.35">
      <c r="A3521" s="149"/>
      <c r="B3521" s="143"/>
      <c r="C3521" s="133"/>
      <c r="D3521" s="133"/>
      <c r="E3521" s="145"/>
      <c r="F3521" s="145"/>
      <c r="G3521" s="133"/>
      <c r="H3521" s="144"/>
      <c r="I3521" s="133"/>
      <c r="J3521" s="133"/>
      <c r="K3521" s="133"/>
      <c r="L3521" s="133"/>
      <c r="M3521" s="133"/>
      <c r="N3521" s="147"/>
      <c r="O3521" s="141"/>
      <c r="P3521" s="140"/>
    </row>
    <row r="3522" spans="1:16" hidden="1" x14ac:dyDescent="0.35">
      <c r="A3522" s="149">
        <v>210</v>
      </c>
      <c r="B3522" s="143">
        <v>45992</v>
      </c>
      <c r="C3522" s="273" t="s">
        <v>1551</v>
      </c>
      <c r="D3522" s="273" t="s">
        <v>2671</v>
      </c>
      <c r="E3522" s="145" t="s">
        <v>1075</v>
      </c>
      <c r="F3522" s="145">
        <v>2702</v>
      </c>
      <c r="G3522" s="133" t="s">
        <v>1034</v>
      </c>
      <c r="H3522" s="144" t="s">
        <v>1341</v>
      </c>
      <c r="I3522" s="133" t="s">
        <v>1092</v>
      </c>
      <c r="J3522" s="294" t="s">
        <v>2705</v>
      </c>
      <c r="K3522" s="143">
        <v>46023</v>
      </c>
      <c r="L3522" s="133" t="s">
        <v>1092</v>
      </c>
      <c r="M3522" s="133">
        <v>2752</v>
      </c>
      <c r="N3522" s="147">
        <f>+F3522+F3523+F3524-M3522-M3523-M3524</f>
        <v>0</v>
      </c>
      <c r="O3522" s="141"/>
      <c r="P3522" s="140"/>
    </row>
    <row r="3523" spans="1:16" hidden="1" x14ac:dyDescent="0.35">
      <c r="A3523" s="149"/>
      <c r="B3523" s="143"/>
      <c r="C3523" s="133"/>
      <c r="D3523" s="133"/>
      <c r="E3523" s="145" t="s">
        <v>1118</v>
      </c>
      <c r="F3523" s="145">
        <v>2752</v>
      </c>
      <c r="G3523" s="133" t="s">
        <v>1034</v>
      </c>
      <c r="H3523" s="144" t="s">
        <v>1341</v>
      </c>
      <c r="I3523" s="133" t="s">
        <v>1092</v>
      </c>
      <c r="J3523" s="300" t="s">
        <v>2714</v>
      </c>
      <c r="K3523" s="143">
        <v>46023</v>
      </c>
      <c r="L3523" s="133" t="s">
        <v>1092</v>
      </c>
      <c r="M3523" s="133">
        <f>2499+955</f>
        <v>3454</v>
      </c>
      <c r="N3523" s="147"/>
      <c r="O3523" s="141"/>
      <c r="P3523" s="140"/>
    </row>
    <row r="3524" spans="1:16" hidden="1" x14ac:dyDescent="0.35">
      <c r="A3524" s="149"/>
      <c r="B3524" s="143"/>
      <c r="C3524" s="133"/>
      <c r="D3524" s="133"/>
      <c r="E3524" s="145" t="s">
        <v>1064</v>
      </c>
      <c r="F3524" s="145">
        <v>955</v>
      </c>
      <c r="G3524" s="133" t="s">
        <v>1034</v>
      </c>
      <c r="H3524" s="144" t="s">
        <v>1341</v>
      </c>
      <c r="I3524" s="133" t="s">
        <v>1092</v>
      </c>
      <c r="J3524" s="305" t="s">
        <v>2720</v>
      </c>
      <c r="K3524" s="143">
        <v>46023</v>
      </c>
      <c r="L3524" s="133" t="s">
        <v>1241</v>
      </c>
      <c r="M3524" s="133">
        <v>203</v>
      </c>
      <c r="N3524" s="147"/>
      <c r="O3524" s="141"/>
      <c r="P3524" s="140"/>
    </row>
    <row r="3525" spans="1:16" hidden="1" x14ac:dyDescent="0.35">
      <c r="A3525" s="149"/>
      <c r="B3525" s="143"/>
      <c r="C3525" s="133"/>
      <c r="D3525" s="133"/>
      <c r="E3525" s="145"/>
      <c r="F3525" s="145"/>
      <c r="G3525" s="133"/>
      <c r="H3525" s="144"/>
      <c r="I3525" s="133"/>
      <c r="J3525" s="133"/>
      <c r="K3525" s="133"/>
      <c r="L3525" s="133"/>
      <c r="M3525" s="133"/>
      <c r="N3525" s="147"/>
      <c r="O3525" s="141"/>
      <c r="P3525" s="140"/>
    </row>
    <row r="3526" spans="1:16" hidden="1" x14ac:dyDescent="0.35">
      <c r="A3526" s="149">
        <v>211</v>
      </c>
      <c r="B3526" s="143">
        <v>45992</v>
      </c>
      <c r="C3526" s="273" t="s">
        <v>1549</v>
      </c>
      <c r="D3526" s="273" t="s">
        <v>2672</v>
      </c>
      <c r="E3526" s="145" t="s">
        <v>1342</v>
      </c>
      <c r="F3526" s="145">
        <v>5037</v>
      </c>
      <c r="G3526" s="133" t="s">
        <v>1034</v>
      </c>
      <c r="H3526" s="144" t="s">
        <v>1341</v>
      </c>
      <c r="I3526" s="133" t="s">
        <v>1092</v>
      </c>
      <c r="J3526" s="294" t="s">
        <v>2705</v>
      </c>
      <c r="K3526" s="143">
        <v>46023</v>
      </c>
      <c r="L3526" s="133" t="s">
        <v>1092</v>
      </c>
      <c r="M3526" s="133">
        <v>421</v>
      </c>
      <c r="N3526" s="147">
        <f>+F3526+F3527-M3526-M3527-M3528</f>
        <v>0</v>
      </c>
      <c r="O3526" s="141"/>
      <c r="P3526" s="140"/>
    </row>
    <row r="3527" spans="1:16" hidden="1" x14ac:dyDescent="0.35">
      <c r="A3527" s="149"/>
      <c r="B3527" s="143"/>
      <c r="C3527" s="133"/>
      <c r="D3527" s="133"/>
      <c r="E3527" s="145" t="s">
        <v>1067</v>
      </c>
      <c r="F3527" s="145">
        <v>421</v>
      </c>
      <c r="G3527" s="133" t="s">
        <v>1034</v>
      </c>
      <c r="H3527" s="144" t="s">
        <v>1341</v>
      </c>
      <c r="I3527" s="133" t="s">
        <v>1092</v>
      </c>
      <c r="J3527" s="305" t="s">
        <v>2719</v>
      </c>
      <c r="K3527" s="143">
        <v>46023</v>
      </c>
      <c r="L3527" s="133" t="s">
        <v>1092</v>
      </c>
      <c r="M3527" s="133">
        <v>4818</v>
      </c>
      <c r="N3527" s="147"/>
      <c r="O3527" s="141"/>
      <c r="P3527" s="140"/>
    </row>
    <row r="3528" spans="1:16" hidden="1" x14ac:dyDescent="0.35">
      <c r="A3528" s="149"/>
      <c r="B3528" s="143"/>
      <c r="C3528" s="133"/>
      <c r="D3528" s="133"/>
      <c r="E3528" s="145"/>
      <c r="F3528" s="145"/>
      <c r="G3528" s="133" t="s">
        <v>1034</v>
      </c>
      <c r="H3528" s="144" t="s">
        <v>1341</v>
      </c>
      <c r="I3528" s="133" t="s">
        <v>1092</v>
      </c>
      <c r="J3528" s="305" t="s">
        <v>2720</v>
      </c>
      <c r="K3528" s="143">
        <v>46023</v>
      </c>
      <c r="L3528" s="133" t="s">
        <v>1241</v>
      </c>
      <c r="M3528" s="133">
        <v>219</v>
      </c>
      <c r="N3528" s="147"/>
      <c r="O3528" s="141"/>
      <c r="P3528" s="140"/>
    </row>
    <row r="3529" spans="1:16" hidden="1" x14ac:dyDescent="0.35">
      <c r="A3529" s="149"/>
      <c r="B3529" s="143"/>
      <c r="C3529" s="133"/>
      <c r="D3529" s="133"/>
      <c r="E3529" s="145"/>
      <c r="F3529" s="145"/>
      <c r="G3529" s="133"/>
      <c r="H3529" s="144"/>
      <c r="I3529" s="133"/>
      <c r="J3529" s="133"/>
      <c r="K3529" s="133"/>
      <c r="L3529" s="133"/>
      <c r="M3529" s="133"/>
      <c r="N3529" s="147"/>
      <c r="O3529" s="141"/>
      <c r="P3529" s="140"/>
    </row>
    <row r="3530" spans="1:16" hidden="1" x14ac:dyDescent="0.35">
      <c r="A3530" s="149">
        <v>212</v>
      </c>
      <c r="B3530" s="143">
        <v>45992</v>
      </c>
      <c r="C3530" s="274" t="s">
        <v>1547</v>
      </c>
      <c r="D3530" s="275" t="s">
        <v>2676</v>
      </c>
      <c r="E3530" s="145" t="s">
        <v>1075</v>
      </c>
      <c r="F3530" s="145">
        <v>2402</v>
      </c>
      <c r="G3530" s="133" t="s">
        <v>1034</v>
      </c>
      <c r="H3530" s="144" t="s">
        <v>1341</v>
      </c>
      <c r="I3530" s="133" t="s">
        <v>1092</v>
      </c>
      <c r="J3530" s="294" t="s">
        <v>2705</v>
      </c>
      <c r="K3530" s="143">
        <v>46023</v>
      </c>
      <c r="L3530" s="133" t="s">
        <v>1092</v>
      </c>
      <c r="M3530" s="133">
        <v>3184</v>
      </c>
      <c r="N3530" s="147">
        <f>+F3530+F3531+F3532-M3530-M3531-M3532-M3533</f>
        <v>0</v>
      </c>
      <c r="O3530" s="141"/>
      <c r="P3530" s="140"/>
    </row>
    <row r="3531" spans="1:16" hidden="1" x14ac:dyDescent="0.35">
      <c r="A3531" s="149"/>
      <c r="B3531" s="143"/>
      <c r="C3531" s="133"/>
      <c r="D3531" s="133"/>
      <c r="E3531" s="145" t="s">
        <v>1342</v>
      </c>
      <c r="F3531" s="145">
        <v>457</v>
      </c>
      <c r="G3531" s="133" t="s">
        <v>1034</v>
      </c>
      <c r="H3531" s="144" t="s">
        <v>1341</v>
      </c>
      <c r="I3531" s="133" t="s">
        <v>1092</v>
      </c>
      <c r="J3531" s="300" t="s">
        <v>2714</v>
      </c>
      <c r="K3531" s="143">
        <v>46023</v>
      </c>
      <c r="L3531" s="133" t="s">
        <v>1092</v>
      </c>
      <c r="M3531" s="133">
        <v>2161</v>
      </c>
      <c r="N3531" s="147"/>
      <c r="O3531" s="141"/>
      <c r="P3531" s="140"/>
    </row>
    <row r="3532" spans="1:16" hidden="1" x14ac:dyDescent="0.35">
      <c r="A3532" s="149"/>
      <c r="B3532" s="143"/>
      <c r="C3532" s="133"/>
      <c r="D3532" s="133"/>
      <c r="E3532" s="145" t="s">
        <v>1067</v>
      </c>
      <c r="F3532" s="145">
        <v>3184</v>
      </c>
      <c r="G3532" s="133" t="s">
        <v>1034</v>
      </c>
      <c r="H3532" s="144" t="s">
        <v>1341</v>
      </c>
      <c r="I3532" s="133" t="s">
        <v>1092</v>
      </c>
      <c r="J3532" s="305" t="s">
        <v>2719</v>
      </c>
      <c r="K3532" s="143">
        <v>46023</v>
      </c>
      <c r="L3532" s="133" t="s">
        <v>1092</v>
      </c>
      <c r="M3532" s="133">
        <v>457</v>
      </c>
      <c r="N3532" s="147"/>
      <c r="O3532" s="141"/>
      <c r="P3532" s="140"/>
    </row>
    <row r="3533" spans="1:16" hidden="1" x14ac:dyDescent="0.35">
      <c r="A3533" s="149"/>
      <c r="B3533" s="143"/>
      <c r="C3533" s="133"/>
      <c r="D3533" s="133"/>
      <c r="E3533" s="145"/>
      <c r="F3533" s="145"/>
      <c r="G3533" s="133" t="s">
        <v>1034</v>
      </c>
      <c r="H3533" s="144" t="s">
        <v>1341</v>
      </c>
      <c r="I3533" s="133" t="s">
        <v>1092</v>
      </c>
      <c r="J3533" s="305" t="s">
        <v>2720</v>
      </c>
      <c r="K3533" s="143">
        <v>46023</v>
      </c>
      <c r="L3533" s="133" t="s">
        <v>1241</v>
      </c>
      <c r="M3533" s="133">
        <v>241</v>
      </c>
      <c r="N3533" s="147"/>
      <c r="O3533" s="141"/>
      <c r="P3533" s="140"/>
    </row>
    <row r="3534" spans="1:16" hidden="1" x14ac:dyDescent="0.35">
      <c r="A3534" s="149"/>
      <c r="B3534" s="143"/>
      <c r="C3534" s="133"/>
      <c r="D3534" s="133"/>
      <c r="E3534" s="145"/>
      <c r="F3534" s="145"/>
      <c r="G3534" s="133"/>
      <c r="H3534" s="144"/>
      <c r="I3534" s="133"/>
      <c r="J3534" s="133"/>
      <c r="K3534" s="133"/>
      <c r="L3534" s="133"/>
      <c r="M3534" s="133"/>
      <c r="N3534" s="147"/>
      <c r="O3534" s="141"/>
      <c r="P3534" s="140"/>
    </row>
    <row r="3535" spans="1:16" hidden="1" x14ac:dyDescent="0.35">
      <c r="A3535" s="149">
        <v>213</v>
      </c>
      <c r="B3535" s="143">
        <v>45992</v>
      </c>
      <c r="C3535" s="275" t="s">
        <v>1546</v>
      </c>
      <c r="D3535" s="275" t="s">
        <v>2677</v>
      </c>
      <c r="E3535" s="145" t="s">
        <v>1075</v>
      </c>
      <c r="F3535" s="145">
        <v>1763</v>
      </c>
      <c r="G3535" s="133" t="s">
        <v>1034</v>
      </c>
      <c r="H3535" s="144" t="s">
        <v>1341</v>
      </c>
      <c r="I3535" s="133" t="s">
        <v>1092</v>
      </c>
      <c r="J3535" s="300" t="s">
        <v>2714</v>
      </c>
      <c r="K3535" s="143">
        <v>46023</v>
      </c>
      <c r="L3535" s="133" t="s">
        <v>1092</v>
      </c>
      <c r="M3535" s="133">
        <v>1609.8</v>
      </c>
      <c r="N3535" s="147">
        <f>+F3535+F3536+F3537-M3535-M3536-M3537</f>
        <v>0</v>
      </c>
      <c r="O3535" s="141"/>
      <c r="P3535" s="140"/>
    </row>
    <row r="3536" spans="1:16" hidden="1" x14ac:dyDescent="0.35">
      <c r="A3536" s="149"/>
      <c r="B3536" s="143"/>
      <c r="C3536" s="133"/>
      <c r="D3536" s="133"/>
      <c r="E3536" s="145" t="s">
        <v>1342</v>
      </c>
      <c r="F3536" s="145">
        <v>3566</v>
      </c>
      <c r="G3536" s="133" t="s">
        <v>1034</v>
      </c>
      <c r="H3536" s="144" t="s">
        <v>1341</v>
      </c>
      <c r="I3536" s="133" t="s">
        <v>1092</v>
      </c>
      <c r="J3536" s="305" t="s">
        <v>2719</v>
      </c>
      <c r="K3536" s="143">
        <v>46023</v>
      </c>
      <c r="L3536" s="133" t="s">
        <v>1092</v>
      </c>
      <c r="M3536" s="133">
        <v>5058.8</v>
      </c>
      <c r="N3536" s="147"/>
      <c r="O3536" s="141"/>
      <c r="P3536" s="140"/>
    </row>
    <row r="3537" spans="1:16" hidden="1" x14ac:dyDescent="0.35">
      <c r="A3537" s="149"/>
      <c r="B3537" s="143"/>
      <c r="C3537" s="133"/>
      <c r="D3537" s="133"/>
      <c r="E3537" s="145" t="s">
        <v>1067</v>
      </c>
      <c r="F3537" s="145">
        <v>1609.6</v>
      </c>
      <c r="G3537" s="133" t="s">
        <v>1034</v>
      </c>
      <c r="H3537" s="144" t="s">
        <v>1341</v>
      </c>
      <c r="I3537" s="133" t="s">
        <v>1092</v>
      </c>
      <c r="J3537" s="305" t="s">
        <v>2720</v>
      </c>
      <c r="K3537" s="143">
        <v>46023</v>
      </c>
      <c r="L3537" s="133" t="s">
        <v>1241</v>
      </c>
      <c r="M3537" s="133">
        <v>270</v>
      </c>
      <c r="N3537" s="147"/>
      <c r="O3537" s="141"/>
      <c r="P3537" s="140"/>
    </row>
    <row r="3538" spans="1:16" hidden="1" x14ac:dyDescent="0.35">
      <c r="A3538" s="149"/>
      <c r="B3538" s="143"/>
      <c r="C3538" s="133"/>
      <c r="D3538" s="133"/>
      <c r="E3538" s="145"/>
      <c r="F3538" s="145"/>
      <c r="G3538" s="133"/>
      <c r="H3538" s="144"/>
      <c r="I3538" s="133"/>
      <c r="J3538" s="133"/>
      <c r="K3538" s="133"/>
      <c r="L3538" s="133"/>
      <c r="M3538" s="133"/>
      <c r="N3538" s="147"/>
      <c r="O3538" s="141"/>
      <c r="P3538" s="140"/>
    </row>
    <row r="3539" spans="1:16" hidden="1" x14ac:dyDescent="0.35">
      <c r="A3539" s="149">
        <v>214</v>
      </c>
      <c r="B3539" s="143">
        <v>45992</v>
      </c>
      <c r="C3539" s="275" t="s">
        <v>1544</v>
      </c>
      <c r="D3539" s="275" t="s">
        <v>2678</v>
      </c>
      <c r="E3539" s="145" t="s">
        <v>1064</v>
      </c>
      <c r="F3539" s="145">
        <v>1315.5</v>
      </c>
      <c r="G3539" s="133" t="s">
        <v>1034</v>
      </c>
      <c r="H3539" s="144" t="s">
        <v>1341</v>
      </c>
      <c r="I3539" s="133" t="s">
        <v>1092</v>
      </c>
      <c r="J3539" s="305" t="s">
        <v>2719</v>
      </c>
      <c r="K3539" s="143">
        <v>46023</v>
      </c>
      <c r="L3539" s="133" t="s">
        <v>1092</v>
      </c>
      <c r="M3539" s="133">
        <v>1254.5</v>
      </c>
      <c r="N3539" s="147">
        <f>+F3539-M3539-M3540</f>
        <v>0</v>
      </c>
      <c r="O3539" s="141"/>
      <c r="P3539" s="140"/>
    </row>
    <row r="3540" spans="1:16" hidden="1" x14ac:dyDescent="0.35">
      <c r="A3540" s="149"/>
      <c r="B3540" s="143"/>
      <c r="C3540" s="275"/>
      <c r="D3540" s="275"/>
      <c r="E3540" s="145"/>
      <c r="F3540" s="145"/>
      <c r="G3540" s="133" t="s">
        <v>1034</v>
      </c>
      <c r="H3540" s="144" t="s">
        <v>1341</v>
      </c>
      <c r="I3540" s="133" t="s">
        <v>1092</v>
      </c>
      <c r="J3540" s="305" t="s">
        <v>2720</v>
      </c>
      <c r="K3540" s="143">
        <v>46023</v>
      </c>
      <c r="L3540" s="133" t="s">
        <v>1241</v>
      </c>
      <c r="M3540" s="133">
        <v>61</v>
      </c>
      <c r="N3540" s="147"/>
      <c r="O3540" s="141"/>
      <c r="P3540" s="140"/>
    </row>
    <row r="3541" spans="1:16" hidden="1" x14ac:dyDescent="0.35">
      <c r="A3541" s="149"/>
      <c r="B3541" s="143"/>
      <c r="C3541" s="275"/>
      <c r="D3541" s="275"/>
      <c r="E3541" s="145"/>
      <c r="F3541" s="145"/>
      <c r="G3541" s="133"/>
      <c r="H3541" s="144"/>
      <c r="I3541" s="133"/>
      <c r="J3541" s="305"/>
      <c r="K3541" s="143"/>
      <c r="L3541" s="133"/>
      <c r="M3541" s="133"/>
      <c r="N3541" s="147"/>
      <c r="O3541" s="141"/>
      <c r="P3541" s="140"/>
    </row>
    <row r="3542" spans="1:16" hidden="1" x14ac:dyDescent="0.35">
      <c r="A3542" s="149">
        <v>215</v>
      </c>
      <c r="B3542" s="143">
        <v>45992</v>
      </c>
      <c r="C3542" s="277" t="s">
        <v>1543</v>
      </c>
      <c r="D3542" s="277" t="s">
        <v>2682</v>
      </c>
      <c r="E3542" s="145" t="s">
        <v>1075</v>
      </c>
      <c r="F3542" s="145">
        <v>396</v>
      </c>
      <c r="G3542" s="133" t="s">
        <v>1034</v>
      </c>
      <c r="H3542" s="144" t="s">
        <v>1341</v>
      </c>
      <c r="I3542" s="133" t="s">
        <v>1092</v>
      </c>
      <c r="J3542" s="300" t="s">
        <v>2714</v>
      </c>
      <c r="K3542" s="143">
        <v>46023</v>
      </c>
      <c r="L3542" s="133" t="s">
        <v>1092</v>
      </c>
      <c r="M3542" s="133">
        <f>1540.8+9195</f>
        <v>10735.8</v>
      </c>
      <c r="N3542" s="147">
        <f>+F3542+F3543+F3544-M3542-M3543</f>
        <v>0</v>
      </c>
      <c r="O3542" s="141"/>
      <c r="P3542" s="140"/>
    </row>
    <row r="3543" spans="1:16" hidden="1" x14ac:dyDescent="0.35">
      <c r="A3543" s="149"/>
      <c r="B3543" s="143"/>
      <c r="C3543" s="133"/>
      <c r="D3543" s="133"/>
      <c r="E3543" s="145" t="s">
        <v>1067</v>
      </c>
      <c r="F3543" s="145">
        <v>9195</v>
      </c>
      <c r="G3543" s="133" t="s">
        <v>1034</v>
      </c>
      <c r="H3543" s="144" t="s">
        <v>1341</v>
      </c>
      <c r="I3543" s="133" t="s">
        <v>1092</v>
      </c>
      <c r="J3543" s="305" t="s">
        <v>2720</v>
      </c>
      <c r="K3543" s="143">
        <v>46023</v>
      </c>
      <c r="L3543" s="133" t="s">
        <v>1241</v>
      </c>
      <c r="M3543" s="133">
        <v>396</v>
      </c>
      <c r="N3543" s="147"/>
      <c r="O3543" s="141"/>
      <c r="P3543" s="140"/>
    </row>
    <row r="3544" spans="1:16" hidden="1" x14ac:dyDescent="0.35">
      <c r="A3544" s="149"/>
      <c r="B3544" s="143"/>
      <c r="C3544" s="133"/>
      <c r="D3544" s="133"/>
      <c r="E3544" s="145" t="s">
        <v>1118</v>
      </c>
      <c r="F3544" s="145">
        <v>1540.8</v>
      </c>
      <c r="G3544" s="133"/>
      <c r="H3544" s="144"/>
      <c r="I3544" s="133"/>
      <c r="J3544" s="133"/>
      <c r="K3544" s="133"/>
      <c r="L3544" s="133"/>
      <c r="M3544" s="133"/>
      <c r="N3544" s="147"/>
      <c r="O3544" s="141"/>
      <c r="P3544" s="140"/>
    </row>
    <row r="3545" spans="1:16" hidden="1" x14ac:dyDescent="0.35">
      <c r="A3545" s="149"/>
      <c r="B3545" s="143"/>
      <c r="C3545" s="275"/>
      <c r="D3545" s="275"/>
      <c r="E3545" s="145"/>
      <c r="F3545" s="145"/>
      <c r="G3545" s="133"/>
      <c r="H3545" s="144"/>
      <c r="I3545" s="133"/>
      <c r="J3545" s="133"/>
      <c r="K3545" s="133"/>
      <c r="L3545" s="133"/>
      <c r="M3545" s="133"/>
      <c r="N3545" s="147"/>
      <c r="O3545" s="141"/>
      <c r="P3545" s="140"/>
    </row>
    <row r="3546" spans="1:16" hidden="1" x14ac:dyDescent="0.35">
      <c r="A3546" s="149">
        <v>216</v>
      </c>
      <c r="B3546" s="143">
        <v>45992</v>
      </c>
      <c r="C3546" s="278" t="s">
        <v>1541</v>
      </c>
      <c r="D3546" s="278" t="s">
        <v>2686</v>
      </c>
      <c r="E3546" s="145" t="s">
        <v>1075</v>
      </c>
      <c r="F3546" s="145">
        <v>5977</v>
      </c>
      <c r="G3546" s="133" t="s">
        <v>1034</v>
      </c>
      <c r="H3546" s="144" t="s">
        <v>1341</v>
      </c>
      <c r="I3546" s="133" t="s">
        <v>1092</v>
      </c>
      <c r="J3546" s="300" t="s">
        <v>2714</v>
      </c>
      <c r="K3546" s="143">
        <v>46023</v>
      </c>
      <c r="L3546" s="133" t="s">
        <v>1092</v>
      </c>
      <c r="M3546" s="133">
        <v>1896</v>
      </c>
      <c r="N3546" s="147">
        <f>+F3546+F3547+F3548+F3549-M3546-M3547-M3548</f>
        <v>0</v>
      </c>
      <c r="O3546" s="141"/>
      <c r="P3546" s="140"/>
    </row>
    <row r="3547" spans="1:16" hidden="1" x14ac:dyDescent="0.35">
      <c r="A3547" s="149"/>
      <c r="B3547" s="143"/>
      <c r="C3547" s="133"/>
      <c r="D3547" s="133"/>
      <c r="E3547" s="145" t="s">
        <v>1067</v>
      </c>
      <c r="F3547" s="145">
        <v>1896</v>
      </c>
      <c r="G3547" s="133" t="s">
        <v>1034</v>
      </c>
      <c r="H3547" s="144" t="s">
        <v>1341</v>
      </c>
      <c r="I3547" s="133" t="s">
        <v>1092</v>
      </c>
      <c r="J3547" s="305" t="s">
        <v>2720</v>
      </c>
      <c r="K3547" s="143">
        <v>46023</v>
      </c>
      <c r="L3547" s="133" t="s">
        <v>1241</v>
      </c>
      <c r="M3547" s="133">
        <v>466</v>
      </c>
      <c r="N3547" s="147"/>
      <c r="O3547" s="141"/>
      <c r="P3547" s="140"/>
    </row>
    <row r="3548" spans="1:16" hidden="1" x14ac:dyDescent="0.35">
      <c r="A3548" s="149"/>
      <c r="B3548" s="143"/>
      <c r="C3548" s="133"/>
      <c r="D3548" s="133"/>
      <c r="E3548" s="145" t="s">
        <v>1342</v>
      </c>
      <c r="F3548" s="145">
        <v>2682</v>
      </c>
      <c r="G3548" s="133" t="s">
        <v>1034</v>
      </c>
      <c r="H3548" s="144" t="s">
        <v>1341</v>
      </c>
      <c r="I3548" s="133" t="s">
        <v>1092</v>
      </c>
      <c r="J3548" s="312" t="s">
        <v>2736</v>
      </c>
      <c r="K3548" s="143">
        <v>46023</v>
      </c>
      <c r="L3548" s="133" t="s">
        <v>1092</v>
      </c>
      <c r="M3548" s="133">
        <v>9291.4</v>
      </c>
      <c r="N3548" s="147"/>
      <c r="O3548" s="141"/>
      <c r="P3548" s="140"/>
    </row>
    <row r="3549" spans="1:16" hidden="1" x14ac:dyDescent="0.35">
      <c r="A3549" s="149"/>
      <c r="B3549" s="143"/>
      <c r="C3549" s="275"/>
      <c r="D3549" s="275"/>
      <c r="E3549" s="145" t="s">
        <v>1075</v>
      </c>
      <c r="F3549" s="145">
        <v>1098.4000000000001</v>
      </c>
      <c r="G3549" s="133"/>
      <c r="H3549" s="144"/>
      <c r="I3549" s="133"/>
      <c r="J3549" s="133"/>
      <c r="K3549" s="133"/>
      <c r="L3549" s="133"/>
      <c r="M3549" s="133"/>
      <c r="N3549" s="147"/>
      <c r="O3549" s="141"/>
      <c r="P3549" s="140"/>
    </row>
    <row r="3550" spans="1:16" hidden="1" x14ac:dyDescent="0.35">
      <c r="A3550" s="149"/>
      <c r="B3550" s="143"/>
      <c r="C3550" s="275"/>
      <c r="D3550" s="275"/>
      <c r="E3550" s="145"/>
      <c r="F3550" s="145"/>
      <c r="G3550" s="133"/>
      <c r="H3550" s="144"/>
      <c r="I3550" s="133"/>
      <c r="J3550" s="133"/>
      <c r="K3550" s="133"/>
      <c r="L3550" s="133"/>
      <c r="M3550" s="133"/>
      <c r="N3550" s="147"/>
      <c r="O3550" s="141"/>
      <c r="P3550" s="140"/>
    </row>
    <row r="3551" spans="1:16" hidden="1" x14ac:dyDescent="0.35">
      <c r="A3551" s="149">
        <v>217</v>
      </c>
      <c r="B3551" s="143">
        <v>45992</v>
      </c>
      <c r="C3551" s="278" t="s">
        <v>1540</v>
      </c>
      <c r="D3551" s="278" t="s">
        <v>2685</v>
      </c>
      <c r="E3551" s="145" t="s">
        <v>1067</v>
      </c>
      <c r="F3551" s="145">
        <v>1593</v>
      </c>
      <c r="G3551" s="133" t="s">
        <v>1034</v>
      </c>
      <c r="H3551" s="144" t="s">
        <v>1341</v>
      </c>
      <c r="I3551" s="133" t="s">
        <v>1092</v>
      </c>
      <c r="J3551" s="300" t="s">
        <v>2714</v>
      </c>
      <c r="K3551" s="143">
        <v>46023</v>
      </c>
      <c r="L3551" s="133" t="s">
        <v>1092</v>
      </c>
      <c r="M3551" s="133">
        <v>1593</v>
      </c>
      <c r="N3551" s="147">
        <f>+F3551+F3552-M3551-M3552-M3553</f>
        <v>0</v>
      </c>
      <c r="O3551" s="141"/>
      <c r="P3551" s="140"/>
    </row>
    <row r="3552" spans="1:16" hidden="1" x14ac:dyDescent="0.35">
      <c r="A3552" s="149"/>
      <c r="B3552" s="143"/>
      <c r="C3552" s="133"/>
      <c r="D3552" s="133"/>
      <c r="E3552" s="145" t="s">
        <v>1342</v>
      </c>
      <c r="F3552" s="145">
        <v>3435</v>
      </c>
      <c r="G3552" s="133" t="s">
        <v>1034</v>
      </c>
      <c r="H3552" s="144" t="s">
        <v>1341</v>
      </c>
      <c r="I3552" s="133" t="s">
        <v>1092</v>
      </c>
      <c r="J3552" s="305" t="s">
        <v>2720</v>
      </c>
      <c r="K3552" s="143">
        <v>46023</v>
      </c>
      <c r="L3552" s="133" t="s">
        <v>1241</v>
      </c>
      <c r="M3552" s="133">
        <v>190</v>
      </c>
      <c r="N3552" s="147"/>
      <c r="O3552" s="141"/>
      <c r="P3552" s="140"/>
    </row>
    <row r="3553" spans="1:16" hidden="1" x14ac:dyDescent="0.35">
      <c r="A3553" s="149"/>
      <c r="B3553" s="143"/>
      <c r="C3553" s="133"/>
      <c r="D3553" s="133"/>
      <c r="E3553" s="145"/>
      <c r="F3553" s="145"/>
      <c r="G3553" s="133" t="s">
        <v>1034</v>
      </c>
      <c r="H3553" s="144" t="s">
        <v>1341</v>
      </c>
      <c r="I3553" s="133" t="s">
        <v>1092</v>
      </c>
      <c r="J3553" s="312" t="s">
        <v>2736</v>
      </c>
      <c r="K3553" s="143">
        <v>46023</v>
      </c>
      <c r="L3553" s="133" t="s">
        <v>1092</v>
      </c>
      <c r="M3553" s="133">
        <v>3245</v>
      </c>
      <c r="N3553" s="147"/>
      <c r="O3553" s="141"/>
      <c r="P3553" s="140"/>
    </row>
    <row r="3554" spans="1:16" hidden="1" x14ac:dyDescent="0.35">
      <c r="A3554" s="149"/>
      <c r="B3554" s="143"/>
      <c r="C3554" s="133"/>
      <c r="D3554" s="133"/>
      <c r="E3554" s="145"/>
      <c r="F3554" s="145"/>
      <c r="G3554" s="133"/>
      <c r="H3554" s="144"/>
      <c r="I3554" s="133"/>
      <c r="J3554" s="305"/>
      <c r="K3554" s="143"/>
      <c r="L3554" s="133"/>
      <c r="M3554" s="133"/>
      <c r="N3554" s="147"/>
      <c r="O3554" s="141"/>
      <c r="P3554" s="140"/>
    </row>
    <row r="3555" spans="1:16" hidden="1" x14ac:dyDescent="0.35">
      <c r="A3555" s="149"/>
      <c r="B3555" s="143"/>
      <c r="C3555" s="133"/>
      <c r="D3555" s="133"/>
      <c r="E3555" s="145"/>
      <c r="F3555" s="145"/>
      <c r="G3555" s="133"/>
      <c r="H3555" s="144"/>
      <c r="I3555" s="133"/>
      <c r="J3555" s="133"/>
      <c r="K3555" s="133"/>
      <c r="L3555" s="133"/>
      <c r="M3555" s="133"/>
      <c r="N3555" s="147"/>
      <c r="O3555" s="141"/>
      <c r="P3555" s="140"/>
    </row>
    <row r="3556" spans="1:16" hidden="1" x14ac:dyDescent="0.35">
      <c r="A3556" s="149">
        <v>218</v>
      </c>
      <c r="B3556" s="143">
        <v>45992</v>
      </c>
      <c r="C3556" s="279" t="s">
        <v>1538</v>
      </c>
      <c r="D3556" s="279" t="s">
        <v>2693</v>
      </c>
      <c r="E3556" s="145" t="s">
        <v>1067</v>
      </c>
      <c r="F3556" s="145">
        <v>470</v>
      </c>
      <c r="G3556" s="133" t="s">
        <v>1034</v>
      </c>
      <c r="H3556" s="144" t="s">
        <v>1341</v>
      </c>
      <c r="I3556" s="133" t="s">
        <v>1092</v>
      </c>
      <c r="J3556" s="300" t="s">
        <v>2714</v>
      </c>
      <c r="K3556" s="143">
        <v>46023</v>
      </c>
      <c r="L3556" s="133" t="s">
        <v>1092</v>
      </c>
      <c r="M3556" s="133">
        <v>470</v>
      </c>
      <c r="N3556" s="147">
        <f>+F3556+F3557+F3558-M3556-M3557-M3558-M3559</f>
        <v>0</v>
      </c>
      <c r="O3556" s="141"/>
      <c r="P3556" s="140"/>
    </row>
    <row r="3557" spans="1:16" hidden="1" x14ac:dyDescent="0.35">
      <c r="A3557" s="149"/>
      <c r="B3557" s="143"/>
      <c r="C3557" s="133"/>
      <c r="D3557" s="133"/>
      <c r="E3557" s="145" t="s">
        <v>1075</v>
      </c>
      <c r="F3557" s="145">
        <v>2656</v>
      </c>
      <c r="G3557" s="133" t="s">
        <v>1034</v>
      </c>
      <c r="H3557" s="144" t="s">
        <v>1341</v>
      </c>
      <c r="I3557" s="133" t="s">
        <v>1092</v>
      </c>
      <c r="J3557" s="305" t="s">
        <v>2719</v>
      </c>
      <c r="K3557" s="143">
        <v>46023</v>
      </c>
      <c r="L3557" s="133" t="s">
        <v>1092</v>
      </c>
      <c r="M3557" s="133">
        <v>228.2</v>
      </c>
      <c r="N3557" s="147"/>
      <c r="O3557" s="141"/>
      <c r="P3557" s="140"/>
    </row>
    <row r="3558" spans="1:16" hidden="1" x14ac:dyDescent="0.35">
      <c r="A3558" s="149"/>
      <c r="B3558" s="143"/>
      <c r="C3558" s="133"/>
      <c r="D3558" s="133"/>
      <c r="E3558" s="145" t="s">
        <v>1064</v>
      </c>
      <c r="F3558" s="145">
        <v>228.2</v>
      </c>
      <c r="G3558" s="133" t="s">
        <v>1034</v>
      </c>
      <c r="H3558" s="144" t="s">
        <v>1341</v>
      </c>
      <c r="I3558" s="133" t="s">
        <v>1092</v>
      </c>
      <c r="J3558" s="305" t="s">
        <v>2720</v>
      </c>
      <c r="K3558" s="143">
        <v>46023</v>
      </c>
      <c r="L3558" s="133" t="s">
        <v>1241</v>
      </c>
      <c r="M3558" s="133">
        <v>129</v>
      </c>
      <c r="N3558" s="147"/>
      <c r="O3558" s="141"/>
      <c r="P3558" s="140"/>
    </row>
    <row r="3559" spans="1:16" hidden="1" x14ac:dyDescent="0.35">
      <c r="A3559" s="149"/>
      <c r="B3559" s="143"/>
      <c r="C3559" s="133"/>
      <c r="D3559" s="133"/>
      <c r="E3559" s="145"/>
      <c r="F3559" s="145"/>
      <c r="G3559" s="133" t="s">
        <v>1034</v>
      </c>
      <c r="H3559" s="144" t="s">
        <v>1341</v>
      </c>
      <c r="I3559" s="133" t="s">
        <v>1092</v>
      </c>
      <c r="J3559" s="312" t="s">
        <v>2736</v>
      </c>
      <c r="K3559" s="143">
        <v>46023</v>
      </c>
      <c r="L3559" s="133" t="s">
        <v>1092</v>
      </c>
      <c r="M3559" s="133">
        <v>2527</v>
      </c>
      <c r="N3559" s="147"/>
      <c r="O3559" s="141"/>
      <c r="P3559" s="140"/>
    </row>
    <row r="3560" spans="1:16" hidden="1" x14ac:dyDescent="0.35">
      <c r="A3560" s="149"/>
      <c r="B3560" s="143"/>
      <c r="C3560" s="133"/>
      <c r="D3560" s="133"/>
      <c r="E3560" s="145"/>
      <c r="F3560" s="145"/>
      <c r="G3560" s="133"/>
      <c r="H3560" s="144"/>
      <c r="I3560" s="133"/>
      <c r="J3560" s="133"/>
      <c r="K3560" s="133"/>
      <c r="L3560" s="133"/>
      <c r="M3560" s="133"/>
      <c r="N3560" s="147"/>
      <c r="O3560" s="141"/>
      <c r="P3560" s="140"/>
    </row>
    <row r="3561" spans="1:16" hidden="1" x14ac:dyDescent="0.35">
      <c r="A3561" s="149">
        <v>219</v>
      </c>
      <c r="B3561" s="143">
        <v>45992</v>
      </c>
      <c r="C3561" s="281" t="s">
        <v>1537</v>
      </c>
      <c r="D3561" s="281" t="s">
        <v>2691</v>
      </c>
      <c r="E3561" s="145" t="s">
        <v>1067</v>
      </c>
      <c r="F3561" s="145">
        <v>2659</v>
      </c>
      <c r="G3561" s="133" t="s">
        <v>1034</v>
      </c>
      <c r="H3561" s="144" t="s">
        <v>1341</v>
      </c>
      <c r="I3561" s="133" t="s">
        <v>1092</v>
      </c>
      <c r="J3561" s="300" t="s">
        <v>2714</v>
      </c>
      <c r="K3561" s="143">
        <v>46023</v>
      </c>
      <c r="L3561" s="133" t="s">
        <v>1092</v>
      </c>
      <c r="M3561" s="133">
        <v>949</v>
      </c>
      <c r="N3561" s="147">
        <f>+F3561+F3562+F3563-M3561-M3562-M3563-M3564</f>
        <v>0</v>
      </c>
      <c r="O3561" s="141"/>
      <c r="P3561" s="140"/>
    </row>
    <row r="3562" spans="1:16" hidden="1" x14ac:dyDescent="0.35">
      <c r="A3562" s="149"/>
      <c r="B3562" s="143"/>
      <c r="C3562" s="133"/>
      <c r="D3562" s="133"/>
      <c r="E3562" s="145" t="s">
        <v>1342</v>
      </c>
      <c r="F3562" s="145">
        <v>949</v>
      </c>
      <c r="G3562" s="133" t="s">
        <v>1034</v>
      </c>
      <c r="H3562" s="144" t="s">
        <v>1341</v>
      </c>
      <c r="I3562" s="133" t="s">
        <v>1092</v>
      </c>
      <c r="J3562" s="305" t="s">
        <v>2719</v>
      </c>
      <c r="K3562" s="143">
        <v>46023</v>
      </c>
      <c r="L3562" s="133" t="s">
        <v>1092</v>
      </c>
      <c r="M3562" s="133">
        <v>2659</v>
      </c>
      <c r="N3562" s="147"/>
      <c r="O3562" s="141"/>
      <c r="P3562" s="140"/>
    </row>
    <row r="3563" spans="1:16" hidden="1" x14ac:dyDescent="0.35">
      <c r="A3563" s="149"/>
      <c r="B3563" s="143"/>
      <c r="C3563" s="133"/>
      <c r="D3563" s="133"/>
      <c r="E3563" s="145" t="s">
        <v>1342</v>
      </c>
      <c r="F3563" s="145">
        <v>4319</v>
      </c>
      <c r="G3563" s="133" t="s">
        <v>1034</v>
      </c>
      <c r="H3563" s="144" t="s">
        <v>1341</v>
      </c>
      <c r="I3563" s="133" t="s">
        <v>1092</v>
      </c>
      <c r="J3563" s="305" t="s">
        <v>2720</v>
      </c>
      <c r="K3563" s="143">
        <v>46023</v>
      </c>
      <c r="L3563" s="133" t="s">
        <v>1241</v>
      </c>
      <c r="M3563" s="133">
        <v>311</v>
      </c>
      <c r="N3563" s="147"/>
      <c r="O3563" s="141"/>
      <c r="P3563" s="140"/>
    </row>
    <row r="3564" spans="1:16" hidden="1" x14ac:dyDescent="0.35">
      <c r="A3564" s="149"/>
      <c r="B3564" s="143"/>
      <c r="C3564" s="133"/>
      <c r="D3564" s="133"/>
      <c r="E3564" s="145"/>
      <c r="F3564" s="145"/>
      <c r="G3564" s="133" t="s">
        <v>1034</v>
      </c>
      <c r="H3564" s="144" t="s">
        <v>1341</v>
      </c>
      <c r="I3564" s="133" t="s">
        <v>1092</v>
      </c>
      <c r="J3564" s="312" t="s">
        <v>2736</v>
      </c>
      <c r="K3564" s="143">
        <v>46023</v>
      </c>
      <c r="L3564" s="133" t="s">
        <v>1092</v>
      </c>
      <c r="M3564" s="133">
        <v>4008</v>
      </c>
      <c r="N3564" s="147"/>
      <c r="O3564" s="141"/>
      <c r="P3564" s="140"/>
    </row>
    <row r="3565" spans="1:16" hidden="1" x14ac:dyDescent="0.35">
      <c r="A3565" s="149"/>
      <c r="B3565" s="143"/>
      <c r="C3565" s="133"/>
      <c r="D3565" s="133"/>
      <c r="E3565" s="145"/>
      <c r="F3565" s="145"/>
      <c r="G3565" s="133"/>
      <c r="H3565" s="144"/>
      <c r="I3565" s="133"/>
      <c r="J3565" s="133"/>
      <c r="K3565" s="133"/>
      <c r="L3565" s="133"/>
      <c r="M3565" s="133"/>
      <c r="N3565" s="142"/>
      <c r="O3565" s="141"/>
      <c r="P3565" s="140"/>
    </row>
    <row r="3566" spans="1:16" hidden="1" x14ac:dyDescent="0.35">
      <c r="A3566" s="257"/>
      <c r="B3566" s="152"/>
      <c r="C3566" s="151"/>
      <c r="D3566" s="151"/>
      <c r="E3566" s="154"/>
      <c r="F3566" s="154"/>
      <c r="G3566" s="151"/>
      <c r="H3566" s="153"/>
      <c r="I3566" s="151"/>
      <c r="J3566" s="151"/>
      <c r="K3566" s="151"/>
      <c r="L3566" s="151"/>
      <c r="M3566" s="151"/>
      <c r="N3566" s="150"/>
      <c r="O3566" s="141"/>
      <c r="P3566" s="140"/>
    </row>
    <row r="3567" spans="1:16" hidden="1" x14ac:dyDescent="0.35">
      <c r="A3567" s="149"/>
      <c r="B3567" s="143"/>
      <c r="C3567" s="133"/>
      <c r="D3567" s="133"/>
      <c r="E3567" s="145"/>
      <c r="F3567" s="145"/>
      <c r="G3567" s="133"/>
      <c r="H3567" s="144"/>
      <c r="I3567" s="133"/>
      <c r="J3567" s="133"/>
      <c r="K3567" s="133"/>
      <c r="L3567" s="133"/>
      <c r="M3567" s="133"/>
      <c r="N3567" s="142"/>
      <c r="O3567" s="141"/>
      <c r="P3567" s="140"/>
    </row>
    <row r="3568" spans="1:16" hidden="1" x14ac:dyDescent="0.35">
      <c r="A3568" s="149">
        <v>220</v>
      </c>
      <c r="B3568" s="143">
        <v>46023</v>
      </c>
      <c r="C3568" s="284" t="s">
        <v>1536</v>
      </c>
      <c r="D3568" s="285" t="s">
        <v>2695</v>
      </c>
      <c r="E3568" s="145" t="s">
        <v>1064</v>
      </c>
      <c r="F3568" s="145">
        <v>333.2</v>
      </c>
      <c r="G3568" s="133" t="s">
        <v>1034</v>
      </c>
      <c r="H3568" s="144" t="s">
        <v>1341</v>
      </c>
      <c r="I3568" s="133" t="s">
        <v>1092</v>
      </c>
      <c r="J3568" s="305" t="s">
        <v>2719</v>
      </c>
      <c r="K3568" s="143">
        <v>46023</v>
      </c>
      <c r="L3568" s="133" t="s">
        <v>1092</v>
      </c>
      <c r="M3568" s="133">
        <v>333.2</v>
      </c>
      <c r="N3568" s="147">
        <f>+F3568+F3569-M3568-M3569-M3570</f>
        <v>0</v>
      </c>
      <c r="O3568" s="141"/>
      <c r="P3568" s="140"/>
    </row>
    <row r="3569" spans="1:16" hidden="1" x14ac:dyDescent="0.35">
      <c r="A3569" s="149"/>
      <c r="B3569" s="143"/>
      <c r="C3569" s="133"/>
      <c r="D3569" s="133"/>
      <c r="E3569" s="145" t="s">
        <v>1075</v>
      </c>
      <c r="F3569" s="145">
        <v>3088</v>
      </c>
      <c r="G3569" s="133" t="s">
        <v>1034</v>
      </c>
      <c r="H3569" s="144" t="s">
        <v>1341</v>
      </c>
      <c r="I3569" s="133" t="s">
        <v>1092</v>
      </c>
      <c r="J3569" s="312" t="s">
        <v>2736</v>
      </c>
      <c r="K3569" s="143">
        <v>46023</v>
      </c>
      <c r="L3569" s="133" t="s">
        <v>1092</v>
      </c>
      <c r="M3569" s="133">
        <v>2967</v>
      </c>
      <c r="N3569" s="147"/>
      <c r="O3569" s="141"/>
      <c r="P3569" s="140"/>
    </row>
    <row r="3570" spans="1:16" hidden="1" x14ac:dyDescent="0.35">
      <c r="A3570" s="149"/>
      <c r="B3570" s="143"/>
      <c r="C3570" s="133"/>
      <c r="D3570" s="133"/>
      <c r="E3570" s="145"/>
      <c r="F3570" s="145"/>
      <c r="G3570" s="133" t="s">
        <v>1034</v>
      </c>
      <c r="H3570" s="144" t="s">
        <v>1341</v>
      </c>
      <c r="I3570" s="133" t="s">
        <v>1092</v>
      </c>
      <c r="J3570" s="355" t="s">
        <v>2820</v>
      </c>
      <c r="K3570" s="143">
        <v>46082</v>
      </c>
      <c r="L3570" s="133" t="s">
        <v>1241</v>
      </c>
      <c r="M3570" s="133">
        <v>121</v>
      </c>
      <c r="N3570" s="147"/>
      <c r="O3570" s="141"/>
      <c r="P3570" s="140"/>
    </row>
    <row r="3571" spans="1:16" hidden="1" x14ac:dyDescent="0.35">
      <c r="A3571" s="149"/>
      <c r="B3571" s="143"/>
      <c r="C3571" s="133"/>
      <c r="D3571" s="133"/>
      <c r="E3571" s="145"/>
      <c r="F3571" s="145"/>
      <c r="G3571" s="133"/>
      <c r="H3571" s="144"/>
      <c r="I3571" s="133"/>
      <c r="J3571" s="355"/>
      <c r="K3571" s="143"/>
      <c r="L3571" s="133"/>
      <c r="M3571" s="133"/>
      <c r="N3571" s="147"/>
      <c r="O3571" s="141"/>
      <c r="P3571" s="140"/>
    </row>
    <row r="3572" spans="1:16" hidden="1" x14ac:dyDescent="0.35">
      <c r="A3572" s="149">
        <v>221</v>
      </c>
      <c r="B3572" s="143">
        <v>46023</v>
      </c>
      <c r="C3572" s="284" t="s">
        <v>1535</v>
      </c>
      <c r="D3572" s="285" t="s">
        <v>2696</v>
      </c>
      <c r="E3572" s="145" t="s">
        <v>1064</v>
      </c>
      <c r="F3572" s="145">
        <v>1760.8</v>
      </c>
      <c r="G3572" s="133" t="s">
        <v>1034</v>
      </c>
      <c r="H3572" s="144" t="s">
        <v>1341</v>
      </c>
      <c r="I3572" s="133" t="s">
        <v>1092</v>
      </c>
      <c r="J3572" s="305" t="s">
        <v>2719</v>
      </c>
      <c r="K3572" s="143">
        <v>46023</v>
      </c>
      <c r="L3572" s="133" t="s">
        <v>1092</v>
      </c>
      <c r="M3572" s="133">
        <v>1689.8</v>
      </c>
      <c r="N3572" s="147">
        <f>+F3572-M3572-M3573</f>
        <v>0</v>
      </c>
      <c r="O3572" s="141"/>
      <c r="P3572" s="140"/>
    </row>
    <row r="3573" spans="1:16" hidden="1" x14ac:dyDescent="0.35">
      <c r="A3573" s="149"/>
      <c r="B3573" s="143"/>
      <c r="C3573" s="133"/>
      <c r="D3573" s="133"/>
      <c r="E3573" s="145"/>
      <c r="F3573" s="145"/>
      <c r="G3573" s="133" t="s">
        <v>1034</v>
      </c>
      <c r="H3573" s="144" t="s">
        <v>1341</v>
      </c>
      <c r="I3573" s="133" t="s">
        <v>1092</v>
      </c>
      <c r="J3573" s="355" t="s">
        <v>2820</v>
      </c>
      <c r="K3573" s="143">
        <v>46082</v>
      </c>
      <c r="L3573" s="133" t="s">
        <v>1241</v>
      </c>
      <c r="M3573" s="133">
        <v>71</v>
      </c>
      <c r="N3573" s="147"/>
      <c r="O3573" s="141"/>
      <c r="P3573" s="140"/>
    </row>
    <row r="3574" spans="1:16" hidden="1" x14ac:dyDescent="0.35">
      <c r="A3574" s="149"/>
      <c r="B3574" s="143"/>
      <c r="C3574" s="133"/>
      <c r="D3574" s="133"/>
      <c r="E3574" s="145"/>
      <c r="F3574" s="145"/>
      <c r="G3574" s="133"/>
      <c r="H3574" s="144"/>
      <c r="I3574" s="133"/>
      <c r="J3574" s="355"/>
      <c r="K3574" s="143"/>
      <c r="L3574" s="133"/>
      <c r="M3574" s="133"/>
      <c r="N3574" s="147"/>
      <c r="O3574" s="141"/>
      <c r="P3574" s="140"/>
    </row>
    <row r="3575" spans="1:16" hidden="1" x14ac:dyDescent="0.35">
      <c r="A3575" s="149">
        <v>222</v>
      </c>
      <c r="B3575" s="143">
        <v>46023</v>
      </c>
      <c r="C3575" s="286" t="s">
        <v>1534</v>
      </c>
      <c r="D3575" s="285" t="s">
        <v>2697</v>
      </c>
      <c r="E3575" s="145" t="s">
        <v>1075</v>
      </c>
      <c r="F3575" s="145">
        <v>2112</v>
      </c>
      <c r="G3575" s="133" t="s">
        <v>1034</v>
      </c>
      <c r="H3575" s="144" t="s">
        <v>1341</v>
      </c>
      <c r="I3575" s="133" t="s">
        <v>1092</v>
      </c>
      <c r="J3575" s="305" t="s">
        <v>2719</v>
      </c>
      <c r="K3575" s="143">
        <v>46023</v>
      </c>
      <c r="L3575" s="133" t="s">
        <v>1092</v>
      </c>
      <c r="M3575" s="133">
        <f>1348.8+7164</f>
        <v>8512.7999999999993</v>
      </c>
      <c r="N3575" s="147">
        <f>+F3575+F3576+F3577+F3578-M3575-M3576-M3577</f>
        <v>0</v>
      </c>
      <c r="O3575" s="141"/>
      <c r="P3575" s="140"/>
    </row>
    <row r="3576" spans="1:16" hidden="1" x14ac:dyDescent="0.35">
      <c r="A3576" s="149"/>
      <c r="B3576" s="143"/>
      <c r="C3576" s="133"/>
      <c r="D3576" s="133"/>
      <c r="E3576" s="145" t="s">
        <v>1118</v>
      </c>
      <c r="F3576" s="145">
        <v>1348.8</v>
      </c>
      <c r="G3576" s="133" t="s">
        <v>1034</v>
      </c>
      <c r="H3576" s="144" t="s">
        <v>1341</v>
      </c>
      <c r="I3576" s="133" t="s">
        <v>1092</v>
      </c>
      <c r="J3576" s="312" t="s">
        <v>2736</v>
      </c>
      <c r="K3576" s="143">
        <v>46023</v>
      </c>
      <c r="L3576" s="133" t="s">
        <v>1092</v>
      </c>
      <c r="M3576" s="133">
        <v>4578</v>
      </c>
      <c r="N3576" s="147"/>
      <c r="O3576" s="141"/>
      <c r="P3576" s="140"/>
    </row>
    <row r="3577" spans="1:16" hidden="1" x14ac:dyDescent="0.35">
      <c r="A3577" s="149"/>
      <c r="B3577" s="143"/>
      <c r="C3577" s="133"/>
      <c r="D3577" s="133"/>
      <c r="E3577" s="145" t="s">
        <v>1342</v>
      </c>
      <c r="F3577" s="145">
        <v>2976</v>
      </c>
      <c r="G3577" s="133" t="s">
        <v>1034</v>
      </c>
      <c r="H3577" s="144" t="s">
        <v>1341</v>
      </c>
      <c r="I3577" s="133" t="s">
        <v>1092</v>
      </c>
      <c r="J3577" s="355" t="s">
        <v>2820</v>
      </c>
      <c r="K3577" s="143">
        <v>46082</v>
      </c>
      <c r="L3577" s="133" t="s">
        <v>1241</v>
      </c>
      <c r="M3577" s="133">
        <v>510</v>
      </c>
      <c r="N3577" s="147"/>
      <c r="O3577" s="141"/>
      <c r="P3577" s="140"/>
    </row>
    <row r="3578" spans="1:16" hidden="1" x14ac:dyDescent="0.35">
      <c r="A3578" s="149"/>
      <c r="B3578" s="143"/>
      <c r="C3578" s="133"/>
      <c r="D3578" s="133"/>
      <c r="E3578" s="145" t="s">
        <v>1067</v>
      </c>
      <c r="F3578" s="145">
        <v>7164</v>
      </c>
      <c r="G3578" s="133"/>
      <c r="H3578" s="144"/>
      <c r="I3578" s="133"/>
      <c r="J3578" s="133"/>
      <c r="K3578" s="133"/>
      <c r="L3578" s="133"/>
      <c r="M3578" s="133"/>
      <c r="N3578" s="147"/>
      <c r="O3578" s="141"/>
      <c r="P3578" s="140"/>
    </row>
    <row r="3579" spans="1:16" hidden="1" x14ac:dyDescent="0.35">
      <c r="A3579" s="149"/>
      <c r="B3579" s="143"/>
      <c r="C3579" s="133"/>
      <c r="D3579" s="133"/>
      <c r="E3579" s="145"/>
      <c r="F3579" s="145"/>
      <c r="G3579" s="133"/>
      <c r="H3579" s="144"/>
      <c r="I3579" s="133"/>
      <c r="J3579" s="133"/>
      <c r="K3579" s="133"/>
      <c r="L3579" s="133"/>
      <c r="M3579" s="133"/>
      <c r="N3579" s="147"/>
      <c r="O3579" s="141"/>
      <c r="P3579" s="140"/>
    </row>
    <row r="3580" spans="1:16" hidden="1" x14ac:dyDescent="0.35">
      <c r="A3580" s="149">
        <v>224</v>
      </c>
      <c r="B3580" s="143">
        <v>46023</v>
      </c>
      <c r="C3580" s="286" t="s">
        <v>1532</v>
      </c>
      <c r="D3580" s="285" t="s">
        <v>2698</v>
      </c>
      <c r="E3580" s="145" t="s">
        <v>1075</v>
      </c>
      <c r="F3580" s="145">
        <v>5100</v>
      </c>
      <c r="G3580" s="133" t="s">
        <v>1034</v>
      </c>
      <c r="H3580" s="144" t="s">
        <v>1341</v>
      </c>
      <c r="I3580" s="133" t="s">
        <v>1092</v>
      </c>
      <c r="J3580" s="305" t="s">
        <v>2719</v>
      </c>
      <c r="K3580" s="143">
        <v>46023</v>
      </c>
      <c r="L3580" s="133" t="s">
        <v>1092</v>
      </c>
      <c r="M3580" s="133">
        <f>1505.2</f>
        <v>1505.2</v>
      </c>
      <c r="N3580" s="147">
        <f>+F3580+F3581-M3580-M3581-M3582</f>
        <v>0</v>
      </c>
      <c r="O3580" s="141"/>
      <c r="P3580" s="140"/>
    </row>
    <row r="3581" spans="1:16" hidden="1" x14ac:dyDescent="0.35">
      <c r="A3581" s="149"/>
      <c r="B3581" s="143"/>
      <c r="C3581" s="133"/>
      <c r="D3581" s="133"/>
      <c r="E3581" s="145" t="s">
        <v>1064</v>
      </c>
      <c r="F3581" s="145">
        <v>1505.2</v>
      </c>
      <c r="G3581" s="133" t="s">
        <v>1034</v>
      </c>
      <c r="H3581" s="144" t="s">
        <v>1341</v>
      </c>
      <c r="I3581" s="133" t="s">
        <v>1092</v>
      </c>
      <c r="J3581" s="312" t="s">
        <v>2736</v>
      </c>
      <c r="K3581" s="143">
        <v>46023</v>
      </c>
      <c r="L3581" s="133" t="s">
        <v>1092</v>
      </c>
      <c r="M3581" s="133">
        <v>4890</v>
      </c>
      <c r="N3581" s="147"/>
      <c r="O3581" s="141"/>
      <c r="P3581" s="140"/>
    </row>
    <row r="3582" spans="1:16" hidden="1" x14ac:dyDescent="0.35">
      <c r="A3582" s="149"/>
      <c r="B3582" s="143"/>
      <c r="C3582" s="133"/>
      <c r="D3582" s="133"/>
      <c r="E3582" s="145"/>
      <c r="F3582" s="145"/>
      <c r="G3582" s="133" t="s">
        <v>1034</v>
      </c>
      <c r="H3582" s="144" t="s">
        <v>1341</v>
      </c>
      <c r="I3582" s="133" t="s">
        <v>1092</v>
      </c>
      <c r="J3582" s="355" t="s">
        <v>2820</v>
      </c>
      <c r="K3582" s="143">
        <v>46082</v>
      </c>
      <c r="L3582" s="133" t="s">
        <v>1241</v>
      </c>
      <c r="M3582" s="133">
        <v>210</v>
      </c>
      <c r="N3582" s="147"/>
      <c r="O3582" s="141"/>
      <c r="P3582" s="140"/>
    </row>
    <row r="3583" spans="1:16" hidden="1" x14ac:dyDescent="0.35">
      <c r="A3583" s="149"/>
      <c r="B3583" s="143"/>
      <c r="C3583" s="133"/>
      <c r="D3583" s="133"/>
      <c r="E3583" s="145"/>
      <c r="F3583" s="145"/>
      <c r="G3583" s="133"/>
      <c r="H3583" s="144"/>
      <c r="I3583" s="133"/>
      <c r="J3583" s="355"/>
      <c r="K3583" s="143"/>
      <c r="L3583" s="133"/>
      <c r="M3583" s="133"/>
      <c r="N3583" s="147"/>
      <c r="O3583" s="141"/>
      <c r="P3583" s="140"/>
    </row>
    <row r="3584" spans="1:16" hidden="1" x14ac:dyDescent="0.35">
      <c r="A3584" s="149">
        <v>223</v>
      </c>
      <c r="B3584" s="143">
        <v>46023</v>
      </c>
      <c r="C3584" s="286" t="s">
        <v>1531</v>
      </c>
      <c r="D3584" s="285" t="s">
        <v>2699</v>
      </c>
      <c r="E3584" s="145" t="s">
        <v>1075</v>
      </c>
      <c r="F3584" s="145">
        <v>1977.9</v>
      </c>
      <c r="G3584" s="133" t="s">
        <v>1034</v>
      </c>
      <c r="H3584" s="144" t="s">
        <v>1341</v>
      </c>
      <c r="I3584" s="133" t="s">
        <v>1092</v>
      </c>
      <c r="J3584" s="305" t="s">
        <v>2719</v>
      </c>
      <c r="K3584" s="143">
        <v>46023</v>
      </c>
      <c r="L3584" s="133" t="s">
        <v>1092</v>
      </c>
      <c r="M3584" s="133">
        <f>1091.4+1927.2+1059</f>
        <v>4077.6000000000004</v>
      </c>
      <c r="N3584" s="147">
        <f>+F3584+F3585+F3586+F3587+F3588-M3584-M3585-M3586</f>
        <v>0</v>
      </c>
      <c r="O3584" s="141"/>
      <c r="P3584" s="140"/>
    </row>
    <row r="3585" spans="1:16" hidden="1" x14ac:dyDescent="0.35">
      <c r="A3585" s="149"/>
      <c r="B3585" s="143"/>
      <c r="C3585" s="133"/>
      <c r="D3585" s="133"/>
      <c r="E3585" s="145" t="s">
        <v>1118</v>
      </c>
      <c r="F3585" s="145">
        <v>1927.2</v>
      </c>
      <c r="G3585" s="133" t="s">
        <v>1034</v>
      </c>
      <c r="H3585" s="144" t="s">
        <v>1341</v>
      </c>
      <c r="I3585" s="133" t="s">
        <v>1092</v>
      </c>
      <c r="J3585" s="312" t="s">
        <v>2736</v>
      </c>
      <c r="K3585" s="143">
        <v>46023</v>
      </c>
      <c r="L3585" s="133" t="s">
        <v>1092</v>
      </c>
      <c r="M3585" s="133">
        <v>8456.9</v>
      </c>
      <c r="N3585" s="147"/>
      <c r="O3585" s="141"/>
      <c r="P3585" s="140"/>
    </row>
    <row r="3586" spans="1:16" hidden="1" x14ac:dyDescent="0.35">
      <c r="A3586" s="149"/>
      <c r="B3586" s="143"/>
      <c r="C3586" s="133"/>
      <c r="D3586" s="133"/>
      <c r="E3586" s="145" t="s">
        <v>1342</v>
      </c>
      <c r="F3586" s="145">
        <v>6794</v>
      </c>
      <c r="G3586" s="133" t="s">
        <v>1034</v>
      </c>
      <c r="H3586" s="144" t="s">
        <v>1341</v>
      </c>
      <c r="I3586" s="133" t="s">
        <v>1092</v>
      </c>
      <c r="J3586" s="355" t="s">
        <v>2820</v>
      </c>
      <c r="K3586" s="143">
        <v>46082</v>
      </c>
      <c r="L3586" s="133" t="s">
        <v>1241</v>
      </c>
      <c r="M3586" s="133">
        <v>315</v>
      </c>
      <c r="N3586" s="147"/>
      <c r="O3586" s="141"/>
      <c r="P3586" s="140"/>
    </row>
    <row r="3587" spans="1:16" hidden="1" x14ac:dyDescent="0.35">
      <c r="A3587" s="149"/>
      <c r="B3587" s="143"/>
      <c r="C3587" s="133"/>
      <c r="D3587" s="133"/>
      <c r="E3587" s="145" t="s">
        <v>1067</v>
      </c>
      <c r="F3587" s="145">
        <v>1059</v>
      </c>
      <c r="G3587" s="133"/>
      <c r="H3587" s="144"/>
      <c r="I3587" s="133"/>
      <c r="J3587" s="133"/>
      <c r="K3587" s="133"/>
      <c r="L3587" s="133"/>
      <c r="M3587" s="133"/>
      <c r="N3587" s="147"/>
      <c r="O3587" s="141"/>
      <c r="P3587" s="140"/>
    </row>
    <row r="3588" spans="1:16" hidden="1" x14ac:dyDescent="0.35">
      <c r="A3588" s="149"/>
      <c r="B3588" s="143"/>
      <c r="C3588" s="133"/>
      <c r="D3588" s="133"/>
      <c r="E3588" s="145" t="s">
        <v>1064</v>
      </c>
      <c r="F3588" s="145">
        <v>1091.4000000000001</v>
      </c>
      <c r="G3588" s="133"/>
      <c r="H3588" s="144"/>
      <c r="I3588" s="133"/>
      <c r="J3588" s="133"/>
      <c r="K3588" s="133"/>
      <c r="L3588" s="133"/>
      <c r="M3588" s="133"/>
      <c r="N3588" s="147"/>
      <c r="O3588" s="141"/>
      <c r="P3588" s="140"/>
    </row>
    <row r="3589" spans="1:16" hidden="1" x14ac:dyDescent="0.35">
      <c r="A3589" s="149"/>
      <c r="B3589" s="143"/>
      <c r="C3589" s="133"/>
      <c r="D3589" s="133"/>
      <c r="E3589" s="145"/>
      <c r="F3589" s="145"/>
      <c r="G3589" s="133"/>
      <c r="H3589" s="144"/>
      <c r="I3589" s="133"/>
      <c r="J3589" s="133"/>
      <c r="K3589" s="133"/>
      <c r="L3589" s="133"/>
      <c r="M3589" s="133"/>
      <c r="N3589" s="147"/>
      <c r="O3589" s="141"/>
      <c r="P3589" s="140"/>
    </row>
    <row r="3590" spans="1:16" hidden="1" x14ac:dyDescent="0.35">
      <c r="A3590" s="149">
        <v>225</v>
      </c>
      <c r="B3590" s="143">
        <v>46023</v>
      </c>
      <c r="C3590" s="286" t="s">
        <v>1530</v>
      </c>
      <c r="D3590" s="287" t="s">
        <v>2700</v>
      </c>
      <c r="E3590" s="145" t="s">
        <v>1067</v>
      </c>
      <c r="F3590" s="145">
        <v>5357</v>
      </c>
      <c r="G3590" s="133" t="s">
        <v>1034</v>
      </c>
      <c r="H3590" s="144" t="s">
        <v>1341</v>
      </c>
      <c r="I3590" s="133" t="s">
        <v>1092</v>
      </c>
      <c r="J3590" s="305" t="s">
        <v>2719</v>
      </c>
      <c r="K3590" s="143">
        <v>46023</v>
      </c>
      <c r="L3590" s="133" t="s">
        <v>1092</v>
      </c>
      <c r="M3590" s="133">
        <v>5357</v>
      </c>
      <c r="N3590" s="147">
        <f>+F3590-M3590</f>
        <v>0</v>
      </c>
      <c r="O3590" s="141"/>
      <c r="P3590" s="140"/>
    </row>
    <row r="3591" spans="1:16" hidden="1" x14ac:dyDescent="0.35">
      <c r="A3591" s="149"/>
      <c r="B3591" s="143"/>
      <c r="C3591" s="133"/>
      <c r="D3591" s="133"/>
      <c r="E3591" s="145"/>
      <c r="F3591" s="145"/>
      <c r="G3591" s="133"/>
      <c r="H3591" s="144"/>
      <c r="I3591" s="133"/>
      <c r="J3591" s="133"/>
      <c r="K3591" s="133"/>
      <c r="L3591" s="133"/>
      <c r="M3591" s="133"/>
      <c r="N3591" s="147"/>
      <c r="O3591" s="141"/>
      <c r="P3591" s="140"/>
    </row>
    <row r="3592" spans="1:16" hidden="1" x14ac:dyDescent="0.35">
      <c r="A3592" s="149">
        <v>226</v>
      </c>
      <c r="B3592" s="143">
        <v>46023</v>
      </c>
      <c r="C3592" s="289" t="s">
        <v>1528</v>
      </c>
      <c r="D3592" s="290" t="s">
        <v>2701</v>
      </c>
      <c r="E3592" s="145" t="s">
        <v>1075</v>
      </c>
      <c r="F3592" s="145">
        <v>4916</v>
      </c>
      <c r="G3592" s="133" t="s">
        <v>1034</v>
      </c>
      <c r="H3592" s="144" t="s">
        <v>1341</v>
      </c>
      <c r="I3592" s="133" t="s">
        <v>1092</v>
      </c>
      <c r="J3592" s="312" t="s">
        <v>2736</v>
      </c>
      <c r="K3592" s="143">
        <v>46023</v>
      </c>
      <c r="L3592" s="133" t="s">
        <v>1092</v>
      </c>
      <c r="M3592" s="133">
        <v>4734</v>
      </c>
      <c r="N3592" s="147">
        <f>+F3592-M3592-M3593</f>
        <v>0</v>
      </c>
      <c r="O3592" s="141"/>
      <c r="P3592" s="140"/>
    </row>
    <row r="3593" spans="1:16" hidden="1" x14ac:dyDescent="0.35">
      <c r="A3593" s="149"/>
      <c r="B3593" s="143"/>
      <c r="C3593" s="133"/>
      <c r="D3593" s="133"/>
      <c r="E3593" s="145"/>
      <c r="F3593" s="145"/>
      <c r="G3593" s="133" t="s">
        <v>1034</v>
      </c>
      <c r="H3593" s="144" t="s">
        <v>1341</v>
      </c>
      <c r="I3593" s="133" t="s">
        <v>1092</v>
      </c>
      <c r="J3593" s="355" t="s">
        <v>2820</v>
      </c>
      <c r="K3593" s="143">
        <v>46082</v>
      </c>
      <c r="L3593" s="133" t="s">
        <v>1241</v>
      </c>
      <c r="M3593" s="133">
        <v>182</v>
      </c>
      <c r="N3593" s="147"/>
      <c r="O3593" s="141"/>
      <c r="P3593" s="140"/>
    </row>
    <row r="3594" spans="1:16" hidden="1" x14ac:dyDescent="0.35">
      <c r="A3594" s="149">
        <v>227</v>
      </c>
      <c r="B3594" s="143">
        <v>46023</v>
      </c>
      <c r="C3594" s="291" t="s">
        <v>1526</v>
      </c>
      <c r="D3594" s="292" t="s">
        <v>2702</v>
      </c>
      <c r="E3594" s="145" t="s">
        <v>1067</v>
      </c>
      <c r="F3594" s="145">
        <v>6882</v>
      </c>
      <c r="G3594" s="133" t="s">
        <v>1034</v>
      </c>
      <c r="H3594" s="144" t="s">
        <v>1341</v>
      </c>
      <c r="I3594" s="133" t="s">
        <v>1092</v>
      </c>
      <c r="J3594" s="305" t="s">
        <v>2719</v>
      </c>
      <c r="K3594" s="143">
        <v>46023</v>
      </c>
      <c r="L3594" s="133" t="s">
        <v>1092</v>
      </c>
      <c r="M3594" s="133">
        <v>6882</v>
      </c>
      <c r="N3594" s="147">
        <f>+F3594+F3595-M3594-M3595-M3596</f>
        <v>0</v>
      </c>
      <c r="O3594" s="141"/>
      <c r="P3594" s="140"/>
    </row>
    <row r="3595" spans="1:16" hidden="1" x14ac:dyDescent="0.35">
      <c r="A3595" s="149"/>
      <c r="B3595" s="143"/>
      <c r="C3595" s="133"/>
      <c r="D3595" s="133"/>
      <c r="E3595" s="145" t="s">
        <v>1342</v>
      </c>
      <c r="F3595" s="145">
        <v>4547</v>
      </c>
      <c r="G3595" s="133"/>
      <c r="H3595" s="144"/>
      <c r="I3595" s="133"/>
      <c r="J3595" s="312" t="s">
        <v>2736</v>
      </c>
      <c r="K3595" s="143">
        <v>46023</v>
      </c>
      <c r="L3595" s="133" t="s">
        <v>1092</v>
      </c>
      <c r="M3595" s="133">
        <v>4317</v>
      </c>
      <c r="N3595" s="147"/>
      <c r="O3595" s="141"/>
      <c r="P3595" s="140"/>
    </row>
    <row r="3596" spans="1:16" hidden="1" x14ac:dyDescent="0.35">
      <c r="A3596" s="149"/>
      <c r="B3596" s="143"/>
      <c r="C3596" s="133"/>
      <c r="D3596" s="133"/>
      <c r="E3596" s="145"/>
      <c r="F3596" s="145"/>
      <c r="G3596" s="133" t="s">
        <v>1034</v>
      </c>
      <c r="H3596" s="144" t="s">
        <v>1341</v>
      </c>
      <c r="I3596" s="133" t="s">
        <v>1092</v>
      </c>
      <c r="J3596" s="355" t="s">
        <v>2820</v>
      </c>
      <c r="K3596" s="143">
        <v>46082</v>
      </c>
      <c r="L3596" s="133" t="s">
        <v>1241</v>
      </c>
      <c r="M3596" s="133">
        <v>230</v>
      </c>
      <c r="N3596" s="147"/>
      <c r="O3596" s="141"/>
      <c r="P3596" s="140"/>
    </row>
    <row r="3597" spans="1:16" hidden="1" x14ac:dyDescent="0.35">
      <c r="A3597" s="149"/>
      <c r="B3597" s="143"/>
      <c r="C3597" s="133"/>
      <c r="D3597" s="133"/>
      <c r="E3597" s="145"/>
      <c r="F3597" s="145"/>
      <c r="G3597" s="133"/>
      <c r="H3597" s="144"/>
      <c r="I3597" s="133"/>
      <c r="J3597" s="355"/>
      <c r="K3597" s="143"/>
      <c r="L3597" s="133"/>
      <c r="M3597" s="133"/>
      <c r="N3597" s="147"/>
      <c r="O3597" s="141"/>
      <c r="P3597" s="140"/>
    </row>
    <row r="3598" spans="1:16" hidden="1" x14ac:dyDescent="0.35">
      <c r="A3598" s="149">
        <v>228</v>
      </c>
      <c r="B3598" s="143">
        <v>46023</v>
      </c>
      <c r="C3598" s="294" t="s">
        <v>1525</v>
      </c>
      <c r="D3598" s="295" t="s">
        <v>2704</v>
      </c>
      <c r="E3598" s="145" t="s">
        <v>1064</v>
      </c>
      <c r="F3598" s="145">
        <v>1694.9</v>
      </c>
      <c r="G3598" s="133" t="s">
        <v>1034</v>
      </c>
      <c r="H3598" s="144" t="s">
        <v>1341</v>
      </c>
      <c r="I3598" s="133" t="s">
        <v>1092</v>
      </c>
      <c r="J3598" s="312" t="s">
        <v>2736</v>
      </c>
      <c r="K3598" s="143">
        <v>46023</v>
      </c>
      <c r="L3598" s="133" t="s">
        <v>1092</v>
      </c>
      <c r="M3598" s="133">
        <v>2312.3000000000002</v>
      </c>
      <c r="N3598" s="147">
        <f>+F3598+F3599-M3598-M3599</f>
        <v>0</v>
      </c>
      <c r="O3598" s="141"/>
      <c r="P3598" s="140"/>
    </row>
    <row r="3599" spans="1:16" hidden="1" x14ac:dyDescent="0.35">
      <c r="A3599" s="149"/>
      <c r="B3599" s="143"/>
      <c r="C3599" s="133"/>
      <c r="D3599" s="133"/>
      <c r="E3599" s="145" t="s">
        <v>1075</v>
      </c>
      <c r="F3599" s="145">
        <v>703.4</v>
      </c>
      <c r="G3599" s="133" t="s">
        <v>1034</v>
      </c>
      <c r="H3599" s="144" t="s">
        <v>1341</v>
      </c>
      <c r="I3599" s="133" t="s">
        <v>1092</v>
      </c>
      <c r="J3599" s="355" t="s">
        <v>2820</v>
      </c>
      <c r="K3599" s="143">
        <v>46082</v>
      </c>
      <c r="L3599" s="133" t="s">
        <v>1241</v>
      </c>
      <c r="M3599" s="133">
        <v>86</v>
      </c>
      <c r="N3599" s="147"/>
      <c r="O3599" s="141"/>
      <c r="P3599" s="140"/>
    </row>
    <row r="3600" spans="1:16" hidden="1" x14ac:dyDescent="0.35">
      <c r="A3600" s="149"/>
      <c r="B3600" s="143"/>
      <c r="C3600" s="133"/>
      <c r="D3600" s="133"/>
      <c r="E3600" s="145"/>
      <c r="F3600" s="145"/>
      <c r="G3600" s="133"/>
      <c r="H3600" s="144"/>
      <c r="I3600" s="133"/>
      <c r="J3600" s="133"/>
      <c r="K3600" s="133"/>
      <c r="L3600" s="133"/>
      <c r="M3600" s="133"/>
      <c r="N3600" s="147"/>
      <c r="O3600" s="141"/>
      <c r="P3600" s="140"/>
    </row>
    <row r="3601" spans="1:16" hidden="1" x14ac:dyDescent="0.35">
      <c r="A3601" s="149">
        <v>229</v>
      </c>
      <c r="B3601" s="143">
        <v>46023</v>
      </c>
      <c r="C3601" s="297" t="s">
        <v>1524</v>
      </c>
      <c r="D3601" s="298" t="s">
        <v>2708</v>
      </c>
      <c r="E3601" s="145" t="s">
        <v>1118</v>
      </c>
      <c r="F3601" s="145">
        <v>1858</v>
      </c>
      <c r="G3601" s="133" t="s">
        <v>1034</v>
      </c>
      <c r="H3601" s="144" t="s">
        <v>1341</v>
      </c>
      <c r="I3601" s="133" t="s">
        <v>1092</v>
      </c>
      <c r="J3601" s="312" t="s">
        <v>2736</v>
      </c>
      <c r="K3601" s="143">
        <v>46023</v>
      </c>
      <c r="L3601" s="133" t="s">
        <v>1092</v>
      </c>
      <c r="M3601" s="133">
        <v>8582.7000000000007</v>
      </c>
      <c r="N3601" s="147">
        <f>+F3601+F3602+F3603+F3604-M3601-M3602</f>
        <v>0</v>
      </c>
      <c r="O3601" s="141"/>
      <c r="P3601" s="140"/>
    </row>
    <row r="3602" spans="1:16" hidden="1" x14ac:dyDescent="0.35">
      <c r="A3602" s="149"/>
      <c r="B3602" s="143"/>
      <c r="C3602" s="133"/>
      <c r="D3602" s="133"/>
      <c r="E3602" s="145" t="s">
        <v>1075</v>
      </c>
      <c r="F3602" s="145">
        <v>5082</v>
      </c>
      <c r="G3602" s="133" t="s">
        <v>1034</v>
      </c>
      <c r="H3602" s="144" t="s">
        <v>1341</v>
      </c>
      <c r="I3602" s="133" t="s">
        <v>1092</v>
      </c>
      <c r="J3602" s="355" t="s">
        <v>2820</v>
      </c>
      <c r="K3602" s="143">
        <v>46082</v>
      </c>
      <c r="L3602" s="133" t="s">
        <v>1241</v>
      </c>
      <c r="M3602" s="133">
        <v>311</v>
      </c>
      <c r="N3602" s="147"/>
      <c r="O3602" s="141"/>
      <c r="P3602" s="140"/>
    </row>
    <row r="3603" spans="1:16" hidden="1" x14ac:dyDescent="0.35">
      <c r="A3603" s="149"/>
      <c r="B3603" s="143"/>
      <c r="C3603" s="133"/>
      <c r="D3603" s="133"/>
      <c r="E3603" s="145" t="s">
        <v>1342</v>
      </c>
      <c r="F3603" s="145">
        <v>1409</v>
      </c>
      <c r="G3603" s="133"/>
      <c r="H3603" s="144"/>
      <c r="I3603" s="133"/>
      <c r="J3603" s="133"/>
      <c r="K3603" s="133"/>
      <c r="L3603" s="133"/>
      <c r="M3603" s="133"/>
      <c r="N3603" s="147"/>
      <c r="O3603" s="141"/>
      <c r="P3603" s="140"/>
    </row>
    <row r="3604" spans="1:16" hidden="1" x14ac:dyDescent="0.35">
      <c r="A3604" s="149"/>
      <c r="B3604" s="143"/>
      <c r="C3604" s="133"/>
      <c r="D3604" s="133"/>
      <c r="E3604" s="145" t="s">
        <v>1067</v>
      </c>
      <c r="F3604" s="145">
        <v>544.70000000000005</v>
      </c>
      <c r="G3604" s="133"/>
      <c r="H3604" s="144"/>
      <c r="I3604" s="133"/>
      <c r="J3604" s="133"/>
      <c r="K3604" s="133"/>
      <c r="L3604" s="133"/>
      <c r="M3604" s="133"/>
      <c r="N3604" s="147"/>
      <c r="O3604" s="141"/>
      <c r="P3604" s="140"/>
    </row>
    <row r="3605" spans="1:16" hidden="1" x14ac:dyDescent="0.35">
      <c r="A3605" s="149"/>
      <c r="B3605" s="143"/>
      <c r="C3605" s="133"/>
      <c r="D3605" s="133"/>
      <c r="E3605" s="145"/>
      <c r="F3605" s="145"/>
      <c r="G3605" s="133"/>
      <c r="H3605" s="144"/>
      <c r="I3605" s="133"/>
      <c r="J3605" s="133"/>
      <c r="K3605" s="133"/>
      <c r="L3605" s="133"/>
      <c r="M3605" s="133"/>
      <c r="N3605" s="147"/>
      <c r="O3605" s="141"/>
      <c r="P3605" s="140"/>
    </row>
    <row r="3606" spans="1:16" hidden="1" x14ac:dyDescent="0.35">
      <c r="A3606" s="149">
        <v>230</v>
      </c>
      <c r="B3606" s="143">
        <v>46023</v>
      </c>
      <c r="C3606" s="297" t="s">
        <v>1522</v>
      </c>
      <c r="D3606" s="298" t="s">
        <v>2709</v>
      </c>
      <c r="E3606" s="145" t="s">
        <v>1064</v>
      </c>
      <c r="F3606" s="145">
        <v>1704.7</v>
      </c>
      <c r="G3606" s="133" t="s">
        <v>1034</v>
      </c>
      <c r="H3606" s="144" t="s">
        <v>1341</v>
      </c>
      <c r="I3606" s="133" t="s">
        <v>1092</v>
      </c>
      <c r="J3606" s="312" t="s">
        <v>2736</v>
      </c>
      <c r="K3606" s="143">
        <v>46023</v>
      </c>
      <c r="L3606" s="133" t="s">
        <v>1092</v>
      </c>
      <c r="M3606" s="133">
        <v>1649.7</v>
      </c>
      <c r="N3606" s="147">
        <f>+F3606-M3606-M3607</f>
        <v>0</v>
      </c>
      <c r="O3606" s="141"/>
      <c r="P3606" s="140"/>
    </row>
    <row r="3607" spans="1:16" hidden="1" x14ac:dyDescent="0.35">
      <c r="A3607" s="149"/>
      <c r="B3607" s="143"/>
      <c r="C3607" s="133"/>
      <c r="D3607" s="133"/>
      <c r="E3607" s="145"/>
      <c r="F3607" s="145"/>
      <c r="G3607" s="133" t="s">
        <v>1034</v>
      </c>
      <c r="H3607" s="144" t="s">
        <v>1341</v>
      </c>
      <c r="I3607" s="133" t="s">
        <v>1092</v>
      </c>
      <c r="J3607" s="355" t="s">
        <v>2820</v>
      </c>
      <c r="K3607" s="143">
        <v>46082</v>
      </c>
      <c r="L3607" s="133" t="s">
        <v>1241</v>
      </c>
      <c r="M3607" s="133">
        <v>55</v>
      </c>
      <c r="N3607" s="147"/>
      <c r="O3607" s="141"/>
      <c r="P3607" s="140"/>
    </row>
    <row r="3608" spans="1:16" hidden="1" x14ac:dyDescent="0.35">
      <c r="A3608" s="149"/>
      <c r="B3608" s="143"/>
      <c r="C3608" s="133"/>
      <c r="D3608" s="133"/>
      <c r="E3608" s="145"/>
      <c r="F3608" s="145"/>
      <c r="G3608" s="133"/>
      <c r="H3608" s="144"/>
      <c r="I3608" s="133"/>
      <c r="J3608" s="355"/>
      <c r="K3608" s="143"/>
      <c r="L3608" s="133"/>
      <c r="M3608" s="133"/>
      <c r="N3608" s="147"/>
      <c r="O3608" s="141"/>
      <c r="P3608" s="140"/>
    </row>
    <row r="3609" spans="1:16" hidden="1" x14ac:dyDescent="0.35">
      <c r="A3609" s="149">
        <v>231</v>
      </c>
      <c r="B3609" s="143">
        <v>46023</v>
      </c>
      <c r="C3609" s="300" t="s">
        <v>1520</v>
      </c>
      <c r="D3609" s="301" t="s">
        <v>2712</v>
      </c>
      <c r="E3609" s="145" t="s">
        <v>1118</v>
      </c>
      <c r="F3609" s="145">
        <v>2800.3</v>
      </c>
      <c r="G3609" s="133" t="s">
        <v>1034</v>
      </c>
      <c r="H3609" s="144" t="s">
        <v>1341</v>
      </c>
      <c r="I3609" s="133" t="s">
        <v>1092</v>
      </c>
      <c r="J3609" s="312" t="s">
        <v>2736</v>
      </c>
      <c r="K3609" s="143">
        <v>46023</v>
      </c>
      <c r="L3609" s="133" t="s">
        <v>1092</v>
      </c>
      <c r="M3609" s="133">
        <v>12981.3</v>
      </c>
      <c r="N3609" s="147">
        <f>+F3609+F3610+F3611+F3612-M3609-M3610</f>
        <v>0</v>
      </c>
      <c r="O3609" s="141"/>
      <c r="P3609" s="140"/>
    </row>
    <row r="3610" spans="1:16" hidden="1" x14ac:dyDescent="0.35">
      <c r="A3610" s="149"/>
      <c r="B3610" s="143"/>
      <c r="C3610" s="133"/>
      <c r="D3610" s="133"/>
      <c r="E3610" s="145" t="s">
        <v>1075</v>
      </c>
      <c r="F3610" s="145">
        <v>3780</v>
      </c>
      <c r="G3610" s="133" t="s">
        <v>1034</v>
      </c>
      <c r="H3610" s="144" t="s">
        <v>1341</v>
      </c>
      <c r="I3610" s="133" t="s">
        <v>1092</v>
      </c>
      <c r="J3610" s="355" t="s">
        <v>2820</v>
      </c>
      <c r="K3610" s="143">
        <v>46082</v>
      </c>
      <c r="L3610" s="133" t="s">
        <v>1241</v>
      </c>
      <c r="M3610" s="133">
        <v>470</v>
      </c>
      <c r="N3610" s="147"/>
      <c r="O3610" s="141"/>
      <c r="P3610" s="140"/>
    </row>
    <row r="3611" spans="1:16" hidden="1" x14ac:dyDescent="0.35">
      <c r="A3611" s="149"/>
      <c r="B3611" s="143"/>
      <c r="C3611" s="133"/>
      <c r="D3611" s="133"/>
      <c r="E3611" s="145" t="s">
        <v>1342</v>
      </c>
      <c r="F3611" s="145">
        <v>1270</v>
      </c>
      <c r="G3611" s="133"/>
      <c r="H3611" s="144"/>
      <c r="I3611" s="133"/>
      <c r="J3611" s="133"/>
      <c r="K3611" s="133"/>
      <c r="L3611" s="133"/>
      <c r="M3611" s="133"/>
      <c r="N3611" s="147"/>
      <c r="O3611" s="141"/>
      <c r="P3611" s="140"/>
    </row>
    <row r="3612" spans="1:16" hidden="1" x14ac:dyDescent="0.35">
      <c r="A3612" s="149"/>
      <c r="B3612" s="143"/>
      <c r="C3612" s="133"/>
      <c r="D3612" s="133"/>
      <c r="E3612" s="145" t="s">
        <v>1067</v>
      </c>
      <c r="F3612" s="145">
        <v>5601</v>
      </c>
      <c r="G3612" s="133"/>
      <c r="H3612" s="144"/>
      <c r="I3612" s="133"/>
      <c r="J3612" s="133"/>
      <c r="K3612" s="133"/>
      <c r="L3612" s="133"/>
      <c r="M3612" s="133"/>
      <c r="N3612" s="147"/>
      <c r="O3612" s="141"/>
      <c r="P3612" s="140"/>
    </row>
    <row r="3613" spans="1:16" hidden="1" x14ac:dyDescent="0.35">
      <c r="A3613" s="149"/>
      <c r="B3613" s="143"/>
      <c r="C3613" s="133"/>
      <c r="D3613" s="133"/>
      <c r="E3613" s="145"/>
      <c r="F3613" s="145"/>
      <c r="G3613" s="133"/>
      <c r="H3613" s="144"/>
      <c r="I3613" s="133"/>
      <c r="J3613" s="133"/>
      <c r="K3613" s="133"/>
      <c r="L3613" s="133"/>
      <c r="M3613" s="133"/>
      <c r="N3613" s="147"/>
      <c r="O3613" s="141"/>
      <c r="P3613" s="140"/>
    </row>
    <row r="3614" spans="1:16" hidden="1" x14ac:dyDescent="0.35">
      <c r="A3614" s="149">
        <v>232</v>
      </c>
      <c r="B3614" s="143">
        <v>46023</v>
      </c>
      <c r="C3614" s="300" t="s">
        <v>1518</v>
      </c>
      <c r="D3614" s="301" t="s">
        <v>2713</v>
      </c>
      <c r="E3614" s="145" t="s">
        <v>1067</v>
      </c>
      <c r="F3614" s="145">
        <v>1771</v>
      </c>
      <c r="G3614" s="133" t="s">
        <v>1034</v>
      </c>
      <c r="H3614" s="144" t="s">
        <v>1341</v>
      </c>
      <c r="I3614" s="133" t="s">
        <v>1092</v>
      </c>
      <c r="J3614" s="312" t="s">
        <v>2736</v>
      </c>
      <c r="K3614" s="143">
        <v>46023</v>
      </c>
      <c r="L3614" s="133" t="s">
        <v>1092</v>
      </c>
      <c r="M3614" s="133">
        <v>1710</v>
      </c>
      <c r="N3614" s="147">
        <f>+F3614-M3614-M3615</f>
        <v>0</v>
      </c>
      <c r="O3614" s="141"/>
      <c r="P3614" s="140"/>
    </row>
    <row r="3615" spans="1:16" hidden="1" x14ac:dyDescent="0.35">
      <c r="A3615" s="149"/>
      <c r="B3615" s="143"/>
      <c r="C3615" s="133"/>
      <c r="D3615" s="133"/>
      <c r="E3615" s="145"/>
      <c r="F3615" s="145"/>
      <c r="G3615" s="133" t="s">
        <v>1034</v>
      </c>
      <c r="H3615" s="144" t="s">
        <v>1341</v>
      </c>
      <c r="I3615" s="133" t="s">
        <v>1092</v>
      </c>
      <c r="J3615" s="355" t="s">
        <v>2820</v>
      </c>
      <c r="K3615" s="143">
        <v>46082</v>
      </c>
      <c r="L3615" s="133" t="s">
        <v>1241</v>
      </c>
      <c r="M3615" s="133">
        <v>61</v>
      </c>
      <c r="N3615" s="147"/>
      <c r="O3615" s="141"/>
      <c r="P3615" s="140"/>
    </row>
    <row r="3616" spans="1:16" hidden="1" x14ac:dyDescent="0.35">
      <c r="A3616" s="149"/>
      <c r="B3616" s="143"/>
      <c r="C3616" s="133"/>
      <c r="D3616" s="133"/>
      <c r="E3616" s="145"/>
      <c r="F3616" s="145"/>
      <c r="G3616" s="133"/>
      <c r="H3616" s="144"/>
      <c r="I3616" s="133"/>
      <c r="J3616" s="355"/>
      <c r="K3616" s="143"/>
      <c r="L3616" s="133"/>
      <c r="M3616" s="133"/>
      <c r="N3616" s="147"/>
      <c r="O3616" s="141"/>
      <c r="P3616" s="140"/>
    </row>
    <row r="3617" spans="1:16" hidden="1" x14ac:dyDescent="0.35">
      <c r="A3617" s="149">
        <v>233</v>
      </c>
      <c r="B3617" s="143">
        <v>46023</v>
      </c>
      <c r="C3617" s="303" t="s">
        <v>1514</v>
      </c>
      <c r="D3617" s="304" t="s">
        <v>2715</v>
      </c>
      <c r="E3617" s="145" t="s">
        <v>1064</v>
      </c>
      <c r="F3617" s="145">
        <v>2273.1999999999998</v>
      </c>
      <c r="G3617" s="133" t="s">
        <v>1034</v>
      </c>
      <c r="H3617" s="144" t="s">
        <v>1341</v>
      </c>
      <c r="I3617" s="133" t="s">
        <v>1092</v>
      </c>
      <c r="J3617" s="133" t="s">
        <v>2736</v>
      </c>
      <c r="K3617" s="143">
        <v>46023</v>
      </c>
      <c r="L3617" s="133" t="s">
        <v>1092</v>
      </c>
      <c r="M3617" s="133">
        <v>18120.2</v>
      </c>
      <c r="N3617" s="147">
        <f>+F3617+F3618+F3619-M3617-M3618</f>
        <v>0</v>
      </c>
      <c r="O3617" s="141"/>
      <c r="P3617" s="140"/>
    </row>
    <row r="3618" spans="1:16" hidden="1" x14ac:dyDescent="0.35">
      <c r="A3618" s="149"/>
      <c r="B3618" s="143"/>
      <c r="C3618" s="133"/>
      <c r="D3618" s="133"/>
      <c r="E3618" s="145" t="s">
        <v>1075</v>
      </c>
      <c r="F3618" s="145">
        <v>7157</v>
      </c>
      <c r="G3618" s="133" t="s">
        <v>1034</v>
      </c>
      <c r="H3618" s="144" t="s">
        <v>1341</v>
      </c>
      <c r="I3618" s="133" t="s">
        <v>1092</v>
      </c>
      <c r="J3618" s="355" t="s">
        <v>2820</v>
      </c>
      <c r="K3618" s="143">
        <v>46082</v>
      </c>
      <c r="L3618" s="133" t="s">
        <v>1241</v>
      </c>
      <c r="M3618" s="133">
        <v>612</v>
      </c>
      <c r="N3618" s="147"/>
      <c r="O3618" s="141"/>
      <c r="P3618" s="140"/>
    </row>
    <row r="3619" spans="1:16" hidden="1" x14ac:dyDescent="0.35">
      <c r="A3619" s="149"/>
      <c r="B3619" s="143"/>
      <c r="C3619" s="133"/>
      <c r="D3619" s="133"/>
      <c r="E3619" s="145" t="s">
        <v>1067</v>
      </c>
      <c r="F3619" s="145">
        <v>9302</v>
      </c>
      <c r="G3619" s="133"/>
      <c r="H3619" s="144"/>
      <c r="I3619" s="133"/>
      <c r="J3619" s="133"/>
      <c r="K3619" s="133"/>
      <c r="L3619" s="133"/>
      <c r="M3619" s="133"/>
      <c r="N3619" s="147"/>
      <c r="O3619" s="141"/>
      <c r="P3619" s="140"/>
    </row>
    <row r="3620" spans="1:16" hidden="1" x14ac:dyDescent="0.35">
      <c r="A3620" s="149"/>
      <c r="B3620" s="143"/>
      <c r="C3620" s="133"/>
      <c r="D3620" s="133"/>
      <c r="E3620" s="145"/>
      <c r="F3620" s="145"/>
      <c r="G3620" s="133"/>
      <c r="H3620" s="144"/>
      <c r="I3620" s="133"/>
      <c r="J3620" s="133"/>
      <c r="K3620" s="133"/>
      <c r="L3620" s="133"/>
      <c r="M3620" s="133"/>
      <c r="N3620" s="147"/>
      <c r="O3620" s="141"/>
      <c r="P3620" s="140"/>
    </row>
    <row r="3621" spans="1:16" hidden="1" x14ac:dyDescent="0.35">
      <c r="A3621" s="149">
        <v>234</v>
      </c>
      <c r="B3621" s="143">
        <v>46023</v>
      </c>
      <c r="C3621" s="303" t="s">
        <v>1512</v>
      </c>
      <c r="D3621" s="304" t="s">
        <v>2716</v>
      </c>
      <c r="E3621" s="145" t="s">
        <v>1118</v>
      </c>
      <c r="F3621" s="145">
        <v>2706.4</v>
      </c>
      <c r="G3621" s="133" t="s">
        <v>1034</v>
      </c>
      <c r="H3621" s="144" t="s">
        <v>1341</v>
      </c>
      <c r="I3621" s="133" t="s">
        <v>1092</v>
      </c>
      <c r="J3621" s="133" t="s">
        <v>2736</v>
      </c>
      <c r="K3621" s="143">
        <v>46023</v>
      </c>
      <c r="L3621" s="133" t="s">
        <v>1092</v>
      </c>
      <c r="M3621" s="133">
        <f>2706.4+2217+2496.88</f>
        <v>7420.28</v>
      </c>
      <c r="N3621" s="147">
        <f>+F3621+F3622+F3623-M3621-M3622-M3623</f>
        <v>0</v>
      </c>
      <c r="O3621" s="141"/>
      <c r="P3621" s="140"/>
    </row>
    <row r="3622" spans="1:16" hidden="1" x14ac:dyDescent="0.35">
      <c r="A3622" s="149"/>
      <c r="B3622" s="143"/>
      <c r="C3622" s="133"/>
      <c r="D3622" s="133"/>
      <c r="E3622" s="145" t="s">
        <v>1342</v>
      </c>
      <c r="F3622" s="145">
        <v>5581</v>
      </c>
      <c r="G3622" s="133" t="s">
        <v>1034</v>
      </c>
      <c r="H3622" s="144" t="s">
        <v>1341</v>
      </c>
      <c r="I3622" s="133" t="s">
        <v>1092</v>
      </c>
      <c r="J3622" s="319" t="s">
        <v>2749</v>
      </c>
      <c r="K3622" s="143">
        <v>46054</v>
      </c>
      <c r="L3622" s="133" t="s">
        <v>1092</v>
      </c>
      <c r="M3622" s="133">
        <v>2694.12</v>
      </c>
      <c r="N3622" s="147"/>
      <c r="O3622" s="141"/>
      <c r="P3622" s="140"/>
    </row>
    <row r="3623" spans="1:16" hidden="1" x14ac:dyDescent="0.35">
      <c r="A3623" s="149"/>
      <c r="B3623" s="143"/>
      <c r="C3623" s="133"/>
      <c r="D3623" s="133"/>
      <c r="E3623" s="145" t="s">
        <v>1067</v>
      </c>
      <c r="F3623" s="145">
        <v>2217</v>
      </c>
      <c r="G3623" s="133" t="s">
        <v>1034</v>
      </c>
      <c r="H3623" s="144" t="s">
        <v>1341</v>
      </c>
      <c r="I3623" s="133" t="s">
        <v>1092</v>
      </c>
      <c r="J3623" s="355" t="s">
        <v>2820</v>
      </c>
      <c r="K3623" s="143">
        <v>46082</v>
      </c>
      <c r="L3623" s="133" t="s">
        <v>1241</v>
      </c>
      <c r="M3623" s="133">
        <v>390</v>
      </c>
      <c r="N3623" s="147"/>
      <c r="O3623" s="141"/>
      <c r="P3623" s="140"/>
    </row>
    <row r="3624" spans="1:16" hidden="1" x14ac:dyDescent="0.35">
      <c r="A3624" s="149"/>
      <c r="B3624" s="143"/>
      <c r="C3624" s="133"/>
      <c r="D3624" s="133"/>
      <c r="E3624" s="145"/>
      <c r="F3624" s="145"/>
      <c r="G3624" s="133"/>
      <c r="H3624" s="144"/>
      <c r="I3624" s="133"/>
      <c r="J3624" s="133"/>
      <c r="K3624" s="133"/>
      <c r="L3624" s="133"/>
      <c r="M3624" s="133"/>
      <c r="N3624" s="147"/>
      <c r="O3624" s="141"/>
      <c r="P3624" s="140"/>
    </row>
    <row r="3625" spans="1:16" hidden="1" x14ac:dyDescent="0.35">
      <c r="A3625" s="149">
        <v>235</v>
      </c>
      <c r="B3625" s="143">
        <v>46023</v>
      </c>
      <c r="C3625" s="303" t="s">
        <v>1510</v>
      </c>
      <c r="D3625" s="304" t="s">
        <v>2717</v>
      </c>
      <c r="E3625" s="145" t="s">
        <v>1075</v>
      </c>
      <c r="F3625" s="145">
        <v>7037</v>
      </c>
      <c r="G3625" s="133" t="s">
        <v>1034</v>
      </c>
      <c r="H3625" s="144" t="s">
        <v>1341</v>
      </c>
      <c r="I3625" s="133" t="s">
        <v>1092</v>
      </c>
      <c r="J3625" s="319" t="s">
        <v>2749</v>
      </c>
      <c r="K3625" s="143">
        <v>46054</v>
      </c>
      <c r="L3625" s="133" t="s">
        <v>1092</v>
      </c>
      <c r="M3625" s="133">
        <v>7630</v>
      </c>
      <c r="N3625" s="357">
        <f>+F3625+F3626-M3625-M3626</f>
        <v>0</v>
      </c>
      <c r="O3625" s="141"/>
      <c r="P3625" s="140"/>
    </row>
    <row r="3626" spans="1:16" hidden="1" x14ac:dyDescent="0.35">
      <c r="A3626" s="149"/>
      <c r="B3626" s="143"/>
      <c r="C3626" s="133"/>
      <c r="D3626" s="133"/>
      <c r="E3626" s="145" t="s">
        <v>1067</v>
      </c>
      <c r="F3626" s="145">
        <v>911</v>
      </c>
      <c r="G3626" s="133" t="s">
        <v>1034</v>
      </c>
      <c r="H3626" s="144" t="s">
        <v>1341</v>
      </c>
      <c r="I3626" s="133" t="s">
        <v>1092</v>
      </c>
      <c r="J3626" s="355" t="s">
        <v>2820</v>
      </c>
      <c r="K3626" s="143">
        <v>46082</v>
      </c>
      <c r="L3626" s="133" t="s">
        <v>1241</v>
      </c>
      <c r="M3626" s="133">
        <v>318</v>
      </c>
      <c r="N3626" s="357"/>
      <c r="O3626" s="141"/>
      <c r="P3626" s="140"/>
    </row>
    <row r="3627" spans="1:16" hidden="1" x14ac:dyDescent="0.35">
      <c r="A3627" s="149"/>
      <c r="B3627" s="143"/>
      <c r="C3627" s="133"/>
      <c r="D3627" s="133"/>
      <c r="E3627" s="145"/>
      <c r="F3627" s="145"/>
      <c r="G3627" s="133"/>
      <c r="H3627" s="144"/>
      <c r="I3627" s="133"/>
      <c r="J3627" s="133"/>
      <c r="K3627" s="133"/>
      <c r="L3627" s="133"/>
      <c r="M3627" s="133"/>
      <c r="N3627" s="357"/>
      <c r="O3627" s="141"/>
      <c r="P3627" s="140"/>
    </row>
    <row r="3628" spans="1:16" hidden="1" x14ac:dyDescent="0.35">
      <c r="A3628" s="149">
        <v>236</v>
      </c>
      <c r="B3628" s="143">
        <v>46023</v>
      </c>
      <c r="C3628" s="305" t="s">
        <v>1508</v>
      </c>
      <c r="D3628" s="306" t="s">
        <v>2718</v>
      </c>
      <c r="E3628" s="145" t="s">
        <v>1067</v>
      </c>
      <c r="F3628" s="145">
        <v>1823</v>
      </c>
      <c r="G3628" s="133" t="s">
        <v>1034</v>
      </c>
      <c r="H3628" s="144" t="s">
        <v>1341</v>
      </c>
      <c r="I3628" s="133" t="s">
        <v>1092</v>
      </c>
      <c r="J3628" s="319" t="s">
        <v>2749</v>
      </c>
      <c r="K3628" s="143">
        <v>46054</v>
      </c>
      <c r="L3628" s="133" t="s">
        <v>1092</v>
      </c>
      <c r="M3628" s="133">
        <v>6731.5</v>
      </c>
      <c r="N3628" s="357">
        <f>+F3628+F3629+F3630-M3628-M3629</f>
        <v>0</v>
      </c>
      <c r="O3628" s="141"/>
      <c r="P3628" s="140"/>
    </row>
    <row r="3629" spans="1:16" hidden="1" x14ac:dyDescent="0.35">
      <c r="A3629" s="149"/>
      <c r="B3629" s="143"/>
      <c r="C3629" s="133"/>
      <c r="D3629" s="133"/>
      <c r="E3629" s="145" t="s">
        <v>1342</v>
      </c>
      <c r="F3629" s="145">
        <v>2174</v>
      </c>
      <c r="G3629" s="133" t="s">
        <v>1034</v>
      </c>
      <c r="H3629" s="144" t="s">
        <v>1341</v>
      </c>
      <c r="I3629" s="133" t="s">
        <v>1092</v>
      </c>
      <c r="J3629" s="355" t="s">
        <v>2820</v>
      </c>
      <c r="K3629" s="143">
        <v>46082</v>
      </c>
      <c r="L3629" s="133" t="s">
        <v>1241</v>
      </c>
      <c r="M3629" s="133">
        <v>260</v>
      </c>
      <c r="N3629" s="357"/>
      <c r="O3629" s="141"/>
      <c r="P3629" s="140"/>
    </row>
    <row r="3630" spans="1:16" hidden="1" x14ac:dyDescent="0.35">
      <c r="A3630" s="149"/>
      <c r="B3630" s="143"/>
      <c r="C3630" s="133"/>
      <c r="D3630" s="133"/>
      <c r="E3630" s="145" t="s">
        <v>1118</v>
      </c>
      <c r="F3630" s="145">
        <v>2994.5</v>
      </c>
      <c r="G3630" s="133"/>
      <c r="H3630" s="144"/>
      <c r="I3630" s="133"/>
      <c r="J3630" s="133"/>
      <c r="K3630" s="133"/>
      <c r="L3630" s="133"/>
      <c r="M3630" s="133"/>
      <c r="N3630" s="357"/>
      <c r="O3630" s="141"/>
      <c r="P3630" s="140"/>
    </row>
    <row r="3631" spans="1:16" hidden="1" x14ac:dyDescent="0.35">
      <c r="A3631" s="149"/>
      <c r="B3631" s="143"/>
      <c r="C3631" s="133"/>
      <c r="D3631" s="133"/>
      <c r="E3631" s="145"/>
      <c r="F3631" s="145"/>
      <c r="G3631" s="133"/>
      <c r="H3631" s="144"/>
      <c r="I3631" s="133"/>
      <c r="J3631" s="133"/>
      <c r="K3631" s="133"/>
      <c r="L3631" s="133"/>
      <c r="M3631" s="133"/>
      <c r="N3631" s="357"/>
      <c r="O3631" s="141"/>
      <c r="P3631" s="140"/>
    </row>
    <row r="3632" spans="1:16" hidden="1" x14ac:dyDescent="0.35">
      <c r="A3632" s="149">
        <v>237</v>
      </c>
      <c r="B3632" s="143">
        <v>46023</v>
      </c>
      <c r="C3632" s="307" t="s">
        <v>1507</v>
      </c>
      <c r="D3632" s="308" t="s">
        <v>2727</v>
      </c>
      <c r="E3632" s="145" t="s">
        <v>1064</v>
      </c>
      <c r="F3632" s="145">
        <v>1887.9</v>
      </c>
      <c r="G3632" s="133" t="s">
        <v>1034</v>
      </c>
      <c r="H3632" s="144" t="s">
        <v>1341</v>
      </c>
      <c r="I3632" s="133" t="s">
        <v>1092</v>
      </c>
      <c r="J3632" s="319" t="s">
        <v>2749</v>
      </c>
      <c r="K3632" s="143">
        <v>46054</v>
      </c>
      <c r="L3632" s="133" t="s">
        <v>1092</v>
      </c>
      <c r="M3632" s="133">
        <v>7218.9</v>
      </c>
      <c r="N3632" s="357">
        <f>+F3632+F3633-M3632-M3633</f>
        <v>0</v>
      </c>
      <c r="O3632" s="141"/>
      <c r="P3632" s="140"/>
    </row>
    <row r="3633" spans="1:16" hidden="1" x14ac:dyDescent="0.35">
      <c r="A3633" s="149"/>
      <c r="B3633" s="143"/>
      <c r="C3633" s="133"/>
      <c r="D3633" s="133"/>
      <c r="E3633" s="145" t="s">
        <v>1075</v>
      </c>
      <c r="F3633" s="145">
        <v>5612</v>
      </c>
      <c r="G3633" s="133" t="s">
        <v>1034</v>
      </c>
      <c r="H3633" s="144" t="s">
        <v>1341</v>
      </c>
      <c r="I3633" s="133" t="s">
        <v>1092</v>
      </c>
      <c r="J3633" s="355" t="s">
        <v>2820</v>
      </c>
      <c r="K3633" s="143">
        <v>46082</v>
      </c>
      <c r="L3633" s="133" t="s">
        <v>1241</v>
      </c>
      <c r="M3633" s="133">
        <v>281</v>
      </c>
      <c r="N3633" s="357"/>
      <c r="O3633" s="141"/>
      <c r="P3633" s="140"/>
    </row>
    <row r="3634" spans="1:16" hidden="1" x14ac:dyDescent="0.35">
      <c r="A3634" s="149"/>
      <c r="B3634" s="143"/>
      <c r="C3634" s="133"/>
      <c r="D3634" s="133"/>
      <c r="E3634" s="145"/>
      <c r="F3634" s="145"/>
      <c r="G3634" s="133"/>
      <c r="H3634" s="144"/>
      <c r="I3634" s="133"/>
      <c r="J3634" s="133"/>
      <c r="K3634" s="133"/>
      <c r="L3634" s="133"/>
      <c r="M3634" s="133"/>
      <c r="N3634" s="357"/>
      <c r="O3634" s="141"/>
      <c r="P3634" s="140"/>
    </row>
    <row r="3635" spans="1:16" hidden="1" x14ac:dyDescent="0.35">
      <c r="A3635" s="149">
        <v>238</v>
      </c>
      <c r="B3635" s="143">
        <v>46023</v>
      </c>
      <c r="C3635" s="307" t="s">
        <v>1505</v>
      </c>
      <c r="D3635" s="308" t="s">
        <v>2728</v>
      </c>
      <c r="E3635" s="145" t="s">
        <v>1118</v>
      </c>
      <c r="F3635" s="145">
        <v>3559.3</v>
      </c>
      <c r="G3635" s="133" t="s">
        <v>1034</v>
      </c>
      <c r="H3635" s="144" t="s">
        <v>1341</v>
      </c>
      <c r="I3635" s="133" t="s">
        <v>1092</v>
      </c>
      <c r="J3635" s="319" t="s">
        <v>2749</v>
      </c>
      <c r="K3635" s="143">
        <v>46054</v>
      </c>
      <c r="L3635" s="133" t="s">
        <v>1092</v>
      </c>
      <c r="M3635" s="133">
        <v>13500.3</v>
      </c>
      <c r="N3635" s="357">
        <f>+F3635+F3636+F3637+F3638+F3639-M3635-M3636</f>
        <v>0</v>
      </c>
      <c r="O3635" s="141"/>
      <c r="P3635" s="140"/>
    </row>
    <row r="3636" spans="1:16" hidden="1" x14ac:dyDescent="0.35">
      <c r="A3636" s="149"/>
      <c r="B3636" s="143"/>
      <c r="C3636" s="133"/>
      <c r="D3636" s="133"/>
      <c r="E3636" s="145" t="s">
        <v>1067</v>
      </c>
      <c r="F3636" s="145">
        <v>3649</v>
      </c>
      <c r="G3636" s="133" t="s">
        <v>1034</v>
      </c>
      <c r="H3636" s="144" t="s">
        <v>1341</v>
      </c>
      <c r="I3636" s="133" t="s">
        <v>1092</v>
      </c>
      <c r="J3636" s="355" t="s">
        <v>2820</v>
      </c>
      <c r="K3636" s="143">
        <v>46082</v>
      </c>
      <c r="L3636" s="133" t="s">
        <v>1241</v>
      </c>
      <c r="M3636" s="133">
        <v>516</v>
      </c>
      <c r="N3636" s="357"/>
      <c r="O3636" s="141"/>
      <c r="P3636" s="140"/>
    </row>
    <row r="3637" spans="1:16" hidden="1" x14ac:dyDescent="0.35">
      <c r="A3637" s="149"/>
      <c r="B3637" s="143"/>
      <c r="C3637" s="133"/>
      <c r="D3637" s="133"/>
      <c r="E3637" s="145" t="s">
        <v>1342</v>
      </c>
      <c r="F3637" s="145">
        <v>1078</v>
      </c>
      <c r="G3637" s="133"/>
      <c r="H3637" s="144"/>
      <c r="I3637" s="133"/>
      <c r="J3637" s="133"/>
      <c r="K3637" s="133"/>
      <c r="L3637" s="133"/>
      <c r="M3637" s="133"/>
      <c r="N3637" s="357"/>
      <c r="O3637" s="141"/>
      <c r="P3637" s="140"/>
    </row>
    <row r="3638" spans="1:16" hidden="1" x14ac:dyDescent="0.35">
      <c r="A3638" s="149"/>
      <c r="B3638" s="143"/>
      <c r="C3638" s="133"/>
      <c r="D3638" s="133"/>
      <c r="E3638" s="145" t="s">
        <v>1075</v>
      </c>
      <c r="F3638" s="145">
        <v>5338</v>
      </c>
      <c r="G3638" s="133"/>
      <c r="H3638" s="144"/>
      <c r="I3638" s="133"/>
      <c r="J3638" s="133"/>
      <c r="K3638" s="133"/>
      <c r="L3638" s="133"/>
      <c r="M3638" s="133"/>
      <c r="N3638" s="357"/>
      <c r="O3638" s="141"/>
      <c r="P3638" s="140"/>
    </row>
    <row r="3639" spans="1:16" hidden="1" x14ac:dyDescent="0.35">
      <c r="A3639" s="149"/>
      <c r="B3639" s="143"/>
      <c r="C3639" s="133"/>
      <c r="D3639" s="133"/>
      <c r="E3639" s="145" t="s">
        <v>1071</v>
      </c>
      <c r="F3639" s="145">
        <v>392</v>
      </c>
      <c r="G3639" s="133"/>
      <c r="H3639" s="144"/>
      <c r="I3639" s="133"/>
      <c r="J3639" s="133"/>
      <c r="K3639" s="133"/>
      <c r="L3639" s="133"/>
      <c r="M3639" s="133"/>
      <c r="N3639" s="357"/>
      <c r="O3639" s="141"/>
      <c r="P3639" s="140"/>
    </row>
    <row r="3640" spans="1:16" hidden="1" x14ac:dyDescent="0.35">
      <c r="A3640" s="149"/>
      <c r="B3640" s="143"/>
      <c r="C3640" s="133"/>
      <c r="D3640" s="133"/>
      <c r="E3640" s="145"/>
      <c r="F3640" s="145"/>
      <c r="G3640" s="133"/>
      <c r="H3640" s="144"/>
      <c r="I3640" s="133"/>
      <c r="J3640" s="133"/>
      <c r="K3640" s="133"/>
      <c r="L3640" s="133"/>
      <c r="M3640" s="133"/>
      <c r="N3640" s="357"/>
      <c r="O3640" s="141"/>
      <c r="P3640" s="140"/>
    </row>
    <row r="3641" spans="1:16" hidden="1" x14ac:dyDescent="0.35">
      <c r="A3641" s="149">
        <v>239</v>
      </c>
      <c r="B3641" s="143">
        <v>46023</v>
      </c>
      <c r="C3641" s="307" t="s">
        <v>1502</v>
      </c>
      <c r="D3641" s="308" t="s">
        <v>2729</v>
      </c>
      <c r="E3641" s="145" t="s">
        <v>1064</v>
      </c>
      <c r="F3641" s="145">
        <v>2182.8000000000002</v>
      </c>
      <c r="G3641" s="133" t="s">
        <v>1034</v>
      </c>
      <c r="H3641" s="144" t="s">
        <v>1341</v>
      </c>
      <c r="I3641" s="133" t="s">
        <v>1092</v>
      </c>
      <c r="J3641" s="319" t="s">
        <v>2749</v>
      </c>
      <c r="K3641" s="143">
        <v>46054</v>
      </c>
      <c r="L3641" s="133" t="s">
        <v>1092</v>
      </c>
      <c r="M3641" s="133">
        <v>3660.8</v>
      </c>
      <c r="N3641" s="357">
        <f>+F3641+F3642-M3641</f>
        <v>0</v>
      </c>
      <c r="O3641" s="141"/>
      <c r="P3641" s="140"/>
    </row>
    <row r="3642" spans="1:16" hidden="1" x14ac:dyDescent="0.35">
      <c r="A3642" s="149"/>
      <c r="B3642" s="143"/>
      <c r="C3642" s="133"/>
      <c r="D3642" s="133"/>
      <c r="E3642" s="145" t="s">
        <v>1067</v>
      </c>
      <c r="F3642" s="145">
        <v>1478</v>
      </c>
      <c r="G3642" s="133"/>
      <c r="H3642" s="144"/>
      <c r="I3642" s="133"/>
      <c r="J3642" s="133"/>
      <c r="K3642" s="133"/>
      <c r="L3642" s="133"/>
      <c r="M3642" s="133"/>
      <c r="N3642" s="357"/>
      <c r="O3642" s="141"/>
      <c r="P3642" s="140"/>
    </row>
    <row r="3643" spans="1:16" hidden="1" x14ac:dyDescent="0.35">
      <c r="A3643" s="149"/>
      <c r="B3643" s="143"/>
      <c r="C3643" s="133"/>
      <c r="D3643" s="133"/>
      <c r="E3643" s="145"/>
      <c r="F3643" s="145"/>
      <c r="G3643" s="133"/>
      <c r="H3643" s="144"/>
      <c r="I3643" s="133"/>
      <c r="J3643" s="133"/>
      <c r="K3643" s="133"/>
      <c r="L3643" s="133"/>
      <c r="M3643" s="133"/>
      <c r="N3643" s="357"/>
      <c r="O3643" s="141"/>
      <c r="P3643" s="140"/>
    </row>
    <row r="3644" spans="1:16" hidden="1" x14ac:dyDescent="0.35">
      <c r="A3644" s="149">
        <v>240</v>
      </c>
      <c r="B3644" s="143">
        <v>46023</v>
      </c>
      <c r="C3644" s="307" t="s">
        <v>1498</v>
      </c>
      <c r="D3644" s="308" t="s">
        <v>2730</v>
      </c>
      <c r="E3644" s="145" t="s">
        <v>1118</v>
      </c>
      <c r="F3644" s="145">
        <v>23.8</v>
      </c>
      <c r="G3644" s="133" t="s">
        <v>1034</v>
      </c>
      <c r="H3644" s="144" t="s">
        <v>1341</v>
      </c>
      <c r="I3644" s="133" t="s">
        <v>1092</v>
      </c>
      <c r="J3644" s="319" t="s">
        <v>2749</v>
      </c>
      <c r="K3644" s="143">
        <v>46054</v>
      </c>
      <c r="L3644" s="133" t="s">
        <v>1092</v>
      </c>
      <c r="M3644" s="133">
        <v>11177.8</v>
      </c>
      <c r="N3644" s="357">
        <f>+F3644+F3645+F3646+F3647+F3648+F3649-M3644-M3645</f>
        <v>0</v>
      </c>
      <c r="O3644" s="141"/>
      <c r="P3644" s="140"/>
    </row>
    <row r="3645" spans="1:16" hidden="1" x14ac:dyDescent="0.35">
      <c r="A3645" s="149"/>
      <c r="B3645" s="143"/>
      <c r="C3645" s="133"/>
      <c r="D3645" s="133"/>
      <c r="E3645" s="145" t="s">
        <v>1067</v>
      </c>
      <c r="F3645" s="145">
        <v>3641</v>
      </c>
      <c r="G3645" s="133" t="s">
        <v>1034</v>
      </c>
      <c r="H3645" s="144" t="s">
        <v>1341</v>
      </c>
      <c r="I3645" s="133" t="s">
        <v>1092</v>
      </c>
      <c r="J3645" s="355" t="s">
        <v>2820</v>
      </c>
      <c r="K3645" s="143">
        <v>46082</v>
      </c>
      <c r="L3645" s="133" t="s">
        <v>1241</v>
      </c>
      <c r="M3645" s="133">
        <v>431</v>
      </c>
      <c r="N3645" s="357"/>
      <c r="O3645" s="141"/>
      <c r="P3645" s="140"/>
    </row>
    <row r="3646" spans="1:16" hidden="1" x14ac:dyDescent="0.35">
      <c r="A3646" s="149"/>
      <c r="B3646" s="143"/>
      <c r="C3646" s="133"/>
      <c r="D3646" s="133"/>
      <c r="E3646" s="145" t="s">
        <v>1342</v>
      </c>
      <c r="F3646" s="145">
        <v>1147</v>
      </c>
      <c r="G3646" s="133"/>
      <c r="H3646" s="144"/>
      <c r="I3646" s="133"/>
      <c r="J3646" s="133"/>
      <c r="K3646" s="133"/>
      <c r="L3646" s="133"/>
      <c r="M3646" s="133"/>
      <c r="N3646" s="357"/>
      <c r="O3646" s="141"/>
      <c r="P3646" s="140"/>
    </row>
    <row r="3647" spans="1:16" hidden="1" x14ac:dyDescent="0.35">
      <c r="A3647" s="149"/>
      <c r="B3647" s="143"/>
      <c r="C3647" s="133"/>
      <c r="D3647" s="133"/>
      <c r="E3647" s="145" t="s">
        <v>1075</v>
      </c>
      <c r="F3647" s="145">
        <v>5295</v>
      </c>
      <c r="G3647" s="133"/>
      <c r="H3647" s="144"/>
      <c r="I3647" s="133"/>
      <c r="J3647" s="133"/>
      <c r="K3647" s="133"/>
      <c r="L3647" s="133"/>
      <c r="M3647" s="133"/>
      <c r="N3647" s="357"/>
      <c r="O3647" s="141"/>
      <c r="P3647" s="140"/>
    </row>
    <row r="3648" spans="1:16" hidden="1" x14ac:dyDescent="0.35">
      <c r="A3648" s="149"/>
      <c r="B3648" s="143"/>
      <c r="C3648" s="133"/>
      <c r="D3648" s="133"/>
      <c r="E3648" s="145" t="s">
        <v>1071</v>
      </c>
      <c r="F3648" s="145">
        <v>1024.2</v>
      </c>
      <c r="G3648" s="133"/>
      <c r="H3648" s="144"/>
      <c r="I3648" s="133"/>
      <c r="J3648" s="133"/>
      <c r="K3648" s="133"/>
      <c r="L3648" s="133"/>
      <c r="M3648" s="133"/>
      <c r="N3648" s="357"/>
      <c r="O3648" s="141"/>
      <c r="P3648" s="140"/>
    </row>
    <row r="3649" spans="1:16" hidden="1" x14ac:dyDescent="0.35">
      <c r="A3649" s="149"/>
      <c r="B3649" s="143"/>
      <c r="C3649" s="133"/>
      <c r="D3649" s="133"/>
      <c r="E3649" s="145" t="s">
        <v>1118</v>
      </c>
      <c r="F3649" s="145">
        <v>477.8</v>
      </c>
      <c r="G3649" s="133"/>
      <c r="H3649" s="144"/>
      <c r="I3649" s="133"/>
      <c r="J3649" s="133"/>
      <c r="K3649" s="133"/>
      <c r="L3649" s="133"/>
      <c r="M3649" s="133"/>
      <c r="N3649" s="357"/>
      <c r="O3649" s="141"/>
      <c r="P3649" s="140"/>
    </row>
    <row r="3650" spans="1:16" hidden="1" x14ac:dyDescent="0.35">
      <c r="A3650" s="149"/>
      <c r="B3650" s="143"/>
      <c r="C3650" s="133"/>
      <c r="D3650" s="133"/>
      <c r="E3650" s="145"/>
      <c r="F3650" s="145"/>
      <c r="G3650" s="133"/>
      <c r="H3650" s="144"/>
      <c r="I3650" s="133"/>
      <c r="J3650" s="133"/>
      <c r="K3650" s="133"/>
      <c r="L3650" s="133"/>
      <c r="M3650" s="133"/>
      <c r="N3650" s="357"/>
      <c r="O3650" s="141"/>
      <c r="P3650" s="140"/>
    </row>
    <row r="3651" spans="1:16" hidden="1" x14ac:dyDescent="0.35">
      <c r="A3651" s="149">
        <v>241</v>
      </c>
      <c r="B3651" s="143">
        <v>46023</v>
      </c>
      <c r="C3651" s="307" t="s">
        <v>1496</v>
      </c>
      <c r="D3651" s="308" t="s">
        <v>2731</v>
      </c>
      <c r="E3651" s="309" t="s">
        <v>1089</v>
      </c>
      <c r="F3651" s="145">
        <v>2000</v>
      </c>
      <c r="G3651" s="133" t="s">
        <v>1034</v>
      </c>
      <c r="H3651" s="144" t="s">
        <v>1341</v>
      </c>
      <c r="I3651" s="133" t="s">
        <v>1092</v>
      </c>
      <c r="J3651" s="319" t="s">
        <v>2749</v>
      </c>
      <c r="K3651" s="143">
        <v>46054</v>
      </c>
      <c r="L3651" s="133" t="s">
        <v>1092</v>
      </c>
      <c r="M3651" s="133">
        <v>6540</v>
      </c>
      <c r="N3651" s="357">
        <f>+F3651+F3652-M3651</f>
        <v>0</v>
      </c>
      <c r="O3651" s="141"/>
      <c r="P3651" s="140"/>
    </row>
    <row r="3652" spans="1:16" hidden="1" x14ac:dyDescent="0.35">
      <c r="A3652" s="149"/>
      <c r="B3652" s="143"/>
      <c r="C3652" s="133"/>
      <c r="D3652" s="133"/>
      <c r="E3652" s="145" t="s">
        <v>1067</v>
      </c>
      <c r="F3652" s="145">
        <v>4540</v>
      </c>
      <c r="G3652" s="133"/>
      <c r="H3652" s="144"/>
      <c r="I3652" s="133"/>
      <c r="J3652" s="133"/>
      <c r="K3652" s="133"/>
      <c r="L3652" s="133"/>
      <c r="M3652" s="133"/>
      <c r="N3652" s="357"/>
      <c r="O3652" s="141"/>
      <c r="P3652" s="140"/>
    </row>
    <row r="3653" spans="1:16" hidden="1" x14ac:dyDescent="0.35">
      <c r="A3653" s="149"/>
      <c r="B3653" s="143"/>
      <c r="C3653" s="133"/>
      <c r="D3653" s="133"/>
      <c r="E3653" s="145"/>
      <c r="F3653" s="145"/>
      <c r="G3653" s="133"/>
      <c r="H3653" s="144"/>
      <c r="I3653" s="133"/>
      <c r="J3653" s="133"/>
      <c r="K3653" s="133"/>
      <c r="L3653" s="133"/>
      <c r="M3653" s="133"/>
      <c r="N3653" s="357"/>
      <c r="O3653" s="141"/>
      <c r="P3653" s="140"/>
    </row>
    <row r="3654" spans="1:16" hidden="1" x14ac:dyDescent="0.35">
      <c r="A3654" s="149">
        <v>242</v>
      </c>
      <c r="B3654" s="143">
        <v>46023</v>
      </c>
      <c r="C3654" s="312" t="s">
        <v>1494</v>
      </c>
      <c r="D3654" s="313" t="s">
        <v>2735</v>
      </c>
      <c r="E3654" s="145" t="s">
        <v>1067</v>
      </c>
      <c r="F3654" s="145">
        <v>2192</v>
      </c>
      <c r="G3654" s="133" t="s">
        <v>1034</v>
      </c>
      <c r="H3654" s="144" t="s">
        <v>1341</v>
      </c>
      <c r="I3654" s="133" t="s">
        <v>1092</v>
      </c>
      <c r="J3654" s="319" t="s">
        <v>2749</v>
      </c>
      <c r="K3654" s="143">
        <v>46054</v>
      </c>
      <c r="L3654" s="133" t="s">
        <v>1092</v>
      </c>
      <c r="M3654" s="133">
        <v>3639.5</v>
      </c>
      <c r="N3654" s="357">
        <f>+F3654+F3655+F3656-M3654-M3655</f>
        <v>0</v>
      </c>
      <c r="O3654" s="141"/>
      <c r="P3654" s="140"/>
    </row>
    <row r="3655" spans="1:16" hidden="1" x14ac:dyDescent="0.35">
      <c r="A3655" s="149"/>
      <c r="B3655" s="143"/>
      <c r="C3655" s="133"/>
      <c r="D3655" s="133"/>
      <c r="E3655" s="145" t="s">
        <v>1342</v>
      </c>
      <c r="F3655" s="145">
        <v>847</v>
      </c>
      <c r="G3655" s="133" t="s">
        <v>1034</v>
      </c>
      <c r="H3655" s="144" t="s">
        <v>1341</v>
      </c>
      <c r="I3655" s="133" t="s">
        <v>1092</v>
      </c>
      <c r="J3655" s="355" t="s">
        <v>2820</v>
      </c>
      <c r="K3655" s="143">
        <v>46082</v>
      </c>
      <c r="L3655" s="133" t="s">
        <v>1241</v>
      </c>
      <c r="M3655" s="133">
        <v>115</v>
      </c>
      <c r="N3655" s="357"/>
      <c r="O3655" s="141"/>
      <c r="P3655" s="140"/>
    </row>
    <row r="3656" spans="1:16" hidden="1" x14ac:dyDescent="0.35">
      <c r="A3656" s="149"/>
      <c r="B3656" s="143"/>
      <c r="C3656" s="133"/>
      <c r="D3656" s="133"/>
      <c r="E3656" s="145" t="s">
        <v>1075</v>
      </c>
      <c r="F3656" s="145">
        <v>715.5</v>
      </c>
      <c r="G3656" s="133"/>
      <c r="H3656" s="144"/>
      <c r="I3656" s="133"/>
      <c r="J3656" s="133"/>
      <c r="K3656" s="133"/>
      <c r="L3656" s="133"/>
      <c r="M3656" s="133"/>
      <c r="N3656" s="357"/>
      <c r="O3656" s="141"/>
      <c r="P3656" s="140"/>
    </row>
    <row r="3657" spans="1:16" hidden="1" x14ac:dyDescent="0.35">
      <c r="A3657" s="149"/>
      <c r="B3657" s="143"/>
      <c r="C3657" s="133"/>
      <c r="D3657" s="133"/>
      <c r="E3657" s="145"/>
      <c r="F3657" s="145"/>
      <c r="G3657" s="133"/>
      <c r="H3657" s="144"/>
      <c r="I3657" s="133"/>
      <c r="J3657" s="133"/>
      <c r="K3657" s="133"/>
      <c r="L3657" s="133"/>
      <c r="M3657" s="133"/>
      <c r="N3657" s="357"/>
      <c r="O3657" s="141"/>
      <c r="P3657" s="140"/>
    </row>
    <row r="3658" spans="1:16" hidden="1" x14ac:dyDescent="0.35">
      <c r="A3658" s="257"/>
      <c r="B3658" s="152"/>
      <c r="C3658" s="151"/>
      <c r="D3658" s="151"/>
      <c r="E3658" s="154"/>
      <c r="F3658" s="154"/>
      <c r="G3658" s="151"/>
      <c r="H3658" s="153"/>
      <c r="I3658" s="151"/>
      <c r="J3658" s="151"/>
      <c r="K3658" s="151"/>
      <c r="L3658" s="151"/>
      <c r="M3658" s="151"/>
      <c r="N3658" s="151"/>
      <c r="O3658" s="141"/>
      <c r="P3658" s="140"/>
    </row>
    <row r="3659" spans="1:16" hidden="1" x14ac:dyDescent="0.35">
      <c r="A3659" s="149"/>
      <c r="B3659" s="143"/>
      <c r="C3659" s="133"/>
      <c r="D3659" s="133"/>
      <c r="E3659" s="145"/>
      <c r="F3659" s="145"/>
      <c r="G3659" s="133"/>
      <c r="H3659" s="144"/>
      <c r="I3659" s="133"/>
      <c r="J3659" s="133"/>
      <c r="K3659" s="133"/>
      <c r="L3659" s="133"/>
      <c r="M3659" s="133"/>
      <c r="N3659" s="357"/>
      <c r="O3659" s="141"/>
      <c r="P3659" s="140"/>
    </row>
    <row r="3660" spans="1:16" hidden="1" x14ac:dyDescent="0.35">
      <c r="A3660" s="149">
        <v>243</v>
      </c>
      <c r="B3660" s="143">
        <v>46054</v>
      </c>
      <c r="C3660" s="314" t="s">
        <v>1491</v>
      </c>
      <c r="D3660" s="315" t="s">
        <v>2740</v>
      </c>
      <c r="E3660" s="145" t="s">
        <v>1075</v>
      </c>
      <c r="F3660" s="145">
        <v>7407.7</v>
      </c>
      <c r="G3660" s="133" t="s">
        <v>1034</v>
      </c>
      <c r="H3660" s="144" t="s">
        <v>1341</v>
      </c>
      <c r="I3660" s="133" t="s">
        <v>1092</v>
      </c>
      <c r="J3660" s="334" t="s">
        <v>2782</v>
      </c>
      <c r="K3660" s="143">
        <v>46054</v>
      </c>
      <c r="L3660" s="133" t="s">
        <v>1092</v>
      </c>
      <c r="M3660" s="133">
        <v>14935.1</v>
      </c>
      <c r="N3660" s="357">
        <f>+F3660+F3661+F3662+F3663+F3664-M3660-M3661</f>
        <v>0</v>
      </c>
      <c r="O3660" s="141"/>
      <c r="P3660" s="159"/>
    </row>
    <row r="3661" spans="1:16" hidden="1" x14ac:dyDescent="0.35">
      <c r="A3661" s="149"/>
      <c r="B3661" s="143"/>
      <c r="C3661" s="133"/>
      <c r="D3661" s="133"/>
      <c r="E3661" s="145" t="s">
        <v>1064</v>
      </c>
      <c r="F3661" s="145">
        <v>1405.4</v>
      </c>
      <c r="G3661" s="133" t="s">
        <v>1034</v>
      </c>
      <c r="H3661" s="144" t="s">
        <v>1341</v>
      </c>
      <c r="I3661" s="133" t="s">
        <v>1092</v>
      </c>
      <c r="J3661" s="355" t="s">
        <v>2820</v>
      </c>
      <c r="K3661" s="143">
        <v>46082</v>
      </c>
      <c r="L3661" s="133" t="s">
        <v>1241</v>
      </c>
      <c r="M3661" s="133">
        <v>591</v>
      </c>
      <c r="N3661" s="357"/>
      <c r="O3661" s="141"/>
      <c r="P3661" s="159"/>
    </row>
    <row r="3662" spans="1:16" hidden="1" x14ac:dyDescent="0.35">
      <c r="A3662" s="149"/>
      <c r="B3662" s="143"/>
      <c r="C3662" s="133"/>
      <c r="D3662" s="133"/>
      <c r="E3662" s="145" t="s">
        <v>1067</v>
      </c>
      <c r="F3662" s="145">
        <v>5613</v>
      </c>
      <c r="G3662" s="133"/>
      <c r="H3662" s="144"/>
      <c r="I3662" s="133"/>
      <c r="J3662" s="133"/>
      <c r="K3662" s="133"/>
      <c r="L3662" s="133"/>
      <c r="M3662" s="133"/>
      <c r="N3662" s="357"/>
      <c r="O3662" s="141"/>
      <c r="P3662" s="159"/>
    </row>
    <row r="3663" spans="1:16" hidden="1" x14ac:dyDescent="0.35">
      <c r="A3663" s="149"/>
      <c r="B3663" s="143"/>
      <c r="C3663" s="133"/>
      <c r="D3663" s="133"/>
      <c r="E3663" s="316" t="s">
        <v>1171</v>
      </c>
      <c r="F3663" s="145">
        <v>100</v>
      </c>
      <c r="G3663" s="133"/>
      <c r="H3663" s="144"/>
      <c r="I3663" s="133"/>
      <c r="J3663" s="133"/>
      <c r="K3663" s="133"/>
      <c r="L3663" s="133"/>
      <c r="M3663" s="133"/>
      <c r="N3663" s="357"/>
      <c r="O3663" s="141"/>
      <c r="P3663" s="159"/>
    </row>
    <row r="3664" spans="1:16" hidden="1" x14ac:dyDescent="0.35">
      <c r="A3664" s="149"/>
      <c r="B3664" s="143"/>
      <c r="C3664" s="133"/>
      <c r="D3664" s="133"/>
      <c r="E3664" s="316" t="s">
        <v>2725</v>
      </c>
      <c r="F3664" s="145">
        <v>1000</v>
      </c>
      <c r="G3664" s="133"/>
      <c r="H3664" s="144"/>
      <c r="I3664" s="133"/>
      <c r="J3664" s="133"/>
      <c r="K3664" s="133"/>
      <c r="L3664" s="133"/>
      <c r="M3664" s="133"/>
      <c r="N3664" s="357"/>
      <c r="O3664" s="141"/>
      <c r="P3664" s="159"/>
    </row>
    <row r="3665" spans="1:16" hidden="1" x14ac:dyDescent="0.35">
      <c r="A3665" s="149"/>
      <c r="B3665" s="143"/>
      <c r="C3665" s="133"/>
      <c r="D3665" s="133"/>
      <c r="E3665" s="145"/>
      <c r="F3665" s="145"/>
      <c r="G3665" s="133"/>
      <c r="H3665" s="144"/>
      <c r="I3665" s="133"/>
      <c r="J3665" s="133"/>
      <c r="K3665" s="133"/>
      <c r="L3665" s="133"/>
      <c r="M3665" s="133"/>
      <c r="N3665" s="357"/>
      <c r="O3665" s="141"/>
      <c r="P3665" s="159"/>
    </row>
    <row r="3666" spans="1:16" hidden="1" x14ac:dyDescent="0.35">
      <c r="A3666" s="149"/>
      <c r="B3666" s="143"/>
      <c r="C3666" s="133"/>
      <c r="D3666" s="133"/>
      <c r="E3666" s="145"/>
      <c r="F3666" s="145"/>
      <c r="G3666" s="133"/>
      <c r="H3666" s="144"/>
      <c r="I3666" s="133"/>
      <c r="J3666" s="133"/>
      <c r="K3666" s="133"/>
      <c r="L3666" s="133"/>
      <c r="M3666" s="133"/>
      <c r="N3666" s="357"/>
      <c r="O3666" s="141"/>
      <c r="P3666" s="159"/>
    </row>
    <row r="3667" spans="1:16" hidden="1" x14ac:dyDescent="0.35">
      <c r="A3667" s="149">
        <v>244</v>
      </c>
      <c r="B3667" s="143">
        <v>46054</v>
      </c>
      <c r="C3667" s="314" t="s">
        <v>1490</v>
      </c>
      <c r="D3667" s="315" t="s">
        <v>2741</v>
      </c>
      <c r="E3667" s="145" t="s">
        <v>1075</v>
      </c>
      <c r="F3667" s="145">
        <v>3673</v>
      </c>
      <c r="G3667" s="133" t="s">
        <v>1034</v>
      </c>
      <c r="H3667" s="144" t="s">
        <v>1341</v>
      </c>
      <c r="I3667" s="133" t="s">
        <v>1092</v>
      </c>
      <c r="J3667" s="334" t="s">
        <v>2782</v>
      </c>
      <c r="K3667" s="143">
        <v>46054</v>
      </c>
      <c r="L3667" s="133" t="s">
        <v>1092</v>
      </c>
      <c r="M3667" s="133">
        <v>13652.3</v>
      </c>
      <c r="N3667" s="357">
        <f>+F3667+F3668+F3669+F3670+F3671-M3667-M3668</f>
        <v>0</v>
      </c>
      <c r="O3667" s="141"/>
      <c r="P3667" s="159"/>
    </row>
    <row r="3668" spans="1:16" hidden="1" x14ac:dyDescent="0.35">
      <c r="A3668" s="149"/>
      <c r="B3668" s="143"/>
      <c r="C3668" s="133"/>
      <c r="D3668" s="133"/>
      <c r="E3668" s="145" t="s">
        <v>1118</v>
      </c>
      <c r="F3668" s="145">
        <v>2256.6</v>
      </c>
      <c r="G3668" s="133" t="s">
        <v>1034</v>
      </c>
      <c r="H3668" s="144" t="s">
        <v>1341</v>
      </c>
      <c r="I3668" s="133" t="s">
        <v>1092</v>
      </c>
      <c r="J3668" s="355" t="s">
        <v>2820</v>
      </c>
      <c r="K3668" s="143">
        <v>46082</v>
      </c>
      <c r="L3668" s="133" t="s">
        <v>1241</v>
      </c>
      <c r="M3668" s="133">
        <v>469</v>
      </c>
      <c r="N3668" s="357"/>
      <c r="O3668" s="141"/>
      <c r="P3668" s="159"/>
    </row>
    <row r="3669" spans="1:16" hidden="1" x14ac:dyDescent="0.35">
      <c r="A3669" s="149"/>
      <c r="B3669" s="143"/>
      <c r="C3669" s="133"/>
      <c r="D3669" s="133"/>
      <c r="E3669" s="145" t="s">
        <v>1342</v>
      </c>
      <c r="F3669" s="145">
        <v>3053</v>
      </c>
      <c r="G3669" s="133"/>
      <c r="H3669" s="144"/>
      <c r="I3669" s="133"/>
      <c r="J3669" s="133"/>
      <c r="K3669" s="133"/>
      <c r="L3669" s="133"/>
      <c r="M3669" s="133"/>
      <c r="N3669" s="357"/>
      <c r="O3669" s="141"/>
      <c r="P3669" s="159"/>
    </row>
    <row r="3670" spans="1:16" hidden="1" x14ac:dyDescent="0.35">
      <c r="A3670" s="149"/>
      <c r="B3670" s="143"/>
      <c r="C3670" s="133"/>
      <c r="D3670" s="133"/>
      <c r="E3670" s="145" t="s">
        <v>1067</v>
      </c>
      <c r="F3670" s="145">
        <v>5038.7</v>
      </c>
      <c r="G3670" s="133"/>
      <c r="H3670" s="144"/>
      <c r="I3670" s="133"/>
      <c r="J3670" s="133"/>
      <c r="K3670" s="133"/>
      <c r="L3670" s="133"/>
      <c r="M3670" s="133"/>
      <c r="N3670" s="357"/>
      <c r="O3670" s="141"/>
      <c r="P3670" s="159"/>
    </row>
    <row r="3671" spans="1:16" hidden="1" x14ac:dyDescent="0.35">
      <c r="A3671" s="149"/>
      <c r="B3671" s="143"/>
      <c r="C3671" s="133"/>
      <c r="D3671" s="133"/>
      <c r="E3671" s="316" t="s">
        <v>1171</v>
      </c>
      <c r="F3671" s="145">
        <v>100</v>
      </c>
      <c r="G3671" s="133"/>
      <c r="H3671" s="144"/>
      <c r="I3671" s="133"/>
      <c r="J3671" s="133"/>
      <c r="K3671" s="133"/>
      <c r="L3671" s="133"/>
      <c r="M3671" s="133"/>
      <c r="N3671" s="357"/>
      <c r="O3671" s="141"/>
      <c r="P3671" s="159"/>
    </row>
    <row r="3672" spans="1:16" hidden="1" x14ac:dyDescent="0.35">
      <c r="A3672" s="149"/>
      <c r="B3672" s="143"/>
      <c r="C3672" s="133"/>
      <c r="D3672" s="133"/>
      <c r="E3672" s="145"/>
      <c r="F3672" s="145"/>
      <c r="G3672" s="133"/>
      <c r="H3672" s="144"/>
      <c r="I3672" s="133"/>
      <c r="J3672" s="133"/>
      <c r="K3672" s="133"/>
      <c r="L3672" s="133"/>
      <c r="M3672" s="133"/>
      <c r="N3672" s="357"/>
      <c r="O3672" s="141"/>
      <c r="P3672" s="159"/>
    </row>
    <row r="3673" spans="1:16" hidden="1" x14ac:dyDescent="0.35">
      <c r="A3673" s="149">
        <v>245</v>
      </c>
      <c r="B3673" s="143">
        <v>46054</v>
      </c>
      <c r="C3673" s="314" t="s">
        <v>1489</v>
      </c>
      <c r="D3673" s="318" t="s">
        <v>2747</v>
      </c>
      <c r="E3673" s="316" t="s">
        <v>1184</v>
      </c>
      <c r="F3673" s="145">
        <v>10000</v>
      </c>
      <c r="G3673" s="133" t="s">
        <v>1034</v>
      </c>
      <c r="H3673" s="144" t="s">
        <v>1341</v>
      </c>
      <c r="I3673" s="133" t="s">
        <v>1092</v>
      </c>
      <c r="J3673" s="334" t="s">
        <v>2782</v>
      </c>
      <c r="K3673" s="143">
        <v>46054</v>
      </c>
      <c r="L3673" s="133" t="s">
        <v>1092</v>
      </c>
      <c r="M3673" s="133">
        <v>13720.5</v>
      </c>
      <c r="N3673" s="357">
        <f>+F3673+F3674+F3675+F3676-M3673-M3674</f>
        <v>0</v>
      </c>
      <c r="O3673" s="141"/>
      <c r="P3673" s="159"/>
    </row>
    <row r="3674" spans="1:16" hidden="1" x14ac:dyDescent="0.35">
      <c r="A3674" s="149"/>
      <c r="B3674" s="143"/>
      <c r="C3674" s="133"/>
      <c r="D3674" s="133"/>
      <c r="E3674" s="145" t="s">
        <v>1118</v>
      </c>
      <c r="F3674" s="145">
        <v>2672.5</v>
      </c>
      <c r="G3674" s="133" t="s">
        <v>1034</v>
      </c>
      <c r="H3674" s="144" t="s">
        <v>1341</v>
      </c>
      <c r="I3674" s="133" t="s">
        <v>1092</v>
      </c>
      <c r="J3674" s="355" t="s">
        <v>2820</v>
      </c>
      <c r="K3674" s="143">
        <v>46082</v>
      </c>
      <c r="L3674" s="133" t="s">
        <v>1241</v>
      </c>
      <c r="M3674" s="133">
        <v>412</v>
      </c>
      <c r="N3674" s="357"/>
      <c r="O3674" s="141"/>
      <c r="P3674" s="159"/>
    </row>
    <row r="3675" spans="1:16" hidden="1" x14ac:dyDescent="0.35">
      <c r="A3675" s="149"/>
      <c r="B3675" s="143"/>
      <c r="C3675" s="133"/>
      <c r="D3675" s="133"/>
      <c r="E3675" s="145" t="s">
        <v>1075</v>
      </c>
      <c r="F3675" s="145">
        <v>755</v>
      </c>
      <c r="G3675" s="133"/>
      <c r="H3675" s="144"/>
      <c r="I3675" s="133"/>
      <c r="J3675" s="133"/>
      <c r="K3675" s="133"/>
      <c r="L3675" s="133"/>
      <c r="M3675" s="133"/>
      <c r="N3675" s="357"/>
      <c r="O3675" s="141"/>
      <c r="P3675" s="159"/>
    </row>
    <row r="3676" spans="1:16" hidden="1" x14ac:dyDescent="0.35">
      <c r="A3676" s="149"/>
      <c r="B3676" s="143"/>
      <c r="C3676" s="133"/>
      <c r="D3676" s="133"/>
      <c r="E3676" s="145" t="s">
        <v>1067</v>
      </c>
      <c r="F3676" s="145">
        <v>705</v>
      </c>
      <c r="G3676" s="133"/>
      <c r="H3676" s="144"/>
      <c r="I3676" s="133"/>
      <c r="J3676" s="133"/>
      <c r="K3676" s="133"/>
      <c r="L3676" s="133"/>
      <c r="M3676" s="133"/>
      <c r="N3676" s="357"/>
      <c r="O3676" s="141"/>
      <c r="P3676" s="159"/>
    </row>
    <row r="3677" spans="1:16" hidden="1" x14ac:dyDescent="0.35">
      <c r="A3677" s="149"/>
      <c r="B3677" s="143"/>
      <c r="C3677" s="133"/>
      <c r="D3677" s="133"/>
      <c r="E3677" s="316"/>
      <c r="F3677" s="145"/>
      <c r="G3677" s="133"/>
      <c r="H3677" s="144"/>
      <c r="I3677" s="133"/>
      <c r="J3677" s="133"/>
      <c r="K3677" s="133"/>
      <c r="L3677" s="133"/>
      <c r="M3677" s="133"/>
      <c r="N3677" s="357"/>
      <c r="O3677" s="141"/>
      <c r="P3677" s="159"/>
    </row>
    <row r="3678" spans="1:16" hidden="1" x14ac:dyDescent="0.35">
      <c r="A3678" s="149">
        <v>246</v>
      </c>
      <c r="B3678" s="143">
        <v>46054</v>
      </c>
      <c r="C3678" s="314" t="s">
        <v>1486</v>
      </c>
      <c r="D3678" s="315" t="s">
        <v>2742</v>
      </c>
      <c r="E3678" s="145" t="s">
        <v>1075</v>
      </c>
      <c r="F3678" s="145">
        <v>6256</v>
      </c>
      <c r="G3678" s="133" t="s">
        <v>1034</v>
      </c>
      <c r="H3678" s="144" t="s">
        <v>1341</v>
      </c>
      <c r="I3678" s="133" t="s">
        <v>1092</v>
      </c>
      <c r="J3678" s="334" t="s">
        <v>2782</v>
      </c>
      <c r="K3678" s="143">
        <v>46054</v>
      </c>
      <c r="L3678" s="133" t="s">
        <v>1092</v>
      </c>
      <c r="M3678" s="133">
        <v>8309</v>
      </c>
      <c r="N3678" s="357">
        <f>+F3678+F3679-M3678-M3679</f>
        <v>0</v>
      </c>
      <c r="O3678" s="141"/>
      <c r="P3678" s="159"/>
    </row>
    <row r="3679" spans="1:16" hidden="1" x14ac:dyDescent="0.35">
      <c r="A3679" s="149"/>
      <c r="B3679" s="143"/>
      <c r="C3679" s="133"/>
      <c r="D3679" s="133"/>
      <c r="E3679" s="145" t="s">
        <v>1342</v>
      </c>
      <c r="F3679" s="145">
        <v>2344</v>
      </c>
      <c r="G3679" s="133" t="s">
        <v>1034</v>
      </c>
      <c r="H3679" s="144" t="s">
        <v>1341</v>
      </c>
      <c r="I3679" s="133" t="s">
        <v>1092</v>
      </c>
      <c r="J3679" s="355" t="s">
        <v>2820</v>
      </c>
      <c r="K3679" s="143">
        <v>46082</v>
      </c>
      <c r="L3679" s="133" t="s">
        <v>1241</v>
      </c>
      <c r="M3679" s="133">
        <v>291</v>
      </c>
      <c r="N3679" s="357"/>
      <c r="O3679" s="141"/>
      <c r="P3679" s="159"/>
    </row>
    <row r="3680" spans="1:16" hidden="1" x14ac:dyDescent="0.35">
      <c r="A3680" s="149"/>
      <c r="B3680" s="143"/>
      <c r="C3680" s="133"/>
      <c r="D3680" s="133"/>
      <c r="E3680" s="145"/>
      <c r="F3680" s="145"/>
      <c r="G3680" s="133"/>
      <c r="H3680" s="144"/>
      <c r="I3680" s="133"/>
      <c r="J3680" s="133"/>
      <c r="K3680" s="133"/>
      <c r="L3680" s="133"/>
      <c r="M3680" s="133"/>
      <c r="N3680" s="357"/>
      <c r="O3680" s="141"/>
      <c r="P3680" s="159"/>
    </row>
    <row r="3681" spans="1:16" hidden="1" x14ac:dyDescent="0.35">
      <c r="A3681" s="149">
        <v>247</v>
      </c>
      <c r="B3681" s="143">
        <v>46054</v>
      </c>
      <c r="C3681" s="314" t="s">
        <v>1484</v>
      </c>
      <c r="D3681" s="315" t="s">
        <v>2743</v>
      </c>
      <c r="E3681" s="316" t="s">
        <v>1171</v>
      </c>
      <c r="F3681" s="145">
        <v>500</v>
      </c>
      <c r="G3681" s="133" t="s">
        <v>1034</v>
      </c>
      <c r="H3681" s="144" t="s">
        <v>1341</v>
      </c>
      <c r="I3681" s="133" t="s">
        <v>1092</v>
      </c>
      <c r="J3681" s="334" t="s">
        <v>2782</v>
      </c>
      <c r="K3681" s="143">
        <v>46054</v>
      </c>
      <c r="L3681" s="133" t="s">
        <v>1092</v>
      </c>
      <c r="M3681" s="133">
        <v>895.9</v>
      </c>
      <c r="N3681" s="357">
        <f>+F3681+F3682-M3681</f>
        <v>0</v>
      </c>
      <c r="O3681" s="141"/>
      <c r="P3681" s="159"/>
    </row>
    <row r="3682" spans="1:16" hidden="1" x14ac:dyDescent="0.35">
      <c r="A3682" s="149"/>
      <c r="B3682" s="143"/>
      <c r="C3682" s="133"/>
      <c r="D3682" s="133"/>
      <c r="E3682" s="316" t="s">
        <v>2265</v>
      </c>
      <c r="F3682" s="145">
        <v>395.9</v>
      </c>
      <c r="G3682" s="133"/>
      <c r="H3682" s="144"/>
      <c r="I3682" s="133"/>
      <c r="J3682" s="355"/>
      <c r="K3682" s="143"/>
      <c r="L3682" s="133"/>
      <c r="M3682" s="133"/>
      <c r="N3682" s="357"/>
      <c r="O3682" s="141"/>
      <c r="P3682" s="159"/>
    </row>
    <row r="3683" spans="1:16" hidden="1" x14ac:dyDescent="0.35">
      <c r="A3683" s="149"/>
      <c r="B3683" s="143"/>
      <c r="C3683" s="133"/>
      <c r="D3683" s="133"/>
      <c r="E3683" s="145"/>
      <c r="F3683" s="145"/>
      <c r="G3683" s="133"/>
      <c r="H3683" s="144"/>
      <c r="I3683" s="133"/>
      <c r="J3683" s="133"/>
      <c r="K3683" s="133"/>
      <c r="L3683" s="133"/>
      <c r="M3683" s="133"/>
      <c r="N3683" s="357"/>
      <c r="O3683" s="141"/>
      <c r="P3683" s="159"/>
    </row>
    <row r="3684" spans="1:16" hidden="1" x14ac:dyDescent="0.35">
      <c r="A3684" s="149">
        <v>248</v>
      </c>
      <c r="B3684" s="143">
        <v>46054</v>
      </c>
      <c r="C3684" s="319" t="s">
        <v>1482</v>
      </c>
      <c r="D3684" s="318" t="s">
        <v>2748</v>
      </c>
      <c r="E3684" s="145" t="s">
        <v>1075</v>
      </c>
      <c r="F3684" s="145">
        <v>4084</v>
      </c>
      <c r="G3684" s="133" t="s">
        <v>1034</v>
      </c>
      <c r="H3684" s="144" t="s">
        <v>1341</v>
      </c>
      <c r="I3684" s="133" t="s">
        <v>1092</v>
      </c>
      <c r="J3684" s="334" t="s">
        <v>2782</v>
      </c>
      <c r="K3684" s="143">
        <v>46054</v>
      </c>
      <c r="L3684" s="133" t="s">
        <v>1092</v>
      </c>
      <c r="M3684" s="133">
        <v>4612.2</v>
      </c>
      <c r="N3684" s="357">
        <f>+F3684+F3685+F3686-M3684-M3685</f>
        <v>0</v>
      </c>
      <c r="O3684" s="141"/>
      <c r="P3684" s="159"/>
    </row>
    <row r="3685" spans="1:16" hidden="1" x14ac:dyDescent="0.35">
      <c r="A3685" s="149"/>
      <c r="B3685" s="143"/>
      <c r="C3685" s="133"/>
      <c r="D3685" s="133"/>
      <c r="E3685" s="145" t="s">
        <v>1118</v>
      </c>
      <c r="F3685" s="145">
        <v>128.19999999999999</v>
      </c>
      <c r="G3685" s="133" t="s">
        <v>1034</v>
      </c>
      <c r="H3685" s="144" t="s">
        <v>1341</v>
      </c>
      <c r="I3685" s="133" t="s">
        <v>1092</v>
      </c>
      <c r="J3685" s="355" t="s">
        <v>2820</v>
      </c>
      <c r="K3685" s="143">
        <v>46082</v>
      </c>
      <c r="L3685" s="133" t="s">
        <v>1241</v>
      </c>
      <c r="M3685" s="133">
        <v>170</v>
      </c>
      <c r="N3685" s="357"/>
      <c r="O3685" s="141"/>
      <c r="P3685" s="159"/>
    </row>
    <row r="3686" spans="1:16" hidden="1" x14ac:dyDescent="0.35">
      <c r="A3686" s="149"/>
      <c r="B3686" s="143"/>
      <c r="C3686" s="133"/>
      <c r="D3686" s="133"/>
      <c r="E3686" s="145" t="s">
        <v>642</v>
      </c>
      <c r="F3686" s="145">
        <v>570</v>
      </c>
      <c r="G3686" s="133"/>
      <c r="H3686" s="144"/>
      <c r="I3686" s="133"/>
      <c r="J3686" s="133"/>
      <c r="K3686" s="133"/>
      <c r="L3686" s="133"/>
      <c r="M3686" s="133"/>
      <c r="N3686" s="357"/>
      <c r="O3686" s="141"/>
      <c r="P3686" s="159"/>
    </row>
    <row r="3687" spans="1:16" hidden="1" x14ac:dyDescent="0.35">
      <c r="A3687" s="149"/>
      <c r="B3687" s="143"/>
      <c r="C3687" s="133"/>
      <c r="D3687" s="133"/>
      <c r="E3687" s="145"/>
      <c r="F3687" s="145"/>
      <c r="G3687" s="133"/>
      <c r="H3687" s="144"/>
      <c r="I3687" s="133"/>
      <c r="J3687" s="133"/>
      <c r="K3687" s="133"/>
      <c r="L3687" s="133"/>
      <c r="M3687" s="133"/>
      <c r="N3687" s="357"/>
      <c r="O3687" s="141"/>
      <c r="P3687" s="159"/>
    </row>
    <row r="3688" spans="1:16" hidden="1" x14ac:dyDescent="0.35">
      <c r="A3688" s="149">
        <v>249</v>
      </c>
      <c r="B3688" s="143">
        <v>46054</v>
      </c>
      <c r="C3688" s="320" t="s">
        <v>1480</v>
      </c>
      <c r="D3688" s="321" t="s">
        <v>2750</v>
      </c>
      <c r="E3688" s="145" t="s">
        <v>1064</v>
      </c>
      <c r="F3688" s="145">
        <v>1917.3</v>
      </c>
      <c r="G3688" s="133" t="s">
        <v>1034</v>
      </c>
      <c r="H3688" s="144" t="s">
        <v>1341</v>
      </c>
      <c r="I3688" s="133" t="s">
        <v>1092</v>
      </c>
      <c r="J3688" s="334" t="s">
        <v>2782</v>
      </c>
      <c r="K3688" s="143">
        <v>46054</v>
      </c>
      <c r="L3688" s="133" t="s">
        <v>1092</v>
      </c>
      <c r="M3688" s="133">
        <v>5335.5</v>
      </c>
      <c r="N3688" s="357">
        <f>+F3688+F3689+F3690-M3688-M3689</f>
        <v>0</v>
      </c>
      <c r="O3688" s="141"/>
      <c r="P3688" s="159"/>
    </row>
    <row r="3689" spans="1:16" hidden="1" x14ac:dyDescent="0.35">
      <c r="A3689" s="149"/>
      <c r="B3689" s="143"/>
      <c r="C3689" s="133"/>
      <c r="D3689" s="133"/>
      <c r="E3689" s="145" t="s">
        <v>1075</v>
      </c>
      <c r="F3689" s="145">
        <v>963.2</v>
      </c>
      <c r="G3689" s="133" t="s">
        <v>1034</v>
      </c>
      <c r="H3689" s="144" t="s">
        <v>1341</v>
      </c>
      <c r="I3689" s="133" t="s">
        <v>1092</v>
      </c>
      <c r="J3689" s="355" t="s">
        <v>2820</v>
      </c>
      <c r="K3689" s="143">
        <v>46082</v>
      </c>
      <c r="L3689" s="133" t="s">
        <v>1241</v>
      </c>
      <c r="M3689" s="133">
        <v>183</v>
      </c>
      <c r="N3689" s="357"/>
      <c r="O3689" s="141"/>
      <c r="P3689" s="140"/>
    </row>
    <row r="3690" spans="1:16" hidden="1" x14ac:dyDescent="0.35">
      <c r="A3690" s="149"/>
      <c r="B3690" s="143"/>
      <c r="C3690" s="133"/>
      <c r="D3690" s="133"/>
      <c r="E3690" s="145" t="s">
        <v>1342</v>
      </c>
      <c r="F3690" s="145">
        <v>2638</v>
      </c>
      <c r="G3690" s="133"/>
      <c r="H3690" s="144"/>
      <c r="I3690" s="133"/>
      <c r="J3690" s="133"/>
      <c r="K3690" s="133"/>
      <c r="L3690" s="133"/>
      <c r="M3690" s="133"/>
      <c r="N3690" s="357"/>
      <c r="O3690" s="141"/>
      <c r="P3690" s="140"/>
    </row>
    <row r="3691" spans="1:16" hidden="1" x14ac:dyDescent="0.35">
      <c r="A3691" s="149"/>
      <c r="B3691" s="143"/>
      <c r="C3691" s="133"/>
      <c r="D3691" s="133"/>
      <c r="E3691" s="145"/>
      <c r="F3691" s="145"/>
      <c r="G3691" s="133"/>
      <c r="H3691" s="144"/>
      <c r="I3691" s="133"/>
      <c r="J3691" s="133"/>
      <c r="K3691" s="133"/>
      <c r="L3691" s="133"/>
      <c r="M3691" s="133"/>
      <c r="N3691" s="357"/>
      <c r="O3691" s="141"/>
      <c r="P3691" s="140"/>
    </row>
    <row r="3692" spans="1:16" hidden="1" x14ac:dyDescent="0.35">
      <c r="A3692" s="149">
        <v>250</v>
      </c>
      <c r="B3692" s="143">
        <v>46054</v>
      </c>
      <c r="C3692" s="320" t="s">
        <v>1478</v>
      </c>
      <c r="D3692" s="321" t="s">
        <v>2751</v>
      </c>
      <c r="E3692" s="316" t="s">
        <v>1171</v>
      </c>
      <c r="F3692" s="145">
        <v>150</v>
      </c>
      <c r="G3692" s="133" t="s">
        <v>1034</v>
      </c>
      <c r="H3692" s="144" t="s">
        <v>1341</v>
      </c>
      <c r="I3692" s="133" t="s">
        <v>1092</v>
      </c>
      <c r="J3692" s="334" t="s">
        <v>2782</v>
      </c>
      <c r="K3692" s="143">
        <v>46054</v>
      </c>
      <c r="L3692" s="133" t="s">
        <v>1092</v>
      </c>
      <c r="M3692" s="133">
        <v>4500.6000000000004</v>
      </c>
      <c r="N3692" s="357">
        <f>+F3692+F3693+F3694-M3692-M3693</f>
        <v>0</v>
      </c>
      <c r="O3692" s="141"/>
      <c r="P3692" s="159"/>
    </row>
    <row r="3693" spans="1:16" hidden="1" x14ac:dyDescent="0.35">
      <c r="A3693" s="149"/>
      <c r="B3693" s="143"/>
      <c r="C3693" s="133"/>
      <c r="D3693" s="133"/>
      <c r="E3693" s="145" t="s">
        <v>1118</v>
      </c>
      <c r="F3693" s="145">
        <v>2957.6</v>
      </c>
      <c r="G3693" s="133" t="s">
        <v>1034</v>
      </c>
      <c r="H3693" s="144" t="s">
        <v>1341</v>
      </c>
      <c r="I3693" s="133" t="s">
        <v>1092</v>
      </c>
      <c r="J3693" s="355" t="s">
        <v>2820</v>
      </c>
      <c r="K3693" s="143">
        <v>46082</v>
      </c>
      <c r="L3693" s="133" t="s">
        <v>1241</v>
      </c>
      <c r="M3693" s="133">
        <v>121</v>
      </c>
      <c r="N3693" s="147"/>
      <c r="O3693" s="141"/>
      <c r="P3693" s="140"/>
    </row>
    <row r="3694" spans="1:16" hidden="1" x14ac:dyDescent="0.35">
      <c r="A3694" s="149"/>
      <c r="B3694" s="143"/>
      <c r="C3694" s="133"/>
      <c r="D3694" s="133"/>
      <c r="E3694" s="145" t="s">
        <v>1342</v>
      </c>
      <c r="F3694" s="145">
        <v>1514</v>
      </c>
      <c r="G3694" s="133"/>
      <c r="H3694" s="144"/>
      <c r="I3694" s="133"/>
      <c r="J3694" s="133"/>
      <c r="K3694" s="133"/>
      <c r="L3694" s="133"/>
      <c r="M3694" s="133"/>
      <c r="N3694" s="147"/>
      <c r="O3694" s="141"/>
      <c r="P3694" s="140"/>
    </row>
    <row r="3695" spans="1:16" hidden="1" x14ac:dyDescent="0.35">
      <c r="A3695" s="149"/>
      <c r="B3695" s="143"/>
      <c r="C3695" s="133"/>
      <c r="D3695" s="133"/>
      <c r="E3695" s="145"/>
      <c r="F3695" s="145"/>
      <c r="G3695" s="133"/>
      <c r="H3695" s="144"/>
      <c r="I3695" s="133"/>
      <c r="J3695" s="133"/>
      <c r="K3695" s="133"/>
      <c r="L3695" s="133"/>
      <c r="M3695" s="133"/>
      <c r="N3695" s="147"/>
      <c r="O3695" s="141"/>
      <c r="P3695" s="140"/>
    </row>
    <row r="3696" spans="1:16" hidden="1" x14ac:dyDescent="0.35">
      <c r="A3696" s="149">
        <v>251</v>
      </c>
      <c r="B3696" s="143">
        <v>46054</v>
      </c>
      <c r="C3696" s="322" t="s">
        <v>1476</v>
      </c>
      <c r="D3696" s="324" t="s">
        <v>2765</v>
      </c>
      <c r="E3696" s="145" t="s">
        <v>1075</v>
      </c>
      <c r="F3696" s="145">
        <v>5261</v>
      </c>
      <c r="G3696" s="133" t="s">
        <v>1034</v>
      </c>
      <c r="H3696" s="144" t="s">
        <v>1341</v>
      </c>
      <c r="I3696" s="133" t="s">
        <v>1092</v>
      </c>
      <c r="J3696" s="339" t="s">
        <v>2798</v>
      </c>
      <c r="K3696" s="143">
        <v>46054</v>
      </c>
      <c r="L3696" s="133" t="s">
        <v>1092</v>
      </c>
      <c r="M3696" s="133">
        <v>9216</v>
      </c>
      <c r="N3696" s="147">
        <f>+F3696+F3697+F3698-M3696-M3697</f>
        <v>0</v>
      </c>
      <c r="O3696" s="141"/>
      <c r="P3696" s="140"/>
    </row>
    <row r="3697" spans="1:16" hidden="1" x14ac:dyDescent="0.35">
      <c r="A3697" s="149"/>
      <c r="B3697" s="143"/>
      <c r="C3697" s="133"/>
      <c r="D3697" s="133"/>
      <c r="E3697" s="145" t="s">
        <v>1342</v>
      </c>
      <c r="F3697" s="145">
        <v>3085</v>
      </c>
      <c r="G3697" s="133" t="s">
        <v>1034</v>
      </c>
      <c r="H3697" s="144" t="s">
        <v>1341</v>
      </c>
      <c r="I3697" s="133" t="s">
        <v>1092</v>
      </c>
      <c r="J3697" s="355" t="s">
        <v>2820</v>
      </c>
      <c r="K3697" s="143">
        <v>46082</v>
      </c>
      <c r="L3697" s="133" t="s">
        <v>1241</v>
      </c>
      <c r="M3697" s="133">
        <v>213</v>
      </c>
      <c r="N3697" s="147"/>
      <c r="O3697" s="141"/>
      <c r="P3697" s="140"/>
    </row>
    <row r="3698" spans="1:16" hidden="1" x14ac:dyDescent="0.35">
      <c r="A3698" s="149"/>
      <c r="B3698" s="143"/>
      <c r="C3698" s="133"/>
      <c r="D3698" s="133"/>
      <c r="E3698" s="145" t="s">
        <v>1067</v>
      </c>
      <c r="F3698" s="145">
        <v>1083</v>
      </c>
      <c r="G3698" s="133"/>
      <c r="H3698" s="144"/>
      <c r="I3698" s="133"/>
      <c r="J3698" s="133"/>
      <c r="K3698" s="133"/>
      <c r="L3698" s="133"/>
      <c r="M3698" s="133"/>
      <c r="N3698" s="147"/>
      <c r="O3698" s="141"/>
      <c r="P3698" s="140"/>
    </row>
    <row r="3699" spans="1:16" hidden="1" x14ac:dyDescent="0.35">
      <c r="A3699" s="149"/>
      <c r="B3699" s="143"/>
      <c r="C3699" s="133"/>
      <c r="D3699" s="133"/>
      <c r="E3699" s="145"/>
      <c r="F3699" s="145"/>
      <c r="G3699" s="133"/>
      <c r="H3699" s="144"/>
      <c r="I3699" s="133"/>
      <c r="J3699" s="133"/>
      <c r="K3699" s="133"/>
      <c r="L3699" s="133"/>
      <c r="M3699" s="133"/>
      <c r="N3699" s="147"/>
      <c r="O3699" s="141"/>
      <c r="P3699" s="140"/>
    </row>
    <row r="3700" spans="1:16" hidden="1" x14ac:dyDescent="0.35">
      <c r="A3700" s="149">
        <v>252</v>
      </c>
      <c r="B3700" s="143">
        <v>46054</v>
      </c>
      <c r="C3700" s="322" t="s">
        <v>1474</v>
      </c>
      <c r="D3700" s="324" t="s">
        <v>2766</v>
      </c>
      <c r="E3700" s="145" t="s">
        <v>1342</v>
      </c>
      <c r="F3700" s="145">
        <v>3454</v>
      </c>
      <c r="G3700" s="133" t="s">
        <v>1034</v>
      </c>
      <c r="H3700" s="144" t="s">
        <v>1341</v>
      </c>
      <c r="I3700" s="133" t="s">
        <v>1092</v>
      </c>
      <c r="J3700" s="339" t="s">
        <v>2798</v>
      </c>
      <c r="K3700" s="143">
        <v>46054</v>
      </c>
      <c r="L3700" s="133" t="s">
        <v>1092</v>
      </c>
      <c r="M3700" s="133">
        <v>6424.2</v>
      </c>
      <c r="N3700" s="147">
        <f>+F3700+F3701-M3700-M3701</f>
        <v>0</v>
      </c>
      <c r="O3700" s="141"/>
      <c r="P3700" s="140"/>
    </row>
    <row r="3701" spans="1:16" hidden="1" x14ac:dyDescent="0.35">
      <c r="A3701" s="149"/>
      <c r="B3701" s="143"/>
      <c r="C3701" s="133"/>
      <c r="D3701" s="133"/>
      <c r="E3701" s="145" t="s">
        <v>1067</v>
      </c>
      <c r="F3701" s="145">
        <v>3180.2</v>
      </c>
      <c r="G3701" s="133" t="s">
        <v>1034</v>
      </c>
      <c r="H3701" s="144" t="s">
        <v>1341</v>
      </c>
      <c r="I3701" s="133" t="s">
        <v>1092</v>
      </c>
      <c r="J3701" s="355" t="s">
        <v>2820</v>
      </c>
      <c r="K3701" s="143">
        <v>46082</v>
      </c>
      <c r="L3701" s="133" t="s">
        <v>1241</v>
      </c>
      <c r="M3701" s="133">
        <v>210</v>
      </c>
      <c r="N3701" s="147"/>
      <c r="O3701" s="141"/>
      <c r="P3701" s="140"/>
    </row>
    <row r="3702" spans="1:16" hidden="1" x14ac:dyDescent="0.35">
      <c r="A3702" s="149"/>
      <c r="B3702" s="143"/>
      <c r="C3702" s="133"/>
      <c r="D3702" s="133"/>
      <c r="E3702" s="145"/>
      <c r="F3702" s="145"/>
      <c r="G3702" s="133"/>
      <c r="H3702" s="144"/>
      <c r="I3702" s="133"/>
      <c r="J3702" s="133"/>
      <c r="K3702" s="133"/>
      <c r="L3702" s="133"/>
      <c r="M3702" s="133"/>
      <c r="N3702" s="147"/>
      <c r="O3702" s="141"/>
      <c r="P3702" s="140"/>
    </row>
    <row r="3703" spans="1:16" hidden="1" x14ac:dyDescent="0.35">
      <c r="A3703" s="149">
        <v>253</v>
      </c>
      <c r="B3703" s="143">
        <v>46054</v>
      </c>
      <c r="C3703" s="322" t="s">
        <v>1472</v>
      </c>
      <c r="D3703" s="324" t="s">
        <v>2767</v>
      </c>
      <c r="E3703" s="145" t="s">
        <v>1075</v>
      </c>
      <c r="F3703" s="145">
        <v>5986</v>
      </c>
      <c r="G3703" s="133" t="s">
        <v>1034</v>
      </c>
      <c r="H3703" s="144" t="s">
        <v>1341</v>
      </c>
      <c r="I3703" s="133" t="s">
        <v>1092</v>
      </c>
      <c r="J3703" s="339" t="s">
        <v>2798</v>
      </c>
      <c r="K3703" s="143">
        <v>46054</v>
      </c>
      <c r="L3703" s="133" t="s">
        <v>1092</v>
      </c>
      <c r="M3703" s="133">
        <v>9245.2000000000007</v>
      </c>
      <c r="N3703" s="147">
        <f>+F3703+F3704-M3703-M3704</f>
        <v>0</v>
      </c>
      <c r="O3703" s="141"/>
      <c r="P3703" s="140"/>
    </row>
    <row r="3704" spans="1:16" hidden="1" x14ac:dyDescent="0.35">
      <c r="A3704" s="149"/>
      <c r="B3704" s="143"/>
      <c r="C3704" s="133"/>
      <c r="D3704" s="133"/>
      <c r="E3704" s="145" t="s">
        <v>1118</v>
      </c>
      <c r="F3704" s="145">
        <v>3565.2</v>
      </c>
      <c r="G3704" s="133" t="s">
        <v>1034</v>
      </c>
      <c r="H3704" s="144" t="s">
        <v>1341</v>
      </c>
      <c r="I3704" s="133" t="s">
        <v>1092</v>
      </c>
      <c r="J3704" s="355" t="s">
        <v>2820</v>
      </c>
      <c r="K3704" s="143">
        <v>46082</v>
      </c>
      <c r="L3704" s="133" t="s">
        <v>1241</v>
      </c>
      <c r="M3704" s="133">
        <v>306</v>
      </c>
      <c r="N3704" s="147"/>
      <c r="O3704" s="141"/>
      <c r="P3704" s="140"/>
    </row>
    <row r="3705" spans="1:16" hidden="1" x14ac:dyDescent="0.35">
      <c r="A3705" s="149"/>
      <c r="B3705" s="143"/>
      <c r="C3705" s="133"/>
      <c r="D3705" s="133"/>
      <c r="E3705" s="145"/>
      <c r="F3705" s="145"/>
      <c r="G3705" s="133"/>
      <c r="H3705" s="144"/>
      <c r="I3705" s="133"/>
      <c r="J3705" s="133"/>
      <c r="K3705" s="133"/>
      <c r="L3705" s="133"/>
      <c r="M3705" s="133"/>
      <c r="N3705" s="147"/>
      <c r="O3705" s="141"/>
      <c r="P3705" s="140"/>
    </row>
    <row r="3706" spans="1:16" hidden="1" x14ac:dyDescent="0.35">
      <c r="A3706" s="149">
        <v>254</v>
      </c>
      <c r="B3706" s="143">
        <v>46054</v>
      </c>
      <c r="C3706" s="322" t="s">
        <v>1471</v>
      </c>
      <c r="D3706" s="324" t="s">
        <v>2760</v>
      </c>
      <c r="E3706" s="145" t="s">
        <v>1075</v>
      </c>
      <c r="F3706" s="145">
        <v>2725</v>
      </c>
      <c r="G3706" s="133" t="s">
        <v>1034</v>
      </c>
      <c r="H3706" s="144" t="s">
        <v>1341</v>
      </c>
      <c r="I3706" s="133" t="s">
        <v>1092</v>
      </c>
      <c r="J3706" s="339" t="s">
        <v>2798</v>
      </c>
      <c r="K3706" s="143">
        <v>46054</v>
      </c>
      <c r="L3706" s="133" t="s">
        <v>1092</v>
      </c>
      <c r="M3706" s="133">
        <v>2675</v>
      </c>
      <c r="N3706" s="147">
        <f>+F3706-M3706-M3707</f>
        <v>0</v>
      </c>
      <c r="O3706" s="141"/>
      <c r="P3706" s="140"/>
    </row>
    <row r="3707" spans="1:16" hidden="1" x14ac:dyDescent="0.35">
      <c r="A3707" s="149"/>
      <c r="B3707" s="143"/>
      <c r="C3707" s="133"/>
      <c r="D3707" s="133"/>
      <c r="E3707" s="145"/>
      <c r="F3707" s="145"/>
      <c r="G3707" s="133" t="s">
        <v>1034</v>
      </c>
      <c r="H3707" s="144" t="s">
        <v>1341</v>
      </c>
      <c r="I3707" s="133" t="s">
        <v>1092</v>
      </c>
      <c r="J3707" s="355" t="s">
        <v>2820</v>
      </c>
      <c r="K3707" s="143">
        <v>46082</v>
      </c>
      <c r="L3707" s="133" t="s">
        <v>1241</v>
      </c>
      <c r="M3707" s="133">
        <v>50</v>
      </c>
      <c r="N3707" s="147"/>
      <c r="O3707" s="141"/>
      <c r="P3707" s="140"/>
    </row>
    <row r="3708" spans="1:16" hidden="1" x14ac:dyDescent="0.35">
      <c r="A3708" s="149"/>
      <c r="B3708" s="143"/>
      <c r="C3708" s="133"/>
      <c r="D3708" s="133"/>
      <c r="E3708" s="145"/>
      <c r="F3708" s="145"/>
      <c r="G3708" s="133"/>
      <c r="H3708" s="144"/>
      <c r="I3708" s="133"/>
      <c r="J3708" s="355"/>
      <c r="K3708" s="143"/>
      <c r="L3708" s="133"/>
      <c r="M3708" s="133"/>
      <c r="N3708" s="147"/>
      <c r="O3708" s="141"/>
      <c r="P3708" s="140"/>
    </row>
    <row r="3709" spans="1:16" hidden="1" x14ac:dyDescent="0.35">
      <c r="A3709" s="149">
        <v>255</v>
      </c>
      <c r="B3709" s="143">
        <v>46054</v>
      </c>
      <c r="C3709" s="328" t="s">
        <v>1469</v>
      </c>
      <c r="D3709" s="329" t="s">
        <v>2763</v>
      </c>
      <c r="E3709" s="145" t="s">
        <v>1342</v>
      </c>
      <c r="F3709" s="145">
        <v>5181</v>
      </c>
      <c r="G3709" s="133" t="s">
        <v>1034</v>
      </c>
      <c r="H3709" s="144" t="s">
        <v>1341</v>
      </c>
      <c r="I3709" s="133" t="s">
        <v>1092</v>
      </c>
      <c r="J3709" s="339" t="s">
        <v>2798</v>
      </c>
      <c r="K3709" s="143">
        <v>46054</v>
      </c>
      <c r="L3709" s="133" t="s">
        <v>1092</v>
      </c>
      <c r="M3709" s="133">
        <v>5671</v>
      </c>
      <c r="N3709" s="147">
        <f>+F3709+F3710-M3709-M3710</f>
        <v>0</v>
      </c>
      <c r="O3709" s="141"/>
      <c r="P3709" s="140"/>
    </row>
    <row r="3710" spans="1:16" hidden="1" x14ac:dyDescent="0.35">
      <c r="A3710" s="149"/>
      <c r="B3710" s="143"/>
      <c r="C3710" s="133"/>
      <c r="D3710" s="133"/>
      <c r="E3710" s="145" t="s">
        <v>1067</v>
      </c>
      <c r="F3710" s="145">
        <v>634</v>
      </c>
      <c r="G3710" s="133" t="s">
        <v>1034</v>
      </c>
      <c r="H3710" s="144" t="s">
        <v>1341</v>
      </c>
      <c r="I3710" s="133" t="s">
        <v>1092</v>
      </c>
      <c r="J3710" s="355" t="s">
        <v>2820</v>
      </c>
      <c r="K3710" s="143">
        <v>46082</v>
      </c>
      <c r="L3710" s="133" t="s">
        <v>1241</v>
      </c>
      <c r="M3710" s="133">
        <v>144</v>
      </c>
      <c r="N3710" s="147"/>
      <c r="O3710" s="141"/>
      <c r="P3710" s="140"/>
    </row>
    <row r="3711" spans="1:16" hidden="1" x14ac:dyDescent="0.35">
      <c r="A3711" s="149"/>
      <c r="B3711" s="143"/>
      <c r="C3711" s="133"/>
      <c r="D3711" s="133"/>
      <c r="E3711" s="145"/>
      <c r="F3711" s="145"/>
      <c r="G3711" s="133"/>
      <c r="H3711" s="144"/>
      <c r="I3711" s="133"/>
      <c r="J3711" s="133"/>
      <c r="K3711" s="133"/>
      <c r="L3711" s="133"/>
      <c r="M3711" s="133"/>
      <c r="N3711" s="147"/>
      <c r="O3711" s="141"/>
      <c r="P3711" s="140"/>
    </row>
    <row r="3712" spans="1:16" hidden="1" x14ac:dyDescent="0.35">
      <c r="A3712" s="149">
        <v>256</v>
      </c>
      <c r="B3712" s="143">
        <v>46054</v>
      </c>
      <c r="C3712" s="328" t="s">
        <v>1467</v>
      </c>
      <c r="D3712" s="329" t="s">
        <v>2774</v>
      </c>
      <c r="E3712" s="145" t="s">
        <v>1342</v>
      </c>
      <c r="F3712" s="145">
        <v>2662</v>
      </c>
      <c r="G3712" s="133" t="s">
        <v>1034</v>
      </c>
      <c r="H3712" s="144" t="s">
        <v>1341</v>
      </c>
      <c r="I3712" s="133" t="s">
        <v>1092</v>
      </c>
      <c r="J3712" s="339" t="s">
        <v>2798</v>
      </c>
      <c r="K3712" s="143">
        <v>46054</v>
      </c>
      <c r="L3712" s="133" t="s">
        <v>1092</v>
      </c>
      <c r="M3712" s="133">
        <v>6160.4</v>
      </c>
      <c r="N3712" s="147">
        <f>+F3712+F3713+F3714-M3712-M3713</f>
        <v>0</v>
      </c>
      <c r="O3712" s="141"/>
      <c r="P3712" s="140"/>
    </row>
    <row r="3713" spans="1:16" hidden="1" x14ac:dyDescent="0.35">
      <c r="A3713" s="149"/>
      <c r="B3713" s="143"/>
      <c r="C3713" s="133"/>
      <c r="D3713" s="133"/>
      <c r="E3713" s="145" t="s">
        <v>1064</v>
      </c>
      <c r="F3713" s="145">
        <v>2219</v>
      </c>
      <c r="G3713" s="133" t="s">
        <v>1034</v>
      </c>
      <c r="H3713" s="144" t="s">
        <v>1341</v>
      </c>
      <c r="I3713" s="133" t="s">
        <v>1092</v>
      </c>
      <c r="J3713" s="355" t="s">
        <v>2820</v>
      </c>
      <c r="K3713" s="143">
        <v>46082</v>
      </c>
      <c r="L3713" s="133" t="s">
        <v>1241</v>
      </c>
      <c r="M3713" s="133">
        <v>173</v>
      </c>
      <c r="N3713" s="147"/>
      <c r="O3713" s="141"/>
      <c r="P3713" s="140"/>
    </row>
    <row r="3714" spans="1:16" hidden="1" x14ac:dyDescent="0.35">
      <c r="A3714" s="149"/>
      <c r="B3714" s="143"/>
      <c r="C3714" s="133"/>
      <c r="D3714" s="133"/>
      <c r="E3714" s="145" t="s">
        <v>1075</v>
      </c>
      <c r="F3714" s="145">
        <v>1452.4</v>
      </c>
      <c r="G3714" s="133"/>
      <c r="H3714" s="144"/>
      <c r="I3714" s="133"/>
      <c r="J3714" s="133"/>
      <c r="K3714" s="133"/>
      <c r="L3714" s="133"/>
      <c r="M3714" s="133"/>
      <c r="N3714" s="147"/>
      <c r="O3714" s="141"/>
      <c r="P3714" s="140"/>
    </row>
    <row r="3715" spans="1:16" hidden="1" x14ac:dyDescent="0.35">
      <c r="A3715" s="149"/>
      <c r="B3715" s="143"/>
      <c r="C3715" s="133"/>
      <c r="D3715" s="133"/>
      <c r="E3715" s="145"/>
      <c r="F3715" s="145"/>
      <c r="G3715" s="133"/>
      <c r="H3715" s="144"/>
      <c r="I3715" s="133"/>
      <c r="J3715" s="133"/>
      <c r="K3715" s="133"/>
      <c r="L3715" s="133"/>
      <c r="M3715" s="133"/>
      <c r="N3715" s="147"/>
      <c r="O3715" s="141"/>
      <c r="P3715" s="140"/>
    </row>
    <row r="3716" spans="1:16" hidden="1" x14ac:dyDescent="0.35">
      <c r="A3716" s="149">
        <v>257</v>
      </c>
      <c r="B3716" s="143">
        <v>46054</v>
      </c>
      <c r="C3716" s="331" t="s">
        <v>1465</v>
      </c>
      <c r="D3716" s="332" t="s">
        <v>2778</v>
      </c>
      <c r="E3716" s="145" t="s">
        <v>1342</v>
      </c>
      <c r="F3716" s="145">
        <v>877</v>
      </c>
      <c r="G3716" s="133" t="s">
        <v>1034</v>
      </c>
      <c r="H3716" s="144" t="s">
        <v>1341</v>
      </c>
      <c r="I3716" s="133" t="s">
        <v>1092</v>
      </c>
      <c r="J3716" s="339" t="s">
        <v>2798</v>
      </c>
      <c r="K3716" s="143">
        <v>46054</v>
      </c>
      <c r="L3716" s="133" t="s">
        <v>1092</v>
      </c>
      <c r="M3716" s="133">
        <v>1027</v>
      </c>
      <c r="N3716" s="147">
        <f>+F3716+F3717-M3716</f>
        <v>0</v>
      </c>
      <c r="O3716" s="141"/>
      <c r="P3716" s="140"/>
    </row>
    <row r="3717" spans="1:16" hidden="1" x14ac:dyDescent="0.35">
      <c r="A3717" s="149"/>
      <c r="B3717" s="143"/>
      <c r="C3717" s="133"/>
      <c r="D3717" s="133"/>
      <c r="E3717" s="310" t="s">
        <v>1953</v>
      </c>
      <c r="F3717" s="145">
        <v>150</v>
      </c>
      <c r="G3717" s="133"/>
      <c r="H3717" s="144"/>
      <c r="I3717" s="133"/>
      <c r="J3717" s="355"/>
      <c r="K3717" s="143"/>
      <c r="L3717" s="133"/>
      <c r="M3717" s="133"/>
      <c r="N3717" s="147"/>
      <c r="O3717" s="141"/>
      <c r="P3717" s="140"/>
    </row>
    <row r="3718" spans="1:16" hidden="1" x14ac:dyDescent="0.35">
      <c r="A3718" s="149"/>
      <c r="B3718" s="143"/>
      <c r="C3718" s="133"/>
      <c r="D3718" s="133"/>
      <c r="E3718" s="145"/>
      <c r="F3718" s="145"/>
      <c r="G3718" s="133"/>
      <c r="H3718" s="144"/>
      <c r="I3718" s="133"/>
      <c r="J3718" s="133"/>
      <c r="K3718" s="133"/>
      <c r="L3718" s="133"/>
      <c r="M3718" s="133"/>
      <c r="N3718" s="147"/>
      <c r="O3718" s="141"/>
      <c r="P3718" s="140"/>
    </row>
    <row r="3719" spans="1:16" hidden="1" x14ac:dyDescent="0.35">
      <c r="A3719" s="149">
        <v>258</v>
      </c>
      <c r="B3719" s="143">
        <v>46054</v>
      </c>
      <c r="C3719" s="331" t="s">
        <v>1462</v>
      </c>
      <c r="D3719" s="332" t="s">
        <v>2779</v>
      </c>
      <c r="E3719" s="145" t="s">
        <v>1342</v>
      </c>
      <c r="F3719" s="145">
        <v>4582</v>
      </c>
      <c r="G3719" s="133" t="s">
        <v>1034</v>
      </c>
      <c r="H3719" s="144" t="s">
        <v>1341</v>
      </c>
      <c r="I3719" s="133" t="s">
        <v>1092</v>
      </c>
      <c r="J3719" s="339" t="s">
        <v>2798</v>
      </c>
      <c r="K3719" s="143">
        <v>46054</v>
      </c>
      <c r="L3719" s="133" t="s">
        <v>1092</v>
      </c>
      <c r="M3719" s="133">
        <v>13087</v>
      </c>
      <c r="N3719" s="147">
        <f>+F3719+F3720+F3721-M3719-M3720</f>
        <v>0</v>
      </c>
      <c r="O3719" s="141"/>
      <c r="P3719" s="140"/>
    </row>
    <row r="3720" spans="1:16" hidden="1" x14ac:dyDescent="0.35">
      <c r="A3720" s="149"/>
      <c r="B3720" s="143"/>
      <c r="C3720" s="133"/>
      <c r="D3720" s="133"/>
      <c r="E3720" s="145" t="s">
        <v>1067</v>
      </c>
      <c r="F3720" s="145">
        <v>4135</v>
      </c>
      <c r="G3720" s="133" t="s">
        <v>1034</v>
      </c>
      <c r="H3720" s="144" t="s">
        <v>1341</v>
      </c>
      <c r="I3720" s="133" t="s">
        <v>1092</v>
      </c>
      <c r="J3720" s="355" t="s">
        <v>2820</v>
      </c>
      <c r="K3720" s="143">
        <v>46082</v>
      </c>
      <c r="L3720" s="133" t="s">
        <v>1241</v>
      </c>
      <c r="M3720" s="133">
        <v>339</v>
      </c>
      <c r="N3720" s="147"/>
      <c r="O3720" s="141"/>
      <c r="P3720" s="140"/>
    </row>
    <row r="3721" spans="1:16" hidden="1" x14ac:dyDescent="0.35">
      <c r="A3721" s="149"/>
      <c r="B3721" s="143"/>
      <c r="C3721" s="133"/>
      <c r="D3721" s="133"/>
      <c r="E3721" s="145" t="s">
        <v>1075</v>
      </c>
      <c r="F3721" s="145">
        <v>4709</v>
      </c>
      <c r="G3721" s="133"/>
      <c r="H3721" s="144"/>
      <c r="I3721" s="133"/>
      <c r="J3721" s="133"/>
      <c r="K3721" s="133"/>
      <c r="L3721" s="133"/>
      <c r="M3721" s="133"/>
      <c r="N3721" s="147"/>
      <c r="O3721" s="141"/>
      <c r="P3721" s="140"/>
    </row>
    <row r="3722" spans="1:16" hidden="1" x14ac:dyDescent="0.35">
      <c r="A3722" s="149"/>
      <c r="B3722" s="143"/>
      <c r="C3722" s="133"/>
      <c r="D3722" s="133"/>
      <c r="E3722" s="145"/>
      <c r="F3722" s="145"/>
      <c r="G3722" s="133"/>
      <c r="H3722" s="144"/>
      <c r="I3722" s="133"/>
      <c r="J3722" s="133"/>
      <c r="K3722" s="133"/>
      <c r="L3722" s="133"/>
      <c r="M3722" s="133"/>
      <c r="N3722" s="147"/>
      <c r="O3722" s="141"/>
      <c r="P3722" s="140"/>
    </row>
    <row r="3723" spans="1:16" hidden="1" x14ac:dyDescent="0.35">
      <c r="A3723" s="149">
        <v>259</v>
      </c>
      <c r="B3723" s="143">
        <v>46054</v>
      </c>
      <c r="C3723" s="334" t="s">
        <v>1460</v>
      </c>
      <c r="D3723" s="336" t="s">
        <v>2783</v>
      </c>
      <c r="E3723" s="145" t="s">
        <v>1342</v>
      </c>
      <c r="F3723" s="145">
        <v>2938</v>
      </c>
      <c r="G3723" s="133" t="s">
        <v>1034</v>
      </c>
      <c r="H3723" s="144" t="s">
        <v>1341</v>
      </c>
      <c r="I3723" s="133" t="s">
        <v>1092</v>
      </c>
      <c r="J3723" s="339" t="s">
        <v>2798</v>
      </c>
      <c r="K3723" s="143">
        <v>46054</v>
      </c>
      <c r="L3723" s="133" t="s">
        <v>1092</v>
      </c>
      <c r="M3723" s="133">
        <v>4901.8</v>
      </c>
      <c r="N3723" s="147">
        <f>+F3723+F3724-M3723-M3724</f>
        <v>0</v>
      </c>
      <c r="O3723" s="141"/>
      <c r="P3723" s="140"/>
    </row>
    <row r="3724" spans="1:16" hidden="1" x14ac:dyDescent="0.35">
      <c r="A3724" s="149"/>
      <c r="B3724" s="143"/>
      <c r="C3724" s="133"/>
      <c r="D3724" s="133"/>
      <c r="E3724" s="145" t="s">
        <v>1067</v>
      </c>
      <c r="F3724" s="145">
        <v>2073.8000000000002</v>
      </c>
      <c r="G3724" s="133" t="s">
        <v>1034</v>
      </c>
      <c r="H3724" s="144" t="s">
        <v>1341</v>
      </c>
      <c r="I3724" s="133" t="s">
        <v>1092</v>
      </c>
      <c r="J3724" s="355" t="s">
        <v>2820</v>
      </c>
      <c r="K3724" s="143">
        <v>46082</v>
      </c>
      <c r="L3724" s="133" t="s">
        <v>1241</v>
      </c>
      <c r="M3724" s="133">
        <v>110</v>
      </c>
      <c r="N3724" s="147"/>
      <c r="O3724" s="141"/>
      <c r="P3724" s="140"/>
    </row>
    <row r="3725" spans="1:16" hidden="1" x14ac:dyDescent="0.35">
      <c r="A3725" s="149"/>
      <c r="B3725" s="143"/>
      <c r="C3725" s="133"/>
      <c r="D3725" s="133"/>
      <c r="E3725" s="145"/>
      <c r="F3725" s="145"/>
      <c r="G3725" s="133"/>
      <c r="H3725" s="144"/>
      <c r="I3725" s="133"/>
      <c r="J3725" s="133"/>
      <c r="K3725" s="133"/>
      <c r="L3725" s="133"/>
      <c r="M3725" s="133"/>
      <c r="N3725" s="147"/>
      <c r="O3725" s="141"/>
      <c r="P3725" s="140"/>
    </row>
    <row r="3726" spans="1:16" hidden="1" x14ac:dyDescent="0.35">
      <c r="A3726" s="149">
        <v>260</v>
      </c>
      <c r="B3726" s="143">
        <v>46054</v>
      </c>
      <c r="C3726" s="335" t="s">
        <v>1457</v>
      </c>
      <c r="D3726" s="336" t="s">
        <v>2784</v>
      </c>
      <c r="E3726" s="145" t="s">
        <v>1342</v>
      </c>
      <c r="F3726" s="145">
        <v>4025</v>
      </c>
      <c r="G3726" s="133" t="s">
        <v>1034</v>
      </c>
      <c r="H3726" s="144" t="s">
        <v>1341</v>
      </c>
      <c r="I3726" s="133" t="s">
        <v>1092</v>
      </c>
      <c r="J3726" s="339" t="s">
        <v>2798</v>
      </c>
      <c r="K3726" s="143">
        <v>46054</v>
      </c>
      <c r="L3726" s="133" t="s">
        <v>1092</v>
      </c>
      <c r="M3726" s="133">
        <v>8664</v>
      </c>
      <c r="N3726" s="147">
        <f>+F3726+F3727-M3726-M3727</f>
        <v>0</v>
      </c>
      <c r="O3726" s="141"/>
      <c r="P3726" s="140"/>
    </row>
    <row r="3727" spans="1:16" hidden="1" x14ac:dyDescent="0.35">
      <c r="A3727" s="149"/>
      <c r="B3727" s="143"/>
      <c r="C3727" s="133"/>
      <c r="D3727" s="133"/>
      <c r="E3727" s="145" t="s">
        <v>1109</v>
      </c>
      <c r="F3727" s="145">
        <v>5000</v>
      </c>
      <c r="G3727" s="133" t="s">
        <v>1034</v>
      </c>
      <c r="H3727" s="144" t="s">
        <v>1341</v>
      </c>
      <c r="I3727" s="133" t="s">
        <v>1092</v>
      </c>
      <c r="J3727" s="355" t="s">
        <v>2820</v>
      </c>
      <c r="K3727" s="143">
        <v>46082</v>
      </c>
      <c r="L3727" s="133" t="s">
        <v>1241</v>
      </c>
      <c r="M3727" s="133">
        <v>361</v>
      </c>
      <c r="N3727" s="147"/>
      <c r="O3727" s="141"/>
      <c r="P3727" s="140"/>
    </row>
    <row r="3728" spans="1:16" hidden="1" x14ac:dyDescent="0.35">
      <c r="A3728" s="149"/>
      <c r="B3728" s="143"/>
      <c r="C3728" s="133"/>
      <c r="D3728" s="133"/>
      <c r="E3728" s="145"/>
      <c r="F3728" s="145"/>
      <c r="G3728" s="133"/>
      <c r="H3728" s="144"/>
      <c r="I3728" s="133"/>
      <c r="J3728" s="133"/>
      <c r="K3728" s="133"/>
      <c r="L3728" s="133"/>
      <c r="M3728" s="133"/>
      <c r="N3728" s="147"/>
      <c r="O3728" s="141"/>
      <c r="P3728" s="140"/>
    </row>
    <row r="3729" spans="1:16" hidden="1" x14ac:dyDescent="0.35">
      <c r="A3729" s="149">
        <v>261</v>
      </c>
      <c r="B3729" s="143">
        <v>46054</v>
      </c>
      <c r="C3729" s="339" t="s">
        <v>1456</v>
      </c>
      <c r="D3729" s="340" t="s">
        <v>2792</v>
      </c>
      <c r="E3729" s="145" t="s">
        <v>1342</v>
      </c>
      <c r="F3729" s="145">
        <v>5622</v>
      </c>
      <c r="G3729" s="133" t="s">
        <v>1034</v>
      </c>
      <c r="H3729" s="144" t="s">
        <v>1341</v>
      </c>
      <c r="I3729" s="133" t="s">
        <v>1092</v>
      </c>
      <c r="J3729" s="339" t="s">
        <v>2798</v>
      </c>
      <c r="K3729" s="143">
        <v>46054</v>
      </c>
      <c r="L3729" s="133" t="s">
        <v>1092</v>
      </c>
      <c r="M3729" s="133">
        <v>13961.960000000001</v>
      </c>
      <c r="N3729" s="147">
        <f>+F3729+F3730+F3731-M3729-M3730</f>
        <v>0</v>
      </c>
      <c r="O3729" s="141"/>
      <c r="P3729" s="140"/>
    </row>
    <row r="3730" spans="1:16" hidden="1" x14ac:dyDescent="0.35">
      <c r="A3730" s="149"/>
      <c r="B3730" s="143"/>
      <c r="C3730" s="133"/>
      <c r="D3730" s="133"/>
      <c r="E3730" s="145" t="s">
        <v>1067</v>
      </c>
      <c r="F3730" s="145">
        <v>2756.7</v>
      </c>
      <c r="G3730" s="133" t="s">
        <v>1034</v>
      </c>
      <c r="H3730" s="144" t="s">
        <v>1341</v>
      </c>
      <c r="I3730" s="133" t="s">
        <v>1092</v>
      </c>
      <c r="J3730" s="355" t="s">
        <v>2820</v>
      </c>
      <c r="K3730" s="143">
        <v>46082</v>
      </c>
      <c r="L3730" s="133" t="s">
        <v>1241</v>
      </c>
      <c r="M3730" s="133">
        <v>339</v>
      </c>
      <c r="N3730" s="147"/>
      <c r="O3730" s="141"/>
      <c r="P3730" s="140"/>
    </row>
    <row r="3731" spans="1:16" hidden="1" x14ac:dyDescent="0.35">
      <c r="A3731" s="149"/>
      <c r="B3731" s="143"/>
      <c r="C3731" s="133"/>
      <c r="D3731" s="133"/>
      <c r="E3731" s="341" t="s">
        <v>1078</v>
      </c>
      <c r="F3731" s="145">
        <v>5922.26</v>
      </c>
      <c r="G3731" s="133"/>
      <c r="H3731" s="144"/>
      <c r="I3731" s="133"/>
      <c r="J3731" s="133"/>
      <c r="K3731" s="133"/>
      <c r="L3731" s="133"/>
      <c r="M3731" s="133"/>
      <c r="N3731" s="147"/>
      <c r="O3731" s="141"/>
      <c r="P3731" s="140"/>
    </row>
    <row r="3732" spans="1:16" hidden="1" x14ac:dyDescent="0.35">
      <c r="A3732" s="149"/>
      <c r="B3732" s="143"/>
      <c r="C3732" s="133"/>
      <c r="D3732" s="133"/>
      <c r="E3732" s="145"/>
      <c r="F3732" s="145"/>
      <c r="G3732" s="133"/>
      <c r="H3732" s="144"/>
      <c r="I3732" s="133"/>
      <c r="J3732" s="133"/>
      <c r="K3732" s="133"/>
      <c r="L3732" s="133"/>
      <c r="M3732" s="133"/>
      <c r="N3732" s="147"/>
      <c r="O3732" s="141"/>
      <c r="P3732" s="140"/>
    </row>
    <row r="3733" spans="1:16" hidden="1" x14ac:dyDescent="0.35">
      <c r="A3733" s="149">
        <v>262</v>
      </c>
      <c r="B3733" s="143">
        <v>46054</v>
      </c>
      <c r="C3733" s="339" t="s">
        <v>1454</v>
      </c>
      <c r="D3733" s="340" t="s">
        <v>2793</v>
      </c>
      <c r="E3733" s="145" t="s">
        <v>1342</v>
      </c>
      <c r="F3733" s="145">
        <v>3339</v>
      </c>
      <c r="G3733" s="133" t="s">
        <v>1034</v>
      </c>
      <c r="H3733" s="144" t="s">
        <v>1341</v>
      </c>
      <c r="I3733" s="133" t="s">
        <v>1092</v>
      </c>
      <c r="J3733" s="339" t="s">
        <v>2798</v>
      </c>
      <c r="K3733" s="143">
        <v>46054</v>
      </c>
      <c r="L3733" s="133" t="s">
        <v>1092</v>
      </c>
      <c r="M3733" s="133">
        <v>6192.6</v>
      </c>
      <c r="N3733" s="147">
        <f>+F3733+F3734+F3735+F3736-M3733-M3734</f>
        <v>0</v>
      </c>
      <c r="O3733" s="141"/>
      <c r="P3733" s="140"/>
    </row>
    <row r="3734" spans="1:16" hidden="1" x14ac:dyDescent="0.35">
      <c r="A3734" s="149"/>
      <c r="B3734" s="143"/>
      <c r="C3734" s="133"/>
      <c r="D3734" s="133"/>
      <c r="E3734" s="145" t="s">
        <v>1075</v>
      </c>
      <c r="F3734" s="145">
        <v>283.5</v>
      </c>
      <c r="G3734" s="133" t="s">
        <v>1034</v>
      </c>
      <c r="H3734" s="144" t="s">
        <v>1341</v>
      </c>
      <c r="I3734" s="133" t="s">
        <v>1092</v>
      </c>
      <c r="J3734" s="355" t="s">
        <v>2820</v>
      </c>
      <c r="K3734" s="143">
        <v>46082</v>
      </c>
      <c r="L3734" s="133" t="s">
        <v>1241</v>
      </c>
      <c r="M3734" s="133">
        <v>107</v>
      </c>
      <c r="N3734" s="147"/>
      <c r="O3734" s="141"/>
      <c r="P3734" s="140"/>
    </row>
    <row r="3735" spans="1:16" hidden="1" x14ac:dyDescent="0.35">
      <c r="A3735" s="149"/>
      <c r="B3735" s="143"/>
      <c r="C3735" s="133"/>
      <c r="D3735" s="133"/>
      <c r="E3735" s="145" t="s">
        <v>1067</v>
      </c>
      <c r="F3735" s="145">
        <v>635</v>
      </c>
      <c r="G3735" s="133"/>
      <c r="H3735" s="144"/>
      <c r="I3735" s="133"/>
      <c r="J3735" s="133"/>
      <c r="K3735" s="133"/>
      <c r="L3735" s="133"/>
      <c r="M3735" s="133"/>
      <c r="N3735" s="147"/>
      <c r="O3735" s="141"/>
      <c r="P3735" s="140"/>
    </row>
    <row r="3736" spans="1:16" hidden="1" x14ac:dyDescent="0.35">
      <c r="A3736" s="149"/>
      <c r="B3736" s="143"/>
      <c r="C3736" s="133"/>
      <c r="D3736" s="133"/>
      <c r="E3736" s="145" t="s">
        <v>1064</v>
      </c>
      <c r="F3736" s="145">
        <v>2042.1</v>
      </c>
      <c r="G3736" s="133"/>
      <c r="H3736" s="144"/>
      <c r="I3736" s="133"/>
      <c r="J3736" s="133"/>
      <c r="K3736" s="133"/>
      <c r="L3736" s="133"/>
      <c r="M3736" s="133"/>
      <c r="N3736" s="147"/>
      <c r="O3736" s="141"/>
      <c r="P3736" s="140"/>
    </row>
    <row r="3737" spans="1:16" hidden="1" x14ac:dyDescent="0.35">
      <c r="A3737" s="149"/>
      <c r="B3737" s="143"/>
      <c r="C3737" s="133"/>
      <c r="D3737" s="133"/>
      <c r="E3737" s="145"/>
      <c r="F3737" s="145"/>
      <c r="G3737" s="133"/>
      <c r="H3737" s="144"/>
      <c r="I3737" s="133"/>
      <c r="J3737" s="133"/>
      <c r="K3737" s="133"/>
      <c r="L3737" s="133"/>
      <c r="M3737" s="133"/>
      <c r="N3737" s="147"/>
      <c r="O3737" s="141"/>
      <c r="P3737" s="140"/>
    </row>
    <row r="3738" spans="1:16" hidden="1" x14ac:dyDescent="0.35">
      <c r="A3738" s="149">
        <v>263</v>
      </c>
      <c r="B3738" s="143">
        <v>46054</v>
      </c>
      <c r="C3738" s="339" t="s">
        <v>1452</v>
      </c>
      <c r="D3738" s="340" t="s">
        <v>2794</v>
      </c>
      <c r="E3738" s="145" t="s">
        <v>1342</v>
      </c>
      <c r="F3738" s="145">
        <v>1430</v>
      </c>
      <c r="G3738" s="133" t="s">
        <v>1034</v>
      </c>
      <c r="H3738" s="144" t="s">
        <v>1341</v>
      </c>
      <c r="I3738" s="133" t="s">
        <v>1092</v>
      </c>
      <c r="J3738" s="339" t="s">
        <v>2798</v>
      </c>
      <c r="K3738" s="143">
        <v>46054</v>
      </c>
      <c r="L3738" s="133" t="s">
        <v>1092</v>
      </c>
      <c r="M3738" s="133">
        <v>8561.2999999999993</v>
      </c>
      <c r="N3738" s="147">
        <f>+F3738+F3739+F3740+F3741+F3742-M3738-M3739</f>
        <v>0</v>
      </c>
      <c r="O3738" s="141"/>
      <c r="P3738" s="140"/>
    </row>
    <row r="3739" spans="1:16" hidden="1" x14ac:dyDescent="0.35">
      <c r="A3739" s="149"/>
      <c r="B3739" s="143"/>
      <c r="C3739" s="133"/>
      <c r="D3739" s="133"/>
      <c r="E3739" s="145" t="s">
        <v>1075</v>
      </c>
      <c r="F3739" s="145">
        <v>3694</v>
      </c>
      <c r="G3739" s="133" t="s">
        <v>1034</v>
      </c>
      <c r="H3739" s="144" t="s">
        <v>1341</v>
      </c>
      <c r="I3739" s="133" t="s">
        <v>1092</v>
      </c>
      <c r="J3739" s="355" t="s">
        <v>2820</v>
      </c>
      <c r="K3739" s="143">
        <v>46082</v>
      </c>
      <c r="L3739" s="133" t="s">
        <v>1241</v>
      </c>
      <c r="M3739" s="133">
        <v>269</v>
      </c>
      <c r="N3739" s="147"/>
      <c r="O3739" s="141"/>
      <c r="P3739" s="140"/>
    </row>
    <row r="3740" spans="1:16" hidden="1" x14ac:dyDescent="0.35">
      <c r="A3740" s="149"/>
      <c r="B3740" s="143"/>
      <c r="C3740" s="133"/>
      <c r="D3740" s="133"/>
      <c r="E3740" s="145" t="s">
        <v>1067</v>
      </c>
      <c r="F3740" s="145">
        <v>548</v>
      </c>
      <c r="G3740" s="133"/>
      <c r="H3740" s="144"/>
      <c r="I3740" s="133"/>
      <c r="J3740" s="133"/>
      <c r="K3740" s="133"/>
      <c r="L3740" s="133"/>
      <c r="M3740" s="133"/>
      <c r="N3740" s="147"/>
      <c r="O3740" s="141"/>
      <c r="P3740" s="140"/>
    </row>
    <row r="3741" spans="1:16" hidden="1" x14ac:dyDescent="0.35">
      <c r="A3741" s="149"/>
      <c r="B3741" s="143"/>
      <c r="C3741" s="133"/>
      <c r="D3741" s="133"/>
      <c r="E3741" s="145" t="s">
        <v>1067</v>
      </c>
      <c r="F3741" s="145">
        <v>499.1</v>
      </c>
      <c r="G3741" s="133"/>
      <c r="H3741" s="144"/>
      <c r="I3741" s="133"/>
      <c r="J3741" s="133"/>
      <c r="K3741" s="133"/>
      <c r="L3741" s="133"/>
      <c r="M3741" s="133"/>
      <c r="N3741" s="147"/>
      <c r="O3741" s="141"/>
      <c r="P3741" s="140"/>
    </row>
    <row r="3742" spans="1:16" hidden="1" x14ac:dyDescent="0.35">
      <c r="A3742" s="149"/>
      <c r="B3742" s="143"/>
      <c r="C3742" s="133"/>
      <c r="D3742" s="133"/>
      <c r="E3742" s="145" t="s">
        <v>1118</v>
      </c>
      <c r="F3742" s="145">
        <v>2659.2</v>
      </c>
      <c r="G3742" s="133"/>
      <c r="H3742" s="144"/>
      <c r="I3742" s="133"/>
      <c r="J3742" s="133"/>
      <c r="K3742" s="133"/>
      <c r="L3742" s="133"/>
      <c r="M3742" s="133"/>
      <c r="N3742" s="147"/>
      <c r="O3742" s="141"/>
      <c r="P3742" s="140"/>
    </row>
    <row r="3743" spans="1:16" hidden="1" x14ac:dyDescent="0.35">
      <c r="A3743" s="149"/>
      <c r="B3743" s="143"/>
      <c r="C3743" s="133"/>
      <c r="D3743" s="133"/>
      <c r="E3743" s="145"/>
      <c r="F3743" s="145"/>
      <c r="G3743" s="133"/>
      <c r="H3743" s="144"/>
      <c r="I3743" s="133"/>
      <c r="J3743" s="133"/>
      <c r="K3743" s="133"/>
      <c r="L3743" s="133"/>
      <c r="M3743" s="133"/>
      <c r="N3743" s="147"/>
      <c r="O3743" s="141"/>
      <c r="P3743" s="140"/>
    </row>
    <row r="3744" spans="1:16" hidden="1" x14ac:dyDescent="0.35">
      <c r="A3744" s="149">
        <v>264</v>
      </c>
      <c r="B3744" s="143">
        <v>46054</v>
      </c>
      <c r="C3744" s="344" t="s">
        <v>1450</v>
      </c>
      <c r="D3744" s="345" t="s">
        <v>2800</v>
      </c>
      <c r="E3744" s="145" t="s">
        <v>1342</v>
      </c>
      <c r="F3744" s="145">
        <v>3183</v>
      </c>
      <c r="G3744" s="133" t="s">
        <v>1034</v>
      </c>
      <c r="H3744" s="144" t="s">
        <v>1341</v>
      </c>
      <c r="I3744" s="133" t="s">
        <v>1092</v>
      </c>
      <c r="J3744" s="355" t="s">
        <v>2819</v>
      </c>
      <c r="K3744" s="143">
        <v>46082</v>
      </c>
      <c r="L3744" s="133" t="s">
        <v>1092</v>
      </c>
      <c r="M3744" s="133">
        <v>13679.5</v>
      </c>
      <c r="N3744" s="147">
        <f>+F3744+F3745+F3746-M3744-M3745</f>
        <v>0</v>
      </c>
      <c r="O3744" s="141"/>
      <c r="P3744" s="140"/>
    </row>
    <row r="3745" spans="1:16" hidden="1" x14ac:dyDescent="0.35">
      <c r="A3745" s="149"/>
      <c r="B3745" s="143"/>
      <c r="C3745" s="133"/>
      <c r="D3745" s="133"/>
      <c r="E3745" s="316" t="s">
        <v>1184</v>
      </c>
      <c r="F3745" s="145">
        <v>10000</v>
      </c>
      <c r="G3745" s="133" t="s">
        <v>1034</v>
      </c>
      <c r="H3745" s="144" t="s">
        <v>1341</v>
      </c>
      <c r="I3745" s="133" t="s">
        <v>1092</v>
      </c>
      <c r="J3745" s="398" t="s">
        <v>2898</v>
      </c>
      <c r="K3745" s="143">
        <v>46113</v>
      </c>
      <c r="L3745" s="133" t="s">
        <v>1241</v>
      </c>
      <c r="M3745" s="133">
        <v>419</v>
      </c>
      <c r="N3745" s="147"/>
      <c r="O3745" s="141"/>
      <c r="P3745" s="140"/>
    </row>
    <row r="3746" spans="1:16" hidden="1" x14ac:dyDescent="0.35">
      <c r="A3746" s="149"/>
      <c r="B3746" s="143"/>
      <c r="C3746" s="133"/>
      <c r="D3746" s="133"/>
      <c r="E3746" s="145" t="s">
        <v>1067</v>
      </c>
      <c r="F3746" s="145">
        <v>915.5</v>
      </c>
      <c r="G3746" s="133"/>
      <c r="H3746" s="144"/>
      <c r="I3746" s="133"/>
      <c r="J3746" s="133"/>
      <c r="K3746" s="133"/>
      <c r="L3746" s="133"/>
      <c r="M3746" s="133"/>
      <c r="N3746" s="147"/>
      <c r="O3746" s="141"/>
      <c r="P3746" s="140"/>
    </row>
    <row r="3747" spans="1:16" hidden="1" x14ac:dyDescent="0.35">
      <c r="A3747" s="149"/>
      <c r="B3747" s="143"/>
      <c r="C3747" s="133"/>
      <c r="D3747" s="133"/>
      <c r="E3747" s="145"/>
      <c r="F3747" s="145"/>
      <c r="G3747" s="133"/>
      <c r="H3747" s="144"/>
      <c r="I3747" s="133"/>
      <c r="J3747" s="133"/>
      <c r="K3747" s="133"/>
      <c r="L3747" s="133"/>
      <c r="M3747" s="133"/>
      <c r="N3747" s="147"/>
      <c r="O3747" s="141"/>
      <c r="P3747" s="140"/>
    </row>
    <row r="3748" spans="1:16" hidden="1" x14ac:dyDescent="0.35">
      <c r="A3748" s="257"/>
      <c r="B3748" s="152"/>
      <c r="C3748" s="151"/>
      <c r="D3748" s="151"/>
      <c r="E3748" s="154"/>
      <c r="F3748" s="154"/>
      <c r="G3748" s="151"/>
      <c r="H3748" s="153"/>
      <c r="I3748" s="151"/>
      <c r="J3748" s="151"/>
      <c r="K3748" s="151"/>
      <c r="L3748" s="151"/>
      <c r="M3748" s="151"/>
      <c r="N3748" s="151"/>
      <c r="O3748" s="141"/>
      <c r="P3748" s="140"/>
    </row>
    <row r="3749" spans="1:16" hidden="1" x14ac:dyDescent="0.35">
      <c r="A3749" s="149"/>
      <c r="B3749" s="143"/>
      <c r="C3749" s="133"/>
      <c r="D3749" s="133"/>
      <c r="E3749" s="145"/>
      <c r="F3749" s="145"/>
      <c r="G3749" s="133"/>
      <c r="H3749" s="144"/>
      <c r="I3749" s="133"/>
      <c r="J3749" s="133"/>
      <c r="K3749" s="133"/>
      <c r="L3749" s="133"/>
      <c r="M3749" s="133"/>
      <c r="N3749" s="147"/>
      <c r="O3749" s="141"/>
      <c r="P3749" s="140"/>
    </row>
    <row r="3750" spans="1:16" hidden="1" x14ac:dyDescent="0.35">
      <c r="A3750" s="149">
        <v>265</v>
      </c>
      <c r="B3750" s="143">
        <v>46082</v>
      </c>
      <c r="C3750" s="347" t="s">
        <v>1447</v>
      </c>
      <c r="D3750" s="348" t="s">
        <v>2807</v>
      </c>
      <c r="E3750" s="145" t="s">
        <v>1342</v>
      </c>
      <c r="F3750" s="145">
        <v>791</v>
      </c>
      <c r="G3750" s="133" t="s">
        <v>1034</v>
      </c>
      <c r="H3750" s="144" t="s">
        <v>1341</v>
      </c>
      <c r="I3750" s="133" t="s">
        <v>1092</v>
      </c>
      <c r="J3750" s="355" t="s">
        <v>2819</v>
      </c>
      <c r="K3750" s="143">
        <v>46082</v>
      </c>
      <c r="L3750" s="133" t="s">
        <v>1092</v>
      </c>
      <c r="M3750" s="133">
        <v>14227.1</v>
      </c>
      <c r="N3750" s="147">
        <f>+F3750+F3751+F3752+F3753+F3754+F3755+F3756-M3750-M3751</f>
        <v>0</v>
      </c>
      <c r="O3750" s="141"/>
      <c r="P3750" s="140"/>
    </row>
    <row r="3751" spans="1:16" hidden="1" x14ac:dyDescent="0.35">
      <c r="A3751" s="149"/>
      <c r="B3751" s="143"/>
      <c r="C3751" s="133"/>
      <c r="D3751" s="133"/>
      <c r="E3751" s="145" t="s">
        <v>1075</v>
      </c>
      <c r="F3751" s="145">
        <v>3704</v>
      </c>
      <c r="G3751" s="133" t="s">
        <v>1034</v>
      </c>
      <c r="H3751" s="144" t="s">
        <v>1341</v>
      </c>
      <c r="I3751" s="133" t="s">
        <v>1092</v>
      </c>
      <c r="J3751" s="398" t="s">
        <v>2898</v>
      </c>
      <c r="K3751" s="143">
        <v>46113</v>
      </c>
      <c r="L3751" s="133" t="s">
        <v>1241</v>
      </c>
      <c r="M3751" s="133">
        <v>410</v>
      </c>
      <c r="N3751" s="147"/>
      <c r="O3751" s="141"/>
      <c r="P3751" s="140"/>
    </row>
    <row r="3752" spans="1:16" hidden="1" x14ac:dyDescent="0.35">
      <c r="A3752" s="149"/>
      <c r="B3752" s="143"/>
      <c r="C3752" s="133"/>
      <c r="D3752" s="133"/>
      <c r="E3752" s="145" t="s">
        <v>1064</v>
      </c>
      <c r="F3752" s="145">
        <v>1604.6</v>
      </c>
      <c r="G3752" s="133"/>
      <c r="H3752" s="144"/>
      <c r="I3752" s="133"/>
      <c r="J3752" s="133"/>
      <c r="K3752" s="133"/>
      <c r="L3752" s="133"/>
      <c r="M3752" s="133"/>
      <c r="N3752" s="147"/>
      <c r="O3752" s="141"/>
      <c r="P3752" s="140"/>
    </row>
    <row r="3753" spans="1:16" hidden="1" x14ac:dyDescent="0.35">
      <c r="A3753" s="149"/>
      <c r="B3753" s="143"/>
      <c r="C3753" s="133"/>
      <c r="D3753" s="133"/>
      <c r="E3753" s="145" t="s">
        <v>1067</v>
      </c>
      <c r="F3753" s="145">
        <v>6579</v>
      </c>
      <c r="G3753" s="133"/>
      <c r="H3753" s="144"/>
      <c r="I3753" s="133"/>
      <c r="J3753" s="133"/>
      <c r="K3753" s="133"/>
      <c r="L3753" s="133"/>
      <c r="M3753" s="133"/>
      <c r="N3753" s="147"/>
      <c r="O3753" s="141"/>
      <c r="P3753" s="140"/>
    </row>
    <row r="3754" spans="1:16" hidden="1" x14ac:dyDescent="0.35">
      <c r="A3754" s="149"/>
      <c r="B3754" s="143"/>
      <c r="C3754" s="133"/>
      <c r="D3754" s="133"/>
      <c r="E3754" s="349" t="s">
        <v>1112</v>
      </c>
      <c r="F3754" s="145">
        <v>193.4</v>
      </c>
      <c r="G3754" s="133"/>
      <c r="H3754" s="144"/>
      <c r="I3754" s="133"/>
      <c r="J3754" s="133"/>
      <c r="K3754" s="133"/>
      <c r="L3754" s="133"/>
      <c r="M3754" s="133"/>
      <c r="N3754" s="147"/>
      <c r="O3754" s="141"/>
      <c r="P3754" s="140"/>
    </row>
    <row r="3755" spans="1:16" hidden="1" x14ac:dyDescent="0.35">
      <c r="A3755" s="149"/>
      <c r="B3755" s="143"/>
      <c r="C3755" s="133"/>
      <c r="D3755" s="133"/>
      <c r="E3755" s="145" t="s">
        <v>1118</v>
      </c>
      <c r="F3755" s="145">
        <v>1505.6</v>
      </c>
      <c r="G3755" s="133"/>
      <c r="H3755" s="144"/>
      <c r="I3755" s="133"/>
      <c r="J3755" s="133"/>
      <c r="K3755" s="133"/>
      <c r="L3755" s="133"/>
      <c r="M3755" s="133"/>
      <c r="N3755" s="147"/>
      <c r="O3755" s="141"/>
      <c r="P3755" s="140"/>
    </row>
    <row r="3756" spans="1:16" hidden="1" x14ac:dyDescent="0.35">
      <c r="A3756" s="149"/>
      <c r="B3756" s="143"/>
      <c r="C3756" s="133"/>
      <c r="D3756" s="133"/>
      <c r="E3756" s="349" t="s">
        <v>1071</v>
      </c>
      <c r="F3756" s="145">
        <v>259.5</v>
      </c>
      <c r="G3756" s="133"/>
      <c r="H3756" s="144"/>
      <c r="I3756" s="133"/>
      <c r="J3756" s="133"/>
      <c r="K3756" s="133"/>
      <c r="L3756" s="133"/>
      <c r="M3756" s="133"/>
      <c r="N3756" s="147"/>
      <c r="O3756" s="141"/>
      <c r="P3756" s="140"/>
    </row>
    <row r="3757" spans="1:16" hidden="1" x14ac:dyDescent="0.35">
      <c r="A3757" s="149"/>
      <c r="B3757" s="143"/>
      <c r="C3757" s="133"/>
      <c r="D3757" s="133"/>
      <c r="E3757" s="145"/>
      <c r="F3757" s="145"/>
      <c r="G3757" s="133"/>
      <c r="H3757" s="144"/>
      <c r="I3757" s="133"/>
      <c r="J3757" s="133"/>
      <c r="K3757" s="133"/>
      <c r="L3757" s="133"/>
      <c r="M3757" s="133"/>
      <c r="N3757" s="147"/>
      <c r="O3757" s="141"/>
      <c r="P3757" s="140"/>
    </row>
    <row r="3758" spans="1:16" hidden="1" x14ac:dyDescent="0.35">
      <c r="A3758" s="149">
        <v>266</v>
      </c>
      <c r="B3758" s="143">
        <v>46082</v>
      </c>
      <c r="C3758" s="347" t="s">
        <v>1443</v>
      </c>
      <c r="D3758" s="348" t="s">
        <v>2808</v>
      </c>
      <c r="E3758" s="145" t="s">
        <v>1342</v>
      </c>
      <c r="F3758" s="145">
        <v>2402</v>
      </c>
      <c r="G3758" s="133" t="s">
        <v>1034</v>
      </c>
      <c r="H3758" s="144" t="s">
        <v>1341</v>
      </c>
      <c r="I3758" s="133" t="s">
        <v>1092</v>
      </c>
      <c r="J3758" s="355" t="s">
        <v>2819</v>
      </c>
      <c r="K3758" s="143">
        <v>46082</v>
      </c>
      <c r="L3758" s="133" t="s">
        <v>1092</v>
      </c>
      <c r="M3758" s="133">
        <v>12348</v>
      </c>
      <c r="N3758" s="147">
        <f>+F3758+F3759+F3760+F3761-M3758-M3759</f>
        <v>0</v>
      </c>
      <c r="O3758" s="141"/>
      <c r="P3758" s="140"/>
    </row>
    <row r="3759" spans="1:16" hidden="1" x14ac:dyDescent="0.35">
      <c r="A3759" s="149"/>
      <c r="B3759" s="143"/>
      <c r="C3759" s="133"/>
      <c r="D3759" s="133"/>
      <c r="E3759" s="145" t="s">
        <v>1075</v>
      </c>
      <c r="F3759" s="145">
        <v>612</v>
      </c>
      <c r="G3759" s="133" t="s">
        <v>1034</v>
      </c>
      <c r="H3759" s="144" t="s">
        <v>1341</v>
      </c>
      <c r="I3759" s="133" t="s">
        <v>1092</v>
      </c>
      <c r="J3759" s="398" t="s">
        <v>2898</v>
      </c>
      <c r="K3759" s="143">
        <v>46113</v>
      </c>
      <c r="L3759" s="133" t="s">
        <v>1241</v>
      </c>
      <c r="M3759" s="133">
        <v>319</v>
      </c>
      <c r="N3759" s="147"/>
      <c r="O3759" s="141"/>
      <c r="P3759" s="140"/>
    </row>
    <row r="3760" spans="1:16" hidden="1" x14ac:dyDescent="0.35">
      <c r="A3760" s="149"/>
      <c r="B3760" s="143"/>
      <c r="C3760" s="133"/>
      <c r="D3760" s="133"/>
      <c r="E3760" s="145" t="s">
        <v>1064</v>
      </c>
      <c r="F3760" s="145">
        <v>5454</v>
      </c>
      <c r="G3760" s="133"/>
      <c r="H3760" s="144"/>
      <c r="I3760" s="133"/>
      <c r="J3760" s="133"/>
      <c r="K3760" s="133"/>
      <c r="L3760" s="133"/>
      <c r="M3760" s="133"/>
      <c r="N3760" s="147"/>
      <c r="O3760" s="141"/>
      <c r="P3760" s="140"/>
    </row>
    <row r="3761" spans="1:16" hidden="1" x14ac:dyDescent="0.35">
      <c r="A3761" s="149"/>
      <c r="B3761" s="143"/>
      <c r="C3761" s="133"/>
      <c r="D3761" s="133"/>
      <c r="E3761" s="145" t="s">
        <v>1067</v>
      </c>
      <c r="F3761" s="145">
        <v>4199</v>
      </c>
      <c r="G3761" s="133"/>
      <c r="H3761" s="144"/>
      <c r="I3761" s="133"/>
      <c r="J3761" s="133"/>
      <c r="K3761" s="133"/>
      <c r="L3761" s="133"/>
      <c r="M3761" s="133"/>
      <c r="N3761" s="147"/>
      <c r="O3761" s="141"/>
      <c r="P3761" s="140"/>
    </row>
    <row r="3762" spans="1:16" hidden="1" x14ac:dyDescent="0.35">
      <c r="A3762" s="149"/>
      <c r="B3762" s="143"/>
      <c r="C3762" s="133"/>
      <c r="D3762" s="133"/>
      <c r="E3762" s="145"/>
      <c r="F3762" s="145"/>
      <c r="G3762" s="133"/>
      <c r="H3762" s="144"/>
      <c r="I3762" s="133"/>
      <c r="J3762" s="133"/>
      <c r="K3762" s="133"/>
      <c r="L3762" s="133"/>
      <c r="M3762" s="133"/>
      <c r="N3762" s="147"/>
      <c r="O3762" s="141"/>
      <c r="P3762" s="140"/>
    </row>
    <row r="3763" spans="1:16" hidden="1" x14ac:dyDescent="0.35">
      <c r="A3763" s="149">
        <v>267</v>
      </c>
      <c r="B3763" s="143">
        <v>46082</v>
      </c>
      <c r="C3763" s="347" t="s">
        <v>1441</v>
      </c>
      <c r="D3763" s="348" t="s">
        <v>2809</v>
      </c>
      <c r="E3763" s="145" t="s">
        <v>1064</v>
      </c>
      <c r="F3763" s="145">
        <v>9027</v>
      </c>
      <c r="G3763" s="133" t="s">
        <v>1034</v>
      </c>
      <c r="H3763" s="144" t="s">
        <v>1341</v>
      </c>
      <c r="I3763" s="133" t="s">
        <v>1092</v>
      </c>
      <c r="J3763" s="355" t="s">
        <v>2819</v>
      </c>
      <c r="K3763" s="143">
        <v>46082</v>
      </c>
      <c r="L3763" s="133" t="s">
        <v>1092</v>
      </c>
      <c r="M3763" s="133">
        <v>9904</v>
      </c>
      <c r="N3763" s="147">
        <f>+F3763+F3764-M3763-M3764</f>
        <v>0</v>
      </c>
      <c r="O3763" s="141"/>
      <c r="P3763" s="140"/>
    </row>
    <row r="3764" spans="1:16" hidden="1" x14ac:dyDescent="0.35">
      <c r="A3764" s="149"/>
      <c r="B3764" s="143"/>
      <c r="C3764" s="133"/>
      <c r="D3764" s="133"/>
      <c r="E3764" s="145" t="s">
        <v>1067</v>
      </c>
      <c r="F3764" s="145">
        <v>987</v>
      </c>
      <c r="G3764" s="133" t="s">
        <v>1034</v>
      </c>
      <c r="H3764" s="144" t="s">
        <v>1341</v>
      </c>
      <c r="I3764" s="133" t="s">
        <v>1092</v>
      </c>
      <c r="J3764" s="398" t="s">
        <v>2898</v>
      </c>
      <c r="K3764" s="143">
        <v>46113</v>
      </c>
      <c r="L3764" s="133" t="s">
        <v>1241</v>
      </c>
      <c r="M3764" s="133">
        <v>110</v>
      </c>
      <c r="N3764" s="147"/>
      <c r="O3764" s="141"/>
      <c r="P3764" s="140"/>
    </row>
    <row r="3765" spans="1:16" hidden="1" x14ac:dyDescent="0.35">
      <c r="A3765" s="149"/>
      <c r="B3765" s="143"/>
      <c r="C3765" s="133"/>
      <c r="D3765" s="133"/>
      <c r="E3765" s="145"/>
      <c r="F3765" s="145"/>
      <c r="G3765" s="133"/>
      <c r="H3765" s="144"/>
      <c r="I3765" s="133"/>
      <c r="J3765" s="133"/>
      <c r="K3765" s="133"/>
      <c r="L3765" s="133"/>
      <c r="M3765" s="133"/>
      <c r="N3765" s="147"/>
      <c r="O3765" s="141"/>
      <c r="P3765" s="140"/>
    </row>
    <row r="3766" spans="1:16" hidden="1" x14ac:dyDescent="0.35">
      <c r="A3766" s="149">
        <v>268</v>
      </c>
      <c r="B3766" s="143">
        <v>46082</v>
      </c>
      <c r="C3766" s="347" t="s">
        <v>1439</v>
      </c>
      <c r="D3766" s="348" t="s">
        <v>2810</v>
      </c>
      <c r="E3766" s="145" t="s">
        <v>1064</v>
      </c>
      <c r="F3766" s="145">
        <v>13362</v>
      </c>
      <c r="G3766" s="133" t="s">
        <v>1034</v>
      </c>
      <c r="H3766" s="144" t="s">
        <v>1341</v>
      </c>
      <c r="I3766" s="133" t="s">
        <v>1092</v>
      </c>
      <c r="J3766" s="355" t="s">
        <v>2819</v>
      </c>
      <c r="K3766" s="143">
        <v>46082</v>
      </c>
      <c r="L3766" s="133" t="s">
        <v>1092</v>
      </c>
      <c r="M3766" s="133">
        <v>14775</v>
      </c>
      <c r="N3766" s="147">
        <f>+F3766+F3767+F3768-M3766-M3767</f>
        <v>0</v>
      </c>
      <c r="O3766" s="141"/>
      <c r="P3766" s="140"/>
    </row>
    <row r="3767" spans="1:16" hidden="1" x14ac:dyDescent="0.35">
      <c r="A3767" s="149"/>
      <c r="B3767" s="143"/>
      <c r="C3767" s="133"/>
      <c r="D3767" s="133"/>
      <c r="E3767" s="145" t="s">
        <v>1067</v>
      </c>
      <c r="F3767" s="145">
        <v>571</v>
      </c>
      <c r="G3767" s="133" t="s">
        <v>1034</v>
      </c>
      <c r="H3767" s="144" t="s">
        <v>1341</v>
      </c>
      <c r="I3767" s="133" t="s">
        <v>1092</v>
      </c>
      <c r="J3767" s="398" t="s">
        <v>2898</v>
      </c>
      <c r="K3767" s="143">
        <v>46113</v>
      </c>
      <c r="L3767" s="133" t="s">
        <v>1241</v>
      </c>
      <c r="M3767" s="133">
        <v>319</v>
      </c>
      <c r="N3767" s="147"/>
      <c r="O3767" s="141"/>
      <c r="P3767" s="140"/>
    </row>
    <row r="3768" spans="1:16" hidden="1" x14ac:dyDescent="0.35">
      <c r="A3768" s="149"/>
      <c r="B3768" s="143"/>
      <c r="C3768" s="133"/>
      <c r="D3768" s="133"/>
      <c r="E3768" s="145" t="s">
        <v>1342</v>
      </c>
      <c r="F3768" s="145">
        <v>1161</v>
      </c>
      <c r="G3768" s="133"/>
      <c r="H3768" s="144"/>
      <c r="I3768" s="133"/>
      <c r="J3768" s="133"/>
      <c r="K3768" s="133"/>
      <c r="L3768" s="133"/>
      <c r="M3768" s="133"/>
      <c r="N3768" s="147"/>
      <c r="O3768" s="141"/>
      <c r="P3768" s="140"/>
    </row>
    <row r="3769" spans="1:16" hidden="1" x14ac:dyDescent="0.35">
      <c r="A3769" s="149"/>
      <c r="B3769" s="143"/>
      <c r="C3769" s="133"/>
      <c r="D3769" s="133"/>
      <c r="E3769" s="145"/>
      <c r="F3769" s="145"/>
      <c r="G3769" s="133"/>
      <c r="H3769" s="144"/>
      <c r="I3769" s="133"/>
      <c r="J3769" s="133"/>
      <c r="K3769" s="133"/>
      <c r="L3769" s="133"/>
      <c r="M3769" s="133"/>
      <c r="N3769" s="147"/>
      <c r="O3769" s="141"/>
      <c r="P3769" s="140"/>
    </row>
    <row r="3770" spans="1:16" hidden="1" x14ac:dyDescent="0.35">
      <c r="A3770" s="149">
        <v>269</v>
      </c>
      <c r="B3770" s="143">
        <v>46082</v>
      </c>
      <c r="C3770" s="347" t="s">
        <v>1437</v>
      </c>
      <c r="D3770" s="348" t="s">
        <v>2811</v>
      </c>
      <c r="E3770" s="145" t="s">
        <v>1064</v>
      </c>
      <c r="F3770" s="145">
        <v>6042.3</v>
      </c>
      <c r="G3770" s="133" t="s">
        <v>1034</v>
      </c>
      <c r="H3770" s="144" t="s">
        <v>1341</v>
      </c>
      <c r="I3770" s="133" t="s">
        <v>1092</v>
      </c>
      <c r="J3770" s="355" t="s">
        <v>2819</v>
      </c>
      <c r="K3770" s="143">
        <v>46082</v>
      </c>
      <c r="L3770" s="133" t="s">
        <v>1092</v>
      </c>
      <c r="M3770" s="133">
        <v>9981</v>
      </c>
      <c r="N3770" s="147">
        <f>+F3770+F3771+F3772+F3773-M3770-M3771</f>
        <v>0</v>
      </c>
      <c r="O3770" s="141"/>
      <c r="P3770" s="140"/>
    </row>
    <row r="3771" spans="1:16" hidden="1" x14ac:dyDescent="0.35">
      <c r="A3771" s="149"/>
      <c r="B3771" s="143"/>
      <c r="C3771" s="133"/>
      <c r="D3771" s="133"/>
      <c r="E3771" s="349" t="s">
        <v>1071</v>
      </c>
      <c r="F3771" s="145">
        <v>187.7</v>
      </c>
      <c r="G3771" s="133" t="s">
        <v>1034</v>
      </c>
      <c r="H3771" s="144" t="s">
        <v>1341</v>
      </c>
      <c r="I3771" s="133" t="s">
        <v>1092</v>
      </c>
      <c r="J3771" s="398" t="s">
        <v>2898</v>
      </c>
      <c r="K3771" s="143">
        <v>46113</v>
      </c>
      <c r="L3771" s="133" t="s">
        <v>1241</v>
      </c>
      <c r="M3771" s="133">
        <v>269</v>
      </c>
      <c r="N3771" s="147"/>
      <c r="O3771" s="141"/>
      <c r="P3771" s="140"/>
    </row>
    <row r="3772" spans="1:16" hidden="1" x14ac:dyDescent="0.35">
      <c r="A3772" s="149"/>
      <c r="B3772" s="143"/>
      <c r="C3772" s="133"/>
      <c r="D3772" s="133"/>
      <c r="E3772" s="145" t="s">
        <v>1342</v>
      </c>
      <c r="F3772" s="145">
        <v>308</v>
      </c>
      <c r="G3772" s="133"/>
      <c r="H3772" s="144"/>
      <c r="I3772" s="133"/>
      <c r="J3772" s="133"/>
      <c r="K3772" s="133"/>
      <c r="L3772" s="133"/>
      <c r="M3772" s="133"/>
      <c r="N3772" s="147"/>
      <c r="O3772" s="141"/>
      <c r="P3772" s="140"/>
    </row>
    <row r="3773" spans="1:16" hidden="1" x14ac:dyDescent="0.35">
      <c r="A3773" s="149"/>
      <c r="B3773" s="143"/>
      <c r="C3773" s="133"/>
      <c r="D3773" s="133"/>
      <c r="E3773" s="145" t="s">
        <v>1075</v>
      </c>
      <c r="F3773" s="145">
        <v>3712</v>
      </c>
      <c r="G3773" s="133"/>
      <c r="H3773" s="144"/>
      <c r="I3773" s="133"/>
      <c r="J3773" s="133"/>
      <c r="K3773" s="133"/>
      <c r="L3773" s="133"/>
      <c r="M3773" s="133"/>
      <c r="N3773" s="147"/>
      <c r="O3773" s="141"/>
      <c r="P3773" s="140"/>
    </row>
    <row r="3774" spans="1:16" hidden="1" x14ac:dyDescent="0.35">
      <c r="A3774" s="149"/>
      <c r="B3774" s="143"/>
      <c r="C3774" s="133"/>
      <c r="D3774" s="133"/>
      <c r="E3774" s="145"/>
      <c r="F3774" s="145"/>
      <c r="G3774" s="133"/>
      <c r="H3774" s="144"/>
      <c r="I3774" s="133"/>
      <c r="J3774" s="133"/>
      <c r="K3774" s="133"/>
      <c r="L3774" s="133"/>
      <c r="M3774" s="133"/>
      <c r="N3774" s="147"/>
      <c r="O3774" s="141"/>
      <c r="P3774" s="140"/>
    </row>
    <row r="3775" spans="1:16" hidden="1" x14ac:dyDescent="0.35">
      <c r="A3775" s="149">
        <v>270</v>
      </c>
      <c r="B3775" s="143">
        <v>46082</v>
      </c>
      <c r="C3775" s="351" t="s">
        <v>1435</v>
      </c>
      <c r="D3775" s="352" t="s">
        <v>2817</v>
      </c>
      <c r="E3775" s="145" t="s">
        <v>1075</v>
      </c>
      <c r="F3775" s="145">
        <v>3808</v>
      </c>
      <c r="G3775" s="133" t="s">
        <v>1034</v>
      </c>
      <c r="H3775" s="144" t="s">
        <v>1341</v>
      </c>
      <c r="I3775" s="133" t="s">
        <v>1092</v>
      </c>
      <c r="J3775" s="355" t="s">
        <v>2819</v>
      </c>
      <c r="K3775" s="143">
        <v>46082</v>
      </c>
      <c r="L3775" s="133" t="s">
        <v>1092</v>
      </c>
      <c r="M3775" s="133">
        <v>10735.5</v>
      </c>
      <c r="N3775" s="147">
        <f>+F3775+F3776+F3777-M3775-M3776</f>
        <v>0</v>
      </c>
      <c r="O3775" s="141"/>
      <c r="P3775" s="140"/>
    </row>
    <row r="3776" spans="1:16" hidden="1" x14ac:dyDescent="0.35">
      <c r="A3776" s="149"/>
      <c r="B3776" s="143"/>
      <c r="C3776" s="133"/>
      <c r="D3776" s="133"/>
      <c r="E3776" s="349" t="s">
        <v>1112</v>
      </c>
      <c r="F3776" s="145">
        <v>171.7</v>
      </c>
      <c r="G3776" s="133" t="s">
        <v>1034</v>
      </c>
      <c r="H3776" s="144" t="s">
        <v>1341</v>
      </c>
      <c r="I3776" s="133" t="s">
        <v>1092</v>
      </c>
      <c r="J3776" s="398" t="s">
        <v>2898</v>
      </c>
      <c r="K3776" s="143">
        <v>46113</v>
      </c>
      <c r="L3776" s="133" t="s">
        <v>1241</v>
      </c>
      <c r="M3776" s="133">
        <v>310</v>
      </c>
      <c r="N3776" s="147"/>
      <c r="O3776" s="141"/>
      <c r="P3776" s="140"/>
    </row>
    <row r="3777" spans="1:16" hidden="1" x14ac:dyDescent="0.35">
      <c r="A3777" s="149"/>
      <c r="B3777" s="143"/>
      <c r="C3777" s="133"/>
      <c r="D3777" s="133"/>
      <c r="E3777" s="145" t="s">
        <v>1067</v>
      </c>
      <c r="F3777" s="145">
        <v>7065.8</v>
      </c>
      <c r="G3777" s="133"/>
      <c r="H3777" s="144"/>
      <c r="I3777" s="133"/>
      <c r="J3777" s="133"/>
      <c r="K3777" s="133"/>
      <c r="L3777" s="133"/>
      <c r="M3777" s="133"/>
      <c r="N3777" s="147"/>
      <c r="O3777" s="141"/>
      <c r="P3777" s="140"/>
    </row>
    <row r="3778" spans="1:16" hidden="1" x14ac:dyDescent="0.35">
      <c r="A3778" s="149"/>
      <c r="B3778" s="143"/>
      <c r="C3778" s="133"/>
      <c r="D3778" s="133"/>
      <c r="E3778" s="145"/>
      <c r="F3778" s="145"/>
      <c r="G3778" s="133"/>
      <c r="H3778" s="144"/>
      <c r="I3778" s="133"/>
      <c r="J3778" s="133"/>
      <c r="K3778" s="133"/>
      <c r="L3778" s="133"/>
      <c r="M3778" s="133"/>
      <c r="N3778" s="147"/>
      <c r="O3778" s="141"/>
      <c r="P3778" s="140"/>
    </row>
    <row r="3779" spans="1:16" hidden="1" x14ac:dyDescent="0.35">
      <c r="A3779" s="149">
        <v>271</v>
      </c>
      <c r="B3779" s="143">
        <v>46082</v>
      </c>
      <c r="C3779" s="355" t="s">
        <v>1433</v>
      </c>
      <c r="D3779" s="356" t="s">
        <v>2818</v>
      </c>
      <c r="E3779" s="145" t="s">
        <v>1342</v>
      </c>
      <c r="F3779" s="145">
        <v>3780.6</v>
      </c>
      <c r="G3779" s="133" t="s">
        <v>1034</v>
      </c>
      <c r="H3779" s="144" t="s">
        <v>1341</v>
      </c>
      <c r="I3779" s="133" t="s">
        <v>1092</v>
      </c>
      <c r="J3779" s="369" t="s">
        <v>2834</v>
      </c>
      <c r="K3779" s="143">
        <v>46082</v>
      </c>
      <c r="L3779" s="369" t="s">
        <v>2835</v>
      </c>
      <c r="M3779" s="133">
        <v>1281.5999999999999</v>
      </c>
      <c r="N3779" s="147">
        <f>+F3779+F3780+F3781+F3782-M3779-M3780-M3781</f>
        <v>0</v>
      </c>
      <c r="O3779" s="141"/>
      <c r="P3779" s="140"/>
    </row>
    <row r="3780" spans="1:16" hidden="1" x14ac:dyDescent="0.35">
      <c r="A3780" s="149"/>
      <c r="B3780" s="143"/>
      <c r="C3780" s="133"/>
      <c r="D3780" s="133"/>
      <c r="E3780" s="145" t="s">
        <v>1067</v>
      </c>
      <c r="F3780" s="145">
        <v>572</v>
      </c>
      <c r="G3780" s="133" t="s">
        <v>1034</v>
      </c>
      <c r="H3780" s="144" t="s">
        <v>1341</v>
      </c>
      <c r="I3780" s="133" t="s">
        <v>1092</v>
      </c>
      <c r="J3780" s="369" t="s">
        <v>2836</v>
      </c>
      <c r="K3780" s="143">
        <v>46082</v>
      </c>
      <c r="L3780" s="133" t="s">
        <v>1092</v>
      </c>
      <c r="M3780" s="133">
        <v>13695.4</v>
      </c>
      <c r="N3780" s="147"/>
      <c r="O3780" s="141"/>
      <c r="P3780" s="140"/>
    </row>
    <row r="3781" spans="1:16" hidden="1" x14ac:dyDescent="0.35">
      <c r="A3781" s="149"/>
      <c r="B3781" s="143"/>
      <c r="C3781" s="133"/>
      <c r="D3781" s="133"/>
      <c r="E3781" s="145" t="s">
        <v>1064</v>
      </c>
      <c r="F3781" s="145">
        <v>9771</v>
      </c>
      <c r="G3781" s="133"/>
      <c r="H3781" s="144"/>
      <c r="I3781" s="133"/>
      <c r="J3781" s="398" t="s">
        <v>2898</v>
      </c>
      <c r="K3781" s="143">
        <v>46113</v>
      </c>
      <c r="L3781" s="133" t="s">
        <v>1241</v>
      </c>
      <c r="M3781" s="133">
        <v>226</v>
      </c>
      <c r="N3781" s="147"/>
      <c r="O3781" s="141"/>
      <c r="P3781" s="140"/>
    </row>
    <row r="3782" spans="1:16" hidden="1" x14ac:dyDescent="0.35">
      <c r="A3782" s="149"/>
      <c r="B3782" s="143"/>
      <c r="C3782" s="133"/>
      <c r="D3782" s="133"/>
      <c r="E3782" s="349" t="s">
        <v>1071</v>
      </c>
      <c r="F3782" s="145">
        <v>1079.4000000000001</v>
      </c>
      <c r="G3782" s="133"/>
      <c r="H3782" s="144"/>
      <c r="I3782" s="133"/>
      <c r="J3782" s="133"/>
      <c r="K3782" s="133"/>
      <c r="L3782" s="133"/>
      <c r="M3782" s="133"/>
      <c r="N3782" s="147"/>
      <c r="O3782" s="141"/>
      <c r="P3782" s="140"/>
    </row>
    <row r="3783" spans="1:16" hidden="1" x14ac:dyDescent="0.35">
      <c r="A3783" s="149"/>
      <c r="B3783" s="143"/>
      <c r="C3783" s="133"/>
      <c r="D3783" s="133"/>
      <c r="E3783" s="145"/>
      <c r="F3783" s="145"/>
      <c r="G3783" s="133"/>
      <c r="H3783" s="144"/>
      <c r="I3783" s="133"/>
      <c r="J3783" s="133"/>
      <c r="K3783" s="133"/>
      <c r="L3783" s="133"/>
      <c r="M3783" s="133"/>
      <c r="N3783" s="147"/>
      <c r="O3783" s="141"/>
      <c r="P3783" s="140"/>
    </row>
    <row r="3784" spans="1:16" hidden="1" x14ac:dyDescent="0.35">
      <c r="A3784" s="149"/>
      <c r="B3784" s="143"/>
      <c r="C3784" s="133"/>
      <c r="D3784" s="133"/>
      <c r="E3784" s="145"/>
      <c r="F3784" s="145"/>
      <c r="G3784" s="133"/>
      <c r="H3784" s="144"/>
      <c r="I3784" s="133"/>
      <c r="J3784" s="133"/>
      <c r="K3784" s="133"/>
      <c r="L3784" s="133"/>
      <c r="M3784" s="133"/>
      <c r="N3784" s="147"/>
      <c r="O3784" s="141"/>
      <c r="P3784" s="140"/>
    </row>
    <row r="3785" spans="1:16" hidden="1" x14ac:dyDescent="0.35">
      <c r="A3785" s="149">
        <v>272</v>
      </c>
      <c r="B3785" s="143">
        <v>46082</v>
      </c>
      <c r="C3785" s="358" t="s">
        <v>1431</v>
      </c>
      <c r="D3785" s="359" t="s">
        <v>2822</v>
      </c>
      <c r="E3785" s="145" t="s">
        <v>1075</v>
      </c>
      <c r="F3785" s="145">
        <v>5679.9</v>
      </c>
      <c r="G3785" s="133" t="s">
        <v>1034</v>
      </c>
      <c r="H3785" s="144" t="s">
        <v>1341</v>
      </c>
      <c r="I3785" s="133" t="s">
        <v>1092</v>
      </c>
      <c r="J3785" s="369" t="s">
        <v>2836</v>
      </c>
      <c r="K3785" s="143">
        <v>46082</v>
      </c>
      <c r="L3785" s="133" t="s">
        <v>1092</v>
      </c>
      <c r="M3785" s="133">
        <v>17108.5</v>
      </c>
      <c r="N3785" s="147">
        <f>+F3785+F3786+F3787+F3788-M3785-M3786</f>
        <v>0</v>
      </c>
      <c r="O3785" s="141"/>
      <c r="P3785" s="140"/>
    </row>
    <row r="3786" spans="1:16" hidden="1" x14ac:dyDescent="0.35">
      <c r="A3786" s="149"/>
      <c r="B3786" s="143"/>
      <c r="C3786" s="133"/>
      <c r="D3786" s="133"/>
      <c r="E3786" s="145" t="s">
        <v>1067</v>
      </c>
      <c r="F3786" s="145">
        <v>1981</v>
      </c>
      <c r="G3786" s="133" t="s">
        <v>1034</v>
      </c>
      <c r="H3786" s="144" t="s">
        <v>1341</v>
      </c>
      <c r="I3786" s="133" t="s">
        <v>1092</v>
      </c>
      <c r="J3786" s="398" t="s">
        <v>2898</v>
      </c>
      <c r="K3786" s="143">
        <v>46113</v>
      </c>
      <c r="L3786" s="133" t="s">
        <v>1241</v>
      </c>
      <c r="M3786" s="133">
        <v>214</v>
      </c>
      <c r="N3786" s="147"/>
      <c r="O3786" s="141"/>
      <c r="P3786" s="140"/>
    </row>
    <row r="3787" spans="1:16" hidden="1" x14ac:dyDescent="0.35">
      <c r="A3787" s="149"/>
      <c r="B3787" s="143"/>
      <c r="C3787" s="133"/>
      <c r="D3787" s="133"/>
      <c r="E3787" s="145" t="s">
        <v>1064</v>
      </c>
      <c r="F3787" s="145">
        <v>6446.1</v>
      </c>
      <c r="G3787" s="133"/>
      <c r="H3787" s="144"/>
      <c r="I3787" s="133"/>
      <c r="J3787" s="133"/>
      <c r="K3787" s="133"/>
      <c r="L3787" s="133"/>
      <c r="M3787" s="133"/>
      <c r="N3787" s="147"/>
      <c r="O3787" s="141"/>
      <c r="P3787" s="140"/>
    </row>
    <row r="3788" spans="1:16" hidden="1" x14ac:dyDescent="0.35">
      <c r="A3788" s="149"/>
      <c r="B3788" s="143"/>
      <c r="C3788" s="133"/>
      <c r="D3788" s="133"/>
      <c r="E3788" s="145" t="s">
        <v>1118</v>
      </c>
      <c r="F3788" s="145">
        <v>3215.5</v>
      </c>
      <c r="G3788" s="133"/>
      <c r="H3788" s="144"/>
      <c r="I3788" s="133"/>
      <c r="J3788" s="133"/>
      <c r="K3788" s="133"/>
      <c r="L3788" s="133"/>
      <c r="M3788" s="133"/>
      <c r="N3788" s="147"/>
      <c r="O3788" s="141"/>
      <c r="P3788" s="140"/>
    </row>
    <row r="3789" spans="1:16" hidden="1" x14ac:dyDescent="0.35">
      <c r="A3789" s="149"/>
      <c r="B3789" s="143"/>
      <c r="C3789" s="133"/>
      <c r="D3789" s="133"/>
      <c r="E3789" s="145"/>
      <c r="F3789" s="145"/>
      <c r="G3789" s="133"/>
      <c r="H3789" s="144"/>
      <c r="I3789" s="133"/>
      <c r="J3789" s="133"/>
      <c r="K3789" s="133"/>
      <c r="L3789" s="133"/>
      <c r="M3789" s="133"/>
      <c r="N3789" s="147"/>
      <c r="O3789" s="141"/>
      <c r="P3789" s="140"/>
    </row>
    <row r="3790" spans="1:16" hidden="1" x14ac:dyDescent="0.35">
      <c r="A3790" s="149">
        <v>273</v>
      </c>
      <c r="B3790" s="143">
        <v>46082</v>
      </c>
      <c r="C3790" s="360" t="s">
        <v>1429</v>
      </c>
      <c r="D3790" s="361" t="s">
        <v>2823</v>
      </c>
      <c r="E3790" s="145" t="s">
        <v>1342</v>
      </c>
      <c r="F3790" s="145">
        <v>1698</v>
      </c>
      <c r="G3790" s="133" t="s">
        <v>1034</v>
      </c>
      <c r="H3790" s="144" t="s">
        <v>1341</v>
      </c>
      <c r="I3790" s="133" t="s">
        <v>1092</v>
      </c>
      <c r="J3790" s="369" t="s">
        <v>2836</v>
      </c>
      <c r="K3790" s="143">
        <v>46082</v>
      </c>
      <c r="L3790" s="133" t="s">
        <v>1092</v>
      </c>
      <c r="M3790" s="133">
        <v>7727</v>
      </c>
      <c r="N3790" s="147">
        <f>+F3790+F3791+F3792-M3790-M3791</f>
        <v>0</v>
      </c>
      <c r="O3790" s="141"/>
      <c r="P3790" s="140"/>
    </row>
    <row r="3791" spans="1:16" hidden="1" x14ac:dyDescent="0.35">
      <c r="A3791" s="149"/>
      <c r="B3791" s="143"/>
      <c r="C3791" s="133"/>
      <c r="D3791" s="133"/>
      <c r="E3791" s="145" t="s">
        <v>1067</v>
      </c>
      <c r="F3791" s="145">
        <v>692</v>
      </c>
      <c r="G3791" s="133" t="s">
        <v>1034</v>
      </c>
      <c r="H3791" s="144" t="s">
        <v>1341</v>
      </c>
      <c r="I3791" s="133" t="s">
        <v>1092</v>
      </c>
      <c r="J3791" s="398" t="s">
        <v>2898</v>
      </c>
      <c r="K3791" s="143">
        <v>46113</v>
      </c>
      <c r="L3791" s="133" t="s">
        <v>1241</v>
      </c>
      <c r="M3791" s="133">
        <v>114</v>
      </c>
      <c r="N3791" s="147"/>
      <c r="O3791" s="141"/>
      <c r="P3791" s="140"/>
    </row>
    <row r="3792" spans="1:16" hidden="1" x14ac:dyDescent="0.35">
      <c r="A3792" s="149"/>
      <c r="B3792" s="143"/>
      <c r="C3792" s="133"/>
      <c r="D3792" s="133"/>
      <c r="E3792" s="145" t="s">
        <v>1064</v>
      </c>
      <c r="F3792" s="145">
        <v>5451</v>
      </c>
      <c r="G3792" s="133"/>
      <c r="H3792" s="144"/>
      <c r="I3792" s="133"/>
      <c r="J3792" s="133"/>
      <c r="K3792" s="133"/>
      <c r="L3792" s="133"/>
      <c r="M3792" s="133"/>
      <c r="N3792" s="147"/>
      <c r="O3792" s="141"/>
      <c r="P3792" s="140"/>
    </row>
    <row r="3793" spans="1:16" hidden="1" x14ac:dyDescent="0.35">
      <c r="A3793" s="149"/>
      <c r="B3793" s="143"/>
      <c r="C3793" s="133"/>
      <c r="D3793" s="133"/>
      <c r="E3793" s="145"/>
      <c r="F3793" s="145"/>
      <c r="G3793" s="133"/>
      <c r="H3793" s="144"/>
      <c r="I3793" s="133"/>
      <c r="J3793" s="133"/>
      <c r="K3793" s="133"/>
      <c r="L3793" s="133"/>
      <c r="M3793" s="133"/>
      <c r="N3793" s="147"/>
      <c r="O3793" s="141"/>
      <c r="P3793" s="140"/>
    </row>
    <row r="3794" spans="1:16" hidden="1" x14ac:dyDescent="0.35">
      <c r="A3794" s="149">
        <v>274</v>
      </c>
      <c r="B3794" s="143">
        <v>46082</v>
      </c>
      <c r="C3794" s="360" t="s">
        <v>1427</v>
      </c>
      <c r="D3794" s="361" t="s">
        <v>2824</v>
      </c>
      <c r="E3794" s="145" t="s">
        <v>1075</v>
      </c>
      <c r="F3794" s="145">
        <v>5419</v>
      </c>
      <c r="G3794" s="133" t="s">
        <v>1034</v>
      </c>
      <c r="H3794" s="144" t="s">
        <v>1341</v>
      </c>
      <c r="I3794" s="133" t="s">
        <v>1092</v>
      </c>
      <c r="J3794" s="369" t="s">
        <v>2836</v>
      </c>
      <c r="K3794" s="143">
        <v>46082</v>
      </c>
      <c r="L3794" s="133" t="s">
        <v>1092</v>
      </c>
      <c r="M3794" s="133">
        <v>20504</v>
      </c>
      <c r="N3794" s="147">
        <f>+F3794+F3795+F3796+F3797-M3794-M3795</f>
        <v>0</v>
      </c>
      <c r="O3794" s="141"/>
      <c r="P3794" s="140"/>
    </row>
    <row r="3795" spans="1:16" hidden="1" x14ac:dyDescent="0.35">
      <c r="A3795" s="149"/>
      <c r="B3795" s="143"/>
      <c r="C3795" s="133"/>
      <c r="D3795" s="133"/>
      <c r="E3795" s="145" t="s">
        <v>1067</v>
      </c>
      <c r="F3795" s="145">
        <v>3207</v>
      </c>
      <c r="G3795" s="133" t="s">
        <v>1034</v>
      </c>
      <c r="H3795" s="144" t="s">
        <v>1341</v>
      </c>
      <c r="I3795" s="133" t="s">
        <v>1092</v>
      </c>
      <c r="J3795" s="398" t="s">
        <v>2898</v>
      </c>
      <c r="K3795" s="143">
        <v>46113</v>
      </c>
      <c r="L3795" s="133" t="s">
        <v>1241</v>
      </c>
      <c r="M3795" s="133">
        <v>301</v>
      </c>
      <c r="N3795" s="147"/>
      <c r="O3795" s="141"/>
      <c r="P3795" s="140"/>
    </row>
    <row r="3796" spans="1:16" hidden="1" x14ac:dyDescent="0.35">
      <c r="A3796" s="149"/>
      <c r="B3796" s="143"/>
      <c r="C3796" s="133"/>
      <c r="D3796" s="133"/>
      <c r="E3796" s="145" t="s">
        <v>1064</v>
      </c>
      <c r="F3796" s="145">
        <v>10629</v>
      </c>
      <c r="G3796" s="133"/>
      <c r="H3796" s="144"/>
      <c r="I3796" s="133"/>
      <c r="J3796" s="133"/>
      <c r="K3796" s="133"/>
      <c r="L3796" s="133"/>
      <c r="M3796" s="133"/>
      <c r="N3796" s="147"/>
      <c r="O3796" s="141"/>
      <c r="P3796" s="140"/>
    </row>
    <row r="3797" spans="1:16" hidden="1" x14ac:dyDescent="0.35">
      <c r="A3797" s="149"/>
      <c r="B3797" s="143"/>
      <c r="C3797" s="133"/>
      <c r="D3797" s="133"/>
      <c r="E3797" s="145" t="s">
        <v>1342</v>
      </c>
      <c r="F3797" s="145">
        <v>1550</v>
      </c>
      <c r="G3797" s="133"/>
      <c r="H3797" s="144"/>
      <c r="I3797" s="133"/>
      <c r="J3797" s="133"/>
      <c r="K3797" s="133"/>
      <c r="L3797" s="133"/>
      <c r="M3797" s="133"/>
      <c r="N3797" s="147"/>
      <c r="O3797" s="141"/>
      <c r="P3797" s="140"/>
    </row>
    <row r="3798" spans="1:16" hidden="1" x14ac:dyDescent="0.35">
      <c r="A3798" s="149"/>
      <c r="B3798" s="143"/>
      <c r="C3798" s="133"/>
      <c r="D3798" s="133"/>
      <c r="E3798" s="145"/>
      <c r="F3798" s="145"/>
      <c r="G3798" s="133"/>
      <c r="H3798" s="144"/>
      <c r="I3798" s="133"/>
      <c r="J3798" s="133"/>
      <c r="K3798" s="133"/>
      <c r="L3798" s="133"/>
      <c r="M3798" s="133"/>
      <c r="N3798" s="147"/>
      <c r="O3798" s="141"/>
      <c r="P3798" s="140"/>
    </row>
    <row r="3799" spans="1:16" hidden="1" x14ac:dyDescent="0.35">
      <c r="A3799" s="149">
        <v>275</v>
      </c>
      <c r="B3799" s="143">
        <v>46082</v>
      </c>
      <c r="C3799" s="362" t="s">
        <v>1425</v>
      </c>
      <c r="D3799" s="363" t="s">
        <v>2826</v>
      </c>
      <c r="E3799" s="145" t="s">
        <v>1075</v>
      </c>
      <c r="F3799" s="145">
        <v>1639</v>
      </c>
      <c r="G3799" s="133" t="s">
        <v>1034</v>
      </c>
      <c r="H3799" s="144" t="s">
        <v>1341</v>
      </c>
      <c r="I3799" s="133" t="s">
        <v>1092</v>
      </c>
      <c r="J3799" s="378" t="s">
        <v>2852</v>
      </c>
      <c r="K3799" s="143">
        <v>46082</v>
      </c>
      <c r="L3799" s="133" t="s">
        <v>1092</v>
      </c>
      <c r="M3799" s="133">
        <v>11523.18</v>
      </c>
      <c r="N3799" s="147">
        <f>+F3799+F3800+F3801+F3802+F3803-M3799-M3800</f>
        <v>0</v>
      </c>
      <c r="O3799" s="141"/>
      <c r="P3799" s="140"/>
    </row>
    <row r="3800" spans="1:16" hidden="1" x14ac:dyDescent="0.35">
      <c r="A3800" s="149"/>
      <c r="B3800" s="143"/>
      <c r="C3800" s="133"/>
      <c r="D3800" s="133"/>
      <c r="E3800" s="145" t="s">
        <v>1067</v>
      </c>
      <c r="F3800" s="145">
        <v>1399.9</v>
      </c>
      <c r="G3800" s="133" t="s">
        <v>1034</v>
      </c>
      <c r="H3800" s="144" t="s">
        <v>1341</v>
      </c>
      <c r="I3800" s="133" t="s">
        <v>1092</v>
      </c>
      <c r="J3800" s="398" t="s">
        <v>2898</v>
      </c>
      <c r="K3800" s="143">
        <v>46113</v>
      </c>
      <c r="L3800" s="133" t="s">
        <v>1241</v>
      </c>
      <c r="M3800" s="133">
        <v>279</v>
      </c>
      <c r="N3800" s="147"/>
      <c r="O3800" s="141"/>
      <c r="P3800" s="140"/>
    </row>
    <row r="3801" spans="1:16" hidden="1" x14ac:dyDescent="0.35">
      <c r="A3801" s="149"/>
      <c r="B3801" s="143"/>
      <c r="C3801" s="133"/>
      <c r="D3801" s="133"/>
      <c r="E3801" s="145" t="s">
        <v>1064</v>
      </c>
      <c r="F3801" s="145">
        <v>1702.1</v>
      </c>
      <c r="G3801" s="133"/>
      <c r="H3801" s="144"/>
      <c r="I3801" s="133"/>
      <c r="J3801" s="133"/>
      <c r="K3801" s="133"/>
      <c r="L3801" s="133"/>
      <c r="M3801" s="133"/>
      <c r="N3801" s="147"/>
      <c r="O3801" s="141"/>
      <c r="P3801" s="140"/>
    </row>
    <row r="3802" spans="1:16" hidden="1" x14ac:dyDescent="0.35">
      <c r="A3802" s="149"/>
      <c r="B3802" s="143"/>
      <c r="C3802" s="133"/>
      <c r="D3802" s="133"/>
      <c r="E3802" s="145" t="s">
        <v>1342</v>
      </c>
      <c r="F3802" s="145">
        <v>1157</v>
      </c>
      <c r="G3802" s="133"/>
      <c r="H3802" s="144"/>
      <c r="I3802" s="133"/>
      <c r="J3802" s="133"/>
      <c r="K3802" s="133"/>
      <c r="L3802" s="133"/>
      <c r="M3802" s="133"/>
      <c r="N3802" s="147"/>
      <c r="O3802" s="141"/>
      <c r="P3802" s="140"/>
    </row>
    <row r="3803" spans="1:16" hidden="1" x14ac:dyDescent="0.35">
      <c r="A3803" s="149"/>
      <c r="B3803" s="143"/>
      <c r="C3803" s="133"/>
      <c r="D3803" s="133"/>
      <c r="E3803" s="364" t="s">
        <v>2265</v>
      </c>
      <c r="F3803" s="145">
        <v>5904.18</v>
      </c>
      <c r="G3803" s="133"/>
      <c r="H3803" s="144"/>
      <c r="I3803" s="133"/>
      <c r="J3803" s="133"/>
      <c r="K3803" s="133"/>
      <c r="L3803" s="133"/>
      <c r="M3803" s="133"/>
      <c r="N3803" s="147"/>
      <c r="O3803" s="141"/>
      <c r="P3803" s="140"/>
    </row>
    <row r="3804" spans="1:16" hidden="1" x14ac:dyDescent="0.35">
      <c r="A3804" s="149"/>
      <c r="B3804" s="143"/>
      <c r="C3804" s="133"/>
      <c r="D3804" s="133"/>
      <c r="E3804" s="145"/>
      <c r="F3804" s="145"/>
      <c r="G3804" s="133"/>
      <c r="H3804" s="144"/>
      <c r="I3804" s="133"/>
      <c r="J3804" s="133"/>
      <c r="K3804" s="133"/>
      <c r="L3804" s="133"/>
      <c r="M3804" s="133"/>
      <c r="N3804" s="147"/>
      <c r="O3804" s="141"/>
      <c r="P3804" s="140"/>
    </row>
    <row r="3805" spans="1:16" hidden="1" x14ac:dyDescent="0.35">
      <c r="A3805" s="149">
        <v>276</v>
      </c>
      <c r="B3805" s="143">
        <v>46082</v>
      </c>
      <c r="C3805" s="365" t="s">
        <v>1423</v>
      </c>
      <c r="D3805" s="366" t="s">
        <v>2828</v>
      </c>
      <c r="E3805" s="145" t="s">
        <v>1075</v>
      </c>
      <c r="F3805" s="145">
        <v>5349</v>
      </c>
      <c r="G3805" s="133" t="s">
        <v>1034</v>
      </c>
      <c r="H3805" s="144" t="s">
        <v>1341</v>
      </c>
      <c r="I3805" s="133" t="s">
        <v>1092</v>
      </c>
      <c r="J3805" s="378" t="s">
        <v>2852</v>
      </c>
      <c r="K3805" s="143">
        <v>46082</v>
      </c>
      <c r="L3805" s="133" t="s">
        <v>1092</v>
      </c>
      <c r="M3805" s="133">
        <v>7589.32</v>
      </c>
      <c r="N3805" s="147">
        <f>+F3805+F3806-M3805-M3806</f>
        <v>0</v>
      </c>
      <c r="O3805" s="141"/>
      <c r="P3805" s="140"/>
    </row>
    <row r="3806" spans="1:16" hidden="1" x14ac:dyDescent="0.35">
      <c r="A3806" s="149"/>
      <c r="B3806" s="143"/>
      <c r="C3806" s="133"/>
      <c r="D3806" s="133"/>
      <c r="E3806" s="145" t="s">
        <v>1118</v>
      </c>
      <c r="F3806" s="145">
        <v>2397.3200000000002</v>
      </c>
      <c r="G3806" s="133" t="s">
        <v>1034</v>
      </c>
      <c r="H3806" s="144" t="s">
        <v>1341</v>
      </c>
      <c r="I3806" s="133" t="s">
        <v>1092</v>
      </c>
      <c r="J3806" s="398" t="s">
        <v>2898</v>
      </c>
      <c r="K3806" s="143">
        <v>46113</v>
      </c>
      <c r="L3806" s="133" t="s">
        <v>1241</v>
      </c>
      <c r="M3806" s="133">
        <v>157</v>
      </c>
      <c r="N3806" s="147"/>
      <c r="O3806" s="141"/>
      <c r="P3806" s="140"/>
    </row>
    <row r="3807" spans="1:16" hidden="1" x14ac:dyDescent="0.35">
      <c r="A3807" s="149"/>
      <c r="B3807" s="143"/>
      <c r="C3807" s="133"/>
      <c r="D3807" s="133"/>
      <c r="E3807" s="145"/>
      <c r="F3807" s="145"/>
      <c r="G3807" s="133"/>
      <c r="H3807" s="144"/>
      <c r="I3807" s="133"/>
      <c r="J3807" s="133"/>
      <c r="K3807" s="133"/>
      <c r="L3807" s="133"/>
      <c r="M3807" s="133"/>
      <c r="N3807" s="147"/>
      <c r="O3807" s="141"/>
      <c r="P3807" s="140"/>
    </row>
    <row r="3808" spans="1:16" hidden="1" x14ac:dyDescent="0.35">
      <c r="A3808" s="149">
        <v>277</v>
      </c>
      <c r="B3808" s="143">
        <v>46082</v>
      </c>
      <c r="C3808" s="365" t="s">
        <v>1421</v>
      </c>
      <c r="D3808" s="366" t="s">
        <v>2829</v>
      </c>
      <c r="E3808" s="367" t="s">
        <v>32</v>
      </c>
      <c r="F3808" s="145">
        <v>100</v>
      </c>
      <c r="G3808" s="133" t="s">
        <v>1034</v>
      </c>
      <c r="H3808" s="144" t="s">
        <v>1341</v>
      </c>
      <c r="I3808" s="133" t="s">
        <v>1092</v>
      </c>
      <c r="J3808" s="378" t="s">
        <v>2852</v>
      </c>
      <c r="K3808" s="143">
        <v>46082</v>
      </c>
      <c r="L3808" s="133" t="s">
        <v>1092</v>
      </c>
      <c r="M3808" s="133">
        <v>4073</v>
      </c>
      <c r="N3808" s="147">
        <f>+F3808+F3809+F3810-M3808-M3809</f>
        <v>0</v>
      </c>
      <c r="O3808" s="141"/>
      <c r="P3808" s="140"/>
    </row>
    <row r="3809" spans="1:16" hidden="1" x14ac:dyDescent="0.35">
      <c r="A3809" s="149"/>
      <c r="B3809" s="143"/>
      <c r="C3809" s="133"/>
      <c r="D3809" s="133"/>
      <c r="E3809" s="145" t="s">
        <v>1067</v>
      </c>
      <c r="F3809" s="145">
        <v>209</v>
      </c>
      <c r="G3809" s="133" t="s">
        <v>1034</v>
      </c>
      <c r="H3809" s="144" t="s">
        <v>1341</v>
      </c>
      <c r="I3809" s="133" t="s">
        <v>1092</v>
      </c>
      <c r="J3809" s="398" t="s">
        <v>2898</v>
      </c>
      <c r="K3809" s="143">
        <v>46113</v>
      </c>
      <c r="L3809" s="133" t="s">
        <v>1241</v>
      </c>
      <c r="M3809" s="133">
        <v>101</v>
      </c>
      <c r="N3809" s="147"/>
      <c r="O3809" s="141"/>
      <c r="P3809" s="140"/>
    </row>
    <row r="3810" spans="1:16" hidden="1" x14ac:dyDescent="0.35">
      <c r="A3810" s="149"/>
      <c r="B3810" s="143"/>
      <c r="C3810" s="133"/>
      <c r="D3810" s="133"/>
      <c r="E3810" s="145" t="s">
        <v>1342</v>
      </c>
      <c r="F3810" s="145">
        <v>3865</v>
      </c>
      <c r="G3810" s="133"/>
      <c r="H3810" s="144"/>
      <c r="I3810" s="133"/>
      <c r="J3810" s="133"/>
      <c r="K3810" s="133"/>
      <c r="L3810" s="133"/>
      <c r="M3810" s="133"/>
      <c r="N3810" s="147"/>
      <c r="O3810" s="141"/>
      <c r="P3810" s="140"/>
    </row>
    <row r="3811" spans="1:16" hidden="1" x14ac:dyDescent="0.35">
      <c r="A3811" s="149"/>
      <c r="B3811" s="143"/>
      <c r="C3811" s="133"/>
      <c r="D3811" s="133"/>
      <c r="E3811" s="145"/>
      <c r="F3811" s="145"/>
      <c r="G3811" s="133"/>
      <c r="H3811" s="144"/>
      <c r="I3811" s="133"/>
      <c r="J3811" s="133"/>
      <c r="K3811" s="133"/>
      <c r="L3811" s="133"/>
      <c r="M3811" s="133"/>
      <c r="N3811" s="147"/>
      <c r="O3811" s="141"/>
      <c r="P3811" s="140"/>
    </row>
    <row r="3812" spans="1:16" hidden="1" x14ac:dyDescent="0.35">
      <c r="A3812" s="149">
        <v>278</v>
      </c>
      <c r="B3812" s="143">
        <v>46082</v>
      </c>
      <c r="C3812" s="365" t="s">
        <v>1419</v>
      </c>
      <c r="D3812" s="366" t="s">
        <v>2830</v>
      </c>
      <c r="E3812" s="145" t="s">
        <v>1075</v>
      </c>
      <c r="F3812" s="145">
        <v>8158.5</v>
      </c>
      <c r="G3812" s="133" t="s">
        <v>1034</v>
      </c>
      <c r="H3812" s="144" t="s">
        <v>1341</v>
      </c>
      <c r="I3812" s="133" t="s">
        <v>1092</v>
      </c>
      <c r="J3812" s="378" t="s">
        <v>2852</v>
      </c>
      <c r="K3812" s="143">
        <v>46082</v>
      </c>
      <c r="L3812" s="133" t="s">
        <v>1092</v>
      </c>
      <c r="M3812" s="133">
        <v>16026.8</v>
      </c>
      <c r="N3812" s="147">
        <f>+F3812+F3813+F3814+F3815+F3816-M3812-M3813</f>
        <v>0</v>
      </c>
      <c r="O3812" s="141"/>
      <c r="P3812" s="140"/>
    </row>
    <row r="3813" spans="1:16" hidden="1" x14ac:dyDescent="0.35">
      <c r="A3813" s="149"/>
      <c r="B3813" s="143"/>
      <c r="C3813" s="133"/>
      <c r="D3813" s="133"/>
      <c r="E3813" s="145" t="s">
        <v>1067</v>
      </c>
      <c r="F3813" s="145">
        <v>6.5</v>
      </c>
      <c r="G3813" s="133" t="s">
        <v>1034</v>
      </c>
      <c r="H3813" s="144" t="s">
        <v>1341</v>
      </c>
      <c r="I3813" s="133" t="s">
        <v>1092</v>
      </c>
      <c r="J3813" s="398" t="s">
        <v>2898</v>
      </c>
      <c r="K3813" s="143">
        <v>46113</v>
      </c>
      <c r="L3813" s="133" t="s">
        <v>1241</v>
      </c>
      <c r="M3813" s="133">
        <v>371</v>
      </c>
      <c r="N3813" s="147"/>
      <c r="O3813" s="141"/>
      <c r="P3813" s="140"/>
    </row>
    <row r="3814" spans="1:16" hidden="1" x14ac:dyDescent="0.35">
      <c r="A3814" s="149"/>
      <c r="B3814" s="143"/>
      <c r="C3814" s="133"/>
      <c r="D3814" s="133"/>
      <c r="E3814" s="145" t="s">
        <v>1342</v>
      </c>
      <c r="F3814" s="145">
        <v>4679</v>
      </c>
      <c r="G3814" s="133"/>
      <c r="H3814" s="144"/>
      <c r="I3814" s="133"/>
      <c r="J3814" s="133"/>
      <c r="K3814" s="133"/>
      <c r="L3814" s="133"/>
      <c r="M3814" s="133"/>
      <c r="N3814" s="147"/>
      <c r="O3814" s="141"/>
      <c r="P3814" s="140"/>
    </row>
    <row r="3815" spans="1:16" hidden="1" x14ac:dyDescent="0.35">
      <c r="A3815" s="149"/>
      <c r="B3815" s="143"/>
      <c r="C3815" s="133"/>
      <c r="D3815" s="133"/>
      <c r="E3815" s="145" t="s">
        <v>1067</v>
      </c>
      <c r="F3815" s="145">
        <v>2808</v>
      </c>
      <c r="G3815" s="133"/>
      <c r="H3815" s="144"/>
      <c r="I3815" s="133"/>
      <c r="J3815" s="133"/>
      <c r="K3815" s="133"/>
      <c r="L3815" s="133"/>
      <c r="M3815" s="133"/>
      <c r="N3815" s="147"/>
      <c r="O3815" s="141"/>
      <c r="P3815" s="140"/>
    </row>
    <row r="3816" spans="1:16" hidden="1" x14ac:dyDescent="0.35">
      <c r="A3816" s="149"/>
      <c r="B3816" s="143"/>
      <c r="C3816" s="133"/>
      <c r="D3816" s="133"/>
      <c r="E3816" s="145" t="s">
        <v>1064</v>
      </c>
      <c r="F3816" s="145">
        <v>745.8</v>
      </c>
      <c r="G3816" s="133"/>
      <c r="H3816" s="144"/>
      <c r="I3816" s="133"/>
      <c r="J3816" s="133"/>
      <c r="K3816" s="133"/>
      <c r="L3816" s="133"/>
      <c r="M3816" s="133"/>
      <c r="N3816" s="147"/>
      <c r="O3816" s="141"/>
      <c r="P3816" s="140"/>
    </row>
    <row r="3817" spans="1:16" hidden="1" x14ac:dyDescent="0.35">
      <c r="A3817" s="149"/>
      <c r="B3817" s="143"/>
      <c r="C3817" s="133"/>
      <c r="D3817" s="133"/>
      <c r="E3817" s="145"/>
      <c r="F3817" s="145"/>
      <c r="G3817" s="133"/>
      <c r="H3817" s="144"/>
      <c r="I3817" s="133"/>
      <c r="J3817" s="133"/>
      <c r="K3817" s="133"/>
      <c r="L3817" s="133"/>
      <c r="M3817" s="133"/>
      <c r="N3817" s="147"/>
      <c r="O3817" s="141"/>
      <c r="P3817" s="140"/>
    </row>
    <row r="3818" spans="1:16" hidden="1" x14ac:dyDescent="0.35">
      <c r="A3818" s="149">
        <v>279</v>
      </c>
      <c r="B3818" s="143">
        <v>46082</v>
      </c>
      <c r="C3818" s="370" t="s">
        <v>1417</v>
      </c>
      <c r="D3818" s="372" t="s">
        <v>2842</v>
      </c>
      <c r="E3818" s="145" t="s">
        <v>1342</v>
      </c>
      <c r="F3818" s="145">
        <v>1147</v>
      </c>
      <c r="G3818" s="133" t="s">
        <v>1034</v>
      </c>
      <c r="H3818" s="144" t="s">
        <v>1341</v>
      </c>
      <c r="I3818" s="133" t="s">
        <v>1092</v>
      </c>
      <c r="J3818" s="378" t="s">
        <v>2852</v>
      </c>
      <c r="K3818" s="143">
        <v>46082</v>
      </c>
      <c r="L3818" s="133" t="s">
        <v>1092</v>
      </c>
      <c r="M3818" s="133">
        <v>7702</v>
      </c>
      <c r="N3818" s="147">
        <f>+F3818+F3819-M3818-M3819</f>
        <v>0</v>
      </c>
      <c r="O3818" s="141"/>
      <c r="P3818" s="140"/>
    </row>
    <row r="3819" spans="1:16" hidden="1" x14ac:dyDescent="0.35">
      <c r="A3819" s="149"/>
      <c r="B3819" s="143"/>
      <c r="C3819" s="133"/>
      <c r="D3819" s="133"/>
      <c r="E3819" s="145" t="s">
        <v>1075</v>
      </c>
      <c r="F3819" s="145">
        <v>6753</v>
      </c>
      <c r="G3819" s="133" t="s">
        <v>1034</v>
      </c>
      <c r="H3819" s="144" t="s">
        <v>1341</v>
      </c>
      <c r="I3819" s="133" t="s">
        <v>1092</v>
      </c>
      <c r="J3819" s="398" t="s">
        <v>2898</v>
      </c>
      <c r="K3819" s="143">
        <v>46113</v>
      </c>
      <c r="L3819" s="133" t="s">
        <v>1241</v>
      </c>
      <c r="M3819" s="133">
        <v>198</v>
      </c>
      <c r="N3819" s="147"/>
      <c r="O3819" s="141"/>
      <c r="P3819" s="140"/>
    </row>
    <row r="3820" spans="1:16" hidden="1" x14ac:dyDescent="0.35">
      <c r="A3820" s="149"/>
      <c r="B3820" s="143"/>
      <c r="C3820" s="133"/>
      <c r="D3820" s="133"/>
      <c r="E3820" s="145"/>
      <c r="F3820" s="145"/>
      <c r="G3820" s="133"/>
      <c r="H3820" s="144"/>
      <c r="I3820" s="133"/>
      <c r="J3820" s="133"/>
      <c r="K3820" s="133"/>
      <c r="L3820" s="133"/>
      <c r="M3820" s="133"/>
      <c r="N3820" s="147"/>
      <c r="O3820" s="141"/>
      <c r="P3820" s="140"/>
    </row>
    <row r="3821" spans="1:16" hidden="1" x14ac:dyDescent="0.35">
      <c r="A3821" s="149">
        <v>280</v>
      </c>
      <c r="B3821" s="143">
        <v>46082</v>
      </c>
      <c r="C3821" s="370" t="s">
        <v>1415</v>
      </c>
      <c r="D3821" s="372" t="s">
        <v>2843</v>
      </c>
      <c r="E3821" s="145" t="s">
        <v>1342</v>
      </c>
      <c r="F3821" s="145">
        <v>1420</v>
      </c>
      <c r="G3821" s="133" t="s">
        <v>1034</v>
      </c>
      <c r="H3821" s="144" t="s">
        <v>1341</v>
      </c>
      <c r="I3821" s="133" t="s">
        <v>1092</v>
      </c>
      <c r="J3821" s="378" t="s">
        <v>2852</v>
      </c>
      <c r="K3821" s="143">
        <v>46082</v>
      </c>
      <c r="L3821" s="133" t="s">
        <v>1092</v>
      </c>
      <c r="M3821" s="133">
        <v>10113.049999999999</v>
      </c>
      <c r="N3821" s="147">
        <f>+F3821+F3822+F3823+F3824-M3821-M3822</f>
        <v>0</v>
      </c>
      <c r="O3821" s="141"/>
      <c r="P3821" s="140"/>
    </row>
    <row r="3822" spans="1:16" hidden="1" x14ac:dyDescent="0.35">
      <c r="A3822" s="149"/>
      <c r="B3822" s="143"/>
      <c r="C3822" s="133"/>
      <c r="D3822" s="133"/>
      <c r="E3822" s="145" t="s">
        <v>1075</v>
      </c>
      <c r="F3822" s="145">
        <v>3342.5</v>
      </c>
      <c r="G3822" s="133" t="s">
        <v>1034</v>
      </c>
      <c r="H3822" s="144" t="s">
        <v>1341</v>
      </c>
      <c r="I3822" s="133" t="s">
        <v>1092</v>
      </c>
      <c r="J3822" s="398" t="s">
        <v>2898</v>
      </c>
      <c r="K3822" s="143">
        <v>46113</v>
      </c>
      <c r="L3822" s="133" t="s">
        <v>1241</v>
      </c>
      <c r="M3822" s="133">
        <v>203</v>
      </c>
      <c r="N3822" s="147"/>
      <c r="O3822" s="141"/>
      <c r="P3822" s="140"/>
    </row>
    <row r="3823" spans="1:16" hidden="1" x14ac:dyDescent="0.35">
      <c r="A3823" s="149"/>
      <c r="B3823" s="143"/>
      <c r="C3823" s="133"/>
      <c r="D3823" s="133"/>
      <c r="E3823" s="145" t="s">
        <v>1067</v>
      </c>
      <c r="F3823" s="145">
        <v>3245.55</v>
      </c>
      <c r="G3823" s="133"/>
      <c r="H3823" s="144"/>
      <c r="I3823" s="133"/>
      <c r="J3823" s="133"/>
      <c r="K3823" s="133"/>
      <c r="L3823" s="133"/>
      <c r="M3823" s="133"/>
      <c r="N3823" s="147"/>
      <c r="O3823" s="141"/>
      <c r="P3823" s="140"/>
    </row>
    <row r="3824" spans="1:16" hidden="1" x14ac:dyDescent="0.35">
      <c r="A3824" s="149"/>
      <c r="B3824" s="143"/>
      <c r="C3824" s="133"/>
      <c r="D3824" s="133"/>
      <c r="E3824" s="145" t="s">
        <v>1118</v>
      </c>
      <c r="F3824" s="145">
        <v>2308</v>
      </c>
      <c r="G3824" s="133"/>
      <c r="H3824" s="144"/>
      <c r="I3824" s="133"/>
      <c r="J3824" s="133"/>
      <c r="K3824" s="133"/>
      <c r="L3824" s="133"/>
      <c r="M3824" s="133"/>
      <c r="N3824" s="147"/>
      <c r="O3824" s="141"/>
      <c r="P3824" s="140"/>
    </row>
    <row r="3825" spans="1:16" hidden="1" x14ac:dyDescent="0.35">
      <c r="A3825" s="149"/>
      <c r="B3825" s="143"/>
      <c r="C3825" s="133"/>
      <c r="D3825" s="133"/>
      <c r="E3825" s="145"/>
      <c r="F3825" s="145"/>
      <c r="G3825" s="133"/>
      <c r="H3825" s="144"/>
      <c r="I3825" s="133"/>
      <c r="J3825" s="133"/>
      <c r="K3825" s="133"/>
      <c r="L3825" s="133"/>
      <c r="M3825" s="133"/>
      <c r="N3825" s="147"/>
      <c r="O3825" s="141"/>
      <c r="P3825" s="140"/>
    </row>
    <row r="3826" spans="1:16" hidden="1" x14ac:dyDescent="0.35">
      <c r="A3826" s="149"/>
      <c r="B3826" s="143"/>
      <c r="C3826" s="133"/>
      <c r="D3826" s="133"/>
      <c r="E3826" s="145"/>
      <c r="F3826" s="145"/>
      <c r="G3826" s="133"/>
      <c r="H3826" s="144"/>
      <c r="I3826" s="133"/>
      <c r="J3826" s="133"/>
      <c r="K3826" s="133"/>
      <c r="L3826" s="133"/>
      <c r="M3826" s="133"/>
      <c r="N3826" s="147"/>
      <c r="O3826" s="141"/>
      <c r="P3826" s="140"/>
    </row>
    <row r="3827" spans="1:16" hidden="1" x14ac:dyDescent="0.35">
      <c r="A3827" s="149">
        <v>281</v>
      </c>
      <c r="B3827" s="143">
        <v>46082</v>
      </c>
      <c r="C3827" s="375" t="s">
        <v>1413</v>
      </c>
      <c r="D3827" s="376" t="s">
        <v>2847</v>
      </c>
      <c r="E3827" s="377" t="s">
        <v>1953</v>
      </c>
      <c r="F3827" s="145">
        <v>25</v>
      </c>
      <c r="G3827" s="133" t="s">
        <v>1034</v>
      </c>
      <c r="H3827" s="144" t="s">
        <v>1341</v>
      </c>
      <c r="I3827" s="133" t="s">
        <v>1092</v>
      </c>
      <c r="J3827" s="383" t="s">
        <v>2858</v>
      </c>
      <c r="K3827" s="143">
        <v>46082</v>
      </c>
      <c r="L3827" s="383" t="s">
        <v>2859</v>
      </c>
      <c r="M3827" s="133">
        <v>1555</v>
      </c>
      <c r="N3827" s="147">
        <f>+F3827+F3828+F3829+F3830-M3827-M3828-M3829</f>
        <v>0</v>
      </c>
      <c r="O3827" s="141"/>
      <c r="P3827" s="140"/>
    </row>
    <row r="3828" spans="1:16" hidden="1" x14ac:dyDescent="0.35">
      <c r="A3828" s="149"/>
      <c r="B3828" s="143"/>
      <c r="C3828" s="133"/>
      <c r="D3828" s="133"/>
      <c r="E3828" s="145" t="s">
        <v>1075</v>
      </c>
      <c r="F3828" s="145">
        <v>4194.5</v>
      </c>
      <c r="G3828" s="133" t="s">
        <v>1034</v>
      </c>
      <c r="H3828" s="144" t="s">
        <v>1341</v>
      </c>
      <c r="I3828" s="133" t="s">
        <v>1092</v>
      </c>
      <c r="J3828" s="383" t="s">
        <v>2860</v>
      </c>
      <c r="K3828" s="143">
        <v>46082</v>
      </c>
      <c r="L3828" s="133" t="s">
        <v>1092</v>
      </c>
      <c r="M3828" s="133">
        <v>5401.5</v>
      </c>
      <c r="N3828" s="147"/>
      <c r="O3828" s="141"/>
      <c r="P3828" s="140"/>
    </row>
    <row r="3829" spans="1:16" hidden="1" x14ac:dyDescent="0.35">
      <c r="A3829" s="149"/>
      <c r="B3829" s="143"/>
      <c r="C3829" s="133"/>
      <c r="D3829" s="133"/>
      <c r="E3829" s="145" t="s">
        <v>1067</v>
      </c>
      <c r="F3829" s="145">
        <v>1208</v>
      </c>
      <c r="G3829" s="133" t="s">
        <v>1034</v>
      </c>
      <c r="H3829" s="144" t="s">
        <v>1341</v>
      </c>
      <c r="I3829" s="133" t="s">
        <v>1092</v>
      </c>
      <c r="J3829" s="398" t="s">
        <v>2898</v>
      </c>
      <c r="K3829" s="143">
        <v>46113</v>
      </c>
      <c r="L3829" s="133" t="s">
        <v>1241</v>
      </c>
      <c r="M3829" s="133">
        <v>26</v>
      </c>
      <c r="N3829" s="147"/>
      <c r="O3829" s="141"/>
      <c r="P3829" s="140"/>
    </row>
    <row r="3830" spans="1:16" hidden="1" x14ac:dyDescent="0.35">
      <c r="A3830" s="149"/>
      <c r="B3830" s="143"/>
      <c r="C3830" s="133"/>
      <c r="D3830" s="133"/>
      <c r="E3830" s="145" t="s">
        <v>1064</v>
      </c>
      <c r="F3830" s="145">
        <v>1555</v>
      </c>
      <c r="G3830" s="133"/>
      <c r="H3830" s="144"/>
      <c r="I3830" s="133"/>
      <c r="J3830" s="133"/>
      <c r="K3830" s="133"/>
      <c r="L3830" s="133"/>
      <c r="M3830" s="133"/>
      <c r="N3830" s="147"/>
      <c r="O3830" s="141"/>
      <c r="P3830" s="140"/>
    </row>
    <row r="3831" spans="1:16" hidden="1" x14ac:dyDescent="0.35">
      <c r="A3831" s="149"/>
      <c r="B3831" s="143"/>
      <c r="C3831" s="133"/>
      <c r="D3831" s="133"/>
      <c r="E3831" s="145"/>
      <c r="F3831" s="145"/>
      <c r="G3831" s="133"/>
      <c r="H3831" s="144"/>
      <c r="I3831" s="133"/>
      <c r="J3831" s="133"/>
      <c r="K3831" s="133"/>
      <c r="L3831" s="133"/>
      <c r="M3831" s="133"/>
      <c r="N3831" s="147"/>
      <c r="O3831" s="141"/>
      <c r="P3831" s="140"/>
    </row>
    <row r="3832" spans="1:16" hidden="1" x14ac:dyDescent="0.35">
      <c r="A3832" s="149">
        <v>282</v>
      </c>
      <c r="B3832" s="143">
        <v>46082</v>
      </c>
      <c r="C3832" s="375" t="s">
        <v>1411</v>
      </c>
      <c r="D3832" s="376" t="s">
        <v>2848</v>
      </c>
      <c r="E3832" s="145" t="s">
        <v>1075</v>
      </c>
      <c r="F3832" s="145">
        <v>3786</v>
      </c>
      <c r="G3832" s="133" t="s">
        <v>1034</v>
      </c>
      <c r="H3832" s="144" t="s">
        <v>1341</v>
      </c>
      <c r="I3832" s="133" t="s">
        <v>1092</v>
      </c>
      <c r="J3832" s="383" t="s">
        <v>2860</v>
      </c>
      <c r="K3832" s="143">
        <v>46082</v>
      </c>
      <c r="L3832" s="133" t="s">
        <v>1092</v>
      </c>
      <c r="M3832" s="133">
        <v>3756</v>
      </c>
      <c r="N3832" s="147">
        <f>+F3832-M3832-M3833</f>
        <v>0</v>
      </c>
      <c r="O3832" s="141"/>
      <c r="P3832" s="140"/>
    </row>
    <row r="3833" spans="1:16" hidden="1" x14ac:dyDescent="0.35">
      <c r="A3833" s="149"/>
      <c r="B3833" s="143"/>
      <c r="C3833" s="133"/>
      <c r="D3833" s="133"/>
      <c r="E3833" s="145"/>
      <c r="F3833" s="145"/>
      <c r="G3833" s="133" t="s">
        <v>1034</v>
      </c>
      <c r="H3833" s="144" t="s">
        <v>1341</v>
      </c>
      <c r="I3833" s="133" t="s">
        <v>1092</v>
      </c>
      <c r="J3833" s="398" t="s">
        <v>2898</v>
      </c>
      <c r="K3833" s="143">
        <v>46113</v>
      </c>
      <c r="L3833" s="133" t="s">
        <v>1241</v>
      </c>
      <c r="M3833" s="133">
        <v>30</v>
      </c>
      <c r="N3833" s="147"/>
      <c r="O3833" s="141"/>
      <c r="P3833" s="140"/>
    </row>
    <row r="3834" spans="1:16" hidden="1" x14ac:dyDescent="0.35">
      <c r="A3834" s="149"/>
      <c r="B3834" s="143"/>
      <c r="C3834" s="133"/>
      <c r="D3834" s="133"/>
      <c r="E3834" s="145"/>
      <c r="F3834" s="145"/>
      <c r="G3834" s="133"/>
      <c r="H3834" s="144"/>
      <c r="I3834" s="133"/>
      <c r="J3834" s="398"/>
      <c r="K3834" s="143"/>
      <c r="L3834" s="133"/>
      <c r="M3834" s="133"/>
      <c r="N3834" s="147"/>
      <c r="O3834" s="141"/>
      <c r="P3834" s="140"/>
    </row>
    <row r="3835" spans="1:16" hidden="1" x14ac:dyDescent="0.35">
      <c r="A3835" s="149">
        <v>283</v>
      </c>
      <c r="B3835" s="143">
        <v>46082</v>
      </c>
      <c r="C3835" s="378" t="s">
        <v>1409</v>
      </c>
      <c r="D3835" s="379" t="s">
        <v>2849</v>
      </c>
      <c r="E3835" s="145" t="s">
        <v>1342</v>
      </c>
      <c r="F3835" s="145">
        <v>2295</v>
      </c>
      <c r="G3835" s="133" t="s">
        <v>1034</v>
      </c>
      <c r="H3835" s="144" t="s">
        <v>1341</v>
      </c>
      <c r="I3835" s="133" t="s">
        <v>1092</v>
      </c>
      <c r="J3835" s="383" t="s">
        <v>2858</v>
      </c>
      <c r="K3835" s="143">
        <v>46082</v>
      </c>
      <c r="L3835" s="383" t="s">
        <v>2859</v>
      </c>
      <c r="M3835" s="133">
        <v>1358.5</v>
      </c>
      <c r="N3835" s="147">
        <f>+F3835+F3836+F3837+F3838+F3839-M3835-M3836-M3837-M3838</f>
        <v>-9.0949470177292824E-13</v>
      </c>
      <c r="O3835" s="141"/>
      <c r="P3835" s="140"/>
    </row>
    <row r="3836" spans="1:16" hidden="1" x14ac:dyDescent="0.35">
      <c r="A3836" s="149"/>
      <c r="B3836" s="143"/>
      <c r="C3836" s="133"/>
      <c r="D3836" s="133"/>
      <c r="E3836" s="145" t="s">
        <v>1075</v>
      </c>
      <c r="F3836" s="145">
        <v>1462.7</v>
      </c>
      <c r="G3836" s="133" t="s">
        <v>1034</v>
      </c>
      <c r="H3836" s="144" t="s">
        <v>1341</v>
      </c>
      <c r="I3836" s="133" t="s">
        <v>1092</v>
      </c>
      <c r="J3836" s="383" t="s">
        <v>2860</v>
      </c>
      <c r="K3836" s="143">
        <v>46082</v>
      </c>
      <c r="L3836" s="133" t="s">
        <v>1092</v>
      </c>
      <c r="M3836" s="133">
        <f>4736.8-2295</f>
        <v>2441.8000000000002</v>
      </c>
      <c r="N3836" s="147"/>
      <c r="O3836" s="141"/>
      <c r="P3836" s="140"/>
    </row>
    <row r="3837" spans="1:16" hidden="1" x14ac:dyDescent="0.35">
      <c r="A3837" s="149"/>
      <c r="B3837" s="143"/>
      <c r="C3837" s="133"/>
      <c r="D3837" s="133"/>
      <c r="E3837" s="145" t="s">
        <v>1067</v>
      </c>
      <c r="F3837" s="145">
        <v>256</v>
      </c>
      <c r="G3837" s="133" t="s">
        <v>1034</v>
      </c>
      <c r="H3837" s="144" t="s">
        <v>1341</v>
      </c>
      <c r="I3837" s="133" t="s">
        <v>1092</v>
      </c>
      <c r="J3837" s="383" t="s">
        <v>2861</v>
      </c>
      <c r="K3837" s="143">
        <v>46082</v>
      </c>
      <c r="L3837" s="133" t="s">
        <v>1092</v>
      </c>
      <c r="M3837" s="133">
        <v>2290</v>
      </c>
      <c r="N3837" s="147"/>
      <c r="O3837" s="141"/>
      <c r="P3837" s="140"/>
    </row>
    <row r="3838" spans="1:16" hidden="1" x14ac:dyDescent="0.35">
      <c r="A3838" s="149"/>
      <c r="B3838" s="143"/>
      <c r="C3838" s="133"/>
      <c r="D3838" s="133"/>
      <c r="E3838" s="145" t="s">
        <v>1064</v>
      </c>
      <c r="F3838" s="145">
        <v>1865.6</v>
      </c>
      <c r="G3838" s="133" t="s">
        <v>1034</v>
      </c>
      <c r="H3838" s="144" t="s">
        <v>1341</v>
      </c>
      <c r="I3838" s="133" t="s">
        <v>1092</v>
      </c>
      <c r="J3838" s="398" t="s">
        <v>2898</v>
      </c>
      <c r="K3838" s="143">
        <v>46113</v>
      </c>
      <c r="L3838" s="133" t="s">
        <v>1241</v>
      </c>
      <c r="M3838" s="133">
        <v>103</v>
      </c>
      <c r="N3838" s="147"/>
      <c r="O3838" s="141"/>
      <c r="P3838" s="140"/>
    </row>
    <row r="3839" spans="1:16" hidden="1" x14ac:dyDescent="0.35">
      <c r="A3839" s="149"/>
      <c r="B3839" s="143"/>
      <c r="C3839" s="133"/>
      <c r="D3839" s="133"/>
      <c r="E3839" s="145" t="s">
        <v>1118</v>
      </c>
      <c r="F3839" s="145">
        <v>314</v>
      </c>
      <c r="G3839" s="133"/>
      <c r="H3839" s="144"/>
      <c r="I3839" s="133"/>
      <c r="J3839" s="133"/>
      <c r="K3839" s="133"/>
      <c r="L3839" s="133"/>
      <c r="M3839" s="133"/>
      <c r="N3839" s="147"/>
      <c r="O3839" s="141"/>
      <c r="P3839" s="140"/>
    </row>
    <row r="3840" spans="1:16" hidden="1" x14ac:dyDescent="0.35">
      <c r="A3840" s="149"/>
      <c r="B3840" s="143"/>
      <c r="C3840" s="133"/>
      <c r="D3840" s="133"/>
      <c r="E3840" s="145"/>
      <c r="F3840" s="145"/>
      <c r="G3840" s="133"/>
      <c r="H3840" s="144"/>
      <c r="I3840" s="133"/>
      <c r="J3840" s="133"/>
      <c r="K3840" s="133"/>
      <c r="L3840" s="133"/>
      <c r="M3840" s="133"/>
      <c r="N3840" s="147"/>
      <c r="O3840" s="141"/>
      <c r="P3840" s="140"/>
    </row>
    <row r="3841" spans="1:16" hidden="1" x14ac:dyDescent="0.35">
      <c r="A3841" s="149">
        <v>284</v>
      </c>
      <c r="B3841" s="143">
        <v>46082</v>
      </c>
      <c r="C3841" s="378" t="s">
        <v>1407</v>
      </c>
      <c r="D3841" s="379" t="s">
        <v>2850</v>
      </c>
      <c r="E3841" s="145" t="s">
        <v>1118</v>
      </c>
      <c r="F3841" s="145">
        <v>2617.9</v>
      </c>
      <c r="G3841" s="133" t="s">
        <v>1034</v>
      </c>
      <c r="H3841" s="144" t="s">
        <v>1341</v>
      </c>
      <c r="I3841" s="133" t="s">
        <v>1092</v>
      </c>
      <c r="J3841" s="383" t="s">
        <v>2861</v>
      </c>
      <c r="K3841" s="143">
        <v>46082</v>
      </c>
      <c r="L3841" s="133" t="s">
        <v>1092</v>
      </c>
      <c r="M3841" s="133">
        <v>117.9</v>
      </c>
      <c r="N3841" s="147">
        <f>+F3841+F3842+F3843-M3841-M3842-M3843</f>
        <v>0</v>
      </c>
      <c r="O3841" s="141"/>
      <c r="P3841" s="140"/>
    </row>
    <row r="3842" spans="1:16" hidden="1" x14ac:dyDescent="0.35">
      <c r="A3842" s="149"/>
      <c r="B3842" s="143"/>
      <c r="C3842" s="133"/>
      <c r="D3842" s="133"/>
      <c r="E3842" s="145" t="s">
        <v>1075</v>
      </c>
      <c r="F3842" s="145">
        <v>541</v>
      </c>
      <c r="G3842" s="133" t="s">
        <v>1034</v>
      </c>
      <c r="H3842" s="144" t="s">
        <v>1341</v>
      </c>
      <c r="I3842" s="133" t="s">
        <v>1092</v>
      </c>
      <c r="J3842" s="388" t="s">
        <v>2892</v>
      </c>
      <c r="K3842" s="143">
        <v>46113</v>
      </c>
      <c r="L3842" s="133" t="s">
        <v>1092</v>
      </c>
      <c r="M3842" s="133">
        <v>6240</v>
      </c>
      <c r="N3842" s="147"/>
      <c r="O3842" s="141"/>
      <c r="P3842" s="140"/>
    </row>
    <row r="3843" spans="1:16" hidden="1" x14ac:dyDescent="0.35">
      <c r="A3843" s="149"/>
      <c r="B3843" s="143"/>
      <c r="C3843" s="133"/>
      <c r="D3843" s="133"/>
      <c r="E3843" s="145" t="s">
        <v>1067</v>
      </c>
      <c r="F3843" s="145">
        <v>3459</v>
      </c>
      <c r="G3843" s="133" t="s">
        <v>1034</v>
      </c>
      <c r="H3843" s="144" t="s">
        <v>1341</v>
      </c>
      <c r="I3843" s="133" t="s">
        <v>1092</v>
      </c>
      <c r="J3843" s="398" t="s">
        <v>2898</v>
      </c>
      <c r="K3843" s="143">
        <v>46113</v>
      </c>
      <c r="L3843" s="133" t="s">
        <v>1241</v>
      </c>
      <c r="M3843" s="133">
        <v>260</v>
      </c>
      <c r="N3843" s="147"/>
      <c r="O3843" s="141"/>
      <c r="P3843" s="140"/>
    </row>
    <row r="3844" spans="1:16" hidden="1" x14ac:dyDescent="0.35">
      <c r="A3844" s="149"/>
      <c r="B3844" s="143"/>
      <c r="C3844" s="133"/>
      <c r="D3844" s="133"/>
      <c r="E3844" s="145"/>
      <c r="F3844" s="145"/>
      <c r="G3844" s="133"/>
      <c r="H3844" s="144"/>
      <c r="I3844" s="133"/>
      <c r="J3844" s="133"/>
      <c r="K3844" s="133"/>
      <c r="L3844" s="133"/>
      <c r="M3844" s="133"/>
      <c r="N3844" s="147"/>
      <c r="O3844" s="141"/>
      <c r="P3844" s="140"/>
    </row>
    <row r="3845" spans="1:16" hidden="1" x14ac:dyDescent="0.35">
      <c r="A3845" s="149">
        <v>285</v>
      </c>
      <c r="B3845" s="143">
        <v>46082</v>
      </c>
      <c r="C3845" s="380" t="s">
        <v>1405</v>
      </c>
      <c r="D3845" s="381" t="s">
        <v>2854</v>
      </c>
      <c r="E3845" s="148" t="s">
        <v>1059</v>
      </c>
      <c r="F3845" s="145">
        <v>112000</v>
      </c>
      <c r="G3845" s="133" t="s">
        <v>1034</v>
      </c>
      <c r="H3845" s="144" t="s">
        <v>1341</v>
      </c>
      <c r="I3845" s="133" t="s">
        <v>1092</v>
      </c>
      <c r="J3845" s="383" t="s">
        <v>2861</v>
      </c>
      <c r="K3845" s="143">
        <v>46082</v>
      </c>
      <c r="L3845" s="133" t="s">
        <v>1092</v>
      </c>
      <c r="M3845" s="133">
        <v>5982.1</v>
      </c>
      <c r="N3845" s="147">
        <f>+F3845-M3845-M3846-M3847-M3848</f>
        <v>-7.2759576141834259E-12</v>
      </c>
      <c r="O3845" s="141"/>
      <c r="P3845" s="140"/>
    </row>
    <row r="3846" spans="1:16" hidden="1" x14ac:dyDescent="0.35">
      <c r="A3846" s="149"/>
      <c r="B3846" s="143"/>
      <c r="C3846" s="133"/>
      <c r="D3846" s="133"/>
      <c r="E3846" s="145"/>
      <c r="F3846" s="145"/>
      <c r="G3846" s="133" t="s">
        <v>1034</v>
      </c>
      <c r="H3846" s="144" t="s">
        <v>1341</v>
      </c>
      <c r="I3846" s="133" t="s">
        <v>1092</v>
      </c>
      <c r="J3846" s="388" t="s">
        <v>2892</v>
      </c>
      <c r="K3846" s="143">
        <v>46113</v>
      </c>
      <c r="L3846" s="133" t="s">
        <v>1092</v>
      </c>
      <c r="M3846" s="133">
        <v>38790</v>
      </c>
      <c r="N3846" s="147"/>
      <c r="O3846" s="141"/>
      <c r="P3846" s="140"/>
    </row>
    <row r="3847" spans="1:16" hidden="1" x14ac:dyDescent="0.35">
      <c r="A3847" s="149"/>
      <c r="B3847" s="143"/>
      <c r="C3847" s="133"/>
      <c r="D3847" s="133"/>
      <c r="E3847" s="145"/>
      <c r="F3847" s="145"/>
      <c r="G3847" s="133" t="s">
        <v>1034</v>
      </c>
      <c r="H3847" s="144" t="s">
        <v>1341</v>
      </c>
      <c r="I3847" s="133" t="s">
        <v>1092</v>
      </c>
      <c r="J3847" s="388" t="s">
        <v>2893</v>
      </c>
      <c r="K3847" s="143">
        <v>46113</v>
      </c>
      <c r="L3847" s="133" t="s">
        <v>1092</v>
      </c>
      <c r="M3847" s="133">
        <v>64251.9</v>
      </c>
      <c r="N3847" s="147"/>
      <c r="O3847" s="141"/>
      <c r="P3847" s="140"/>
    </row>
    <row r="3848" spans="1:16" hidden="1" x14ac:dyDescent="0.35">
      <c r="A3848" s="149"/>
      <c r="B3848" s="143"/>
      <c r="C3848" s="133"/>
      <c r="D3848" s="133"/>
      <c r="E3848" s="145"/>
      <c r="F3848" s="145"/>
      <c r="G3848" s="133" t="s">
        <v>1034</v>
      </c>
      <c r="H3848" s="144" t="s">
        <v>1341</v>
      </c>
      <c r="I3848" s="133" t="s">
        <v>1092</v>
      </c>
      <c r="J3848" s="398" t="s">
        <v>2898</v>
      </c>
      <c r="K3848" s="143">
        <v>46113</v>
      </c>
      <c r="L3848" s="133" t="s">
        <v>1241</v>
      </c>
      <c r="M3848" s="133">
        <v>2976</v>
      </c>
      <c r="N3848" s="147"/>
      <c r="O3848" s="141"/>
      <c r="P3848" s="140"/>
    </row>
    <row r="3849" spans="1:16" hidden="1" x14ac:dyDescent="0.35">
      <c r="A3849" s="149"/>
      <c r="B3849" s="143"/>
      <c r="C3849" s="133"/>
      <c r="D3849" s="133"/>
      <c r="E3849" s="145"/>
      <c r="F3849" s="145"/>
      <c r="G3849" s="133"/>
      <c r="H3849" s="144"/>
      <c r="I3849" s="133"/>
      <c r="J3849" s="388"/>
      <c r="K3849" s="143"/>
      <c r="L3849" s="133"/>
      <c r="M3849" s="133"/>
      <c r="N3849" s="147"/>
      <c r="O3849" s="141"/>
      <c r="P3849" s="140"/>
    </row>
    <row r="3850" spans="1:16" hidden="1" x14ac:dyDescent="0.35">
      <c r="A3850" s="149"/>
      <c r="B3850" s="143"/>
      <c r="C3850" s="133"/>
      <c r="D3850" s="133"/>
      <c r="E3850" s="145"/>
      <c r="F3850" s="145"/>
      <c r="G3850" s="133"/>
      <c r="H3850" s="144"/>
      <c r="I3850" s="133"/>
      <c r="J3850" s="388"/>
      <c r="K3850" s="143"/>
      <c r="L3850" s="133"/>
      <c r="M3850" s="133"/>
      <c r="N3850" s="147"/>
      <c r="O3850" s="141"/>
      <c r="P3850" s="140"/>
    </row>
    <row r="3851" spans="1:16" hidden="1" x14ac:dyDescent="0.35">
      <c r="A3851" s="149">
        <v>286</v>
      </c>
      <c r="B3851" s="143">
        <v>46082</v>
      </c>
      <c r="C3851" s="380" t="s">
        <v>1403</v>
      </c>
      <c r="D3851" s="381" t="s">
        <v>2854</v>
      </c>
      <c r="E3851" s="382" t="s">
        <v>1953</v>
      </c>
      <c r="F3851" s="145">
        <v>50</v>
      </c>
      <c r="G3851" s="133" t="s">
        <v>1034</v>
      </c>
      <c r="H3851" s="144" t="s">
        <v>1341</v>
      </c>
      <c r="I3851" s="133" t="s">
        <v>1092</v>
      </c>
      <c r="J3851" s="388" t="s">
        <v>2893</v>
      </c>
      <c r="K3851" s="143">
        <v>46113</v>
      </c>
      <c r="L3851" s="133" t="s">
        <v>1092</v>
      </c>
      <c r="M3851" s="133">
        <v>2677</v>
      </c>
      <c r="N3851" s="147">
        <f>+F3851+F3852+F3853-M3851-M3852</f>
        <v>0</v>
      </c>
      <c r="O3851" s="141"/>
      <c r="P3851" s="140"/>
    </row>
    <row r="3852" spans="1:16" hidden="1" x14ac:dyDescent="0.35">
      <c r="A3852" s="149"/>
      <c r="B3852" s="143"/>
      <c r="C3852" s="133"/>
      <c r="D3852" s="133"/>
      <c r="E3852" s="145" t="s">
        <v>1342</v>
      </c>
      <c r="F3852" s="145">
        <v>1508</v>
      </c>
      <c r="G3852" s="133" t="s">
        <v>1034</v>
      </c>
      <c r="H3852" s="144" t="s">
        <v>1341</v>
      </c>
      <c r="I3852" s="133" t="s">
        <v>1092</v>
      </c>
      <c r="J3852" s="398" t="s">
        <v>2898</v>
      </c>
      <c r="K3852" s="143">
        <v>46113</v>
      </c>
      <c r="L3852" s="133" t="s">
        <v>1241</v>
      </c>
      <c r="M3852" s="133">
        <v>69</v>
      </c>
      <c r="N3852" s="147"/>
      <c r="O3852" s="141"/>
      <c r="P3852" s="140"/>
    </row>
    <row r="3853" spans="1:16" hidden="1" x14ac:dyDescent="0.35">
      <c r="A3853" s="149"/>
      <c r="B3853" s="143"/>
      <c r="C3853" s="133"/>
      <c r="D3853" s="133"/>
      <c r="E3853" s="145" t="s">
        <v>1067</v>
      </c>
      <c r="F3853" s="145">
        <v>1188</v>
      </c>
      <c r="G3853" s="133"/>
      <c r="H3853" s="144"/>
      <c r="I3853" s="133"/>
      <c r="J3853" s="133"/>
      <c r="K3853" s="133"/>
      <c r="L3853" s="133"/>
      <c r="M3853" s="133"/>
      <c r="N3853" s="147"/>
      <c r="O3853" s="141"/>
      <c r="P3853" s="140"/>
    </row>
    <row r="3854" spans="1:16" hidden="1" x14ac:dyDescent="0.35">
      <c r="A3854" s="149"/>
      <c r="B3854" s="143"/>
      <c r="C3854" s="133"/>
      <c r="D3854" s="133"/>
      <c r="E3854" s="145"/>
      <c r="F3854" s="145"/>
      <c r="G3854" s="133"/>
      <c r="H3854" s="144"/>
      <c r="I3854" s="133"/>
      <c r="J3854" s="133"/>
      <c r="K3854" s="133"/>
      <c r="L3854" s="133"/>
      <c r="M3854" s="133"/>
      <c r="N3854" s="142"/>
      <c r="O3854" s="141"/>
      <c r="P3854" s="140"/>
    </row>
    <row r="3855" spans="1:16" hidden="1" x14ac:dyDescent="0.35">
      <c r="A3855" s="149">
        <v>287</v>
      </c>
      <c r="B3855" s="143">
        <v>46082</v>
      </c>
      <c r="C3855" s="380" t="s">
        <v>1400</v>
      </c>
      <c r="D3855" s="381" t="s">
        <v>2855</v>
      </c>
      <c r="E3855" s="148" t="s">
        <v>1059</v>
      </c>
      <c r="F3855" s="145">
        <v>112000</v>
      </c>
      <c r="G3855" s="133" t="s">
        <v>1034</v>
      </c>
      <c r="H3855" s="144" t="s">
        <v>1341</v>
      </c>
      <c r="I3855" s="133" t="s">
        <v>1092</v>
      </c>
      <c r="J3855" s="398" t="s">
        <v>2897</v>
      </c>
      <c r="K3855" s="143">
        <v>46113</v>
      </c>
      <c r="L3855" s="133" t="s">
        <v>1092</v>
      </c>
      <c r="M3855" s="133">
        <v>18905.259999999998</v>
      </c>
      <c r="N3855" s="147">
        <f>+F3855-M3855-M3856-M3857-M3858-M3859</f>
        <v>0</v>
      </c>
      <c r="O3855" s="141"/>
      <c r="P3855" s="140"/>
    </row>
    <row r="3856" spans="1:16" hidden="1" x14ac:dyDescent="0.35">
      <c r="A3856" s="149"/>
      <c r="B3856" s="143"/>
      <c r="C3856" s="380"/>
      <c r="D3856" s="381"/>
      <c r="E3856" s="148"/>
      <c r="F3856" s="145"/>
      <c r="G3856" s="133" t="s">
        <v>1034</v>
      </c>
      <c r="H3856" s="144" t="s">
        <v>1341</v>
      </c>
      <c r="I3856" s="133" t="s">
        <v>1092</v>
      </c>
      <c r="J3856" s="398" t="s">
        <v>2898</v>
      </c>
      <c r="K3856" s="143">
        <v>46113</v>
      </c>
      <c r="L3856" s="133" t="s">
        <v>1241</v>
      </c>
      <c r="M3856" s="398">
        <v>4158</v>
      </c>
      <c r="N3856" s="147"/>
      <c r="O3856" s="141"/>
      <c r="P3856" s="140"/>
    </row>
    <row r="3857" spans="1:16" hidden="1" x14ac:dyDescent="0.35">
      <c r="A3857" s="149"/>
      <c r="B3857" s="143"/>
      <c r="C3857" s="380"/>
      <c r="D3857" s="381"/>
      <c r="E3857" s="148"/>
      <c r="F3857" s="145"/>
      <c r="G3857" s="133" t="s">
        <v>1034</v>
      </c>
      <c r="H3857" s="144" t="s">
        <v>1341</v>
      </c>
      <c r="I3857" s="133" t="s">
        <v>1092</v>
      </c>
      <c r="J3857" s="407" t="s">
        <v>2912</v>
      </c>
      <c r="K3857" s="143">
        <v>46113</v>
      </c>
      <c r="L3857" s="133" t="s">
        <v>1092</v>
      </c>
      <c r="M3857" s="398">
        <v>57272.74</v>
      </c>
      <c r="N3857" s="147"/>
      <c r="O3857" s="141"/>
      <c r="P3857" s="140"/>
    </row>
    <row r="3858" spans="1:16" hidden="1" x14ac:dyDescent="0.35">
      <c r="A3858" s="149"/>
      <c r="B3858" s="143"/>
      <c r="C3858" s="380"/>
      <c r="D3858" s="381"/>
      <c r="E3858" s="148"/>
      <c r="F3858" s="145"/>
      <c r="G3858" s="133" t="s">
        <v>1034</v>
      </c>
      <c r="H3858" s="144" t="s">
        <v>1341</v>
      </c>
      <c r="I3858" s="133" t="s">
        <v>1092</v>
      </c>
      <c r="J3858" s="414" t="s">
        <v>2917</v>
      </c>
      <c r="K3858" s="143">
        <v>46113</v>
      </c>
      <c r="L3858" s="133" t="s">
        <v>1092</v>
      </c>
      <c r="M3858" s="398">
        <v>3990.76</v>
      </c>
      <c r="N3858" s="147"/>
      <c r="O3858" s="141"/>
      <c r="P3858" s="140"/>
    </row>
    <row r="3859" spans="1:16" hidden="1" x14ac:dyDescent="0.35">
      <c r="A3859" s="149"/>
      <c r="B3859" s="143"/>
      <c r="C3859" s="380"/>
      <c r="D3859" s="381"/>
      <c r="E3859" s="148"/>
      <c r="F3859" s="145"/>
      <c r="G3859" s="133" t="s">
        <v>1034</v>
      </c>
      <c r="H3859" s="144" t="s">
        <v>1341</v>
      </c>
      <c r="I3859" s="133" t="s">
        <v>1092</v>
      </c>
      <c r="J3859" s="416" t="s">
        <v>2924</v>
      </c>
      <c r="K3859" s="143">
        <v>46143</v>
      </c>
      <c r="L3859" s="133" t="s">
        <v>1092</v>
      </c>
      <c r="M3859" s="398">
        <v>27673.24</v>
      </c>
      <c r="N3859" s="147"/>
      <c r="O3859" s="141"/>
      <c r="P3859" s="140"/>
    </row>
    <row r="3860" spans="1:16" hidden="1" x14ac:dyDescent="0.35">
      <c r="A3860" s="149"/>
      <c r="B3860" s="143"/>
      <c r="C3860" s="380"/>
      <c r="D3860" s="381"/>
      <c r="E3860" s="148"/>
      <c r="F3860" s="145"/>
      <c r="G3860" s="133"/>
      <c r="H3860" s="144"/>
      <c r="I3860" s="133"/>
      <c r="J3860" s="388"/>
      <c r="K3860" s="143"/>
      <c r="L3860" s="133"/>
      <c r="M3860" s="398"/>
      <c r="N3860" s="147"/>
      <c r="O3860" s="141"/>
      <c r="P3860" s="140"/>
    </row>
    <row r="3861" spans="1:16" hidden="1" x14ac:dyDescent="0.35">
      <c r="A3861" s="149"/>
      <c r="B3861" s="143"/>
      <c r="C3861" s="133"/>
      <c r="D3861" s="133"/>
      <c r="E3861" s="145"/>
      <c r="F3861" s="145"/>
      <c r="G3861" s="133"/>
      <c r="H3861" s="144"/>
      <c r="I3861" s="133"/>
      <c r="J3861" s="133"/>
      <c r="K3861" s="133"/>
      <c r="L3861" s="133"/>
      <c r="M3861" s="397"/>
      <c r="N3861" s="147"/>
      <c r="O3861" s="141"/>
      <c r="P3861" s="140"/>
    </row>
    <row r="3862" spans="1:16" hidden="1" x14ac:dyDescent="0.35">
      <c r="A3862" s="149">
        <v>288</v>
      </c>
      <c r="B3862" s="143">
        <v>46082</v>
      </c>
      <c r="C3862" s="380" t="s">
        <v>1398</v>
      </c>
      <c r="D3862" s="381" t="s">
        <v>2855</v>
      </c>
      <c r="E3862" s="145" t="s">
        <v>1064</v>
      </c>
      <c r="F3862" s="145">
        <v>2707.2</v>
      </c>
      <c r="G3862" s="133" t="s">
        <v>1034</v>
      </c>
      <c r="H3862" s="144" t="s">
        <v>1341</v>
      </c>
      <c r="I3862" s="133" t="s">
        <v>1092</v>
      </c>
      <c r="J3862" s="388" t="s">
        <v>2893</v>
      </c>
      <c r="K3862" s="143">
        <v>46113</v>
      </c>
      <c r="L3862" s="133" t="s">
        <v>1092</v>
      </c>
      <c r="M3862" s="133">
        <v>10610.599999999999</v>
      </c>
      <c r="N3862" s="147">
        <f>+F3862+F3863+F3864+F3865-M3862-M3863</f>
        <v>0</v>
      </c>
      <c r="O3862" s="141"/>
      <c r="P3862" s="140"/>
    </row>
    <row r="3863" spans="1:16" hidden="1" x14ac:dyDescent="0.35">
      <c r="A3863" s="149"/>
      <c r="B3863" s="143"/>
      <c r="C3863" s="133"/>
      <c r="D3863" s="133"/>
      <c r="E3863" s="145" t="s">
        <v>1342</v>
      </c>
      <c r="F3863" s="145">
        <v>3421</v>
      </c>
      <c r="G3863" s="133" t="s">
        <v>1034</v>
      </c>
      <c r="H3863" s="144" t="s">
        <v>1341</v>
      </c>
      <c r="I3863" s="133" t="s">
        <v>1092</v>
      </c>
      <c r="J3863" s="398" t="s">
        <v>2898</v>
      </c>
      <c r="K3863" s="143">
        <v>46113</v>
      </c>
      <c r="L3863" s="133" t="s">
        <v>1241</v>
      </c>
      <c r="M3863" s="133">
        <v>289</v>
      </c>
      <c r="N3863" s="147"/>
      <c r="O3863" s="141"/>
      <c r="P3863" s="140"/>
    </row>
    <row r="3864" spans="1:16" hidden="1" x14ac:dyDescent="0.35">
      <c r="A3864" s="149"/>
      <c r="B3864" s="143"/>
      <c r="C3864" s="133"/>
      <c r="D3864" s="133"/>
      <c r="E3864" s="145" t="s">
        <v>1067</v>
      </c>
      <c r="F3864" s="145">
        <v>503</v>
      </c>
      <c r="G3864" s="133"/>
      <c r="H3864" s="144"/>
      <c r="I3864" s="133"/>
      <c r="J3864" s="133"/>
      <c r="K3864" s="133"/>
      <c r="L3864" s="133"/>
      <c r="M3864" s="133"/>
      <c r="N3864" s="147"/>
      <c r="O3864" s="141"/>
      <c r="P3864" s="140"/>
    </row>
    <row r="3865" spans="1:16" hidden="1" x14ac:dyDescent="0.35">
      <c r="A3865" s="149"/>
      <c r="B3865" s="143"/>
      <c r="C3865" s="133"/>
      <c r="D3865" s="133"/>
      <c r="E3865" s="145" t="s">
        <v>1075</v>
      </c>
      <c r="F3865" s="145">
        <v>4268.3999999999996</v>
      </c>
      <c r="G3865" s="133"/>
      <c r="H3865" s="144"/>
      <c r="I3865" s="133"/>
      <c r="J3865" s="133"/>
      <c r="K3865" s="133"/>
      <c r="L3865" s="133"/>
      <c r="M3865" s="133"/>
      <c r="N3865" s="147"/>
      <c r="O3865" s="141"/>
      <c r="P3865" s="140"/>
    </row>
    <row r="3866" spans="1:16" hidden="1" x14ac:dyDescent="0.35">
      <c r="A3866" s="149"/>
      <c r="B3866" s="143"/>
      <c r="C3866" s="133"/>
      <c r="D3866" s="133"/>
      <c r="E3866" s="145"/>
      <c r="F3866" s="145"/>
      <c r="G3866" s="133"/>
      <c r="H3866" s="144"/>
      <c r="I3866" s="133"/>
      <c r="J3866" s="133"/>
      <c r="K3866" s="133"/>
      <c r="L3866" s="133"/>
      <c r="M3866" s="133"/>
      <c r="N3866" s="147"/>
      <c r="O3866" s="141"/>
      <c r="P3866" s="140"/>
    </row>
    <row r="3867" spans="1:16" hidden="1" x14ac:dyDescent="0.35">
      <c r="A3867" s="149">
        <v>289</v>
      </c>
      <c r="B3867" s="143">
        <v>46082</v>
      </c>
      <c r="C3867" s="380" t="s">
        <v>1396</v>
      </c>
      <c r="D3867" s="381" t="s">
        <v>2856</v>
      </c>
      <c r="E3867" s="145" t="s">
        <v>1064</v>
      </c>
      <c r="F3867" s="145">
        <v>426</v>
      </c>
      <c r="G3867" s="133" t="s">
        <v>1034</v>
      </c>
      <c r="H3867" s="144" t="s">
        <v>1341</v>
      </c>
      <c r="I3867" s="133" t="s">
        <v>1092</v>
      </c>
      <c r="J3867" s="398" t="s">
        <v>2897</v>
      </c>
      <c r="K3867" s="143">
        <v>46113</v>
      </c>
      <c r="L3867" s="133" t="s">
        <v>1092</v>
      </c>
      <c r="M3867" s="133">
        <v>6916.9000000000005</v>
      </c>
      <c r="N3867" s="147">
        <f>+F3867+F3869+F3868-M3867-M3868</f>
        <v>0</v>
      </c>
      <c r="O3867" s="141"/>
      <c r="P3867" s="140"/>
    </row>
    <row r="3868" spans="1:16" hidden="1" x14ac:dyDescent="0.35">
      <c r="A3868" s="149"/>
      <c r="B3868" s="143"/>
      <c r="C3868" s="133"/>
      <c r="D3868" s="133"/>
      <c r="E3868" s="145" t="s">
        <v>1067</v>
      </c>
      <c r="F3868" s="145">
        <v>1880.3</v>
      </c>
      <c r="G3868" s="133" t="s">
        <v>1034</v>
      </c>
      <c r="H3868" s="144" t="s">
        <v>1341</v>
      </c>
      <c r="I3868" s="133" t="s">
        <v>1092</v>
      </c>
      <c r="J3868" s="398" t="s">
        <v>2898</v>
      </c>
      <c r="K3868" s="143">
        <v>46113</v>
      </c>
      <c r="L3868" s="133" t="s">
        <v>1241</v>
      </c>
      <c r="M3868" s="133">
        <v>178</v>
      </c>
      <c r="N3868" s="142"/>
      <c r="O3868" s="141"/>
      <c r="P3868" s="140"/>
    </row>
    <row r="3869" spans="1:16" hidden="1" x14ac:dyDescent="0.35">
      <c r="A3869" s="149"/>
      <c r="B3869" s="143"/>
      <c r="C3869" s="133"/>
      <c r="D3869" s="133"/>
      <c r="E3869" s="145" t="s">
        <v>1075</v>
      </c>
      <c r="F3869" s="145">
        <v>4788.6000000000004</v>
      </c>
      <c r="G3869" s="133"/>
      <c r="H3869" s="144"/>
      <c r="I3869" s="133"/>
      <c r="J3869" s="133"/>
      <c r="K3869" s="133"/>
      <c r="L3869" s="133"/>
      <c r="M3869" s="133"/>
      <c r="N3869" s="142"/>
      <c r="O3869" s="141"/>
      <c r="P3869" s="140"/>
    </row>
    <row r="3870" spans="1:16" hidden="1" x14ac:dyDescent="0.35">
      <c r="A3870" s="149"/>
      <c r="B3870" s="143"/>
      <c r="C3870" s="133"/>
      <c r="D3870" s="133"/>
      <c r="E3870" s="145"/>
      <c r="F3870" s="145"/>
      <c r="G3870" s="133"/>
      <c r="H3870" s="144"/>
      <c r="I3870" s="133"/>
      <c r="J3870" s="133"/>
      <c r="K3870" s="133"/>
      <c r="L3870" s="133"/>
      <c r="M3870" s="133"/>
      <c r="N3870" s="142"/>
      <c r="O3870" s="141"/>
      <c r="P3870" s="140"/>
    </row>
    <row r="3871" spans="1:16" hidden="1" x14ac:dyDescent="0.35">
      <c r="A3871" s="149">
        <v>290</v>
      </c>
      <c r="B3871" s="143">
        <v>46082</v>
      </c>
      <c r="C3871" s="384" t="s">
        <v>1393</v>
      </c>
      <c r="D3871" s="385" t="s">
        <v>2862</v>
      </c>
      <c r="E3871" s="145" t="s">
        <v>1118</v>
      </c>
      <c r="F3871" s="145">
        <v>6312.84</v>
      </c>
      <c r="G3871" s="133" t="s">
        <v>1034</v>
      </c>
      <c r="H3871" s="144" t="s">
        <v>1341</v>
      </c>
      <c r="I3871" s="133" t="s">
        <v>1092</v>
      </c>
      <c r="J3871" s="388" t="s">
        <v>2893</v>
      </c>
      <c r="K3871" s="143">
        <v>46113</v>
      </c>
      <c r="L3871" s="133" t="s">
        <v>1092</v>
      </c>
      <c r="M3871" s="133">
        <v>2929.7</v>
      </c>
      <c r="N3871" s="147">
        <f>+F3871+F3873+F3872+F3874-M3871-M3872-M3873-M3874</f>
        <v>0</v>
      </c>
      <c r="O3871" s="141"/>
      <c r="P3871" s="140"/>
    </row>
    <row r="3872" spans="1:16" hidden="1" x14ac:dyDescent="0.35">
      <c r="A3872" s="149"/>
      <c r="B3872" s="143"/>
      <c r="C3872" s="133"/>
      <c r="D3872" s="133"/>
      <c r="E3872" s="145" t="s">
        <v>1067</v>
      </c>
      <c r="F3872" s="145">
        <v>1251</v>
      </c>
      <c r="G3872" s="133" t="s">
        <v>1034</v>
      </c>
      <c r="H3872" s="144" t="s">
        <v>1341</v>
      </c>
      <c r="I3872" s="133" t="s">
        <v>1092</v>
      </c>
      <c r="J3872" s="398" t="s">
        <v>2897</v>
      </c>
      <c r="K3872" s="143">
        <v>46113</v>
      </c>
      <c r="L3872" s="133" t="s">
        <v>1092</v>
      </c>
      <c r="M3872" s="133">
        <v>1312.84</v>
      </c>
      <c r="N3872" s="142"/>
      <c r="O3872" s="141"/>
      <c r="P3872" s="140"/>
    </row>
    <row r="3873" spans="1:16" hidden="1" x14ac:dyDescent="0.35">
      <c r="A3873" s="149"/>
      <c r="B3873" s="143"/>
      <c r="C3873" s="133"/>
      <c r="D3873" s="133"/>
      <c r="E3873" s="145" t="s">
        <v>1075</v>
      </c>
      <c r="F3873" s="145">
        <v>2506</v>
      </c>
      <c r="G3873" s="133" t="s">
        <v>1034</v>
      </c>
      <c r="H3873" s="144" t="s">
        <v>1341</v>
      </c>
      <c r="I3873" s="133" t="s">
        <v>1092</v>
      </c>
      <c r="J3873" s="398" t="s">
        <v>2898</v>
      </c>
      <c r="K3873" s="143">
        <v>46113</v>
      </c>
      <c r="L3873" s="133" t="s">
        <v>1241</v>
      </c>
      <c r="M3873" s="133">
        <v>406</v>
      </c>
      <c r="N3873" s="142"/>
      <c r="O3873" s="141"/>
      <c r="P3873" s="140"/>
    </row>
    <row r="3874" spans="1:16" hidden="1" x14ac:dyDescent="0.35">
      <c r="A3874" s="149"/>
      <c r="B3874" s="143"/>
      <c r="C3874" s="133"/>
      <c r="D3874" s="133"/>
      <c r="E3874" s="145" t="s">
        <v>1118</v>
      </c>
      <c r="F3874" s="145">
        <v>2929.7</v>
      </c>
      <c r="G3874" s="133" t="s">
        <v>1034</v>
      </c>
      <c r="H3874" s="144" t="s">
        <v>1341</v>
      </c>
      <c r="I3874" s="133" t="s">
        <v>1092</v>
      </c>
      <c r="J3874" s="407" t="s">
        <v>2912</v>
      </c>
      <c r="K3874" s="143">
        <v>46113</v>
      </c>
      <c r="L3874" s="133" t="s">
        <v>1092</v>
      </c>
      <c r="M3874" s="133">
        <v>8351</v>
      </c>
      <c r="N3874" s="142"/>
      <c r="O3874" s="141"/>
      <c r="P3874" s="140"/>
    </row>
    <row r="3875" spans="1:16" hidden="1" x14ac:dyDescent="0.35">
      <c r="A3875" s="149"/>
      <c r="B3875" s="143"/>
      <c r="C3875" s="133"/>
      <c r="D3875" s="133"/>
      <c r="E3875" s="145"/>
      <c r="F3875" s="145"/>
      <c r="G3875" s="133"/>
      <c r="H3875" s="144"/>
      <c r="I3875" s="133"/>
      <c r="J3875" s="133"/>
      <c r="K3875" s="133"/>
      <c r="L3875" s="133"/>
      <c r="M3875" s="133"/>
      <c r="N3875" s="142"/>
      <c r="O3875" s="141"/>
      <c r="P3875" s="140"/>
    </row>
    <row r="3876" spans="1:16" hidden="1" x14ac:dyDescent="0.35">
      <c r="A3876" s="257"/>
      <c r="B3876" s="152"/>
      <c r="C3876" s="151"/>
      <c r="D3876" s="151"/>
      <c r="E3876" s="154"/>
      <c r="F3876" s="154"/>
      <c r="G3876" s="151"/>
      <c r="H3876" s="153"/>
      <c r="I3876" s="151"/>
      <c r="J3876" s="151"/>
      <c r="K3876" s="151"/>
      <c r="L3876" s="151"/>
      <c r="M3876" s="151"/>
      <c r="N3876" s="150"/>
      <c r="O3876" s="141"/>
      <c r="P3876" s="140"/>
    </row>
    <row r="3877" spans="1:16" x14ac:dyDescent="0.35">
      <c r="A3877" s="149"/>
      <c r="B3877" s="143"/>
      <c r="C3877" s="133"/>
      <c r="D3877" s="133"/>
      <c r="E3877" s="145"/>
      <c r="F3877" s="145"/>
      <c r="G3877" s="133"/>
      <c r="H3877" s="144"/>
      <c r="I3877" s="133"/>
      <c r="J3877" s="133"/>
      <c r="K3877" s="133"/>
      <c r="L3877" s="133"/>
      <c r="M3877" s="133"/>
      <c r="N3877" s="142"/>
      <c r="O3877" s="141"/>
      <c r="P3877" s="140"/>
    </row>
    <row r="3878" spans="1:16" x14ac:dyDescent="0.35">
      <c r="A3878" s="149">
        <v>1</v>
      </c>
      <c r="B3878" s="143">
        <v>46113</v>
      </c>
      <c r="C3878" s="386" t="s">
        <v>1375</v>
      </c>
      <c r="D3878" s="387" t="s">
        <v>2881</v>
      </c>
      <c r="E3878" s="145" t="s">
        <v>1064</v>
      </c>
      <c r="F3878" s="145">
        <v>1257</v>
      </c>
      <c r="G3878" s="133" t="s">
        <v>1034</v>
      </c>
      <c r="H3878" s="144" t="s">
        <v>1341</v>
      </c>
      <c r="I3878" s="133" t="s">
        <v>1092</v>
      </c>
      <c r="J3878" s="416" t="s">
        <v>2924</v>
      </c>
      <c r="K3878" s="143">
        <v>46143</v>
      </c>
      <c r="L3878" s="133" t="s">
        <v>1092</v>
      </c>
      <c r="M3878" s="133">
        <v>6610.2</v>
      </c>
      <c r="N3878" s="147">
        <f>+F3878+F3879-M3878-M3879</f>
        <v>0</v>
      </c>
      <c r="O3878" s="141"/>
      <c r="P3878" s="159"/>
    </row>
    <row r="3879" spans="1:16" x14ac:dyDescent="0.35">
      <c r="A3879" s="149"/>
      <c r="B3879" s="143"/>
      <c r="C3879" s="133"/>
      <c r="D3879" s="133"/>
      <c r="E3879" s="145" t="s">
        <v>1075</v>
      </c>
      <c r="F3879" s="145">
        <v>5566.2</v>
      </c>
      <c r="G3879" s="133"/>
      <c r="H3879" s="144" t="s">
        <v>1341</v>
      </c>
      <c r="I3879" s="133" t="s">
        <v>1092</v>
      </c>
      <c r="J3879" s="433" t="s">
        <v>2952</v>
      </c>
      <c r="K3879" s="143">
        <v>46143</v>
      </c>
      <c r="L3879" s="133" t="s">
        <v>1241</v>
      </c>
      <c r="M3879" s="133">
        <v>213</v>
      </c>
      <c r="N3879" s="147"/>
      <c r="O3879" s="141"/>
      <c r="P3879" s="140"/>
    </row>
    <row r="3880" spans="1:16" x14ac:dyDescent="0.35">
      <c r="A3880" s="149"/>
      <c r="B3880" s="143"/>
      <c r="C3880" s="133"/>
      <c r="D3880" s="133"/>
      <c r="E3880" s="145"/>
      <c r="F3880" s="145"/>
      <c r="G3880" s="133"/>
      <c r="H3880" s="144"/>
      <c r="I3880" s="133"/>
      <c r="J3880" s="133"/>
      <c r="K3880" s="133"/>
      <c r="L3880" s="133"/>
      <c r="M3880" s="133"/>
      <c r="N3880" s="147"/>
      <c r="O3880" s="141"/>
      <c r="P3880" s="140"/>
    </row>
    <row r="3881" spans="1:16" x14ac:dyDescent="0.35">
      <c r="A3881" s="149">
        <v>2</v>
      </c>
      <c r="B3881" s="143">
        <v>46113</v>
      </c>
      <c r="C3881" s="388" t="s">
        <v>1373</v>
      </c>
      <c r="D3881" s="387" t="s">
        <v>2882</v>
      </c>
      <c r="E3881" s="145" t="s">
        <v>1342</v>
      </c>
      <c r="F3881" s="145">
        <v>2892</v>
      </c>
      <c r="G3881" s="133" t="s">
        <v>1034</v>
      </c>
      <c r="H3881" s="144" t="s">
        <v>1341</v>
      </c>
      <c r="I3881" s="133" t="s">
        <v>1092</v>
      </c>
      <c r="J3881" s="416" t="s">
        <v>2924</v>
      </c>
      <c r="K3881" s="143">
        <v>46143</v>
      </c>
      <c r="L3881" s="133" t="s">
        <v>1092</v>
      </c>
      <c r="M3881" s="133">
        <v>4536</v>
      </c>
      <c r="N3881" s="147">
        <f>+F3881+F3882-M3881-M3882</f>
        <v>0</v>
      </c>
      <c r="O3881" s="141"/>
      <c r="P3881" s="159"/>
    </row>
    <row r="3882" spans="1:16" x14ac:dyDescent="0.35">
      <c r="A3882" s="149"/>
      <c r="B3882" s="143"/>
      <c r="C3882" s="133"/>
      <c r="D3882" s="133"/>
      <c r="E3882" s="145" t="s">
        <v>1067</v>
      </c>
      <c r="F3882" s="145">
        <v>1751</v>
      </c>
      <c r="G3882" s="133"/>
      <c r="H3882" s="144" t="s">
        <v>1341</v>
      </c>
      <c r="I3882" s="133" t="s">
        <v>1092</v>
      </c>
      <c r="J3882" s="433" t="s">
        <v>2952</v>
      </c>
      <c r="K3882" s="143">
        <v>46143</v>
      </c>
      <c r="L3882" s="133" t="s">
        <v>1241</v>
      </c>
      <c r="M3882" s="133">
        <v>107</v>
      </c>
      <c r="N3882" s="147"/>
      <c r="O3882" s="141"/>
      <c r="P3882" s="140"/>
    </row>
    <row r="3883" spans="1:16" x14ac:dyDescent="0.35">
      <c r="A3883" s="149"/>
      <c r="B3883" s="143"/>
      <c r="C3883" s="133"/>
      <c r="D3883" s="133"/>
      <c r="E3883" s="145"/>
      <c r="F3883" s="145"/>
      <c r="G3883" s="133"/>
      <c r="H3883" s="144"/>
      <c r="I3883" s="133"/>
      <c r="J3883" s="133"/>
      <c r="K3883" s="133"/>
      <c r="L3883" s="133"/>
      <c r="M3883" s="133"/>
      <c r="N3883" s="147"/>
      <c r="O3883" s="141"/>
      <c r="P3883" s="140"/>
    </row>
    <row r="3884" spans="1:16" x14ac:dyDescent="0.35">
      <c r="A3884" s="149">
        <v>3</v>
      </c>
      <c r="B3884" s="143">
        <v>46113</v>
      </c>
      <c r="C3884" s="388" t="s">
        <v>1371</v>
      </c>
      <c r="D3884" s="387" t="s">
        <v>2883</v>
      </c>
      <c r="E3884" s="145" t="s">
        <v>1342</v>
      </c>
      <c r="F3884" s="145">
        <v>3205</v>
      </c>
      <c r="G3884" s="133" t="s">
        <v>1034</v>
      </c>
      <c r="H3884" s="144" t="s">
        <v>1341</v>
      </c>
      <c r="I3884" s="133" t="s">
        <v>1092</v>
      </c>
      <c r="J3884" s="416" t="s">
        <v>2924</v>
      </c>
      <c r="K3884" s="143">
        <v>46143</v>
      </c>
      <c r="L3884" s="133" t="s">
        <v>1092</v>
      </c>
      <c r="M3884" s="133">
        <v>8508.2999999999993</v>
      </c>
      <c r="N3884" s="147">
        <f>+F3884+F3885+F3886+F3887+F3888-M3884-M3885</f>
        <v>0</v>
      </c>
      <c r="O3884" s="141"/>
      <c r="P3884" s="159"/>
    </row>
    <row r="3885" spans="1:16" x14ac:dyDescent="0.35">
      <c r="A3885" s="149"/>
      <c r="B3885" s="143"/>
      <c r="C3885" s="133"/>
      <c r="D3885" s="133"/>
      <c r="E3885" s="145" t="s">
        <v>1067</v>
      </c>
      <c r="F3885" s="145">
        <v>969</v>
      </c>
      <c r="G3885" s="133"/>
      <c r="H3885" s="144" t="s">
        <v>1341</v>
      </c>
      <c r="I3885" s="133" t="s">
        <v>1092</v>
      </c>
      <c r="J3885" s="433" t="s">
        <v>2952</v>
      </c>
      <c r="K3885" s="143">
        <v>46143</v>
      </c>
      <c r="L3885" s="133" t="s">
        <v>1241</v>
      </c>
      <c r="M3885" s="133">
        <v>297</v>
      </c>
      <c r="N3885" s="147"/>
      <c r="O3885" s="141"/>
      <c r="P3885" s="140"/>
    </row>
    <row r="3886" spans="1:16" x14ac:dyDescent="0.35">
      <c r="A3886" s="149"/>
      <c r="B3886" s="143"/>
      <c r="C3886" s="133"/>
      <c r="D3886" s="133"/>
      <c r="E3886" s="145" t="s">
        <v>1064</v>
      </c>
      <c r="F3886" s="145">
        <v>2059.6</v>
      </c>
      <c r="G3886" s="133"/>
      <c r="H3886" s="144"/>
      <c r="I3886" s="133"/>
      <c r="J3886" s="133"/>
      <c r="K3886" s="133"/>
      <c r="L3886" s="133"/>
      <c r="M3886" s="133"/>
      <c r="N3886" s="147"/>
      <c r="O3886" s="141"/>
      <c r="P3886" s="140"/>
    </row>
    <row r="3887" spans="1:16" x14ac:dyDescent="0.35">
      <c r="A3887" s="149"/>
      <c r="B3887" s="143"/>
      <c r="C3887" s="133"/>
      <c r="D3887" s="133"/>
      <c r="E3887" s="145" t="s">
        <v>1075</v>
      </c>
      <c r="F3887" s="145">
        <v>2221.6999999999998</v>
      </c>
      <c r="G3887" s="133"/>
      <c r="H3887" s="144"/>
      <c r="I3887" s="133"/>
      <c r="J3887" s="133"/>
      <c r="K3887" s="133"/>
      <c r="L3887" s="133"/>
      <c r="M3887" s="133"/>
      <c r="N3887" s="147"/>
      <c r="O3887" s="141"/>
      <c r="P3887" s="140"/>
    </row>
    <row r="3888" spans="1:16" x14ac:dyDescent="0.35">
      <c r="A3888" s="149"/>
      <c r="B3888" s="143"/>
      <c r="C3888" s="133"/>
      <c r="D3888" s="133"/>
      <c r="E3888" s="389" t="s">
        <v>1953</v>
      </c>
      <c r="F3888" s="145">
        <v>350</v>
      </c>
      <c r="G3888" s="133"/>
      <c r="H3888" s="144"/>
      <c r="I3888" s="133"/>
      <c r="J3888" s="133"/>
      <c r="K3888" s="133"/>
      <c r="L3888" s="133"/>
      <c r="M3888" s="133"/>
      <c r="N3888" s="147"/>
      <c r="O3888" s="141"/>
      <c r="P3888" s="140"/>
    </row>
    <row r="3889" spans="1:16" x14ac:dyDescent="0.35">
      <c r="A3889" s="149"/>
      <c r="B3889" s="143"/>
      <c r="C3889" s="133"/>
      <c r="D3889" s="133"/>
      <c r="E3889" s="145"/>
      <c r="F3889" s="145"/>
      <c r="G3889" s="133"/>
      <c r="H3889" s="144"/>
      <c r="I3889" s="133"/>
      <c r="J3889" s="133"/>
      <c r="K3889" s="133"/>
      <c r="L3889" s="133"/>
      <c r="M3889" s="133"/>
      <c r="N3889" s="147"/>
      <c r="O3889" s="141"/>
      <c r="P3889" s="140"/>
    </row>
    <row r="3890" spans="1:16" x14ac:dyDescent="0.35">
      <c r="A3890" s="149">
        <v>4</v>
      </c>
      <c r="B3890" s="143">
        <v>46113</v>
      </c>
      <c r="C3890" s="388" t="s">
        <v>1368</v>
      </c>
      <c r="D3890" s="387" t="s">
        <v>2884</v>
      </c>
      <c r="E3890" s="145" t="s">
        <v>1342</v>
      </c>
      <c r="F3890" s="145">
        <v>860</v>
      </c>
      <c r="G3890" s="133" t="s">
        <v>1034</v>
      </c>
      <c r="H3890" s="144" t="s">
        <v>1341</v>
      </c>
      <c r="I3890" s="133" t="s">
        <v>1092</v>
      </c>
      <c r="J3890" s="416" t="s">
        <v>2924</v>
      </c>
      <c r="K3890" s="143">
        <v>46143</v>
      </c>
      <c r="L3890" s="133" t="s">
        <v>1092</v>
      </c>
      <c r="M3890" s="133">
        <v>4610</v>
      </c>
      <c r="N3890" s="147">
        <f>+F3890+F3891+F3892-M3890-M3891</f>
        <v>0</v>
      </c>
      <c r="O3890" s="141"/>
      <c r="P3890" s="159"/>
    </row>
    <row r="3891" spans="1:16" x14ac:dyDescent="0.35">
      <c r="A3891" s="149"/>
      <c r="B3891" s="143"/>
      <c r="C3891" s="133"/>
      <c r="D3891" s="133"/>
      <c r="E3891" s="145" t="s">
        <v>1067</v>
      </c>
      <c r="F3891" s="145">
        <v>1946</v>
      </c>
      <c r="G3891" s="133"/>
      <c r="H3891" s="144" t="s">
        <v>1341</v>
      </c>
      <c r="I3891" s="133" t="s">
        <v>1092</v>
      </c>
      <c r="J3891" s="433" t="s">
        <v>2952</v>
      </c>
      <c r="K3891" s="143">
        <v>46143</v>
      </c>
      <c r="L3891" s="133" t="s">
        <v>1241</v>
      </c>
      <c r="M3891" s="133">
        <v>98</v>
      </c>
      <c r="N3891" s="147"/>
      <c r="O3891" s="141"/>
      <c r="P3891" s="140"/>
    </row>
    <row r="3892" spans="1:16" x14ac:dyDescent="0.35">
      <c r="A3892" s="149"/>
      <c r="B3892" s="143"/>
      <c r="C3892" s="133"/>
      <c r="D3892" s="133"/>
      <c r="E3892" s="145" t="s">
        <v>1075</v>
      </c>
      <c r="F3892" s="145">
        <v>1902</v>
      </c>
      <c r="G3892" s="133"/>
      <c r="H3892" s="144"/>
      <c r="I3892" s="133"/>
      <c r="J3892" s="133"/>
      <c r="K3892" s="133"/>
      <c r="L3892" s="133"/>
      <c r="M3892" s="133"/>
      <c r="N3892" s="147"/>
      <c r="O3892" s="141"/>
      <c r="P3892" s="140"/>
    </row>
    <row r="3893" spans="1:16" x14ac:dyDescent="0.35">
      <c r="A3893" s="149"/>
      <c r="B3893" s="143"/>
      <c r="C3893" s="133"/>
      <c r="D3893" s="133"/>
      <c r="E3893" s="145"/>
      <c r="F3893" s="145"/>
      <c r="G3893" s="133"/>
      <c r="H3893" s="144"/>
      <c r="I3893" s="133"/>
      <c r="J3893" s="133"/>
      <c r="K3893" s="133"/>
      <c r="L3893" s="133"/>
      <c r="M3893" s="133"/>
      <c r="N3893" s="147"/>
      <c r="O3893" s="141"/>
      <c r="P3893" s="140"/>
    </row>
    <row r="3894" spans="1:16" x14ac:dyDescent="0.35">
      <c r="A3894" s="149">
        <v>5</v>
      </c>
      <c r="B3894" s="143">
        <v>46113</v>
      </c>
      <c r="C3894" s="388" t="s">
        <v>1365</v>
      </c>
      <c r="D3894" s="387" t="s">
        <v>2887</v>
      </c>
      <c r="E3894" s="145" t="s">
        <v>1342</v>
      </c>
      <c r="F3894" s="145">
        <v>635</v>
      </c>
      <c r="G3894" s="133" t="s">
        <v>1034</v>
      </c>
      <c r="H3894" s="144" t="s">
        <v>1341</v>
      </c>
      <c r="I3894" s="133" t="s">
        <v>1092</v>
      </c>
      <c r="J3894" s="416" t="s">
        <v>2924</v>
      </c>
      <c r="K3894" s="143">
        <v>46143</v>
      </c>
      <c r="L3894" s="133" t="s">
        <v>1092</v>
      </c>
      <c r="M3894" s="133">
        <v>12284.5</v>
      </c>
      <c r="N3894" s="147">
        <f>+F3894+F3895+F3896+F3897-M3894-M3895</f>
        <v>0</v>
      </c>
      <c r="O3894" s="141"/>
      <c r="P3894" s="159"/>
    </row>
    <row r="3895" spans="1:16" x14ac:dyDescent="0.35">
      <c r="A3895" s="149"/>
      <c r="B3895" s="143"/>
      <c r="C3895" s="133"/>
      <c r="D3895" s="133"/>
      <c r="E3895" s="145" t="s">
        <v>1067</v>
      </c>
      <c r="F3895" s="145">
        <v>3788.8</v>
      </c>
      <c r="G3895" s="133"/>
      <c r="H3895" s="144" t="s">
        <v>1341</v>
      </c>
      <c r="I3895" s="133" t="s">
        <v>1092</v>
      </c>
      <c r="J3895" s="433" t="s">
        <v>2952</v>
      </c>
      <c r="K3895" s="143">
        <v>46143</v>
      </c>
      <c r="L3895" s="133" t="s">
        <v>1241</v>
      </c>
      <c r="M3895" s="133">
        <v>389</v>
      </c>
      <c r="N3895" s="147"/>
      <c r="O3895" s="141"/>
      <c r="P3895" s="140"/>
    </row>
    <row r="3896" spans="1:16" x14ac:dyDescent="0.35">
      <c r="A3896" s="149"/>
      <c r="B3896" s="143"/>
      <c r="C3896" s="133"/>
      <c r="D3896" s="133"/>
      <c r="E3896" s="145" t="s">
        <v>1075</v>
      </c>
      <c r="F3896" s="145">
        <v>5529</v>
      </c>
      <c r="G3896" s="133"/>
      <c r="H3896" s="144"/>
      <c r="I3896" s="133"/>
      <c r="J3896" s="133"/>
      <c r="K3896" s="133"/>
      <c r="L3896" s="133"/>
      <c r="M3896" s="133"/>
      <c r="N3896" s="147"/>
      <c r="O3896" s="141"/>
      <c r="P3896" s="140"/>
    </row>
    <row r="3897" spans="1:16" x14ac:dyDescent="0.35">
      <c r="A3897" s="149"/>
      <c r="B3897" s="143"/>
      <c r="C3897" s="133"/>
      <c r="D3897" s="133"/>
      <c r="E3897" s="145" t="s">
        <v>1118</v>
      </c>
      <c r="F3897" s="145">
        <v>2720.7</v>
      </c>
      <c r="G3897" s="133"/>
      <c r="H3897" s="144"/>
      <c r="I3897" s="133"/>
      <c r="J3897" s="133"/>
      <c r="K3897" s="133"/>
      <c r="L3897" s="133"/>
      <c r="M3897" s="133"/>
      <c r="N3897" s="147"/>
      <c r="O3897" s="141"/>
      <c r="P3897" s="140"/>
    </row>
    <row r="3898" spans="1:16" x14ac:dyDescent="0.35">
      <c r="A3898" s="149"/>
      <c r="B3898" s="143"/>
      <c r="C3898" s="133"/>
      <c r="D3898" s="133"/>
      <c r="E3898" s="145"/>
      <c r="F3898" s="145"/>
      <c r="G3898" s="133"/>
      <c r="H3898" s="144"/>
      <c r="I3898" s="133"/>
      <c r="J3898" s="133"/>
      <c r="K3898" s="133"/>
      <c r="L3898" s="133"/>
      <c r="M3898" s="133"/>
      <c r="N3898" s="147"/>
      <c r="O3898" s="141"/>
      <c r="P3898" s="140"/>
    </row>
    <row r="3899" spans="1:16" x14ac:dyDescent="0.35">
      <c r="A3899" s="149">
        <v>6</v>
      </c>
      <c r="B3899" s="143">
        <v>46113</v>
      </c>
      <c r="C3899" s="388" t="s">
        <v>1363</v>
      </c>
      <c r="D3899" s="387" t="s">
        <v>2886</v>
      </c>
      <c r="E3899" s="389" t="s">
        <v>1953</v>
      </c>
      <c r="F3899" s="145">
        <v>50</v>
      </c>
      <c r="G3899" s="133" t="s">
        <v>1034</v>
      </c>
      <c r="H3899" s="144" t="s">
        <v>1341</v>
      </c>
      <c r="I3899" s="133" t="s">
        <v>1092</v>
      </c>
      <c r="J3899" s="428" t="s">
        <v>2947</v>
      </c>
      <c r="K3899" s="143">
        <v>46143</v>
      </c>
      <c r="L3899" s="133" t="s">
        <v>1092</v>
      </c>
      <c r="M3899" s="133">
        <v>2680</v>
      </c>
      <c r="N3899" s="147">
        <f>+F3899+F3900+F3901+F3902-M3899-M3900</f>
        <v>0</v>
      </c>
      <c r="O3899" s="141"/>
      <c r="P3899" s="159"/>
    </row>
    <row r="3900" spans="1:16" x14ac:dyDescent="0.35">
      <c r="A3900" s="149"/>
      <c r="B3900" s="143"/>
      <c r="C3900" s="133"/>
      <c r="D3900" s="133"/>
      <c r="E3900" s="389" t="s">
        <v>1953</v>
      </c>
      <c r="F3900" s="145">
        <v>50</v>
      </c>
      <c r="G3900" s="133"/>
      <c r="H3900" s="144" t="s">
        <v>1341</v>
      </c>
      <c r="I3900" s="133" t="s">
        <v>1092</v>
      </c>
      <c r="J3900" s="433" t="s">
        <v>2952</v>
      </c>
      <c r="K3900" s="143">
        <v>46143</v>
      </c>
      <c r="L3900" s="133" t="s">
        <v>1241</v>
      </c>
      <c r="M3900" s="133">
        <v>55</v>
      </c>
      <c r="N3900" s="147"/>
      <c r="O3900" s="141"/>
      <c r="P3900" s="140"/>
    </row>
    <row r="3901" spans="1:16" x14ac:dyDescent="0.35">
      <c r="A3901" s="149"/>
      <c r="B3901" s="143"/>
      <c r="C3901" s="133"/>
      <c r="D3901" s="133"/>
      <c r="E3901" s="145" t="s">
        <v>1067</v>
      </c>
      <c r="F3901" s="145">
        <v>1825</v>
      </c>
      <c r="G3901" s="133"/>
      <c r="H3901" s="144"/>
      <c r="I3901" s="133"/>
      <c r="J3901" s="133"/>
      <c r="K3901" s="133"/>
      <c r="L3901" s="133"/>
      <c r="M3901" s="133"/>
      <c r="N3901" s="147"/>
      <c r="O3901" s="141"/>
      <c r="P3901" s="140"/>
    </row>
    <row r="3902" spans="1:16" x14ac:dyDescent="0.35">
      <c r="A3902" s="149"/>
      <c r="B3902" s="143"/>
      <c r="C3902" s="133"/>
      <c r="D3902" s="133"/>
      <c r="E3902" s="145" t="s">
        <v>1342</v>
      </c>
      <c r="F3902" s="145">
        <v>810</v>
      </c>
      <c r="G3902" s="133"/>
      <c r="H3902" s="144"/>
      <c r="I3902" s="133"/>
      <c r="J3902" s="133"/>
      <c r="K3902" s="133"/>
      <c r="L3902" s="133"/>
      <c r="M3902" s="133"/>
      <c r="N3902" s="147"/>
      <c r="O3902" s="141"/>
      <c r="P3902" s="140"/>
    </row>
    <row r="3903" spans="1:16" x14ac:dyDescent="0.35">
      <c r="A3903" s="149"/>
      <c r="B3903" s="143"/>
      <c r="C3903" s="133"/>
      <c r="D3903" s="133"/>
      <c r="E3903" s="145"/>
      <c r="F3903" s="145"/>
      <c r="G3903" s="133"/>
      <c r="H3903" s="144"/>
      <c r="I3903" s="133"/>
      <c r="J3903" s="133"/>
      <c r="K3903" s="133"/>
      <c r="L3903" s="133"/>
      <c r="M3903" s="133"/>
      <c r="N3903" s="147"/>
      <c r="O3903" s="141"/>
      <c r="P3903" s="140"/>
    </row>
    <row r="3904" spans="1:16" x14ac:dyDescent="0.35">
      <c r="A3904" s="149">
        <v>7</v>
      </c>
      <c r="B3904" s="143">
        <v>46113</v>
      </c>
      <c r="C3904" s="388" t="s">
        <v>1360</v>
      </c>
      <c r="D3904" s="387" t="s">
        <v>2888</v>
      </c>
      <c r="E3904" s="145" t="s">
        <v>1118</v>
      </c>
      <c r="F3904" s="145">
        <v>1495</v>
      </c>
      <c r="G3904" s="133" t="s">
        <v>1034</v>
      </c>
      <c r="H3904" s="144" t="s">
        <v>1341</v>
      </c>
      <c r="I3904" s="133" t="s">
        <v>1092</v>
      </c>
      <c r="J3904" s="428" t="s">
        <v>2947</v>
      </c>
      <c r="K3904" s="143">
        <v>46143</v>
      </c>
      <c r="L3904" s="133" t="s">
        <v>1092</v>
      </c>
      <c r="M3904" s="133">
        <v>1495</v>
      </c>
      <c r="N3904" s="147">
        <f>+F3904-M3904</f>
        <v>0</v>
      </c>
      <c r="O3904" s="141"/>
      <c r="P3904" s="140"/>
    </row>
    <row r="3905" spans="1:16" x14ac:dyDescent="0.35">
      <c r="A3905" s="149"/>
      <c r="B3905" s="143"/>
      <c r="C3905" s="133"/>
      <c r="D3905" s="133"/>
      <c r="E3905" s="389"/>
      <c r="F3905" s="145"/>
      <c r="G3905" s="133"/>
      <c r="H3905" s="144"/>
      <c r="I3905" s="133"/>
      <c r="J3905" s="133"/>
      <c r="K3905" s="133"/>
      <c r="L3905" s="133"/>
      <c r="M3905" s="133"/>
      <c r="N3905" s="147"/>
      <c r="O3905" s="141"/>
      <c r="P3905" s="140"/>
    </row>
    <row r="3906" spans="1:16" x14ac:dyDescent="0.35">
      <c r="A3906" s="149">
        <v>8</v>
      </c>
      <c r="B3906" s="143">
        <v>46113</v>
      </c>
      <c r="C3906" s="388" t="s">
        <v>1358</v>
      </c>
      <c r="D3906" s="387" t="s">
        <v>2889</v>
      </c>
      <c r="E3906" s="145" t="s">
        <v>1342</v>
      </c>
      <c r="F3906" s="145">
        <v>740</v>
      </c>
      <c r="G3906" s="133" t="s">
        <v>1034</v>
      </c>
      <c r="H3906" s="144" t="s">
        <v>1341</v>
      </c>
      <c r="I3906" s="133" t="s">
        <v>1092</v>
      </c>
      <c r="J3906" s="428" t="s">
        <v>2947</v>
      </c>
      <c r="K3906" s="143">
        <v>46143</v>
      </c>
      <c r="L3906" s="133" t="s">
        <v>1092</v>
      </c>
      <c r="M3906" s="133">
        <v>10066.200000000001</v>
      </c>
      <c r="N3906" s="147">
        <f>+F3906+F3907+F3908+F3909+F3910-M3906-M3907</f>
        <v>0</v>
      </c>
      <c r="O3906" s="141"/>
      <c r="P3906" s="159"/>
    </row>
    <row r="3907" spans="1:16" x14ac:dyDescent="0.35">
      <c r="A3907" s="149"/>
      <c r="B3907" s="143"/>
      <c r="C3907" s="133"/>
      <c r="D3907" s="133"/>
      <c r="E3907" s="145" t="s">
        <v>1067</v>
      </c>
      <c r="F3907" s="145">
        <v>2745</v>
      </c>
      <c r="G3907" s="133"/>
      <c r="H3907" s="144" t="s">
        <v>1341</v>
      </c>
      <c r="I3907" s="133" t="s">
        <v>1092</v>
      </c>
      <c r="J3907" s="433" t="s">
        <v>2952</v>
      </c>
      <c r="K3907" s="143">
        <v>46143</v>
      </c>
      <c r="L3907" s="133" t="s">
        <v>1241</v>
      </c>
      <c r="M3907" s="133">
        <v>345</v>
      </c>
      <c r="N3907" s="147"/>
      <c r="O3907" s="141"/>
      <c r="P3907" s="140"/>
    </row>
    <row r="3908" spans="1:16" x14ac:dyDescent="0.35">
      <c r="A3908" s="149"/>
      <c r="B3908" s="143"/>
      <c r="C3908" s="133"/>
      <c r="D3908" s="133"/>
      <c r="E3908" s="389" t="s">
        <v>1089</v>
      </c>
      <c r="F3908" s="145">
        <v>2000</v>
      </c>
      <c r="G3908" s="133"/>
      <c r="H3908" s="144"/>
      <c r="I3908" s="133"/>
      <c r="J3908" s="133"/>
      <c r="K3908" s="133"/>
      <c r="L3908" s="133"/>
      <c r="M3908" s="133"/>
      <c r="N3908" s="147"/>
      <c r="O3908" s="141"/>
      <c r="P3908" s="140"/>
    </row>
    <row r="3909" spans="1:16" x14ac:dyDescent="0.35">
      <c r="A3909" s="149"/>
      <c r="B3909" s="143"/>
      <c r="C3909" s="133"/>
      <c r="D3909" s="133"/>
      <c r="E3909" s="145" t="s">
        <v>1075</v>
      </c>
      <c r="F3909" s="145">
        <v>4901.7</v>
      </c>
      <c r="G3909" s="133"/>
      <c r="H3909" s="144"/>
      <c r="I3909" s="133"/>
      <c r="J3909" s="133"/>
      <c r="K3909" s="133"/>
      <c r="L3909" s="133"/>
      <c r="M3909" s="133"/>
      <c r="N3909" s="147"/>
      <c r="O3909" s="141"/>
      <c r="P3909" s="140"/>
    </row>
    <row r="3910" spans="1:16" x14ac:dyDescent="0.35">
      <c r="A3910" s="149"/>
      <c r="B3910" s="143"/>
      <c r="C3910" s="133"/>
      <c r="D3910" s="133"/>
      <c r="E3910" s="145" t="s">
        <v>1075</v>
      </c>
      <c r="F3910" s="145">
        <v>24.5</v>
      </c>
      <c r="G3910" s="133"/>
      <c r="H3910" s="144"/>
      <c r="I3910" s="133"/>
      <c r="J3910" s="133"/>
      <c r="K3910" s="133"/>
      <c r="L3910" s="133"/>
      <c r="M3910" s="133"/>
      <c r="N3910" s="147"/>
      <c r="O3910" s="141"/>
      <c r="P3910" s="140"/>
    </row>
    <row r="3911" spans="1:16" x14ac:dyDescent="0.35">
      <c r="A3911" s="149"/>
      <c r="B3911" s="143"/>
      <c r="C3911" s="133"/>
      <c r="D3911" s="133"/>
      <c r="E3911" s="145"/>
      <c r="F3911" s="145"/>
      <c r="G3911" s="133"/>
      <c r="H3911" s="144"/>
      <c r="I3911" s="133"/>
      <c r="J3911" s="133"/>
      <c r="K3911" s="133"/>
      <c r="L3911" s="133"/>
      <c r="M3911" s="133"/>
      <c r="N3911" s="147"/>
      <c r="O3911" s="141"/>
      <c r="P3911" s="140"/>
    </row>
    <row r="3912" spans="1:16" x14ac:dyDescent="0.35">
      <c r="A3912" s="149">
        <v>9</v>
      </c>
      <c r="B3912" s="143">
        <v>46113</v>
      </c>
      <c r="C3912" s="388" t="s">
        <v>1356</v>
      </c>
      <c r="D3912" s="387" t="s">
        <v>2890</v>
      </c>
      <c r="E3912" s="145" t="s">
        <v>1342</v>
      </c>
      <c r="F3912" s="145">
        <v>1070</v>
      </c>
      <c r="G3912" s="133" t="s">
        <v>1034</v>
      </c>
      <c r="H3912" s="144" t="s">
        <v>1341</v>
      </c>
      <c r="I3912" s="133" t="s">
        <v>1092</v>
      </c>
      <c r="J3912" s="428" t="s">
        <v>2947</v>
      </c>
      <c r="K3912" s="143">
        <v>46143</v>
      </c>
      <c r="L3912" s="133" t="s">
        <v>1092</v>
      </c>
      <c r="M3912" s="133">
        <v>7091.6</v>
      </c>
      <c r="N3912" s="147">
        <f>+F3912+F3913+F3914+F3915-M3912-M3913</f>
        <v>0</v>
      </c>
      <c r="O3912" s="141"/>
      <c r="P3912" s="159"/>
    </row>
    <row r="3913" spans="1:16" x14ac:dyDescent="0.35">
      <c r="A3913" s="149"/>
      <c r="B3913" s="143"/>
      <c r="C3913" s="133"/>
      <c r="D3913" s="133"/>
      <c r="E3913" s="145" t="s">
        <v>1067</v>
      </c>
      <c r="F3913" s="145">
        <v>2455</v>
      </c>
      <c r="G3913" s="133"/>
      <c r="H3913" s="144" t="s">
        <v>1341</v>
      </c>
      <c r="I3913" s="133" t="s">
        <v>1092</v>
      </c>
      <c r="J3913" s="433" t="s">
        <v>2952</v>
      </c>
      <c r="K3913" s="143">
        <v>46143</v>
      </c>
      <c r="L3913" s="133" t="s">
        <v>1241</v>
      </c>
      <c r="M3913" s="133">
        <v>199</v>
      </c>
      <c r="N3913" s="147"/>
      <c r="O3913" s="141"/>
      <c r="P3913" s="140"/>
    </row>
    <row r="3914" spans="1:16" x14ac:dyDescent="0.35">
      <c r="A3914" s="149"/>
      <c r="B3914" s="143"/>
      <c r="C3914" s="133"/>
      <c r="D3914" s="133"/>
      <c r="E3914" s="389" t="s">
        <v>1089</v>
      </c>
      <c r="F3914" s="145">
        <v>1000</v>
      </c>
      <c r="G3914" s="133"/>
      <c r="H3914" s="144"/>
      <c r="I3914" s="133"/>
      <c r="J3914" s="133"/>
      <c r="K3914" s="133"/>
      <c r="L3914" s="133"/>
      <c r="M3914" s="133"/>
      <c r="N3914" s="147"/>
      <c r="O3914" s="141"/>
      <c r="P3914" s="140"/>
    </row>
    <row r="3915" spans="1:16" x14ac:dyDescent="0.35">
      <c r="A3915" s="149"/>
      <c r="B3915" s="143"/>
      <c r="C3915" s="133"/>
      <c r="D3915" s="133"/>
      <c r="E3915" s="145" t="s">
        <v>1118</v>
      </c>
      <c r="F3915" s="145">
        <v>2765.6</v>
      </c>
      <c r="G3915" s="133"/>
      <c r="H3915" s="144"/>
      <c r="I3915" s="133"/>
      <c r="J3915" s="133"/>
      <c r="K3915" s="133"/>
      <c r="L3915" s="133"/>
      <c r="M3915" s="133"/>
      <c r="N3915" s="147"/>
      <c r="O3915" s="141"/>
      <c r="P3915" s="140"/>
    </row>
    <row r="3916" spans="1:16" x14ac:dyDescent="0.35">
      <c r="A3916" s="149"/>
      <c r="B3916" s="143"/>
      <c r="C3916" s="133"/>
      <c r="D3916" s="133"/>
      <c r="E3916" s="145"/>
      <c r="F3916" s="145"/>
      <c r="G3916" s="133"/>
      <c r="H3916" s="144"/>
      <c r="I3916" s="133"/>
      <c r="J3916" s="133"/>
      <c r="K3916" s="133"/>
      <c r="L3916" s="133"/>
      <c r="M3916" s="133"/>
      <c r="N3916" s="147"/>
      <c r="O3916" s="141"/>
      <c r="P3916" s="140"/>
    </row>
    <row r="3917" spans="1:16" x14ac:dyDescent="0.35">
      <c r="A3917" s="149">
        <v>10</v>
      </c>
      <c r="B3917" s="143">
        <v>46113</v>
      </c>
      <c r="C3917" s="391" t="s">
        <v>1354</v>
      </c>
      <c r="D3917" s="392" t="s">
        <v>2894</v>
      </c>
      <c r="E3917" s="145" t="s">
        <v>1342</v>
      </c>
      <c r="F3917" s="145">
        <v>1652</v>
      </c>
      <c r="G3917" s="133" t="s">
        <v>1034</v>
      </c>
      <c r="H3917" s="144" t="s">
        <v>1341</v>
      </c>
      <c r="I3917" s="133" t="s">
        <v>1092</v>
      </c>
      <c r="J3917" s="428" t="s">
        <v>2947</v>
      </c>
      <c r="K3917" s="143">
        <v>46143</v>
      </c>
      <c r="L3917" s="133" t="s">
        <v>1092</v>
      </c>
      <c r="M3917" s="133">
        <v>8345.33</v>
      </c>
      <c r="N3917" s="147">
        <f>+F3917+F3918+F3919+F3920+F3921-M3917-M3918</f>
        <v>-6.8212102632969618E-13</v>
      </c>
      <c r="O3917" s="141"/>
      <c r="P3917" s="159"/>
    </row>
    <row r="3918" spans="1:16" x14ac:dyDescent="0.35">
      <c r="A3918" s="149"/>
      <c r="B3918" s="143"/>
      <c r="C3918" s="133"/>
      <c r="D3918" s="133"/>
      <c r="E3918" s="145" t="s">
        <v>1067</v>
      </c>
      <c r="F3918" s="145">
        <v>1044</v>
      </c>
      <c r="G3918" s="133"/>
      <c r="H3918" s="144" t="s">
        <v>1341</v>
      </c>
      <c r="I3918" s="133" t="s">
        <v>1092</v>
      </c>
      <c r="J3918" s="433" t="s">
        <v>2952</v>
      </c>
      <c r="K3918" s="143">
        <v>46143</v>
      </c>
      <c r="L3918" s="133" t="s">
        <v>1241</v>
      </c>
      <c r="M3918" s="133">
        <v>268.97000000000003</v>
      </c>
      <c r="N3918" s="147"/>
      <c r="O3918" s="141"/>
      <c r="P3918" s="140"/>
    </row>
    <row r="3919" spans="1:16" x14ac:dyDescent="0.35">
      <c r="A3919" s="149"/>
      <c r="B3919" s="143"/>
      <c r="C3919" s="133"/>
      <c r="D3919" s="133"/>
      <c r="E3919" s="393" t="s">
        <v>1071</v>
      </c>
      <c r="F3919" s="145">
        <v>21</v>
      </c>
      <c r="G3919" s="133"/>
      <c r="H3919" s="144"/>
      <c r="I3919" s="133"/>
      <c r="J3919" s="133"/>
      <c r="K3919" s="133"/>
      <c r="L3919" s="133"/>
      <c r="M3919" s="133"/>
      <c r="N3919" s="147"/>
      <c r="O3919" s="141"/>
      <c r="P3919" s="140"/>
    </row>
    <row r="3920" spans="1:16" x14ac:dyDescent="0.35">
      <c r="A3920" s="149"/>
      <c r="B3920" s="143"/>
      <c r="C3920" s="133"/>
      <c r="D3920" s="133"/>
      <c r="E3920" s="145" t="s">
        <v>1075</v>
      </c>
      <c r="F3920" s="145">
        <v>1075.3</v>
      </c>
      <c r="G3920" s="133"/>
      <c r="H3920" s="144"/>
      <c r="I3920" s="133"/>
      <c r="J3920" s="133"/>
      <c r="K3920" s="133"/>
      <c r="L3920" s="133"/>
      <c r="M3920" s="133"/>
      <c r="N3920" s="147"/>
      <c r="O3920" s="141"/>
      <c r="P3920" s="140"/>
    </row>
    <row r="3921" spans="1:16" x14ac:dyDescent="0.35">
      <c r="A3921" s="149"/>
      <c r="B3921" s="143"/>
      <c r="C3921" s="133"/>
      <c r="D3921" s="133"/>
      <c r="E3921" s="145" t="s">
        <v>1075</v>
      </c>
      <c r="F3921" s="145">
        <v>4822</v>
      </c>
      <c r="G3921" s="133"/>
      <c r="H3921" s="144"/>
      <c r="I3921" s="133"/>
      <c r="J3921" s="133"/>
      <c r="K3921" s="133"/>
      <c r="L3921" s="133"/>
      <c r="M3921" s="133"/>
      <c r="N3921" s="147"/>
      <c r="O3921" s="141"/>
      <c r="P3921" s="140"/>
    </row>
    <row r="3922" spans="1:16" x14ac:dyDescent="0.35">
      <c r="A3922" s="149"/>
      <c r="B3922" s="143"/>
      <c r="C3922" s="133"/>
      <c r="D3922" s="133"/>
      <c r="E3922" s="145"/>
      <c r="F3922" s="145"/>
      <c r="G3922" s="133"/>
      <c r="H3922" s="144"/>
      <c r="I3922" s="133"/>
      <c r="J3922" s="133"/>
      <c r="K3922" s="133"/>
      <c r="L3922" s="133"/>
      <c r="M3922" s="133"/>
      <c r="N3922" s="147"/>
      <c r="O3922" s="141"/>
      <c r="P3922" s="140"/>
    </row>
    <row r="3923" spans="1:16" x14ac:dyDescent="0.35">
      <c r="A3923" s="149">
        <v>11</v>
      </c>
      <c r="B3923" s="143">
        <v>46113</v>
      </c>
      <c r="C3923" s="391" t="s">
        <v>1352</v>
      </c>
      <c r="D3923" s="392" t="s">
        <v>2894</v>
      </c>
      <c r="E3923" s="148" t="s">
        <v>1059</v>
      </c>
      <c r="F3923" s="145">
        <v>112000</v>
      </c>
      <c r="G3923" s="133" t="s">
        <v>1034</v>
      </c>
      <c r="H3923" s="144" t="s">
        <v>1341</v>
      </c>
      <c r="I3923" s="133" t="s">
        <v>1092</v>
      </c>
      <c r="J3923" s="416" t="s">
        <v>2924</v>
      </c>
      <c r="K3923" s="143">
        <v>46143</v>
      </c>
      <c r="L3923" s="133" t="s">
        <v>1092</v>
      </c>
      <c r="M3923" s="133">
        <v>11867.76</v>
      </c>
      <c r="N3923" s="147">
        <f>+F3923-M3923-M3924-M3925-M3926-M3927-M3928</f>
        <v>1.2732925824820995E-11</v>
      </c>
      <c r="O3923" s="205"/>
      <c r="P3923" s="140"/>
    </row>
    <row r="3924" spans="1:16" x14ac:dyDescent="0.35">
      <c r="A3924" s="149"/>
      <c r="B3924" s="143"/>
      <c r="C3924" s="133"/>
      <c r="D3924" s="133"/>
      <c r="E3924" s="145"/>
      <c r="F3924" s="145"/>
      <c r="G3924" s="133" t="s">
        <v>1034</v>
      </c>
      <c r="H3924" s="144" t="s">
        <v>1341</v>
      </c>
      <c r="I3924" s="133" t="s">
        <v>1092</v>
      </c>
      <c r="J3924" s="428" t="s">
        <v>2947</v>
      </c>
      <c r="K3924" s="143">
        <v>46143</v>
      </c>
      <c r="L3924" s="133" t="s">
        <v>1092</v>
      </c>
      <c r="M3924" s="133">
        <v>14803.87</v>
      </c>
      <c r="N3924" s="142"/>
      <c r="O3924" s="141"/>
      <c r="P3924" s="140"/>
    </row>
    <row r="3925" spans="1:16" x14ac:dyDescent="0.35">
      <c r="A3925" s="149"/>
      <c r="B3925" s="143"/>
      <c r="C3925" s="133"/>
      <c r="D3925" s="133"/>
      <c r="E3925" s="145"/>
      <c r="F3925" s="145"/>
      <c r="G3925" s="133" t="s">
        <v>1034</v>
      </c>
      <c r="H3925" s="144" t="s">
        <v>1341</v>
      </c>
      <c r="I3925" s="133" t="s">
        <v>1092</v>
      </c>
      <c r="J3925" s="433" t="s">
        <v>2949</v>
      </c>
      <c r="K3925" s="143">
        <v>46143</v>
      </c>
      <c r="L3925" s="133" t="s">
        <v>1092</v>
      </c>
      <c r="M3925" s="133">
        <v>60262.7</v>
      </c>
      <c r="N3925" s="142"/>
      <c r="O3925" s="141"/>
      <c r="P3925" s="140"/>
    </row>
    <row r="3926" spans="1:16" x14ac:dyDescent="0.35">
      <c r="A3926" s="149"/>
      <c r="B3926" s="143"/>
      <c r="C3926" s="133"/>
      <c r="D3926" s="133"/>
      <c r="E3926" s="145"/>
      <c r="F3926" s="145"/>
      <c r="G3926" s="133" t="s">
        <v>1034</v>
      </c>
      <c r="H3926" s="144" t="s">
        <v>1341</v>
      </c>
      <c r="I3926" s="133" t="s">
        <v>1092</v>
      </c>
      <c r="J3926" s="433" t="s">
        <v>2951</v>
      </c>
      <c r="K3926" s="143">
        <v>46143</v>
      </c>
      <c r="L3926" s="133" t="s">
        <v>1092</v>
      </c>
      <c r="M3926" s="133">
        <v>15684.4</v>
      </c>
      <c r="N3926" s="142"/>
      <c r="O3926" s="141"/>
      <c r="P3926" s="140"/>
    </row>
    <row r="3927" spans="1:16" x14ac:dyDescent="0.35">
      <c r="A3927" s="149"/>
      <c r="B3927" s="143"/>
      <c r="C3927" s="133"/>
      <c r="D3927" s="133"/>
      <c r="E3927" s="145"/>
      <c r="F3927" s="145"/>
      <c r="G3927" s="133" t="s">
        <v>1034</v>
      </c>
      <c r="H3927" s="144" t="s">
        <v>1341</v>
      </c>
      <c r="I3927" s="133" t="s">
        <v>1092</v>
      </c>
      <c r="J3927" s="433" t="s">
        <v>2952</v>
      </c>
      <c r="K3927" s="143">
        <v>46143</v>
      </c>
      <c r="L3927" s="133" t="s">
        <v>1241</v>
      </c>
      <c r="M3927" s="133">
        <v>4381</v>
      </c>
      <c r="N3927" s="142"/>
      <c r="O3927" s="141"/>
      <c r="P3927" s="140"/>
    </row>
    <row r="3928" spans="1:16" x14ac:dyDescent="0.35">
      <c r="A3928" s="149"/>
      <c r="B3928" s="143"/>
      <c r="C3928" s="133"/>
      <c r="D3928" s="133"/>
      <c r="E3928" s="145"/>
      <c r="F3928" s="145"/>
      <c r="G3928" s="133" t="s">
        <v>1034</v>
      </c>
      <c r="H3928" s="144" t="s">
        <v>1341</v>
      </c>
      <c r="I3928" s="133" t="s">
        <v>1092</v>
      </c>
      <c r="J3928" s="438" t="s">
        <v>2976</v>
      </c>
      <c r="K3928" s="143">
        <v>46174</v>
      </c>
      <c r="L3928" s="133" t="s">
        <v>1092</v>
      </c>
      <c r="M3928" s="133">
        <v>5000.2700000000004</v>
      </c>
      <c r="N3928" s="142"/>
      <c r="O3928" s="141"/>
      <c r="P3928" s="140"/>
    </row>
    <row r="3929" spans="1:16" x14ac:dyDescent="0.35">
      <c r="A3929" s="149"/>
      <c r="B3929" s="143"/>
      <c r="C3929" s="133"/>
      <c r="D3929" s="133"/>
      <c r="E3929" s="145"/>
      <c r="F3929" s="145"/>
      <c r="G3929" s="133"/>
      <c r="H3929" s="144"/>
      <c r="I3929" s="133"/>
      <c r="J3929" s="428"/>
      <c r="K3929" s="143"/>
      <c r="L3929" s="133"/>
      <c r="M3929" s="133"/>
      <c r="N3929" s="142"/>
      <c r="O3929" s="141"/>
      <c r="P3929" s="140"/>
    </row>
    <row r="3930" spans="1:16" x14ac:dyDescent="0.35">
      <c r="A3930" s="149">
        <v>12</v>
      </c>
      <c r="B3930" s="143">
        <v>46113</v>
      </c>
      <c r="C3930" s="394" t="s">
        <v>1350</v>
      </c>
      <c r="D3930" s="395" t="s">
        <v>2895</v>
      </c>
      <c r="E3930" s="148" t="s">
        <v>1059</v>
      </c>
      <c r="F3930" s="145">
        <v>84000</v>
      </c>
      <c r="G3930" s="133" t="s">
        <v>1034</v>
      </c>
      <c r="H3930" s="144" t="s">
        <v>1341</v>
      </c>
      <c r="I3930" s="133" t="s">
        <v>1092</v>
      </c>
      <c r="J3930" s="438" t="s">
        <v>2976</v>
      </c>
      <c r="K3930" s="143">
        <v>46174</v>
      </c>
      <c r="L3930" s="133" t="s">
        <v>1092</v>
      </c>
      <c r="M3930" s="133">
        <v>25433.729999999901</v>
      </c>
      <c r="N3930" s="147">
        <f>+F3930-M3930-M3931-M3932-M3933</f>
        <v>1.0186340659856796E-10</v>
      </c>
      <c r="O3930" s="141"/>
      <c r="P3930" s="140"/>
    </row>
    <row r="3931" spans="1:16" x14ac:dyDescent="0.35">
      <c r="A3931" s="149"/>
      <c r="B3931" s="143"/>
      <c r="C3931" s="394"/>
      <c r="D3931" s="395"/>
      <c r="E3931" s="148"/>
      <c r="F3931" s="145"/>
      <c r="G3931" s="133" t="s">
        <v>1034</v>
      </c>
      <c r="H3931" s="144" t="s">
        <v>1341</v>
      </c>
      <c r="I3931" s="133" t="s">
        <v>1092</v>
      </c>
      <c r="J3931" s="442" t="s">
        <v>2982</v>
      </c>
      <c r="K3931" s="143">
        <v>46174</v>
      </c>
      <c r="L3931" s="133" t="s">
        <v>1092</v>
      </c>
      <c r="M3931" s="133">
        <v>30106.1</v>
      </c>
      <c r="N3931" s="147"/>
      <c r="O3931" s="141"/>
      <c r="P3931" s="140"/>
    </row>
    <row r="3932" spans="1:16" x14ac:dyDescent="0.35">
      <c r="A3932" s="149"/>
      <c r="B3932" s="143"/>
      <c r="C3932" s="394"/>
      <c r="D3932" s="395"/>
      <c r="E3932" s="148"/>
      <c r="F3932" s="145"/>
      <c r="G3932" s="133" t="s">
        <v>1034</v>
      </c>
      <c r="H3932" s="144" t="s">
        <v>1341</v>
      </c>
      <c r="I3932" s="133" t="s">
        <v>1092</v>
      </c>
      <c r="J3932" s="453" t="s">
        <v>2989</v>
      </c>
      <c r="K3932" s="143">
        <v>46174</v>
      </c>
      <c r="L3932" s="133" t="s">
        <v>1092</v>
      </c>
      <c r="M3932" s="133">
        <v>25225.17</v>
      </c>
      <c r="N3932" s="147"/>
      <c r="O3932" s="141"/>
      <c r="P3932" s="140"/>
    </row>
    <row r="3933" spans="1:16" x14ac:dyDescent="0.35">
      <c r="A3933" s="149"/>
      <c r="B3933" s="143"/>
      <c r="C3933" s="394"/>
      <c r="D3933" s="395"/>
      <c r="E3933" s="148"/>
      <c r="F3933" s="145"/>
      <c r="G3933" s="133" t="s">
        <v>1034</v>
      </c>
      <c r="H3933" s="144" t="s">
        <v>1341</v>
      </c>
      <c r="I3933" s="133" t="s">
        <v>1092</v>
      </c>
      <c r="J3933" s="339" t="s">
        <v>3007</v>
      </c>
      <c r="K3933" s="143">
        <v>46174</v>
      </c>
      <c r="L3933" s="133" t="s">
        <v>1241</v>
      </c>
      <c r="M3933" s="133">
        <v>3235</v>
      </c>
      <c r="N3933" s="147"/>
      <c r="O3933" s="141"/>
      <c r="P3933" s="140"/>
    </row>
    <row r="3934" spans="1:16" x14ac:dyDescent="0.35">
      <c r="A3934" s="149"/>
      <c r="B3934" s="143"/>
      <c r="C3934" s="133"/>
      <c r="D3934" s="133"/>
      <c r="E3934" s="145"/>
      <c r="F3934" s="145"/>
      <c r="G3934" s="133"/>
      <c r="H3934" s="144"/>
      <c r="I3934" s="133"/>
      <c r="J3934" s="133"/>
      <c r="K3934" s="133"/>
      <c r="L3934" s="133"/>
      <c r="M3934" s="133"/>
      <c r="N3934" s="142"/>
      <c r="O3934" s="141"/>
      <c r="P3934" s="140"/>
    </row>
    <row r="3935" spans="1:16" x14ac:dyDescent="0.35">
      <c r="A3935" s="149">
        <v>13</v>
      </c>
      <c r="B3935" s="143">
        <v>46113</v>
      </c>
      <c r="C3935" s="394" t="s">
        <v>1349</v>
      </c>
      <c r="D3935" s="395" t="s">
        <v>2895</v>
      </c>
      <c r="E3935" s="396" t="s">
        <v>1067</v>
      </c>
      <c r="F3935" s="145">
        <v>2087</v>
      </c>
      <c r="G3935" s="133" t="s">
        <v>1034</v>
      </c>
      <c r="H3935" s="144" t="s">
        <v>1341</v>
      </c>
      <c r="I3935" s="133" t="s">
        <v>1092</v>
      </c>
      <c r="J3935" s="433" t="s">
        <v>2949</v>
      </c>
      <c r="K3935" s="143">
        <v>46143</v>
      </c>
      <c r="L3935" s="133" t="s">
        <v>1092</v>
      </c>
      <c r="M3935" s="133">
        <v>2087</v>
      </c>
      <c r="N3935" s="147">
        <f>+F3935-M3935</f>
        <v>0</v>
      </c>
      <c r="O3935" s="141"/>
      <c r="P3935" s="140"/>
    </row>
    <row r="3936" spans="1:16" x14ac:dyDescent="0.35">
      <c r="A3936" s="149"/>
      <c r="B3936" s="143"/>
      <c r="C3936" s="133"/>
      <c r="D3936" s="133"/>
      <c r="E3936" s="145"/>
      <c r="F3936" s="145"/>
      <c r="G3936" s="133"/>
      <c r="H3936" s="144"/>
      <c r="I3936" s="133"/>
      <c r="J3936" s="133"/>
      <c r="K3936" s="133"/>
      <c r="L3936" s="133"/>
      <c r="M3936" s="133"/>
      <c r="N3936" s="142"/>
      <c r="O3936" s="141"/>
      <c r="P3936" s="140"/>
    </row>
    <row r="3937" spans="1:16" x14ac:dyDescent="0.35">
      <c r="A3937" s="149">
        <v>14</v>
      </c>
      <c r="B3937" s="143">
        <v>46113</v>
      </c>
      <c r="C3937" s="394" t="s">
        <v>1348</v>
      </c>
      <c r="D3937" s="395" t="s">
        <v>2896</v>
      </c>
      <c r="E3937" s="396" t="s">
        <v>1067</v>
      </c>
      <c r="F3937" s="145">
        <v>158</v>
      </c>
      <c r="G3937" s="133" t="s">
        <v>1034</v>
      </c>
      <c r="H3937" s="144" t="s">
        <v>1341</v>
      </c>
      <c r="I3937" s="133" t="s">
        <v>1092</v>
      </c>
      <c r="J3937" s="433" t="s">
        <v>2949</v>
      </c>
      <c r="K3937" s="143">
        <v>46143</v>
      </c>
      <c r="L3937" s="133" t="s">
        <v>1092</v>
      </c>
      <c r="M3937" s="133">
        <v>3953</v>
      </c>
      <c r="N3937" s="147">
        <f>+F3937+F3938-M3937-M3938</f>
        <v>0</v>
      </c>
      <c r="O3937" s="141"/>
      <c r="P3937" s="159"/>
    </row>
    <row r="3938" spans="1:16" x14ac:dyDescent="0.35">
      <c r="A3938" s="149"/>
      <c r="B3938" s="143"/>
      <c r="C3938" s="133"/>
      <c r="D3938" s="133"/>
      <c r="E3938" s="145" t="s">
        <v>1342</v>
      </c>
      <c r="F3938" s="145">
        <v>3896</v>
      </c>
      <c r="G3938" s="133" t="s">
        <v>1034</v>
      </c>
      <c r="H3938" s="144" t="s">
        <v>1341</v>
      </c>
      <c r="I3938" s="133" t="s">
        <v>1092</v>
      </c>
      <c r="J3938" s="433" t="s">
        <v>2952</v>
      </c>
      <c r="K3938" s="143">
        <v>46143</v>
      </c>
      <c r="L3938" s="133" t="s">
        <v>1241</v>
      </c>
      <c r="M3938" s="133">
        <v>101</v>
      </c>
      <c r="N3938" s="142"/>
      <c r="O3938" s="141"/>
      <c r="P3938" s="140"/>
    </row>
    <row r="3939" spans="1:16" x14ac:dyDescent="0.35">
      <c r="A3939" s="149"/>
      <c r="B3939" s="143"/>
      <c r="C3939" s="133"/>
      <c r="D3939" s="133"/>
      <c r="E3939" s="145"/>
      <c r="F3939" s="145"/>
      <c r="G3939" s="133"/>
      <c r="H3939" s="144"/>
      <c r="I3939" s="133"/>
      <c r="J3939" s="133"/>
      <c r="K3939" s="133"/>
      <c r="L3939" s="133"/>
      <c r="M3939" s="133"/>
      <c r="N3939" s="142"/>
      <c r="O3939" s="141"/>
      <c r="P3939" s="140"/>
    </row>
    <row r="3940" spans="1:16" x14ac:dyDescent="0.35">
      <c r="A3940" s="149">
        <v>15</v>
      </c>
      <c r="B3940" s="143">
        <v>46113</v>
      </c>
      <c r="C3940" s="399" t="s">
        <v>1346</v>
      </c>
      <c r="D3940" s="400" t="s">
        <v>2899</v>
      </c>
      <c r="E3940" s="145" t="s">
        <v>1075</v>
      </c>
      <c r="F3940" s="145">
        <v>1416.3</v>
      </c>
      <c r="G3940" s="133" t="s">
        <v>1034</v>
      </c>
      <c r="H3940" s="144" t="s">
        <v>1341</v>
      </c>
      <c r="I3940" s="133" t="s">
        <v>1092</v>
      </c>
      <c r="J3940" s="433" t="s">
        <v>2949</v>
      </c>
      <c r="K3940" s="143">
        <v>46143</v>
      </c>
      <c r="L3940" s="133" t="s">
        <v>1092</v>
      </c>
      <c r="M3940" s="133">
        <v>1377.3</v>
      </c>
      <c r="N3940" s="147">
        <f>+F3940-M3940-M3941</f>
        <v>0</v>
      </c>
      <c r="O3940" s="141"/>
      <c r="P3940" s="159"/>
    </row>
    <row r="3941" spans="1:16" x14ac:dyDescent="0.35">
      <c r="A3941" s="149"/>
      <c r="B3941" s="143"/>
      <c r="C3941" s="399"/>
      <c r="D3941" s="400"/>
      <c r="E3941" s="145"/>
      <c r="F3941" s="145"/>
      <c r="G3941" s="133" t="s">
        <v>1034</v>
      </c>
      <c r="H3941" s="144" t="s">
        <v>1341</v>
      </c>
      <c r="I3941" s="133" t="s">
        <v>1092</v>
      </c>
      <c r="J3941" s="433" t="s">
        <v>2952</v>
      </c>
      <c r="K3941" s="143">
        <v>46143</v>
      </c>
      <c r="L3941" s="133" t="s">
        <v>1241</v>
      </c>
      <c r="M3941" s="133">
        <v>39</v>
      </c>
      <c r="N3941" s="147"/>
      <c r="O3941" s="141"/>
      <c r="P3941" s="159"/>
    </row>
    <row r="3942" spans="1:16" x14ac:dyDescent="0.35">
      <c r="A3942" s="149"/>
      <c r="B3942" s="143"/>
      <c r="C3942" s="133"/>
      <c r="D3942" s="133"/>
      <c r="E3942" s="145"/>
      <c r="F3942" s="145"/>
      <c r="G3942" s="133"/>
      <c r="H3942" s="144"/>
      <c r="I3942" s="133"/>
      <c r="J3942" s="133"/>
      <c r="K3942" s="133"/>
      <c r="L3942" s="133"/>
      <c r="M3942" s="133"/>
      <c r="N3942" s="142"/>
      <c r="O3942" s="141"/>
      <c r="P3942" s="140"/>
    </row>
    <row r="3943" spans="1:16" x14ac:dyDescent="0.35">
      <c r="A3943" s="149">
        <v>16</v>
      </c>
      <c r="B3943" s="143">
        <v>46113</v>
      </c>
      <c r="C3943" s="399" t="s">
        <v>1344</v>
      </c>
      <c r="D3943" s="400" t="s">
        <v>2900</v>
      </c>
      <c r="E3943" s="145" t="s">
        <v>1075</v>
      </c>
      <c r="F3943" s="145">
        <v>3446</v>
      </c>
      <c r="G3943" s="133" t="s">
        <v>1034</v>
      </c>
      <c r="H3943" s="144" t="s">
        <v>1341</v>
      </c>
      <c r="I3943" s="133" t="s">
        <v>1092</v>
      </c>
      <c r="J3943" s="433" t="s">
        <v>2949</v>
      </c>
      <c r="K3943" s="143">
        <v>46143</v>
      </c>
      <c r="L3943" s="133" t="s">
        <v>1092</v>
      </c>
      <c r="M3943" s="133">
        <v>9617</v>
      </c>
      <c r="N3943" s="147">
        <f>+F3943+F3944+F3945+F3946-M3943-M3944</f>
        <v>0</v>
      </c>
      <c r="O3943" s="141"/>
      <c r="P3943" s="159"/>
    </row>
    <row r="3944" spans="1:16" x14ac:dyDescent="0.35">
      <c r="A3944" s="149"/>
      <c r="B3944" s="143"/>
      <c r="C3944" s="133"/>
      <c r="D3944" s="133"/>
      <c r="E3944" s="145" t="s">
        <v>1118</v>
      </c>
      <c r="F3944" s="145">
        <v>2520</v>
      </c>
      <c r="G3944" s="133" t="s">
        <v>1034</v>
      </c>
      <c r="H3944" s="144" t="s">
        <v>1341</v>
      </c>
      <c r="I3944" s="133" t="s">
        <v>1092</v>
      </c>
      <c r="J3944" s="433" t="s">
        <v>2952</v>
      </c>
      <c r="K3944" s="143">
        <v>46143</v>
      </c>
      <c r="L3944" s="133" t="s">
        <v>1241</v>
      </c>
      <c r="M3944" s="133">
        <v>294</v>
      </c>
      <c r="N3944" s="142"/>
      <c r="O3944" s="141"/>
      <c r="P3944" s="140"/>
    </row>
    <row r="3945" spans="1:16" x14ac:dyDescent="0.35">
      <c r="A3945" s="149"/>
      <c r="B3945" s="143"/>
      <c r="C3945" s="133"/>
      <c r="D3945" s="133"/>
      <c r="E3945" s="396" t="s">
        <v>1067</v>
      </c>
      <c r="F3945" s="145">
        <v>1629</v>
      </c>
      <c r="G3945" s="133"/>
      <c r="H3945" s="144"/>
      <c r="I3945" s="133"/>
      <c r="J3945" s="133"/>
      <c r="K3945" s="133"/>
      <c r="L3945" s="133"/>
      <c r="M3945" s="133"/>
      <c r="N3945" s="142"/>
      <c r="O3945" s="141"/>
      <c r="P3945" s="140"/>
    </row>
    <row r="3946" spans="1:16" x14ac:dyDescent="0.35">
      <c r="A3946" s="149"/>
      <c r="B3946" s="143"/>
      <c r="C3946" s="133"/>
      <c r="D3946" s="133"/>
      <c r="E3946" s="145" t="s">
        <v>1342</v>
      </c>
      <c r="F3946" s="145">
        <v>2316</v>
      </c>
      <c r="G3946" s="133"/>
      <c r="H3946" s="144"/>
      <c r="I3946" s="133"/>
      <c r="J3946" s="133"/>
      <c r="K3946" s="133"/>
      <c r="L3946" s="133"/>
      <c r="M3946" s="133"/>
      <c r="N3946" s="142"/>
      <c r="O3946" s="141"/>
      <c r="P3946" s="140"/>
    </row>
    <row r="3947" spans="1:16" x14ac:dyDescent="0.35">
      <c r="A3947" s="149"/>
      <c r="B3947" s="143"/>
      <c r="C3947" s="133"/>
      <c r="D3947" s="133"/>
      <c r="E3947" s="145"/>
      <c r="F3947" s="145"/>
      <c r="G3947" s="133"/>
      <c r="H3947" s="144"/>
      <c r="I3947" s="133"/>
      <c r="J3947" s="133"/>
      <c r="K3947" s="133"/>
      <c r="L3947" s="133"/>
      <c r="M3947" s="133"/>
      <c r="N3947" s="142"/>
      <c r="O3947" s="141"/>
      <c r="P3947" s="140"/>
    </row>
    <row r="3948" spans="1:16" x14ac:dyDescent="0.35">
      <c r="A3948" s="149">
        <v>17</v>
      </c>
      <c r="B3948" s="143">
        <v>46113</v>
      </c>
      <c r="C3948" s="401" t="s">
        <v>1910</v>
      </c>
      <c r="D3948" s="402" t="s">
        <v>2901</v>
      </c>
      <c r="E3948" s="145" t="s">
        <v>1075</v>
      </c>
      <c r="F3948" s="145">
        <v>2498</v>
      </c>
      <c r="G3948" s="133" t="s">
        <v>1034</v>
      </c>
      <c r="H3948" s="144" t="s">
        <v>1341</v>
      </c>
      <c r="I3948" s="133" t="s">
        <v>1092</v>
      </c>
      <c r="J3948" s="433" t="s">
        <v>2949</v>
      </c>
      <c r="K3948" s="143">
        <v>46143</v>
      </c>
      <c r="L3948" s="133" t="s">
        <v>1092</v>
      </c>
      <c r="M3948" s="133">
        <v>5014</v>
      </c>
      <c r="N3948" s="147">
        <f>+F3948+F3949+F3950-M3948-M3949</f>
        <v>0</v>
      </c>
      <c r="O3948" s="141"/>
      <c r="P3948" s="159"/>
    </row>
    <row r="3949" spans="1:16" x14ac:dyDescent="0.35">
      <c r="A3949" s="149"/>
      <c r="B3949" s="143"/>
      <c r="C3949" s="133"/>
      <c r="D3949" s="133"/>
      <c r="E3949" s="145" t="s">
        <v>1064</v>
      </c>
      <c r="F3949" s="145">
        <v>1942</v>
      </c>
      <c r="G3949" s="133" t="s">
        <v>1034</v>
      </c>
      <c r="H3949" s="144" t="s">
        <v>1341</v>
      </c>
      <c r="I3949" s="133" t="s">
        <v>1092</v>
      </c>
      <c r="J3949" s="433" t="s">
        <v>2952</v>
      </c>
      <c r="K3949" s="143">
        <v>46143</v>
      </c>
      <c r="L3949" s="133" t="s">
        <v>1241</v>
      </c>
      <c r="M3949" s="133">
        <v>118</v>
      </c>
      <c r="N3949" s="142"/>
      <c r="O3949" s="141"/>
      <c r="P3949" s="140"/>
    </row>
    <row r="3950" spans="1:16" x14ac:dyDescent="0.35">
      <c r="A3950" s="149"/>
      <c r="B3950" s="143"/>
      <c r="C3950" s="133"/>
      <c r="D3950" s="133"/>
      <c r="E3950" s="396" t="s">
        <v>1067</v>
      </c>
      <c r="F3950" s="145">
        <v>692</v>
      </c>
      <c r="G3950" s="133"/>
      <c r="H3950" s="144"/>
      <c r="I3950" s="133"/>
      <c r="J3950" s="133"/>
      <c r="K3950" s="133"/>
      <c r="L3950" s="133"/>
      <c r="M3950" s="133"/>
      <c r="N3950" s="142"/>
      <c r="O3950" s="141"/>
      <c r="P3950" s="140"/>
    </row>
    <row r="3951" spans="1:16" x14ac:dyDescent="0.35">
      <c r="A3951" s="149"/>
      <c r="B3951" s="143"/>
      <c r="C3951" s="133"/>
      <c r="D3951" s="133"/>
      <c r="E3951" s="145"/>
      <c r="F3951" s="145"/>
      <c r="G3951" s="133"/>
      <c r="H3951" s="144"/>
      <c r="I3951" s="133"/>
      <c r="J3951" s="133"/>
      <c r="K3951" s="133"/>
      <c r="L3951" s="133"/>
      <c r="M3951" s="133"/>
      <c r="N3951" s="142"/>
      <c r="O3951" s="141"/>
      <c r="P3951" s="140"/>
    </row>
    <row r="3952" spans="1:16" x14ac:dyDescent="0.35">
      <c r="A3952" s="149">
        <v>18</v>
      </c>
      <c r="B3952" s="143">
        <v>46113</v>
      </c>
      <c r="C3952" s="401" t="s">
        <v>1908</v>
      </c>
      <c r="D3952" s="402" t="s">
        <v>2902</v>
      </c>
      <c r="E3952" s="145" t="s">
        <v>1075</v>
      </c>
      <c r="F3952" s="145">
        <v>2488</v>
      </c>
      <c r="G3952" s="133" t="s">
        <v>1034</v>
      </c>
      <c r="H3952" s="144" t="s">
        <v>1341</v>
      </c>
      <c r="I3952" s="133" t="s">
        <v>1092</v>
      </c>
      <c r="J3952" s="433" t="s">
        <v>2951</v>
      </c>
      <c r="K3952" s="143">
        <v>46143</v>
      </c>
      <c r="L3952" s="133" t="s">
        <v>1092</v>
      </c>
      <c r="M3952" s="133">
        <v>2419</v>
      </c>
      <c r="N3952" s="147">
        <f>+F3952-M3952-M3953</f>
        <v>0</v>
      </c>
      <c r="O3952" s="205"/>
      <c r="P3952" s="140"/>
    </row>
    <row r="3953" spans="1:16" x14ac:dyDescent="0.35">
      <c r="A3953" s="149"/>
      <c r="B3953" s="143"/>
      <c r="C3953" s="401"/>
      <c r="D3953" s="402"/>
      <c r="E3953" s="145"/>
      <c r="F3953" s="145"/>
      <c r="G3953" s="133" t="s">
        <v>1034</v>
      </c>
      <c r="H3953" s="144" t="s">
        <v>1341</v>
      </c>
      <c r="I3953" s="133" t="s">
        <v>1092</v>
      </c>
      <c r="J3953" s="433" t="s">
        <v>2952</v>
      </c>
      <c r="K3953" s="143">
        <v>46143</v>
      </c>
      <c r="L3953" s="133" t="s">
        <v>1241</v>
      </c>
      <c r="M3953" s="133">
        <v>69</v>
      </c>
      <c r="N3953" s="147"/>
      <c r="O3953" s="205"/>
      <c r="P3953" s="140"/>
    </row>
    <row r="3954" spans="1:16" x14ac:dyDescent="0.35">
      <c r="A3954" s="149"/>
      <c r="B3954" s="143"/>
      <c r="C3954" s="133"/>
      <c r="D3954" s="133"/>
      <c r="E3954" s="145"/>
      <c r="F3954" s="145"/>
      <c r="G3954" s="133"/>
      <c r="H3954" s="144"/>
      <c r="I3954" s="133"/>
      <c r="J3954" s="133"/>
      <c r="K3954" s="133"/>
      <c r="L3954" s="133"/>
      <c r="M3954" s="133"/>
      <c r="N3954" s="142"/>
      <c r="O3954" s="141"/>
      <c r="P3954" s="140"/>
    </row>
    <row r="3955" spans="1:16" x14ac:dyDescent="0.35">
      <c r="A3955" s="149">
        <v>19</v>
      </c>
      <c r="B3955" s="143">
        <v>46113</v>
      </c>
      <c r="C3955" s="403" t="s">
        <v>1906</v>
      </c>
      <c r="D3955" s="404" t="s">
        <v>2903</v>
      </c>
      <c r="E3955" s="316" t="s">
        <v>1184</v>
      </c>
      <c r="F3955" s="145">
        <v>6000</v>
      </c>
      <c r="G3955" s="133" t="s">
        <v>1034</v>
      </c>
      <c r="H3955" s="144" t="s">
        <v>1341</v>
      </c>
      <c r="I3955" s="133" t="s">
        <v>1092</v>
      </c>
      <c r="J3955" s="433" t="s">
        <v>2951</v>
      </c>
      <c r="K3955" s="143">
        <v>46143</v>
      </c>
      <c r="L3955" s="133" t="s">
        <v>1092</v>
      </c>
      <c r="M3955" s="133">
        <v>11726.6</v>
      </c>
      <c r="N3955" s="147">
        <f>+F3955+F3956+F3957+F3958+F3959-M3955-M3956</f>
        <v>0</v>
      </c>
      <c r="O3955" s="205"/>
      <c r="P3955" s="140"/>
    </row>
    <row r="3956" spans="1:16" x14ac:dyDescent="0.35">
      <c r="A3956" s="149"/>
      <c r="B3956" s="143"/>
      <c r="C3956" s="133"/>
      <c r="D3956" s="133"/>
      <c r="E3956" s="396" t="s">
        <v>1067</v>
      </c>
      <c r="F3956" s="145">
        <v>2362</v>
      </c>
      <c r="G3956" s="133" t="s">
        <v>1034</v>
      </c>
      <c r="H3956" s="144" t="s">
        <v>1341</v>
      </c>
      <c r="I3956" s="133" t="s">
        <v>1092</v>
      </c>
      <c r="J3956" s="433" t="s">
        <v>2952</v>
      </c>
      <c r="K3956" s="143">
        <v>46143</v>
      </c>
      <c r="L3956" s="133" t="s">
        <v>1241</v>
      </c>
      <c r="M3956" s="133">
        <v>318</v>
      </c>
      <c r="N3956" s="147"/>
      <c r="O3956" s="141"/>
      <c r="P3956" s="140"/>
    </row>
    <row r="3957" spans="1:16" x14ac:dyDescent="0.35">
      <c r="A3957" s="149"/>
      <c r="B3957" s="143"/>
      <c r="C3957" s="133"/>
      <c r="D3957" s="133"/>
      <c r="E3957" s="393" t="s">
        <v>1071</v>
      </c>
      <c r="F3957" s="145">
        <v>60</v>
      </c>
      <c r="G3957" s="133"/>
      <c r="H3957" s="144"/>
      <c r="I3957" s="133"/>
      <c r="J3957" s="133"/>
      <c r="K3957" s="133"/>
      <c r="L3957" s="133"/>
      <c r="M3957" s="133"/>
      <c r="N3957" s="147"/>
      <c r="O3957" s="141"/>
      <c r="P3957" s="140"/>
    </row>
    <row r="3958" spans="1:16" x14ac:dyDescent="0.35">
      <c r="A3958" s="149"/>
      <c r="B3958" s="143"/>
      <c r="C3958" s="133"/>
      <c r="D3958" s="133"/>
      <c r="E3958" s="145" t="s">
        <v>1118</v>
      </c>
      <c r="F3958" s="145">
        <v>2887.6</v>
      </c>
      <c r="G3958" s="133"/>
      <c r="H3958" s="144"/>
      <c r="I3958" s="133"/>
      <c r="J3958" s="133"/>
      <c r="K3958" s="133"/>
      <c r="L3958" s="133"/>
      <c r="M3958" s="133"/>
      <c r="N3958" s="147"/>
      <c r="O3958" s="141"/>
      <c r="P3958" s="140"/>
    </row>
    <row r="3959" spans="1:16" x14ac:dyDescent="0.35">
      <c r="A3959" s="149"/>
      <c r="B3959" s="143"/>
      <c r="C3959" s="133"/>
      <c r="D3959" s="133"/>
      <c r="E3959" s="145" t="s">
        <v>1342</v>
      </c>
      <c r="F3959" s="145">
        <v>735</v>
      </c>
      <c r="G3959" s="133"/>
      <c r="H3959" s="144"/>
      <c r="I3959" s="133"/>
      <c r="J3959" s="133"/>
      <c r="K3959" s="133"/>
      <c r="L3959" s="133"/>
      <c r="M3959" s="133"/>
      <c r="N3959" s="147"/>
      <c r="O3959" s="141"/>
      <c r="P3959" s="140"/>
    </row>
    <row r="3960" spans="1:16" x14ac:dyDescent="0.35">
      <c r="A3960" s="149"/>
      <c r="B3960" s="143"/>
      <c r="C3960" s="133"/>
      <c r="D3960" s="133"/>
      <c r="E3960" s="145"/>
      <c r="F3960" s="145"/>
      <c r="G3960" s="133"/>
      <c r="H3960" s="144"/>
      <c r="I3960" s="133"/>
      <c r="J3960" s="133"/>
      <c r="K3960" s="133"/>
      <c r="L3960" s="133"/>
      <c r="M3960" s="133"/>
      <c r="N3960" s="147"/>
      <c r="O3960" s="141"/>
      <c r="P3960" s="140"/>
    </row>
    <row r="3961" spans="1:16" x14ac:dyDescent="0.35">
      <c r="A3961" s="149">
        <v>20</v>
      </c>
      <c r="B3961" s="143">
        <v>46113</v>
      </c>
      <c r="C3961" s="403" t="s">
        <v>1904</v>
      </c>
      <c r="D3961" s="404" t="s">
        <v>2904</v>
      </c>
      <c r="E3961" s="145" t="s">
        <v>1075</v>
      </c>
      <c r="F3961" s="145">
        <v>1856</v>
      </c>
      <c r="G3961" s="133" t="s">
        <v>1034</v>
      </c>
      <c r="H3961" s="144" t="s">
        <v>1341</v>
      </c>
      <c r="I3961" s="133" t="s">
        <v>1092</v>
      </c>
      <c r="J3961" s="438" t="s">
        <v>2976</v>
      </c>
      <c r="K3961" s="143">
        <v>46174</v>
      </c>
      <c r="L3961" s="133" t="s">
        <v>1092</v>
      </c>
      <c r="M3961" s="133">
        <v>2851</v>
      </c>
      <c r="N3961" s="147">
        <f>+F3961+F3962-M3961-M3962</f>
        <v>0</v>
      </c>
      <c r="O3961" s="141"/>
      <c r="P3961" s="140"/>
    </row>
    <row r="3962" spans="1:16" x14ac:dyDescent="0.35">
      <c r="A3962" s="149"/>
      <c r="B3962" s="143"/>
      <c r="C3962" s="403"/>
      <c r="D3962" s="404"/>
      <c r="E3962" s="145" t="s">
        <v>1064</v>
      </c>
      <c r="F3962" s="145">
        <v>1172</v>
      </c>
      <c r="G3962" s="133" t="s">
        <v>1034</v>
      </c>
      <c r="H3962" s="144" t="s">
        <v>1341</v>
      </c>
      <c r="I3962" s="133" t="s">
        <v>1092</v>
      </c>
      <c r="J3962" s="339" t="s">
        <v>3007</v>
      </c>
      <c r="K3962" s="143">
        <v>46174</v>
      </c>
      <c r="L3962" s="133" t="s">
        <v>1241</v>
      </c>
      <c r="M3962" s="133">
        <v>177</v>
      </c>
      <c r="N3962" s="147"/>
      <c r="O3962" s="141"/>
      <c r="P3962" s="140"/>
    </row>
    <row r="3963" spans="1:16" x14ac:dyDescent="0.35">
      <c r="A3963" s="149"/>
      <c r="B3963" s="143"/>
      <c r="C3963" s="403"/>
      <c r="D3963" s="404"/>
      <c r="E3963" s="145"/>
      <c r="F3963" s="145"/>
      <c r="G3963" s="133"/>
      <c r="H3963" s="144"/>
      <c r="I3963" s="133"/>
      <c r="J3963" s="339"/>
      <c r="K3963" s="143"/>
      <c r="L3963" s="133"/>
      <c r="M3963" s="133"/>
      <c r="N3963" s="147"/>
      <c r="O3963" s="141"/>
      <c r="P3963" s="140"/>
    </row>
    <row r="3964" spans="1:16" x14ac:dyDescent="0.35">
      <c r="A3964" s="149"/>
      <c r="B3964" s="143"/>
      <c r="C3964" s="133"/>
      <c r="D3964" s="133"/>
      <c r="E3964" s="145"/>
      <c r="F3964" s="145"/>
      <c r="G3964" s="133"/>
      <c r="H3964" s="144"/>
      <c r="I3964" s="133"/>
      <c r="J3964" s="133"/>
      <c r="K3964" s="133"/>
      <c r="L3964" s="133"/>
      <c r="M3964" s="133"/>
      <c r="N3964" s="147"/>
      <c r="O3964" s="141"/>
      <c r="P3964" s="140"/>
    </row>
    <row r="3965" spans="1:16" x14ac:dyDescent="0.35">
      <c r="A3965" s="149">
        <v>21</v>
      </c>
      <c r="B3965" s="143">
        <v>46113</v>
      </c>
      <c r="C3965" s="403" t="s">
        <v>1902</v>
      </c>
      <c r="D3965" s="404" t="s">
        <v>2905</v>
      </c>
      <c r="E3965" s="145" t="s">
        <v>1064</v>
      </c>
      <c r="F3965" s="145">
        <v>790</v>
      </c>
      <c r="G3965" s="133" t="s">
        <v>1034</v>
      </c>
      <c r="H3965" s="144" t="s">
        <v>1341</v>
      </c>
      <c r="I3965" s="133" t="s">
        <v>1092</v>
      </c>
      <c r="J3965" s="438" t="s">
        <v>2976</v>
      </c>
      <c r="K3965" s="143">
        <v>46174</v>
      </c>
      <c r="L3965" s="133" t="s">
        <v>1092</v>
      </c>
      <c r="M3965" s="133">
        <v>790</v>
      </c>
      <c r="N3965" s="147">
        <f>+F3965-M3965</f>
        <v>0</v>
      </c>
      <c r="O3965" s="141"/>
      <c r="P3965" s="140"/>
    </row>
    <row r="3966" spans="1:16" x14ac:dyDescent="0.35">
      <c r="A3966" s="149"/>
      <c r="B3966" s="143"/>
      <c r="C3966" s="133"/>
      <c r="D3966" s="133"/>
      <c r="E3966" s="145"/>
      <c r="F3966" s="145"/>
      <c r="G3966" s="133"/>
      <c r="H3966" s="144"/>
      <c r="I3966" s="133"/>
      <c r="J3966" s="133"/>
      <c r="K3966" s="133"/>
      <c r="L3966" s="133"/>
      <c r="M3966" s="133"/>
      <c r="N3966" s="147"/>
      <c r="O3966" s="141"/>
      <c r="P3966" s="140"/>
    </row>
    <row r="3967" spans="1:16" x14ac:dyDescent="0.35">
      <c r="A3967" s="149">
        <v>22</v>
      </c>
      <c r="B3967" s="143">
        <v>46113</v>
      </c>
      <c r="C3967" s="407" t="s">
        <v>1900</v>
      </c>
      <c r="D3967" s="408" t="s">
        <v>2910</v>
      </c>
      <c r="E3967" s="145" t="s">
        <v>1118</v>
      </c>
      <c r="F3967" s="145">
        <v>1285.8</v>
      </c>
      <c r="G3967" s="133" t="s">
        <v>1034</v>
      </c>
      <c r="H3967" s="144" t="s">
        <v>1341</v>
      </c>
      <c r="I3967" s="133" t="s">
        <v>1092</v>
      </c>
      <c r="J3967" s="438" t="s">
        <v>2976</v>
      </c>
      <c r="K3967" s="143">
        <v>46174</v>
      </c>
      <c r="L3967" s="133" t="s">
        <v>1092</v>
      </c>
      <c r="M3967" s="133">
        <v>2728.8</v>
      </c>
      <c r="N3967" s="147">
        <f>+F3967+F3968-M3967</f>
        <v>0</v>
      </c>
      <c r="O3967" s="141"/>
      <c r="P3967" s="140"/>
    </row>
    <row r="3968" spans="1:16" x14ac:dyDescent="0.35">
      <c r="A3968" s="149"/>
      <c r="B3968" s="143"/>
      <c r="C3968" s="403"/>
      <c r="D3968" s="404"/>
      <c r="E3968" s="396" t="s">
        <v>1067</v>
      </c>
      <c r="F3968" s="145">
        <v>1443</v>
      </c>
      <c r="G3968" s="133"/>
      <c r="H3968" s="144"/>
      <c r="I3968" s="133"/>
      <c r="J3968" s="339"/>
      <c r="K3968" s="143"/>
      <c r="L3968" s="133"/>
      <c r="M3968" s="133"/>
      <c r="N3968" s="147"/>
      <c r="O3968" s="141"/>
      <c r="P3968" s="140"/>
    </row>
    <row r="3969" spans="1:16" x14ac:dyDescent="0.35">
      <c r="A3969" s="149"/>
      <c r="B3969" s="143"/>
      <c r="C3969" s="133"/>
      <c r="D3969" s="133"/>
      <c r="E3969" s="145"/>
      <c r="F3969" s="145"/>
      <c r="G3969" s="133"/>
      <c r="H3969" s="144"/>
      <c r="I3969" s="133"/>
      <c r="J3969" s="133"/>
      <c r="K3969" s="133"/>
      <c r="L3969" s="133"/>
      <c r="M3969" s="133"/>
      <c r="N3969" s="147"/>
      <c r="O3969" s="141"/>
      <c r="P3969" s="140"/>
    </row>
    <row r="3970" spans="1:16" x14ac:dyDescent="0.35">
      <c r="A3970" s="149">
        <v>23</v>
      </c>
      <c r="B3970" s="143">
        <v>46113</v>
      </c>
      <c r="C3970" s="407" t="s">
        <v>1898</v>
      </c>
      <c r="D3970" s="408" t="s">
        <v>2911</v>
      </c>
      <c r="E3970" s="409" t="s">
        <v>1965</v>
      </c>
      <c r="F3970" s="145">
        <v>2231</v>
      </c>
      <c r="G3970" s="133" t="s">
        <v>1034</v>
      </c>
      <c r="H3970" s="144" t="s">
        <v>1341</v>
      </c>
      <c r="I3970" s="133" t="s">
        <v>1092</v>
      </c>
      <c r="J3970" s="438" t="s">
        <v>2976</v>
      </c>
      <c r="K3970" s="143">
        <v>46174</v>
      </c>
      <c r="L3970" s="133" t="s">
        <v>1092</v>
      </c>
      <c r="M3970" s="133">
        <v>9141.2000000000007</v>
      </c>
      <c r="N3970" s="147">
        <f>+F3970+F3971+F3972-M3970-M3971</f>
        <v>0</v>
      </c>
      <c r="O3970" s="141"/>
      <c r="P3970" s="140"/>
    </row>
    <row r="3971" spans="1:16" x14ac:dyDescent="0.35">
      <c r="A3971" s="149"/>
      <c r="B3971" s="143"/>
      <c r="C3971" s="403"/>
      <c r="D3971" s="404"/>
      <c r="E3971" s="396" t="s">
        <v>1067</v>
      </c>
      <c r="F3971" s="145">
        <v>954</v>
      </c>
      <c r="G3971" s="133" t="s">
        <v>1034</v>
      </c>
      <c r="H3971" s="144" t="s">
        <v>1341</v>
      </c>
      <c r="I3971" s="133" t="s">
        <v>1092</v>
      </c>
      <c r="J3971" s="339" t="s">
        <v>3007</v>
      </c>
      <c r="K3971" s="143">
        <v>46174</v>
      </c>
      <c r="L3971" s="133" t="s">
        <v>1241</v>
      </c>
      <c r="M3971" s="133">
        <v>285</v>
      </c>
      <c r="N3971" s="147"/>
      <c r="O3971" s="141"/>
      <c r="P3971" s="140"/>
    </row>
    <row r="3972" spans="1:16" x14ac:dyDescent="0.35">
      <c r="A3972" s="149"/>
      <c r="B3972" s="143"/>
      <c r="C3972" s="133"/>
      <c r="D3972" s="133"/>
      <c r="E3972" s="145" t="s">
        <v>1075</v>
      </c>
      <c r="F3972" s="145">
        <v>6241.2</v>
      </c>
      <c r="G3972" s="133"/>
      <c r="H3972" s="144"/>
      <c r="I3972" s="133"/>
      <c r="J3972" s="133"/>
      <c r="K3972" s="133"/>
      <c r="L3972" s="133"/>
      <c r="M3972" s="133"/>
      <c r="N3972" s="147"/>
      <c r="O3972" s="141"/>
      <c r="P3972" s="140"/>
    </row>
    <row r="3973" spans="1:16" x14ac:dyDescent="0.35">
      <c r="A3973" s="149"/>
      <c r="B3973" s="143"/>
      <c r="C3973" s="133"/>
      <c r="D3973" s="133"/>
      <c r="E3973" s="145"/>
      <c r="F3973" s="145"/>
      <c r="G3973" s="133"/>
      <c r="H3973" s="144"/>
      <c r="I3973" s="133"/>
      <c r="J3973" s="133"/>
      <c r="K3973" s="133"/>
      <c r="L3973" s="133"/>
      <c r="M3973" s="133"/>
      <c r="N3973" s="147"/>
      <c r="O3973" s="141"/>
      <c r="P3973" s="140"/>
    </row>
    <row r="3974" spans="1:16" x14ac:dyDescent="0.35">
      <c r="A3974" s="149">
        <v>24</v>
      </c>
      <c r="B3974" s="143">
        <v>46113</v>
      </c>
      <c r="C3974" s="410" t="s">
        <v>1897</v>
      </c>
      <c r="D3974" s="411" t="s">
        <v>2913</v>
      </c>
      <c r="E3974" s="145" t="s">
        <v>1075</v>
      </c>
      <c r="F3974" s="145">
        <v>3231</v>
      </c>
      <c r="G3974" s="133" t="s">
        <v>1034</v>
      </c>
      <c r="H3974" s="144" t="s">
        <v>1341</v>
      </c>
      <c r="I3974" s="133" t="s">
        <v>1092</v>
      </c>
      <c r="J3974" s="442" t="s">
        <v>2982</v>
      </c>
      <c r="K3974" s="143">
        <v>46174</v>
      </c>
      <c r="L3974" s="133" t="s">
        <v>1092</v>
      </c>
      <c r="M3974" s="133">
        <v>8045</v>
      </c>
      <c r="N3974" s="147">
        <f>+F3974+F3975+F3976-M3974-M3975</f>
        <v>0</v>
      </c>
      <c r="O3974" s="141"/>
      <c r="P3974" s="140"/>
    </row>
    <row r="3975" spans="1:16" x14ac:dyDescent="0.35">
      <c r="A3975" s="149"/>
      <c r="B3975" s="143"/>
      <c r="C3975" s="403"/>
      <c r="D3975" s="404"/>
      <c r="E3975" s="396" t="s">
        <v>1067</v>
      </c>
      <c r="F3975" s="145">
        <v>1407</v>
      </c>
      <c r="G3975" s="133" t="s">
        <v>1034</v>
      </c>
      <c r="H3975" s="144" t="s">
        <v>1341</v>
      </c>
      <c r="I3975" s="133" t="s">
        <v>1092</v>
      </c>
      <c r="J3975" s="339" t="s">
        <v>3007</v>
      </c>
      <c r="K3975" s="143">
        <v>46174</v>
      </c>
      <c r="L3975" s="133" t="s">
        <v>1241</v>
      </c>
      <c r="M3975" s="133">
        <v>318</v>
      </c>
      <c r="N3975" s="147"/>
      <c r="O3975" s="141"/>
      <c r="P3975" s="140"/>
    </row>
    <row r="3976" spans="1:16" x14ac:dyDescent="0.35">
      <c r="A3976" s="149"/>
      <c r="B3976" s="143"/>
      <c r="C3976" s="133"/>
      <c r="D3976" s="133"/>
      <c r="E3976" s="409" t="s">
        <v>1965</v>
      </c>
      <c r="F3976" s="145">
        <v>3725</v>
      </c>
      <c r="G3976" s="133"/>
      <c r="H3976" s="144"/>
      <c r="I3976" s="133"/>
      <c r="J3976" s="133"/>
      <c r="K3976" s="133"/>
      <c r="L3976" s="133"/>
      <c r="M3976" s="133"/>
      <c r="N3976" s="147"/>
      <c r="O3976" s="141"/>
      <c r="P3976" s="140"/>
    </row>
    <row r="3977" spans="1:16" x14ac:dyDescent="0.35">
      <c r="A3977" s="149"/>
      <c r="B3977" s="143"/>
      <c r="C3977" s="133"/>
      <c r="D3977" s="133"/>
      <c r="E3977" s="145"/>
      <c r="F3977" s="145"/>
      <c r="G3977" s="133"/>
      <c r="H3977" s="144"/>
      <c r="I3977" s="133"/>
      <c r="J3977" s="133"/>
      <c r="K3977" s="133"/>
      <c r="L3977" s="133"/>
      <c r="M3977" s="133"/>
      <c r="N3977" s="147"/>
      <c r="O3977" s="141"/>
      <c r="P3977" s="140"/>
    </row>
    <row r="3978" spans="1:16" x14ac:dyDescent="0.35">
      <c r="A3978" s="149">
        <v>25</v>
      </c>
      <c r="B3978" s="143">
        <v>46113</v>
      </c>
      <c r="C3978" s="412" t="s">
        <v>1894</v>
      </c>
      <c r="D3978" s="413" t="s">
        <v>2914</v>
      </c>
      <c r="E3978" s="396" t="s">
        <v>1067</v>
      </c>
      <c r="F3978" s="145">
        <v>1170</v>
      </c>
      <c r="G3978" s="133" t="s">
        <v>1034</v>
      </c>
      <c r="H3978" s="144" t="s">
        <v>1341</v>
      </c>
      <c r="I3978" s="133" t="s">
        <v>1092</v>
      </c>
      <c r="J3978" s="442" t="s">
        <v>2982</v>
      </c>
      <c r="K3978" s="143">
        <v>46174</v>
      </c>
      <c r="L3978" s="133" t="s">
        <v>1092</v>
      </c>
      <c r="M3978" s="133">
        <v>1170</v>
      </c>
      <c r="N3978" s="147">
        <f>+F3978-M3978</f>
        <v>0</v>
      </c>
      <c r="O3978" s="141"/>
      <c r="P3978" s="140"/>
    </row>
    <row r="3979" spans="1:16" x14ac:dyDescent="0.35">
      <c r="A3979" s="149"/>
      <c r="B3979" s="143"/>
      <c r="C3979" s="133"/>
      <c r="D3979" s="133"/>
      <c r="E3979" s="145"/>
      <c r="F3979" s="145"/>
      <c r="G3979" s="133"/>
      <c r="H3979" s="144"/>
      <c r="I3979" s="133"/>
      <c r="J3979" s="133"/>
      <c r="K3979" s="133"/>
      <c r="L3979" s="133"/>
      <c r="M3979" s="133"/>
      <c r="N3979" s="147"/>
      <c r="O3979" s="141"/>
      <c r="P3979" s="140"/>
    </row>
    <row r="3980" spans="1:16" x14ac:dyDescent="0.35">
      <c r="A3980" s="149">
        <v>26</v>
      </c>
      <c r="B3980" s="143">
        <v>46113</v>
      </c>
      <c r="C3980" s="412" t="s">
        <v>1892</v>
      </c>
      <c r="D3980" s="413" t="s">
        <v>2915</v>
      </c>
      <c r="E3980" s="145" t="s">
        <v>1064</v>
      </c>
      <c r="F3980" s="145">
        <v>1510</v>
      </c>
      <c r="G3980" s="133" t="s">
        <v>1034</v>
      </c>
      <c r="H3980" s="144" t="s">
        <v>1341</v>
      </c>
      <c r="I3980" s="133" t="s">
        <v>1092</v>
      </c>
      <c r="J3980" s="453" t="s">
        <v>2989</v>
      </c>
      <c r="K3980" s="143">
        <v>46174</v>
      </c>
      <c r="L3980" s="133" t="s">
        <v>1092</v>
      </c>
      <c r="M3980" s="133">
        <v>3236</v>
      </c>
      <c r="N3980" s="147">
        <f>+F3980+F3981+F3982-M3980-M3981</f>
        <v>0</v>
      </c>
      <c r="O3980" s="141"/>
      <c r="P3980" s="140"/>
    </row>
    <row r="3981" spans="1:16" x14ac:dyDescent="0.35">
      <c r="A3981" s="149"/>
      <c r="B3981" s="143"/>
      <c r="C3981" s="403"/>
      <c r="D3981" s="404"/>
      <c r="E3981" s="396" t="s">
        <v>1067</v>
      </c>
      <c r="F3981" s="145">
        <v>1711</v>
      </c>
      <c r="G3981" s="133" t="s">
        <v>1034</v>
      </c>
      <c r="H3981" s="144" t="s">
        <v>1341</v>
      </c>
      <c r="I3981" s="133" t="s">
        <v>1092</v>
      </c>
      <c r="J3981" s="339" t="s">
        <v>3007</v>
      </c>
      <c r="K3981" s="143">
        <v>46174</v>
      </c>
      <c r="L3981" s="133" t="s">
        <v>1241</v>
      </c>
      <c r="M3981" s="133">
        <v>90</v>
      </c>
      <c r="N3981" s="147"/>
      <c r="O3981" s="141"/>
      <c r="P3981" s="140"/>
    </row>
    <row r="3982" spans="1:16" x14ac:dyDescent="0.35">
      <c r="A3982" s="149"/>
      <c r="B3982" s="143"/>
      <c r="C3982" s="133"/>
      <c r="D3982" s="133"/>
      <c r="E3982" s="145" t="s">
        <v>1342</v>
      </c>
      <c r="F3982" s="145">
        <v>105</v>
      </c>
      <c r="G3982" s="133"/>
      <c r="H3982" s="144"/>
      <c r="I3982" s="133"/>
      <c r="J3982" s="133"/>
      <c r="K3982" s="133"/>
      <c r="L3982" s="133"/>
      <c r="M3982" s="133"/>
      <c r="N3982" s="147"/>
      <c r="O3982" s="141"/>
      <c r="P3982" s="140"/>
    </row>
    <row r="3983" spans="1:16" x14ac:dyDescent="0.35">
      <c r="A3983" s="149"/>
      <c r="B3983" s="143"/>
      <c r="C3983" s="133"/>
      <c r="D3983" s="133"/>
      <c r="E3983" s="145"/>
      <c r="F3983" s="145"/>
      <c r="G3983" s="133"/>
      <c r="H3983" s="144"/>
      <c r="I3983" s="133"/>
      <c r="J3983" s="133"/>
      <c r="K3983" s="133"/>
      <c r="L3983" s="133"/>
      <c r="M3983" s="133"/>
      <c r="N3983" s="147"/>
      <c r="O3983" s="141"/>
      <c r="P3983" s="140"/>
    </row>
    <row r="3984" spans="1:16" x14ac:dyDescent="0.35">
      <c r="A3984" s="149">
        <v>27</v>
      </c>
      <c r="B3984" s="143">
        <v>46113</v>
      </c>
      <c r="C3984" s="414" t="s">
        <v>1890</v>
      </c>
      <c r="D3984" s="415" t="s">
        <v>2918</v>
      </c>
      <c r="E3984" s="396" t="s">
        <v>1067</v>
      </c>
      <c r="F3984" s="145">
        <v>3532</v>
      </c>
      <c r="G3984" s="133" t="s">
        <v>1034</v>
      </c>
      <c r="H3984" s="144" t="s">
        <v>1341</v>
      </c>
      <c r="I3984" s="133" t="s">
        <v>1092</v>
      </c>
      <c r="J3984" s="453" t="s">
        <v>2989</v>
      </c>
      <c r="K3984" s="143">
        <v>46174</v>
      </c>
      <c r="L3984" s="133" t="s">
        <v>1092</v>
      </c>
      <c r="M3984" s="133">
        <v>3782</v>
      </c>
      <c r="N3984" s="147">
        <f>+F3984+F3985-M3984</f>
        <v>0</v>
      </c>
      <c r="O3984" s="141"/>
      <c r="P3984" s="140"/>
    </row>
    <row r="3985" spans="1:16" x14ac:dyDescent="0.35">
      <c r="A3985" s="149"/>
      <c r="B3985" s="143"/>
      <c r="C3985" s="403"/>
      <c r="D3985" s="404"/>
      <c r="E3985" s="389" t="s">
        <v>1953</v>
      </c>
      <c r="F3985" s="145">
        <v>250</v>
      </c>
      <c r="G3985" s="133"/>
      <c r="H3985" s="144"/>
      <c r="I3985" s="133"/>
      <c r="J3985" s="339"/>
      <c r="K3985" s="143"/>
      <c r="L3985" s="133"/>
      <c r="M3985" s="133"/>
      <c r="N3985" s="147"/>
      <c r="O3985" s="141"/>
      <c r="P3985" s="140"/>
    </row>
    <row r="3986" spans="1:16" x14ac:dyDescent="0.35">
      <c r="A3986" s="149"/>
      <c r="B3986" s="143"/>
      <c r="C3986" s="133"/>
      <c r="D3986" s="133"/>
      <c r="E3986" s="145"/>
      <c r="F3986" s="145"/>
      <c r="G3986" s="133"/>
      <c r="H3986" s="144"/>
      <c r="I3986" s="133"/>
      <c r="J3986" s="133"/>
      <c r="K3986" s="133"/>
      <c r="L3986" s="133"/>
      <c r="M3986" s="133"/>
      <c r="N3986" s="147"/>
      <c r="O3986" s="141"/>
      <c r="P3986" s="140"/>
    </row>
    <row r="3987" spans="1:16" x14ac:dyDescent="0.35">
      <c r="A3987" s="257"/>
      <c r="B3987" s="152"/>
      <c r="C3987" s="151"/>
      <c r="D3987" s="151"/>
      <c r="E3987" s="154"/>
      <c r="F3987" s="154"/>
      <c r="G3987" s="151"/>
      <c r="H3987" s="153"/>
      <c r="I3987" s="151"/>
      <c r="J3987" s="151"/>
      <c r="K3987" s="151"/>
      <c r="L3987" s="151"/>
      <c r="M3987" s="151"/>
      <c r="N3987" s="150"/>
      <c r="O3987" s="141"/>
      <c r="P3987" s="140"/>
    </row>
    <row r="3988" spans="1:16" x14ac:dyDescent="0.35">
      <c r="A3988" s="149"/>
      <c r="B3988" s="143"/>
      <c r="C3988" s="133"/>
      <c r="D3988" s="133"/>
      <c r="E3988" s="145"/>
      <c r="F3988" s="145"/>
      <c r="G3988" s="133"/>
      <c r="H3988" s="144"/>
      <c r="I3988" s="133"/>
      <c r="J3988" s="133"/>
      <c r="K3988" s="133"/>
      <c r="L3988" s="133"/>
      <c r="M3988" s="133"/>
      <c r="N3988" s="142"/>
      <c r="O3988" s="141"/>
      <c r="P3988" s="140"/>
    </row>
    <row r="3989" spans="1:16" x14ac:dyDescent="0.35">
      <c r="A3989" s="149">
        <v>28</v>
      </c>
      <c r="B3989" s="143">
        <v>46143</v>
      </c>
      <c r="C3989" s="416" t="s">
        <v>1888</v>
      </c>
      <c r="D3989" s="417" t="s">
        <v>2919</v>
      </c>
      <c r="E3989" s="396" t="s">
        <v>1067</v>
      </c>
      <c r="F3989" s="145">
        <v>1159.5</v>
      </c>
      <c r="G3989" s="133" t="s">
        <v>1034</v>
      </c>
      <c r="H3989" s="144" t="s">
        <v>1341</v>
      </c>
      <c r="I3989" s="133" t="s">
        <v>1092</v>
      </c>
      <c r="J3989" s="442" t="s">
        <v>2982</v>
      </c>
      <c r="K3989" s="143">
        <v>46174</v>
      </c>
      <c r="L3989" s="133" t="s">
        <v>1092</v>
      </c>
      <c r="M3989" s="133">
        <v>2258.9</v>
      </c>
      <c r="N3989" s="147">
        <f>+F3989+F3990+F3991+F3992+F3993-M3989-M3990-M3991</f>
        <v>0</v>
      </c>
      <c r="O3989" s="141"/>
      <c r="P3989" s="140"/>
    </row>
    <row r="3990" spans="1:16" x14ac:dyDescent="0.35">
      <c r="A3990" s="149"/>
      <c r="B3990" s="143"/>
      <c r="C3990" s="403"/>
      <c r="D3990" s="404"/>
      <c r="E3990" s="145" t="s">
        <v>1075</v>
      </c>
      <c r="F3990" s="145">
        <v>3421</v>
      </c>
      <c r="G3990" s="133" t="s">
        <v>1034</v>
      </c>
      <c r="H3990" s="144" t="s">
        <v>1341</v>
      </c>
      <c r="I3990" s="133" t="s">
        <v>1092</v>
      </c>
      <c r="J3990" s="453" t="s">
        <v>2989</v>
      </c>
      <c r="K3990" s="143">
        <v>46174</v>
      </c>
      <c r="L3990" s="133" t="s">
        <v>1092</v>
      </c>
      <c r="M3990" s="133">
        <v>8090.5</v>
      </c>
      <c r="N3990" s="147"/>
      <c r="O3990" s="141"/>
      <c r="P3990" s="140"/>
    </row>
    <row r="3991" spans="1:16" x14ac:dyDescent="0.35">
      <c r="A3991" s="149"/>
      <c r="B3991" s="143"/>
      <c r="C3991" s="403"/>
      <c r="D3991" s="404"/>
      <c r="E3991" s="145" t="s">
        <v>1118</v>
      </c>
      <c r="F3991" s="145">
        <v>2258.9</v>
      </c>
      <c r="G3991" s="133" t="s">
        <v>1034</v>
      </c>
      <c r="H3991" s="144" t="s">
        <v>1341</v>
      </c>
      <c r="I3991" s="133" t="s">
        <v>1092</v>
      </c>
      <c r="J3991" s="466" t="s">
        <v>3007</v>
      </c>
      <c r="K3991" s="143">
        <v>46174</v>
      </c>
      <c r="L3991" s="133" t="s">
        <v>1241</v>
      </c>
      <c r="M3991" s="133">
        <v>384</v>
      </c>
      <c r="N3991" s="147"/>
      <c r="O3991" s="141"/>
      <c r="P3991" s="140"/>
    </row>
    <row r="3992" spans="1:16" x14ac:dyDescent="0.35">
      <c r="A3992" s="149"/>
      <c r="B3992" s="143"/>
      <c r="C3992" s="403"/>
      <c r="D3992" s="404"/>
      <c r="E3992" s="145" t="s">
        <v>1342</v>
      </c>
      <c r="F3992" s="145">
        <v>1146</v>
      </c>
      <c r="G3992" s="133"/>
      <c r="H3992" s="144"/>
      <c r="I3992" s="133"/>
      <c r="J3992" s="339"/>
      <c r="K3992" s="143"/>
      <c r="L3992" s="133"/>
      <c r="M3992" s="133"/>
      <c r="N3992" s="147"/>
      <c r="O3992" s="141"/>
      <c r="P3992" s="140"/>
    </row>
    <row r="3993" spans="1:16" x14ac:dyDescent="0.35">
      <c r="A3993" s="149"/>
      <c r="B3993" s="143"/>
      <c r="C3993" s="403"/>
      <c r="D3993" s="404"/>
      <c r="E3993" s="418" t="s">
        <v>1112</v>
      </c>
      <c r="F3993" s="145">
        <v>2748</v>
      </c>
      <c r="G3993" s="133"/>
      <c r="H3993" s="144"/>
      <c r="I3993" s="133"/>
      <c r="J3993" s="339"/>
      <c r="K3993" s="143"/>
      <c r="L3993" s="133"/>
      <c r="M3993" s="133"/>
      <c r="N3993" s="147"/>
      <c r="O3993" s="141"/>
      <c r="P3993" s="140"/>
    </row>
    <row r="3994" spans="1:16" x14ac:dyDescent="0.35">
      <c r="A3994" s="149"/>
      <c r="B3994" s="143"/>
      <c r="C3994" s="403"/>
      <c r="D3994" s="404"/>
      <c r="E3994" s="389"/>
      <c r="F3994" s="145"/>
      <c r="G3994" s="133"/>
      <c r="H3994" s="144"/>
      <c r="I3994" s="133"/>
      <c r="J3994" s="339"/>
      <c r="K3994" s="143"/>
      <c r="L3994" s="133"/>
      <c r="M3994" s="133"/>
      <c r="N3994" s="147"/>
      <c r="O3994" s="141"/>
      <c r="P3994" s="140"/>
    </row>
    <row r="3995" spans="1:16" x14ac:dyDescent="0.35">
      <c r="A3995" s="149">
        <v>29</v>
      </c>
      <c r="B3995" s="143">
        <v>46143</v>
      </c>
      <c r="C3995" s="416" t="s">
        <v>1886</v>
      </c>
      <c r="D3995" s="417" t="s">
        <v>2920</v>
      </c>
      <c r="E3995" s="396" t="s">
        <v>1067</v>
      </c>
      <c r="F3995" s="145">
        <v>2459.5</v>
      </c>
      <c r="G3995" s="133" t="s">
        <v>1034</v>
      </c>
      <c r="H3995" s="144" t="s">
        <v>1341</v>
      </c>
      <c r="I3995" s="133" t="s">
        <v>1092</v>
      </c>
      <c r="J3995" s="453" t="s">
        <v>2989</v>
      </c>
      <c r="K3995" s="143">
        <v>46174</v>
      </c>
      <c r="L3995" s="133" t="s">
        <v>1092</v>
      </c>
      <c r="M3995" s="133">
        <f>6741+389.5+2459.5+2713</f>
        <v>12303</v>
      </c>
      <c r="N3995" s="147">
        <f>+F3995+F3996+F3997+F3998-M3995-M3996-M3997</f>
        <v>0</v>
      </c>
      <c r="O3995" s="141"/>
      <c r="P3995" s="140"/>
    </row>
    <row r="3996" spans="1:16" x14ac:dyDescent="0.35">
      <c r="A3996" s="149"/>
      <c r="B3996" s="143"/>
      <c r="C3996" s="403"/>
      <c r="D3996" s="404"/>
      <c r="E3996" s="145" t="s">
        <v>1075</v>
      </c>
      <c r="F3996" s="145">
        <v>1129.5</v>
      </c>
      <c r="G3996" s="133" t="s">
        <v>1034</v>
      </c>
      <c r="H3996" s="144" t="s">
        <v>1341</v>
      </c>
      <c r="I3996" s="133" t="s">
        <v>1092</v>
      </c>
      <c r="J3996" s="458" t="s">
        <v>2995</v>
      </c>
      <c r="K3996" s="143">
        <v>46174</v>
      </c>
      <c r="L3996" s="133" t="s">
        <v>1092</v>
      </c>
      <c r="M3996" s="133">
        <v>8049</v>
      </c>
      <c r="N3996" s="147"/>
      <c r="O3996" s="141"/>
      <c r="P3996" s="140"/>
    </row>
    <row r="3997" spans="1:16" x14ac:dyDescent="0.35">
      <c r="A3997" s="149"/>
      <c r="B3997" s="143"/>
      <c r="C3997" s="403"/>
      <c r="D3997" s="404"/>
      <c r="E3997" s="418" t="s">
        <v>1112</v>
      </c>
      <c r="F3997" s="145">
        <v>2713</v>
      </c>
      <c r="G3997" s="133" t="s">
        <v>1034</v>
      </c>
      <c r="H3997" s="144" t="s">
        <v>1341</v>
      </c>
      <c r="I3997" s="133" t="s">
        <v>1092</v>
      </c>
      <c r="J3997" s="466" t="s">
        <v>3007</v>
      </c>
      <c r="K3997" s="143">
        <v>46174</v>
      </c>
      <c r="L3997" s="133" t="s">
        <v>1241</v>
      </c>
      <c r="M3997" s="133">
        <v>740</v>
      </c>
      <c r="N3997" s="147"/>
      <c r="O3997" s="141"/>
      <c r="P3997" s="140"/>
    </row>
    <row r="3998" spans="1:16" x14ac:dyDescent="0.35">
      <c r="A3998" s="149"/>
      <c r="B3998" s="143"/>
      <c r="C3998" s="403"/>
      <c r="D3998" s="404"/>
      <c r="E3998" s="145" t="s">
        <v>1064</v>
      </c>
      <c r="F3998" s="145">
        <v>14790</v>
      </c>
      <c r="G3998" s="133"/>
      <c r="H3998" s="144"/>
      <c r="I3998" s="133"/>
      <c r="J3998" s="339"/>
      <c r="K3998" s="143"/>
      <c r="L3998" s="133"/>
      <c r="M3998" s="133"/>
      <c r="N3998" s="147"/>
      <c r="O3998" s="141"/>
      <c r="P3998" s="140"/>
    </row>
    <row r="3999" spans="1:16" x14ac:dyDescent="0.35">
      <c r="A3999" s="149"/>
      <c r="B3999" s="143"/>
      <c r="C3999" s="403"/>
      <c r="D3999" s="404"/>
      <c r="E3999" s="418"/>
      <c r="F3999" s="145"/>
      <c r="G3999" s="133"/>
      <c r="H3999" s="144"/>
      <c r="I3999" s="133"/>
      <c r="J3999" s="339"/>
      <c r="K3999" s="143"/>
      <c r="L3999" s="133"/>
      <c r="M3999" s="133"/>
      <c r="N3999" s="147"/>
      <c r="O3999" s="141"/>
      <c r="P3999" s="140"/>
    </row>
    <row r="4000" spans="1:16" x14ac:dyDescent="0.35">
      <c r="A4000" s="149">
        <v>30</v>
      </c>
      <c r="B4000" s="143">
        <v>46143</v>
      </c>
      <c r="C4000" s="416" t="s">
        <v>1884</v>
      </c>
      <c r="D4000" s="417" t="s">
        <v>2921</v>
      </c>
      <c r="E4000" s="396" t="s">
        <v>1067</v>
      </c>
      <c r="F4000" s="145">
        <v>4710.1000000000004</v>
      </c>
      <c r="G4000" s="133" t="s">
        <v>1034</v>
      </c>
      <c r="H4000" s="144" t="s">
        <v>1341</v>
      </c>
      <c r="I4000" s="133" t="s">
        <v>1092</v>
      </c>
      <c r="J4000" s="458" t="s">
        <v>2995</v>
      </c>
      <c r="K4000" s="143">
        <v>46174</v>
      </c>
      <c r="L4000" s="133" t="s">
        <v>1092</v>
      </c>
      <c r="M4000" s="133">
        <v>19621.75</v>
      </c>
      <c r="N4000" s="147">
        <f>+F4000+F4001+F4002+F4003+F4004-M4000-M4001</f>
        <v>0</v>
      </c>
      <c r="O4000" s="141"/>
      <c r="P4000" s="140"/>
    </row>
    <row r="4001" spans="1:16" x14ac:dyDescent="0.35">
      <c r="A4001" s="149"/>
      <c r="B4001" s="143"/>
      <c r="C4001" s="403"/>
      <c r="D4001" s="404"/>
      <c r="E4001" s="145" t="s">
        <v>1075</v>
      </c>
      <c r="F4001" s="145">
        <v>3522</v>
      </c>
      <c r="G4001" s="133" t="s">
        <v>1034</v>
      </c>
      <c r="H4001" s="144" t="s">
        <v>1341</v>
      </c>
      <c r="I4001" s="133" t="s">
        <v>1092</v>
      </c>
      <c r="J4001" s="466" t="s">
        <v>3007</v>
      </c>
      <c r="K4001" s="143">
        <v>46174</v>
      </c>
      <c r="L4001" s="133" t="s">
        <v>1241</v>
      </c>
      <c r="M4001" s="133">
        <v>764</v>
      </c>
      <c r="N4001" s="147"/>
      <c r="O4001" s="141"/>
      <c r="P4001" s="140"/>
    </row>
    <row r="4002" spans="1:16" x14ac:dyDescent="0.35">
      <c r="A4002" s="149"/>
      <c r="B4002" s="143"/>
      <c r="C4002" s="403"/>
      <c r="D4002" s="404"/>
      <c r="E4002" s="145" t="s">
        <v>1118</v>
      </c>
      <c r="F4002" s="145">
        <v>177.4</v>
      </c>
      <c r="G4002" s="133"/>
      <c r="H4002" s="144"/>
      <c r="I4002" s="133"/>
      <c r="J4002" s="339"/>
      <c r="K4002" s="143"/>
      <c r="L4002" s="133"/>
      <c r="M4002" s="133"/>
      <c r="N4002" s="147"/>
      <c r="O4002" s="141"/>
      <c r="P4002" s="140"/>
    </row>
    <row r="4003" spans="1:16" x14ac:dyDescent="0.35">
      <c r="A4003" s="149"/>
      <c r="B4003" s="143"/>
      <c r="C4003" s="403"/>
      <c r="D4003" s="404"/>
      <c r="E4003" s="145" t="s">
        <v>1064</v>
      </c>
      <c r="F4003" s="145">
        <v>11641.65</v>
      </c>
      <c r="G4003" s="133"/>
      <c r="H4003" s="144"/>
      <c r="I4003" s="133"/>
      <c r="J4003" s="339"/>
      <c r="K4003" s="143"/>
      <c r="L4003" s="133"/>
      <c r="M4003" s="133"/>
      <c r="N4003" s="147"/>
      <c r="O4003" s="141"/>
      <c r="P4003" s="140"/>
    </row>
    <row r="4004" spans="1:16" x14ac:dyDescent="0.35">
      <c r="A4004" s="149"/>
      <c r="B4004" s="143"/>
      <c r="C4004" s="403"/>
      <c r="D4004" s="404"/>
      <c r="E4004" s="393" t="s">
        <v>1071</v>
      </c>
      <c r="F4004" s="145">
        <v>334.6</v>
      </c>
      <c r="G4004" s="133"/>
      <c r="H4004" s="144"/>
      <c r="I4004" s="133"/>
      <c r="J4004" s="339"/>
      <c r="K4004" s="143"/>
      <c r="L4004" s="133"/>
      <c r="M4004" s="133"/>
      <c r="N4004" s="147"/>
      <c r="O4004" s="141"/>
      <c r="P4004" s="140"/>
    </row>
    <row r="4005" spans="1:16" x14ac:dyDescent="0.35">
      <c r="A4005" s="149"/>
      <c r="B4005" s="143"/>
      <c r="C4005" s="133"/>
      <c r="D4005" s="133"/>
      <c r="E4005" s="145"/>
      <c r="F4005" s="145"/>
      <c r="G4005" s="133"/>
      <c r="H4005" s="144"/>
      <c r="I4005" s="133"/>
      <c r="J4005" s="133"/>
      <c r="K4005" s="133"/>
      <c r="L4005" s="133"/>
      <c r="M4005" s="133"/>
      <c r="N4005" s="147"/>
      <c r="O4005" s="141"/>
      <c r="P4005" s="140"/>
    </row>
    <row r="4006" spans="1:16" x14ac:dyDescent="0.35">
      <c r="A4006" s="149">
        <v>31</v>
      </c>
      <c r="B4006" s="143">
        <v>46143</v>
      </c>
      <c r="C4006" s="416" t="s">
        <v>1882</v>
      </c>
      <c r="D4006" s="417" t="s">
        <v>2922</v>
      </c>
      <c r="E4006" s="396" t="s">
        <v>1067</v>
      </c>
      <c r="F4006" s="145">
        <v>1137</v>
      </c>
      <c r="G4006" s="133" t="s">
        <v>1034</v>
      </c>
      <c r="H4006" s="144" t="s">
        <v>1341</v>
      </c>
      <c r="I4006" s="133" t="s">
        <v>1092</v>
      </c>
      <c r="J4006" s="458" t="s">
        <v>2995</v>
      </c>
      <c r="K4006" s="143">
        <v>46174</v>
      </c>
      <c r="L4006" s="133" t="s">
        <v>1092</v>
      </c>
      <c r="M4006" s="133">
        <v>11079</v>
      </c>
      <c r="N4006" s="147">
        <f>+F4006+F4007+F4008-M4006-M4007</f>
        <v>0</v>
      </c>
      <c r="O4006" s="141"/>
      <c r="P4006" s="140"/>
    </row>
    <row r="4007" spans="1:16" x14ac:dyDescent="0.35">
      <c r="A4007" s="149"/>
      <c r="B4007" s="143"/>
      <c r="C4007" s="403"/>
      <c r="D4007" s="404"/>
      <c r="E4007" s="418" t="s">
        <v>1112</v>
      </c>
      <c r="F4007" s="145">
        <v>56</v>
      </c>
      <c r="G4007" s="133" t="s">
        <v>1034</v>
      </c>
      <c r="H4007" s="144" t="s">
        <v>1341</v>
      </c>
      <c r="I4007" s="133" t="s">
        <v>1092</v>
      </c>
      <c r="J4007" s="466" t="s">
        <v>3007</v>
      </c>
      <c r="K4007" s="143">
        <v>46174</v>
      </c>
      <c r="L4007" s="133" t="s">
        <v>1241</v>
      </c>
      <c r="M4007" s="133">
        <v>410</v>
      </c>
      <c r="N4007" s="147"/>
      <c r="O4007" s="141"/>
      <c r="P4007" s="140"/>
    </row>
    <row r="4008" spans="1:16" x14ac:dyDescent="0.35">
      <c r="A4008" s="149"/>
      <c r="B4008" s="143"/>
      <c r="C4008" s="403"/>
      <c r="D4008" s="404"/>
      <c r="E4008" s="145" t="s">
        <v>1064</v>
      </c>
      <c r="F4008" s="145">
        <v>10296</v>
      </c>
      <c r="G4008" s="133"/>
      <c r="H4008" s="144"/>
      <c r="I4008" s="133"/>
      <c r="J4008" s="339"/>
      <c r="K4008" s="143"/>
      <c r="L4008" s="133"/>
      <c r="M4008" s="133"/>
      <c r="N4008" s="147"/>
      <c r="O4008" s="141"/>
      <c r="P4008" s="140"/>
    </row>
    <row r="4009" spans="1:16" x14ac:dyDescent="0.35">
      <c r="A4009" s="149"/>
      <c r="B4009" s="143"/>
      <c r="C4009" s="133"/>
      <c r="D4009" s="133"/>
      <c r="E4009" s="145"/>
      <c r="F4009" s="145"/>
      <c r="G4009" s="133"/>
      <c r="H4009" s="144"/>
      <c r="I4009" s="133"/>
      <c r="J4009" s="133"/>
      <c r="K4009" s="133"/>
      <c r="L4009" s="133"/>
      <c r="M4009" s="133"/>
      <c r="N4009" s="147"/>
      <c r="O4009" s="141"/>
      <c r="P4009" s="140"/>
    </row>
    <row r="4010" spans="1:16" x14ac:dyDescent="0.35">
      <c r="A4010" s="149">
        <v>32</v>
      </c>
      <c r="B4010" s="143">
        <v>46143</v>
      </c>
      <c r="C4010" s="420" t="s">
        <v>1880</v>
      </c>
      <c r="D4010" s="421" t="s">
        <v>2930</v>
      </c>
      <c r="E4010" s="145" t="s">
        <v>1118</v>
      </c>
      <c r="F4010" s="145">
        <v>5173.8999999999996</v>
      </c>
      <c r="G4010" s="133" t="s">
        <v>1034</v>
      </c>
      <c r="H4010" s="144" t="s">
        <v>1341</v>
      </c>
      <c r="I4010" s="133" t="s">
        <v>1092</v>
      </c>
      <c r="J4010" s="458" t="s">
        <v>2995</v>
      </c>
      <c r="K4010" s="143">
        <v>46174</v>
      </c>
      <c r="L4010" s="133" t="s">
        <v>1092</v>
      </c>
      <c r="M4010" s="133">
        <v>12456.4</v>
      </c>
      <c r="N4010" s="147">
        <f>+F4010+F4011+F4012+F4013+F4014-M4010-M4011</f>
        <v>0</v>
      </c>
      <c r="O4010" s="141"/>
      <c r="P4010" s="140"/>
    </row>
    <row r="4011" spans="1:16" x14ac:dyDescent="0.35">
      <c r="A4011" s="149"/>
      <c r="B4011" s="143"/>
      <c r="C4011" s="403"/>
      <c r="D4011" s="404"/>
      <c r="E4011" s="145" t="s">
        <v>1064</v>
      </c>
      <c r="F4011" s="145">
        <v>4362</v>
      </c>
      <c r="G4011" s="133" t="s">
        <v>1034</v>
      </c>
      <c r="H4011" s="144" t="s">
        <v>1341</v>
      </c>
      <c r="I4011" s="133" t="s">
        <v>1092</v>
      </c>
      <c r="J4011" s="466" t="s">
        <v>3007</v>
      </c>
      <c r="K4011" s="143">
        <v>46174</v>
      </c>
      <c r="L4011" s="133" t="s">
        <v>1241</v>
      </c>
      <c r="M4011" s="133">
        <v>475</v>
      </c>
      <c r="N4011" s="147"/>
      <c r="O4011" s="141"/>
      <c r="P4011" s="140"/>
    </row>
    <row r="4012" spans="1:16" x14ac:dyDescent="0.35">
      <c r="A4012" s="149"/>
      <c r="B4012" s="143"/>
      <c r="C4012" s="403"/>
      <c r="D4012" s="404"/>
      <c r="E4012" s="418" t="s">
        <v>1112</v>
      </c>
      <c r="F4012" s="145">
        <v>75.5</v>
      </c>
      <c r="G4012" s="133"/>
      <c r="H4012" s="144"/>
      <c r="I4012" s="133"/>
      <c r="J4012" s="339"/>
      <c r="K4012" s="143"/>
      <c r="L4012" s="133"/>
      <c r="M4012" s="133"/>
      <c r="N4012" s="147"/>
      <c r="O4012" s="141"/>
      <c r="P4012" s="140"/>
    </row>
    <row r="4013" spans="1:16" x14ac:dyDescent="0.35">
      <c r="A4013" s="149"/>
      <c r="B4013" s="143"/>
      <c r="C4013" s="133"/>
      <c r="D4013" s="133"/>
      <c r="E4013" s="145" t="s">
        <v>1075</v>
      </c>
      <c r="F4013" s="145">
        <v>2077</v>
      </c>
      <c r="G4013" s="133"/>
      <c r="H4013" s="144"/>
      <c r="I4013" s="133"/>
      <c r="J4013" s="133"/>
      <c r="K4013" s="133"/>
      <c r="L4013" s="133"/>
      <c r="M4013" s="133"/>
      <c r="N4013" s="147"/>
      <c r="O4013" s="141"/>
      <c r="P4013" s="140"/>
    </row>
    <row r="4014" spans="1:16" x14ac:dyDescent="0.35">
      <c r="A4014" s="149"/>
      <c r="B4014" s="143"/>
      <c r="C4014" s="133"/>
      <c r="D4014" s="133"/>
      <c r="E4014" s="396" t="s">
        <v>1067</v>
      </c>
      <c r="F4014" s="145">
        <v>1243</v>
      </c>
      <c r="G4014" s="133"/>
      <c r="H4014" s="144"/>
      <c r="I4014" s="133"/>
      <c r="J4014" s="133"/>
      <c r="K4014" s="133"/>
      <c r="L4014" s="133"/>
      <c r="M4014" s="133"/>
      <c r="N4014" s="147"/>
      <c r="O4014" s="141"/>
      <c r="P4014" s="140"/>
    </row>
    <row r="4015" spans="1:16" x14ac:dyDescent="0.35">
      <c r="A4015" s="149"/>
      <c r="B4015" s="143"/>
      <c r="C4015" s="133"/>
      <c r="D4015" s="133"/>
      <c r="E4015" s="145"/>
      <c r="F4015" s="145"/>
      <c r="G4015" s="133"/>
      <c r="H4015" s="144"/>
      <c r="I4015" s="133"/>
      <c r="J4015" s="133"/>
      <c r="K4015" s="133"/>
      <c r="L4015" s="133"/>
      <c r="M4015" s="133"/>
      <c r="N4015" s="147"/>
      <c r="O4015" s="141"/>
      <c r="P4015" s="140"/>
    </row>
    <row r="4016" spans="1:16" x14ac:dyDescent="0.35">
      <c r="A4016" s="149">
        <v>33</v>
      </c>
      <c r="B4016" s="143">
        <v>46143</v>
      </c>
      <c r="C4016" s="420" t="s">
        <v>1878</v>
      </c>
      <c r="D4016" s="421" t="s">
        <v>2931</v>
      </c>
      <c r="E4016" s="145" t="s">
        <v>1118</v>
      </c>
      <c r="F4016" s="145">
        <v>95.1</v>
      </c>
      <c r="G4016" s="133" t="s">
        <v>1034</v>
      </c>
      <c r="H4016" s="144" t="s">
        <v>1341</v>
      </c>
      <c r="I4016" s="133" t="s">
        <v>1092</v>
      </c>
      <c r="J4016" s="466" t="s">
        <v>3006</v>
      </c>
      <c r="K4016" s="143">
        <v>46174</v>
      </c>
      <c r="L4016" s="133" t="s">
        <v>1092</v>
      </c>
      <c r="M4016" s="133">
        <v>7191.3000000000011</v>
      </c>
      <c r="N4016" s="147">
        <f>+F4016+F4017+F4018+F4019+F4020-M4016-M4017</f>
        <v>0</v>
      </c>
      <c r="O4016" s="141"/>
      <c r="P4016" s="140"/>
    </row>
    <row r="4017" spans="1:16" x14ac:dyDescent="0.35">
      <c r="A4017" s="149"/>
      <c r="B4017" s="143"/>
      <c r="C4017" s="403"/>
      <c r="D4017" s="404"/>
      <c r="E4017" s="145" t="s">
        <v>1064</v>
      </c>
      <c r="F4017" s="145">
        <v>4359</v>
      </c>
      <c r="G4017" s="133" t="s">
        <v>1034</v>
      </c>
      <c r="H4017" s="144" t="s">
        <v>1341</v>
      </c>
      <c r="I4017" s="133" t="s">
        <v>1092</v>
      </c>
      <c r="J4017" s="466" t="s">
        <v>3007</v>
      </c>
      <c r="K4017" s="143">
        <v>46174</v>
      </c>
      <c r="L4017" s="133" t="s">
        <v>1241</v>
      </c>
      <c r="M4017" s="133">
        <v>247</v>
      </c>
      <c r="N4017" s="147"/>
      <c r="O4017" s="141"/>
      <c r="P4017" s="140"/>
    </row>
    <row r="4018" spans="1:16" x14ac:dyDescent="0.35">
      <c r="A4018" s="149"/>
      <c r="B4018" s="143"/>
      <c r="C4018" s="403"/>
      <c r="D4018" s="404"/>
      <c r="E4018" s="418" t="s">
        <v>1112</v>
      </c>
      <c r="F4018" s="145">
        <v>965</v>
      </c>
      <c r="G4018" s="133"/>
      <c r="H4018" s="144"/>
      <c r="I4018" s="133"/>
      <c r="J4018" s="339"/>
      <c r="K4018" s="143"/>
      <c r="L4018" s="133"/>
      <c r="M4018" s="133"/>
      <c r="N4018" s="147"/>
      <c r="O4018" s="141"/>
      <c r="P4018" s="140"/>
    </row>
    <row r="4019" spans="1:16" x14ac:dyDescent="0.35">
      <c r="A4019" s="149"/>
      <c r="B4019" s="143"/>
      <c r="C4019" s="133"/>
      <c r="D4019" s="133"/>
      <c r="E4019" s="393" t="s">
        <v>1071</v>
      </c>
      <c r="F4019" s="145">
        <v>134.30000000000001</v>
      </c>
      <c r="G4019" s="133"/>
      <c r="H4019" s="144"/>
      <c r="I4019" s="133"/>
      <c r="J4019" s="133"/>
      <c r="K4019" s="133"/>
      <c r="L4019" s="133"/>
      <c r="M4019" s="133"/>
      <c r="N4019" s="147"/>
      <c r="O4019" s="141"/>
      <c r="P4019" s="140"/>
    </row>
    <row r="4020" spans="1:16" x14ac:dyDescent="0.35">
      <c r="A4020" s="149"/>
      <c r="B4020" s="143"/>
      <c r="C4020" s="133"/>
      <c r="D4020" s="133"/>
      <c r="E4020" s="396" t="s">
        <v>1067</v>
      </c>
      <c r="F4020" s="145">
        <v>1884.9</v>
      </c>
      <c r="G4020" s="133"/>
      <c r="H4020" s="144"/>
      <c r="I4020" s="133"/>
      <c r="J4020" s="133"/>
      <c r="K4020" s="133"/>
      <c r="L4020" s="133"/>
      <c r="M4020" s="133"/>
      <c r="N4020" s="147"/>
      <c r="O4020" s="141"/>
      <c r="P4020" s="140"/>
    </row>
    <row r="4021" spans="1:16" x14ac:dyDescent="0.35">
      <c r="A4021" s="149"/>
      <c r="B4021" s="143"/>
      <c r="C4021" s="133"/>
      <c r="D4021" s="133"/>
      <c r="E4021" s="145"/>
      <c r="F4021" s="145"/>
      <c r="G4021" s="133"/>
      <c r="H4021" s="144"/>
      <c r="I4021" s="133"/>
      <c r="J4021" s="133"/>
      <c r="K4021" s="133"/>
      <c r="L4021" s="133"/>
      <c r="M4021" s="133"/>
      <c r="N4021" s="147"/>
      <c r="O4021" s="141"/>
      <c r="P4021" s="140"/>
    </row>
    <row r="4022" spans="1:16" x14ac:dyDescent="0.35">
      <c r="A4022" s="149">
        <v>34</v>
      </c>
      <c r="B4022" s="143">
        <v>46143</v>
      </c>
      <c r="C4022" s="420" t="s">
        <v>1876</v>
      </c>
      <c r="D4022" s="421" t="s">
        <v>2932</v>
      </c>
      <c r="E4022" s="145" t="s">
        <v>1064</v>
      </c>
      <c r="F4022" s="145">
        <f>12040+36</f>
        <v>12076</v>
      </c>
      <c r="G4022" s="133" t="s">
        <v>1034</v>
      </c>
      <c r="H4022" s="144" t="s">
        <v>1341</v>
      </c>
      <c r="I4022" s="133" t="s">
        <v>1092</v>
      </c>
      <c r="J4022" s="466" t="s">
        <v>3006</v>
      </c>
      <c r="K4022" s="143">
        <v>46174</v>
      </c>
      <c r="L4022" s="133" t="s">
        <v>1092</v>
      </c>
      <c r="M4022" s="133">
        <v>11845.5</v>
      </c>
      <c r="N4022" s="147">
        <f>+F4022+F4023+F4024-M4022-M4023</f>
        <v>0</v>
      </c>
      <c r="O4022" s="141"/>
      <c r="P4022" s="140"/>
    </row>
    <row r="4023" spans="1:16" x14ac:dyDescent="0.35">
      <c r="A4023" s="149"/>
      <c r="B4023" s="143"/>
      <c r="C4023" s="403"/>
      <c r="D4023" s="404"/>
      <c r="E4023" s="418" t="s">
        <v>1112</v>
      </c>
      <c r="F4023" s="145">
        <v>73.5</v>
      </c>
      <c r="G4023" s="133" t="s">
        <v>1034</v>
      </c>
      <c r="H4023" s="144" t="s">
        <v>1341</v>
      </c>
      <c r="I4023" s="133" t="s">
        <v>1092</v>
      </c>
      <c r="J4023" s="466" t="s">
        <v>3007</v>
      </c>
      <c r="K4023" s="143">
        <v>46174</v>
      </c>
      <c r="L4023" s="133" t="s">
        <v>1241</v>
      </c>
      <c r="M4023" s="133">
        <v>411</v>
      </c>
      <c r="N4023" s="147"/>
      <c r="O4023" s="141"/>
      <c r="P4023" s="140"/>
    </row>
    <row r="4024" spans="1:16" x14ac:dyDescent="0.35">
      <c r="A4024" s="149"/>
      <c r="B4024" s="143"/>
      <c r="C4024" s="403"/>
      <c r="D4024" s="404"/>
      <c r="E4024" s="396" t="s">
        <v>1067</v>
      </c>
      <c r="F4024" s="145">
        <v>107</v>
      </c>
      <c r="G4024" s="133"/>
      <c r="H4024" s="144"/>
      <c r="I4024" s="133"/>
      <c r="J4024" s="339"/>
      <c r="K4024" s="143"/>
      <c r="L4024" s="133"/>
      <c r="M4024" s="133"/>
      <c r="N4024" s="147"/>
      <c r="O4024" s="141"/>
      <c r="P4024" s="140"/>
    </row>
    <row r="4025" spans="1:16" x14ac:dyDescent="0.35">
      <c r="A4025" s="149"/>
      <c r="B4025" s="143"/>
      <c r="C4025" s="133"/>
      <c r="D4025" s="133"/>
      <c r="E4025" s="393"/>
      <c r="F4025" s="145"/>
      <c r="G4025" s="133"/>
      <c r="H4025" s="144"/>
      <c r="I4025" s="133"/>
      <c r="J4025" s="133"/>
      <c r="K4025" s="133"/>
      <c r="L4025" s="133"/>
      <c r="M4025" s="133"/>
      <c r="N4025" s="147"/>
      <c r="O4025" s="141"/>
      <c r="P4025" s="140"/>
    </row>
    <row r="4026" spans="1:16" x14ac:dyDescent="0.35">
      <c r="A4026" s="149">
        <v>35</v>
      </c>
      <c r="B4026" s="143">
        <v>46143</v>
      </c>
      <c r="C4026" s="420" t="s">
        <v>1873</v>
      </c>
      <c r="D4026" s="421" t="s">
        <v>2933</v>
      </c>
      <c r="E4026" s="145" t="s">
        <v>1064</v>
      </c>
      <c r="F4026" s="145">
        <f>270+8510</f>
        <v>8780</v>
      </c>
      <c r="G4026" s="133" t="s">
        <v>1034</v>
      </c>
      <c r="H4026" s="144" t="s">
        <v>1341</v>
      </c>
      <c r="I4026" s="133" t="s">
        <v>1092</v>
      </c>
      <c r="J4026" s="466" t="s">
        <v>3006</v>
      </c>
      <c r="K4026" s="143">
        <v>46174</v>
      </c>
      <c r="L4026" s="133" t="s">
        <v>1092</v>
      </c>
      <c r="M4026" s="133">
        <v>15318</v>
      </c>
      <c r="N4026" s="147">
        <f>+F4026+F4027+F4028+F4029-M4026-M4027</f>
        <v>0</v>
      </c>
      <c r="O4026" s="141"/>
      <c r="P4026" s="140"/>
    </row>
    <row r="4027" spans="1:16" x14ac:dyDescent="0.35">
      <c r="A4027" s="149"/>
      <c r="B4027" s="143"/>
      <c r="C4027" s="403"/>
      <c r="D4027" s="404"/>
      <c r="E4027" s="418" t="s">
        <v>1112</v>
      </c>
      <c r="F4027" s="145">
        <v>147</v>
      </c>
      <c r="G4027" s="133" t="s">
        <v>1034</v>
      </c>
      <c r="H4027" s="144" t="s">
        <v>1341</v>
      </c>
      <c r="I4027" s="133" t="s">
        <v>1092</v>
      </c>
      <c r="J4027" s="466" t="s">
        <v>3007</v>
      </c>
      <c r="K4027" s="143">
        <v>46174</v>
      </c>
      <c r="L4027" s="133" t="s">
        <v>1241</v>
      </c>
      <c r="M4027" s="133">
        <v>548</v>
      </c>
      <c r="N4027" s="147"/>
      <c r="O4027" s="141"/>
      <c r="P4027" s="140"/>
    </row>
    <row r="4028" spans="1:16" x14ac:dyDescent="0.35">
      <c r="A4028" s="149"/>
      <c r="B4028" s="143"/>
      <c r="C4028" s="403"/>
      <c r="D4028" s="404"/>
      <c r="E4028" s="396" t="s">
        <v>1067</v>
      </c>
      <c r="F4028" s="145">
        <v>3837</v>
      </c>
      <c r="G4028" s="133"/>
      <c r="H4028" s="144"/>
      <c r="I4028" s="133"/>
      <c r="J4028" s="339"/>
      <c r="K4028" s="143"/>
      <c r="L4028" s="133"/>
      <c r="M4028" s="133"/>
      <c r="N4028" s="147"/>
      <c r="O4028" s="141"/>
      <c r="P4028" s="140"/>
    </row>
    <row r="4029" spans="1:16" x14ac:dyDescent="0.35">
      <c r="A4029" s="149"/>
      <c r="B4029" s="143"/>
      <c r="C4029" s="133"/>
      <c r="D4029" s="133"/>
      <c r="E4029" s="145" t="s">
        <v>1075</v>
      </c>
      <c r="F4029" s="145">
        <v>3102</v>
      </c>
      <c r="G4029" s="133"/>
      <c r="H4029" s="144"/>
      <c r="I4029" s="133"/>
      <c r="J4029" s="133"/>
      <c r="K4029" s="133"/>
      <c r="L4029" s="133"/>
      <c r="M4029" s="133"/>
      <c r="N4029" s="147"/>
      <c r="O4029" s="141"/>
      <c r="P4029" s="140"/>
    </row>
    <row r="4030" spans="1:16" x14ac:dyDescent="0.35">
      <c r="A4030" s="149"/>
      <c r="B4030" s="143"/>
      <c r="C4030" s="133"/>
      <c r="D4030" s="133"/>
      <c r="E4030" s="145"/>
      <c r="F4030" s="145"/>
      <c r="G4030" s="133"/>
      <c r="H4030" s="144"/>
      <c r="I4030" s="133"/>
      <c r="J4030" s="133"/>
      <c r="K4030" s="133"/>
      <c r="L4030" s="133"/>
      <c r="M4030" s="133"/>
      <c r="N4030" s="147"/>
      <c r="O4030" s="141"/>
      <c r="P4030" s="140"/>
    </row>
    <row r="4031" spans="1:16" x14ac:dyDescent="0.35">
      <c r="A4031" s="149">
        <v>36</v>
      </c>
      <c r="B4031" s="143">
        <v>46143</v>
      </c>
      <c r="C4031" s="420" t="s">
        <v>1870</v>
      </c>
      <c r="D4031" s="421" t="s">
        <v>2934</v>
      </c>
      <c r="E4031" s="145" t="s">
        <v>1064</v>
      </c>
      <c r="F4031" s="145">
        <v>11286.5</v>
      </c>
      <c r="G4031" s="133" t="s">
        <v>1034</v>
      </c>
      <c r="H4031" s="144" t="s">
        <v>1341</v>
      </c>
      <c r="I4031" s="133" t="s">
        <v>1092</v>
      </c>
      <c r="J4031" s="466" t="s">
        <v>3006</v>
      </c>
      <c r="K4031" s="143">
        <v>46174</v>
      </c>
      <c r="L4031" s="133" t="s">
        <v>1092</v>
      </c>
      <c r="M4031" s="133">
        <v>13955.5</v>
      </c>
      <c r="N4031" s="147">
        <f>+F4031+F4032-M4031-M4032</f>
        <v>0</v>
      </c>
      <c r="O4031" s="141"/>
      <c r="P4031" s="140"/>
    </row>
    <row r="4032" spans="1:16" x14ac:dyDescent="0.35">
      <c r="A4032" s="149"/>
      <c r="B4032" s="143"/>
      <c r="C4032" s="403"/>
      <c r="D4032" s="404"/>
      <c r="E4032" s="396" t="s">
        <v>1067</v>
      </c>
      <c r="F4032" s="145">
        <v>3188</v>
      </c>
      <c r="G4032" s="133" t="s">
        <v>1034</v>
      </c>
      <c r="H4032" s="144" t="s">
        <v>1341</v>
      </c>
      <c r="I4032" s="133" t="s">
        <v>1092</v>
      </c>
      <c r="J4032" s="466" t="s">
        <v>3007</v>
      </c>
      <c r="K4032" s="143">
        <v>46174</v>
      </c>
      <c r="L4032" s="133" t="s">
        <v>1241</v>
      </c>
      <c r="M4032" s="133">
        <v>519</v>
      </c>
      <c r="N4032" s="147"/>
      <c r="O4032" s="141"/>
      <c r="P4032" s="140"/>
    </row>
    <row r="4033" spans="1:16" x14ac:dyDescent="0.35">
      <c r="A4033" s="149"/>
      <c r="B4033" s="143"/>
      <c r="C4033" s="403"/>
      <c r="D4033" s="404"/>
      <c r="E4033" s="396"/>
      <c r="F4033" s="145"/>
      <c r="G4033" s="133"/>
      <c r="H4033" s="144"/>
      <c r="I4033" s="133"/>
      <c r="J4033" s="339"/>
      <c r="K4033" s="143"/>
      <c r="L4033" s="133"/>
      <c r="M4033" s="133"/>
      <c r="N4033" s="147"/>
      <c r="O4033" s="141"/>
      <c r="P4033" s="140"/>
    </row>
    <row r="4034" spans="1:16" x14ac:dyDescent="0.35">
      <c r="A4034" s="149">
        <v>37</v>
      </c>
      <c r="B4034" s="143">
        <v>46143</v>
      </c>
      <c r="C4034" s="420" t="s">
        <v>1868</v>
      </c>
      <c r="D4034" s="421" t="s">
        <v>2935</v>
      </c>
      <c r="E4034" s="145" t="s">
        <v>1064</v>
      </c>
      <c r="F4034" s="145">
        <f>2441+534</f>
        <v>2975</v>
      </c>
      <c r="G4034" s="133" t="s">
        <v>1034</v>
      </c>
      <c r="H4034" s="144" t="s">
        <v>1341</v>
      </c>
      <c r="I4034" s="133" t="s">
        <v>1092</v>
      </c>
      <c r="J4034" s="466" t="s">
        <v>3006</v>
      </c>
      <c r="K4034" s="143">
        <v>46174</v>
      </c>
      <c r="L4034" s="133" t="s">
        <v>1092</v>
      </c>
      <c r="M4034" s="133">
        <v>7772.2</v>
      </c>
      <c r="N4034" s="147">
        <f>+F4034+F4035+F4036-M4034-M4035</f>
        <v>0</v>
      </c>
      <c r="O4034" s="141"/>
      <c r="P4034" s="140"/>
    </row>
    <row r="4035" spans="1:16" x14ac:dyDescent="0.35">
      <c r="A4035" s="149"/>
      <c r="B4035" s="143"/>
      <c r="C4035" s="403"/>
      <c r="D4035" s="404"/>
      <c r="E4035" s="396" t="s">
        <v>1067</v>
      </c>
      <c r="F4035" s="145">
        <v>4993.2</v>
      </c>
      <c r="G4035" s="133" t="s">
        <v>1034</v>
      </c>
      <c r="H4035" s="144" t="s">
        <v>1341</v>
      </c>
      <c r="I4035" s="133" t="s">
        <v>1092</v>
      </c>
      <c r="J4035" s="466" t="s">
        <v>3007</v>
      </c>
      <c r="K4035" s="143">
        <v>46174</v>
      </c>
      <c r="L4035" s="133" t="s">
        <v>1241</v>
      </c>
      <c r="M4035" s="133">
        <v>298</v>
      </c>
      <c r="N4035" s="147"/>
      <c r="O4035" s="141"/>
      <c r="P4035" s="140"/>
    </row>
    <row r="4036" spans="1:16" x14ac:dyDescent="0.35">
      <c r="A4036" s="149"/>
      <c r="B4036" s="143"/>
      <c r="C4036" s="133"/>
      <c r="D4036" s="133"/>
      <c r="E4036" s="418" t="s">
        <v>1112</v>
      </c>
      <c r="F4036" s="145">
        <v>102</v>
      </c>
      <c r="G4036" s="133"/>
      <c r="H4036" s="144"/>
      <c r="I4036" s="133"/>
      <c r="J4036" s="133"/>
      <c r="K4036" s="133"/>
      <c r="L4036" s="133"/>
      <c r="M4036" s="133"/>
      <c r="N4036" s="147"/>
      <c r="O4036" s="141"/>
      <c r="P4036" s="140"/>
    </row>
    <row r="4037" spans="1:16" x14ac:dyDescent="0.35">
      <c r="A4037" s="149"/>
      <c r="B4037" s="143"/>
      <c r="C4037" s="133"/>
      <c r="D4037" s="133"/>
      <c r="E4037" s="145"/>
      <c r="F4037" s="145"/>
      <c r="G4037" s="133"/>
      <c r="H4037" s="144"/>
      <c r="I4037" s="133"/>
      <c r="J4037" s="133"/>
      <c r="K4037" s="133"/>
      <c r="L4037" s="133"/>
      <c r="M4037" s="133"/>
      <c r="N4037" s="147"/>
      <c r="O4037" s="141"/>
      <c r="P4037" s="140"/>
    </row>
    <row r="4038" spans="1:16" x14ac:dyDescent="0.35">
      <c r="A4038" s="149">
        <v>38</v>
      </c>
      <c r="B4038" s="143">
        <v>46143</v>
      </c>
      <c r="C4038" s="420" t="s">
        <v>1866</v>
      </c>
      <c r="D4038" s="421" t="s">
        <v>2936</v>
      </c>
      <c r="E4038" s="145" t="s">
        <v>1064</v>
      </c>
      <c r="F4038" s="145">
        <v>5344</v>
      </c>
      <c r="G4038" s="133" t="s">
        <v>1034</v>
      </c>
      <c r="H4038" s="144" t="s">
        <v>1341</v>
      </c>
      <c r="I4038" s="133" t="s">
        <v>1092</v>
      </c>
      <c r="J4038" s="466" t="s">
        <v>3006</v>
      </c>
      <c r="K4038" s="143">
        <v>46174</v>
      </c>
      <c r="L4038" s="133" t="s">
        <v>1092</v>
      </c>
      <c r="M4038" s="133">
        <v>13029.7</v>
      </c>
      <c r="N4038" s="147">
        <f>+F4038+F4039+F4040+F4041-M4038-M4039</f>
        <v>0</v>
      </c>
      <c r="O4038" s="141"/>
      <c r="P4038" s="140"/>
    </row>
    <row r="4039" spans="1:16" x14ac:dyDescent="0.35">
      <c r="A4039" s="149"/>
      <c r="B4039" s="143"/>
      <c r="C4039" s="403"/>
      <c r="D4039" s="404"/>
      <c r="E4039" s="396" t="s">
        <v>1067</v>
      </c>
      <c r="F4039" s="422">
        <v>1826</v>
      </c>
      <c r="G4039" s="133" t="s">
        <v>1034</v>
      </c>
      <c r="H4039" s="144" t="s">
        <v>1341</v>
      </c>
      <c r="I4039" s="133" t="s">
        <v>1092</v>
      </c>
      <c r="J4039" s="466" t="s">
        <v>3007</v>
      </c>
      <c r="K4039" s="143">
        <v>46174</v>
      </c>
      <c r="L4039" s="133" t="s">
        <v>1241</v>
      </c>
      <c r="M4039" s="133">
        <v>471</v>
      </c>
      <c r="N4039" s="147"/>
      <c r="O4039" s="141"/>
      <c r="P4039" s="140"/>
    </row>
    <row r="4040" spans="1:16" x14ac:dyDescent="0.35">
      <c r="A4040" s="149"/>
      <c r="B4040" s="143"/>
      <c r="C4040" s="133"/>
      <c r="D4040" s="133"/>
      <c r="E4040" s="145" t="s">
        <v>1075</v>
      </c>
      <c r="F4040" s="145">
        <v>3073</v>
      </c>
      <c r="G4040" s="133"/>
      <c r="H4040" s="144"/>
      <c r="I4040" s="133"/>
      <c r="J4040" s="133"/>
      <c r="K4040" s="133"/>
      <c r="L4040" s="133"/>
      <c r="M4040" s="133"/>
      <c r="N4040" s="147"/>
      <c r="O4040" s="141"/>
      <c r="P4040" s="140"/>
    </row>
    <row r="4041" spans="1:16" x14ac:dyDescent="0.35">
      <c r="A4041" s="149"/>
      <c r="B4041" s="143"/>
      <c r="C4041" s="133"/>
      <c r="D4041" s="133"/>
      <c r="E4041" s="145" t="s">
        <v>1118</v>
      </c>
      <c r="F4041" s="145">
        <v>3257.7</v>
      </c>
      <c r="G4041" s="133"/>
      <c r="H4041" s="144"/>
      <c r="I4041" s="133"/>
      <c r="J4041" s="133"/>
      <c r="K4041" s="133"/>
      <c r="L4041" s="133"/>
      <c r="M4041" s="133"/>
      <c r="N4041" s="147"/>
      <c r="O4041" s="141"/>
      <c r="P4041" s="140"/>
    </row>
    <row r="4042" spans="1:16" x14ac:dyDescent="0.35">
      <c r="A4042" s="149"/>
      <c r="B4042" s="143"/>
      <c r="C4042" s="133"/>
      <c r="D4042" s="133"/>
      <c r="E4042" s="145"/>
      <c r="F4042" s="145"/>
      <c r="G4042" s="133"/>
      <c r="H4042" s="144"/>
      <c r="I4042" s="133"/>
      <c r="J4042" s="133"/>
      <c r="K4042" s="133"/>
      <c r="L4042" s="133"/>
      <c r="M4042" s="133"/>
      <c r="N4042" s="147"/>
      <c r="O4042" s="141"/>
      <c r="P4042" s="140"/>
    </row>
    <row r="4043" spans="1:16" x14ac:dyDescent="0.35">
      <c r="A4043" s="149">
        <v>39</v>
      </c>
      <c r="B4043" s="143">
        <v>46143</v>
      </c>
      <c r="C4043" s="420" t="s">
        <v>1863</v>
      </c>
      <c r="D4043" s="421" t="s">
        <v>2937</v>
      </c>
      <c r="E4043" s="145" t="s">
        <v>1064</v>
      </c>
      <c r="F4043" s="145">
        <v>1600</v>
      </c>
      <c r="G4043" s="133" t="s">
        <v>1034</v>
      </c>
      <c r="H4043" s="144" t="s">
        <v>1341</v>
      </c>
      <c r="I4043" s="133" t="s">
        <v>1092</v>
      </c>
      <c r="J4043" s="466" t="s">
        <v>3006</v>
      </c>
      <c r="K4043" s="143">
        <v>46174</v>
      </c>
      <c r="L4043" s="133" t="s">
        <v>1092</v>
      </c>
      <c r="M4043" s="133">
        <v>4221</v>
      </c>
      <c r="N4043" s="147">
        <f>+F4043+F4044-M4043-M4044</f>
        <v>0</v>
      </c>
      <c r="O4043" s="141"/>
      <c r="P4043" s="140"/>
    </row>
    <row r="4044" spans="1:16" x14ac:dyDescent="0.35">
      <c r="A4044" s="149"/>
      <c r="B4044" s="143"/>
      <c r="C4044" s="403"/>
      <c r="D4044" s="404"/>
      <c r="E4044" s="396" t="s">
        <v>1067</v>
      </c>
      <c r="F4044" s="145">
        <v>2773</v>
      </c>
      <c r="G4044" s="133" t="s">
        <v>1034</v>
      </c>
      <c r="H4044" s="144" t="s">
        <v>1341</v>
      </c>
      <c r="I4044" s="133" t="s">
        <v>1092</v>
      </c>
      <c r="J4044" s="466" t="s">
        <v>3007</v>
      </c>
      <c r="K4044" s="143">
        <v>46174</v>
      </c>
      <c r="L4044" s="133" t="s">
        <v>1241</v>
      </c>
      <c r="M4044" s="133">
        <v>152</v>
      </c>
      <c r="N4044" s="147"/>
      <c r="O4044" s="141"/>
      <c r="P4044" s="140"/>
    </row>
    <row r="4045" spans="1:16" x14ac:dyDescent="0.35">
      <c r="A4045" s="149"/>
      <c r="B4045" s="143"/>
      <c r="C4045" s="133"/>
      <c r="D4045" s="133"/>
      <c r="E4045" s="145"/>
      <c r="F4045" s="145"/>
      <c r="G4045" s="133"/>
      <c r="H4045" s="144"/>
      <c r="I4045" s="133"/>
      <c r="J4045" s="133"/>
      <c r="K4045" s="133"/>
      <c r="L4045" s="133"/>
      <c r="M4045" s="133"/>
      <c r="N4045" s="142"/>
      <c r="O4045" s="141"/>
      <c r="P4045" s="140"/>
    </row>
    <row r="4046" spans="1:16" x14ac:dyDescent="0.35">
      <c r="A4046" s="149">
        <v>40</v>
      </c>
      <c r="B4046" s="143">
        <v>46143</v>
      </c>
      <c r="C4046" s="420" t="s">
        <v>1859</v>
      </c>
      <c r="D4046" s="421" t="s">
        <v>2938</v>
      </c>
      <c r="E4046" s="145" t="s">
        <v>1342</v>
      </c>
      <c r="F4046" s="145">
        <v>1185</v>
      </c>
      <c r="G4046" s="133" t="s">
        <v>1034</v>
      </c>
      <c r="H4046" s="144" t="s">
        <v>1341</v>
      </c>
      <c r="I4046" s="133" t="s">
        <v>1092</v>
      </c>
      <c r="J4046" s="466" t="s">
        <v>3007</v>
      </c>
      <c r="K4046" s="143">
        <v>46174</v>
      </c>
      <c r="L4046" s="133" t="s">
        <v>1241</v>
      </c>
      <c r="M4046" s="133">
        <v>248</v>
      </c>
      <c r="N4046" s="147">
        <f>+F4046+F4047-M4046-M4047</f>
        <v>0</v>
      </c>
      <c r="O4046" s="141"/>
      <c r="P4046" s="140"/>
    </row>
    <row r="4047" spans="1:16" x14ac:dyDescent="0.35">
      <c r="A4047" s="149"/>
      <c r="B4047" s="143"/>
      <c r="C4047" s="403"/>
      <c r="D4047" s="404"/>
      <c r="E4047" s="396" t="s">
        <v>1067</v>
      </c>
      <c r="F4047" s="145">
        <v>6725.8</v>
      </c>
      <c r="G4047" s="133" t="s">
        <v>1034</v>
      </c>
      <c r="H4047" s="144" t="s">
        <v>1341</v>
      </c>
      <c r="I4047" s="133" t="s">
        <v>1092</v>
      </c>
      <c r="J4047" s="476" t="s">
        <v>3064</v>
      </c>
      <c r="K4047" s="143">
        <v>46204</v>
      </c>
      <c r="L4047" s="133" t="s">
        <v>1092</v>
      </c>
      <c r="M4047" s="133">
        <v>7662.8</v>
      </c>
      <c r="N4047" s="147"/>
      <c r="O4047" s="141"/>
      <c r="P4047" s="140"/>
    </row>
    <row r="4048" spans="1:16" x14ac:dyDescent="0.35">
      <c r="A4048" s="149"/>
      <c r="B4048" s="143"/>
      <c r="C4048" s="133"/>
      <c r="D4048" s="133"/>
      <c r="E4048" s="145"/>
      <c r="F4048" s="145"/>
      <c r="G4048" s="133"/>
      <c r="H4048" s="144"/>
      <c r="I4048" s="133"/>
      <c r="J4048" s="133"/>
      <c r="K4048" s="133"/>
      <c r="L4048" s="133"/>
      <c r="M4048" s="133"/>
      <c r="N4048" s="142"/>
      <c r="O4048" s="141"/>
      <c r="P4048" s="140"/>
    </row>
    <row r="4049" spans="1:16" x14ac:dyDescent="0.35">
      <c r="A4049" s="149">
        <v>41</v>
      </c>
      <c r="B4049" s="143">
        <v>46143</v>
      </c>
      <c r="C4049" s="420" t="s">
        <v>1857</v>
      </c>
      <c r="D4049" s="421" t="s">
        <v>2939</v>
      </c>
      <c r="E4049" s="145" t="s">
        <v>1064</v>
      </c>
      <c r="F4049" s="145">
        <v>12037.9</v>
      </c>
      <c r="G4049" s="133" t="s">
        <v>1034</v>
      </c>
      <c r="H4049" s="144" t="s">
        <v>1341</v>
      </c>
      <c r="I4049" s="133" t="s">
        <v>1092</v>
      </c>
      <c r="J4049" s="466" t="s">
        <v>3007</v>
      </c>
      <c r="K4049" s="143">
        <v>46174</v>
      </c>
      <c r="L4049" s="133" t="s">
        <v>1241</v>
      </c>
      <c r="M4049" s="133">
        <v>479</v>
      </c>
      <c r="N4049" s="147">
        <f>+F4049+F4050-M4049-M4050</f>
        <v>0</v>
      </c>
      <c r="O4049" s="141"/>
      <c r="P4049" s="140"/>
    </row>
    <row r="4050" spans="1:16" x14ac:dyDescent="0.35">
      <c r="A4050" s="149"/>
      <c r="B4050" s="143"/>
      <c r="C4050" s="403"/>
      <c r="D4050" s="404"/>
      <c r="E4050" s="396" t="s">
        <v>1067</v>
      </c>
      <c r="F4050" s="145">
        <v>1212</v>
      </c>
      <c r="G4050" s="133" t="s">
        <v>1034</v>
      </c>
      <c r="H4050" s="144" t="s">
        <v>1341</v>
      </c>
      <c r="I4050" s="133" t="s">
        <v>1092</v>
      </c>
      <c r="J4050" s="476" t="s">
        <v>3064</v>
      </c>
      <c r="K4050" s="143">
        <v>46204</v>
      </c>
      <c r="L4050" s="133" t="s">
        <v>1092</v>
      </c>
      <c r="M4050" s="133">
        <v>12770.9</v>
      </c>
      <c r="N4050" s="147"/>
      <c r="O4050" s="141"/>
      <c r="P4050" s="140"/>
    </row>
    <row r="4051" spans="1:16" x14ac:dyDescent="0.35">
      <c r="A4051" s="149"/>
      <c r="B4051" s="143"/>
      <c r="C4051" s="133"/>
      <c r="D4051" s="133"/>
      <c r="E4051" s="145"/>
      <c r="F4051" s="145"/>
      <c r="G4051" s="133"/>
      <c r="H4051" s="144"/>
      <c r="I4051" s="133"/>
      <c r="J4051" s="133"/>
      <c r="K4051" s="133"/>
      <c r="L4051" s="133"/>
      <c r="M4051" s="133"/>
      <c r="N4051" s="142"/>
      <c r="O4051" s="141"/>
      <c r="P4051" s="140"/>
    </row>
    <row r="4052" spans="1:16" x14ac:dyDescent="0.35">
      <c r="A4052" s="149">
        <v>42</v>
      </c>
      <c r="B4052" s="143">
        <v>46143</v>
      </c>
      <c r="C4052" s="420" t="s">
        <v>1855</v>
      </c>
      <c r="D4052" s="421" t="s">
        <v>2940</v>
      </c>
      <c r="E4052" s="145" t="s">
        <v>1064</v>
      </c>
      <c r="F4052" s="145">
        <v>16507</v>
      </c>
      <c r="G4052" s="133" t="s">
        <v>1034</v>
      </c>
      <c r="H4052" s="144" t="s">
        <v>1341</v>
      </c>
      <c r="I4052" s="133" t="s">
        <v>1092</v>
      </c>
      <c r="J4052" s="476" t="s">
        <v>3064</v>
      </c>
      <c r="K4052" s="143">
        <v>46204</v>
      </c>
      <c r="L4052" s="133" t="s">
        <v>1092</v>
      </c>
      <c r="M4052" s="133">
        <v>26270.5</v>
      </c>
      <c r="N4052" s="147">
        <f>+F4052+F4053+F4054+F4055+F4056-M4052-M4053</f>
        <v>0</v>
      </c>
      <c r="O4052" s="141"/>
      <c r="P4052" s="140"/>
    </row>
    <row r="4053" spans="1:16" x14ac:dyDescent="0.35">
      <c r="A4053" s="149"/>
      <c r="B4053" s="143"/>
      <c r="C4053" s="403"/>
      <c r="D4053" s="404"/>
      <c r="E4053" s="396" t="s">
        <v>1067</v>
      </c>
      <c r="F4053" s="145">
        <v>2713</v>
      </c>
      <c r="G4053" s="133" t="s">
        <v>1034</v>
      </c>
      <c r="H4053" s="144" t="s">
        <v>1341</v>
      </c>
      <c r="I4053" s="133" t="s">
        <v>1092</v>
      </c>
      <c r="J4053" s="510" t="s">
        <v>3291</v>
      </c>
      <c r="K4053" s="143">
        <v>46204</v>
      </c>
      <c r="L4053" s="133" t="s">
        <v>1241</v>
      </c>
      <c r="M4053" s="133">
        <v>940</v>
      </c>
      <c r="N4053" s="147"/>
      <c r="O4053" s="141"/>
      <c r="P4053" s="140"/>
    </row>
    <row r="4054" spans="1:16" x14ac:dyDescent="0.35">
      <c r="A4054" s="149"/>
      <c r="B4054" s="143"/>
      <c r="C4054" s="133"/>
      <c r="D4054" s="133"/>
      <c r="E4054" s="145" t="s">
        <v>1075</v>
      </c>
      <c r="F4054" s="145">
        <v>5154</v>
      </c>
      <c r="G4054" s="133"/>
      <c r="H4054" s="144"/>
      <c r="I4054" s="133"/>
      <c r="J4054" s="133"/>
      <c r="K4054" s="133"/>
      <c r="L4054" s="133"/>
      <c r="M4054" s="133"/>
      <c r="N4054" s="147"/>
      <c r="O4054" s="141"/>
      <c r="P4054" s="140"/>
    </row>
    <row r="4055" spans="1:16" x14ac:dyDescent="0.35">
      <c r="A4055" s="149"/>
      <c r="B4055" s="143"/>
      <c r="C4055" s="133"/>
      <c r="D4055" s="133"/>
      <c r="E4055" s="418" t="s">
        <v>1112</v>
      </c>
      <c r="F4055" s="145">
        <v>248</v>
      </c>
      <c r="G4055" s="133"/>
      <c r="H4055" s="144"/>
      <c r="I4055" s="133"/>
      <c r="J4055" s="133"/>
      <c r="K4055" s="133"/>
      <c r="L4055" s="133"/>
      <c r="M4055" s="133"/>
      <c r="N4055" s="147"/>
      <c r="O4055" s="141"/>
      <c r="P4055" s="140"/>
    </row>
    <row r="4056" spans="1:16" x14ac:dyDescent="0.35">
      <c r="A4056" s="149"/>
      <c r="B4056" s="143"/>
      <c r="C4056" s="133"/>
      <c r="D4056" s="133"/>
      <c r="E4056" s="145" t="s">
        <v>1118</v>
      </c>
      <c r="F4056" s="145">
        <v>2588.5</v>
      </c>
      <c r="G4056" s="133"/>
      <c r="H4056" s="144"/>
      <c r="I4056" s="133"/>
      <c r="J4056" s="133"/>
      <c r="K4056" s="133"/>
      <c r="L4056" s="133"/>
      <c r="M4056" s="133"/>
      <c r="N4056" s="147"/>
      <c r="O4056" s="141"/>
      <c r="P4056" s="140"/>
    </row>
    <row r="4057" spans="1:16" x14ac:dyDescent="0.35">
      <c r="A4057" s="149"/>
      <c r="B4057" s="143"/>
      <c r="C4057" s="133"/>
      <c r="D4057" s="133"/>
      <c r="E4057" s="145"/>
      <c r="F4057" s="145"/>
      <c r="G4057" s="133"/>
      <c r="H4057" s="144"/>
      <c r="I4057" s="133"/>
      <c r="J4057" s="133"/>
      <c r="K4057" s="133"/>
      <c r="L4057" s="133"/>
      <c r="M4057" s="133"/>
      <c r="N4057" s="147"/>
      <c r="O4057" s="141"/>
      <c r="P4057" s="140"/>
    </row>
    <row r="4058" spans="1:16" x14ac:dyDescent="0.35">
      <c r="A4058" s="149">
        <v>43</v>
      </c>
      <c r="B4058" s="143">
        <v>46143</v>
      </c>
      <c r="C4058" s="424" t="s">
        <v>1853</v>
      </c>
      <c r="D4058" s="425" t="s">
        <v>2941</v>
      </c>
      <c r="E4058" s="145" t="s">
        <v>1064</v>
      </c>
      <c r="F4058" s="145">
        <v>6359</v>
      </c>
      <c r="G4058" s="133" t="s">
        <v>1034</v>
      </c>
      <c r="H4058" s="144" t="s">
        <v>1341</v>
      </c>
      <c r="I4058" s="133" t="s">
        <v>1092</v>
      </c>
      <c r="J4058" s="476" t="s">
        <v>3064</v>
      </c>
      <c r="K4058" s="143">
        <v>46204</v>
      </c>
      <c r="L4058" s="133" t="s">
        <v>1092</v>
      </c>
      <c r="M4058" s="133">
        <v>8114</v>
      </c>
      <c r="N4058" s="147">
        <f>+F4058+F4059+F4060-M4058-M4059</f>
        <v>0</v>
      </c>
      <c r="O4058" s="141"/>
      <c r="P4058" s="140"/>
    </row>
    <row r="4059" spans="1:16" x14ac:dyDescent="0.35">
      <c r="A4059" s="149"/>
      <c r="B4059" s="143"/>
      <c r="C4059" s="403"/>
      <c r="D4059" s="404"/>
      <c r="E4059" s="396" t="s">
        <v>1067</v>
      </c>
      <c r="F4059" s="145">
        <v>535</v>
      </c>
      <c r="G4059" s="133" t="s">
        <v>1034</v>
      </c>
      <c r="H4059" s="144" t="s">
        <v>1341</v>
      </c>
      <c r="I4059" s="133" t="s">
        <v>1092</v>
      </c>
      <c r="J4059" s="510" t="s">
        <v>3291</v>
      </c>
      <c r="K4059" s="143">
        <v>46204</v>
      </c>
      <c r="L4059" s="133" t="s">
        <v>1241</v>
      </c>
      <c r="M4059" s="133">
        <v>215</v>
      </c>
      <c r="N4059" s="147"/>
      <c r="O4059" s="141"/>
      <c r="P4059" s="140"/>
    </row>
    <row r="4060" spans="1:16" x14ac:dyDescent="0.35">
      <c r="A4060" s="149"/>
      <c r="B4060" s="143"/>
      <c r="C4060" s="133"/>
      <c r="D4060" s="133"/>
      <c r="E4060" s="145" t="s">
        <v>1075</v>
      </c>
      <c r="F4060" s="145">
        <v>1435</v>
      </c>
      <c r="G4060" s="133"/>
      <c r="H4060" s="144"/>
      <c r="I4060" s="133"/>
      <c r="J4060" s="133"/>
      <c r="K4060" s="133"/>
      <c r="L4060" s="133"/>
      <c r="M4060" s="133"/>
      <c r="N4060" s="147"/>
      <c r="O4060" s="141"/>
      <c r="P4060" s="140"/>
    </row>
    <row r="4061" spans="1:16" x14ac:dyDescent="0.35">
      <c r="A4061" s="149"/>
      <c r="B4061" s="143"/>
      <c r="C4061" s="133"/>
      <c r="D4061" s="133"/>
      <c r="E4061" s="418"/>
      <c r="F4061" s="145"/>
      <c r="G4061" s="133"/>
      <c r="H4061" s="144"/>
      <c r="I4061" s="133"/>
      <c r="J4061" s="133"/>
      <c r="K4061" s="133"/>
      <c r="L4061" s="133"/>
      <c r="M4061" s="133"/>
      <c r="N4061" s="147"/>
      <c r="O4061" s="141"/>
      <c r="P4061" s="140"/>
    </row>
    <row r="4062" spans="1:16" x14ac:dyDescent="0.35">
      <c r="A4062" s="149">
        <v>44</v>
      </c>
      <c r="B4062" s="143">
        <v>46143</v>
      </c>
      <c r="C4062" s="426" t="s">
        <v>1851</v>
      </c>
      <c r="D4062" s="427" t="s">
        <v>2942</v>
      </c>
      <c r="E4062" s="145" t="s">
        <v>1064</v>
      </c>
      <c r="F4062" s="145">
        <v>10587</v>
      </c>
      <c r="G4062" s="133" t="s">
        <v>1034</v>
      </c>
      <c r="H4062" s="144" t="s">
        <v>1341</v>
      </c>
      <c r="I4062" s="133" t="s">
        <v>1092</v>
      </c>
      <c r="J4062" s="476" t="s">
        <v>3064</v>
      </c>
      <c r="K4062" s="143">
        <v>46204</v>
      </c>
      <c r="L4062" s="133" t="s">
        <v>1092</v>
      </c>
      <c r="M4062" s="133">
        <v>11898</v>
      </c>
      <c r="N4062" s="147">
        <f>+F4062+F4063-M4062-M4063</f>
        <v>0</v>
      </c>
      <c r="O4062" s="141"/>
      <c r="P4062" s="140"/>
    </row>
    <row r="4063" spans="1:16" x14ac:dyDescent="0.35">
      <c r="A4063" s="149"/>
      <c r="B4063" s="143"/>
      <c r="C4063" s="403"/>
      <c r="D4063" s="404"/>
      <c r="E4063" s="396" t="s">
        <v>1067</v>
      </c>
      <c r="F4063" s="145">
        <v>1775</v>
      </c>
      <c r="G4063" s="133" t="s">
        <v>1034</v>
      </c>
      <c r="H4063" s="144" t="s">
        <v>1341</v>
      </c>
      <c r="I4063" s="133" t="s">
        <v>1092</v>
      </c>
      <c r="J4063" s="510" t="s">
        <v>3291</v>
      </c>
      <c r="K4063" s="143">
        <v>46204</v>
      </c>
      <c r="L4063" s="133" t="s">
        <v>1241</v>
      </c>
      <c r="M4063" s="133">
        <v>464</v>
      </c>
      <c r="N4063" s="147"/>
      <c r="O4063" s="141"/>
      <c r="P4063" s="140"/>
    </row>
    <row r="4064" spans="1:16" x14ac:dyDescent="0.35">
      <c r="A4064" s="149"/>
      <c r="B4064" s="143"/>
      <c r="C4064" s="133"/>
      <c r="D4064" s="133"/>
      <c r="E4064" s="145"/>
      <c r="F4064" s="145"/>
      <c r="G4064" s="133"/>
      <c r="H4064" s="144"/>
      <c r="I4064" s="133"/>
      <c r="J4064" s="133"/>
      <c r="K4064" s="133"/>
      <c r="L4064" s="133"/>
      <c r="M4064" s="133"/>
      <c r="N4064" s="147"/>
      <c r="O4064" s="141"/>
      <c r="P4064" s="140"/>
    </row>
    <row r="4065" spans="1:16" x14ac:dyDescent="0.35">
      <c r="A4065" s="149">
        <v>45</v>
      </c>
      <c r="B4065" s="143">
        <v>46143</v>
      </c>
      <c r="C4065" s="426" t="s">
        <v>1849</v>
      </c>
      <c r="D4065" s="427" t="s">
        <v>2943</v>
      </c>
      <c r="E4065" s="145" t="s">
        <v>1064</v>
      </c>
      <c r="F4065" s="145">
        <v>1230</v>
      </c>
      <c r="G4065" s="133" t="s">
        <v>1034</v>
      </c>
      <c r="H4065" s="144" t="s">
        <v>1341</v>
      </c>
      <c r="I4065" s="133" t="s">
        <v>1092</v>
      </c>
      <c r="J4065" s="476" t="s">
        <v>3064</v>
      </c>
      <c r="K4065" s="143">
        <v>46204</v>
      </c>
      <c r="L4065" s="133" t="s">
        <v>1092</v>
      </c>
      <c r="M4065" s="133">
        <v>8895.2000000000007</v>
      </c>
      <c r="N4065" s="147">
        <f>+F4065+F4066+F4067-M4065-M4066</f>
        <v>0</v>
      </c>
      <c r="O4065" s="141"/>
      <c r="P4065" s="140"/>
    </row>
    <row r="4066" spans="1:16" x14ac:dyDescent="0.35">
      <c r="A4066" s="149"/>
      <c r="B4066" s="143"/>
      <c r="C4066" s="403"/>
      <c r="D4066" s="404"/>
      <c r="E4066" s="396" t="s">
        <v>1067</v>
      </c>
      <c r="F4066" s="145">
        <v>6687.3</v>
      </c>
      <c r="G4066" s="133" t="s">
        <v>1034</v>
      </c>
      <c r="H4066" s="144" t="s">
        <v>1341</v>
      </c>
      <c r="I4066" s="133" t="s">
        <v>1092</v>
      </c>
      <c r="J4066" s="510" t="s">
        <v>3291</v>
      </c>
      <c r="K4066" s="143">
        <v>46204</v>
      </c>
      <c r="L4066" s="133" t="s">
        <v>1241</v>
      </c>
      <c r="M4066" s="133">
        <v>335</v>
      </c>
      <c r="N4066" s="147"/>
      <c r="O4066" s="141"/>
      <c r="P4066" s="140"/>
    </row>
    <row r="4067" spans="1:16" x14ac:dyDescent="0.35">
      <c r="A4067" s="149"/>
      <c r="B4067" s="143"/>
      <c r="C4067" s="133"/>
      <c r="D4067" s="133"/>
      <c r="E4067" s="145" t="s">
        <v>1075</v>
      </c>
      <c r="F4067" s="145">
        <v>1312.9</v>
      </c>
      <c r="G4067" s="133"/>
      <c r="H4067" s="144"/>
      <c r="I4067" s="133"/>
      <c r="J4067" s="133"/>
      <c r="K4067" s="133"/>
      <c r="L4067" s="133"/>
      <c r="M4067" s="133"/>
      <c r="N4067" s="147"/>
      <c r="O4067" s="141"/>
      <c r="P4067" s="140"/>
    </row>
    <row r="4068" spans="1:16" x14ac:dyDescent="0.35">
      <c r="A4068" s="149"/>
      <c r="B4068" s="143"/>
      <c r="C4068" s="133"/>
      <c r="D4068" s="133"/>
      <c r="E4068" s="145"/>
      <c r="F4068" s="145"/>
      <c r="G4068" s="133"/>
      <c r="H4068" s="144"/>
      <c r="I4068" s="133"/>
      <c r="J4068" s="133"/>
      <c r="K4068" s="133"/>
      <c r="L4068" s="133"/>
      <c r="M4068" s="133"/>
      <c r="N4068" s="147"/>
      <c r="O4068" s="141"/>
      <c r="P4068" s="140"/>
    </row>
    <row r="4069" spans="1:16" x14ac:dyDescent="0.35">
      <c r="A4069" s="149">
        <v>46</v>
      </c>
      <c r="B4069" s="143">
        <v>46143</v>
      </c>
      <c r="C4069" s="426" t="s">
        <v>1847</v>
      </c>
      <c r="D4069" s="427" t="s">
        <v>2944</v>
      </c>
      <c r="E4069" s="145" t="s">
        <v>1064</v>
      </c>
      <c r="F4069" s="145">
        <v>9918</v>
      </c>
      <c r="G4069" s="133" t="s">
        <v>1034</v>
      </c>
      <c r="H4069" s="144" t="s">
        <v>1341</v>
      </c>
      <c r="I4069" s="133" t="s">
        <v>1092</v>
      </c>
      <c r="J4069" s="476" t="s">
        <v>3064</v>
      </c>
      <c r="K4069" s="143">
        <v>46204</v>
      </c>
      <c r="L4069" s="133" t="s">
        <v>1092</v>
      </c>
      <c r="M4069" s="133">
        <v>9918</v>
      </c>
      <c r="N4069" s="147">
        <f>+F4069-M4069</f>
        <v>0</v>
      </c>
      <c r="O4069" s="141"/>
      <c r="P4069" s="140"/>
    </row>
    <row r="4070" spans="1:16" x14ac:dyDescent="0.35">
      <c r="A4070" s="149"/>
      <c r="B4070" s="143"/>
      <c r="C4070" s="426"/>
      <c r="D4070" s="427"/>
      <c r="E4070" s="145"/>
      <c r="F4070" s="145"/>
      <c r="G4070" s="133" t="s">
        <v>1034</v>
      </c>
      <c r="H4070" s="144" t="s">
        <v>1341</v>
      </c>
      <c r="I4070" s="133" t="s">
        <v>1092</v>
      </c>
      <c r="J4070" s="510" t="s">
        <v>3291</v>
      </c>
      <c r="K4070" s="143">
        <v>46204</v>
      </c>
      <c r="L4070" s="133" t="s">
        <v>1241</v>
      </c>
      <c r="M4070" s="133"/>
      <c r="N4070" s="147"/>
      <c r="O4070" s="141"/>
      <c r="P4070" s="140"/>
    </row>
    <row r="4071" spans="1:16" x14ac:dyDescent="0.35">
      <c r="A4071" s="149"/>
      <c r="B4071" s="143"/>
      <c r="C4071" s="133"/>
      <c r="D4071" s="133"/>
      <c r="E4071" s="145"/>
      <c r="F4071" s="145"/>
      <c r="G4071" s="133"/>
      <c r="H4071" s="144"/>
      <c r="I4071" s="133"/>
      <c r="J4071" s="133"/>
      <c r="K4071" s="133"/>
      <c r="L4071" s="133"/>
      <c r="M4071" s="133"/>
      <c r="N4071" s="147"/>
      <c r="O4071" s="141"/>
      <c r="P4071" s="140"/>
    </row>
    <row r="4072" spans="1:16" x14ac:dyDescent="0.35">
      <c r="A4072" s="149">
        <v>47</v>
      </c>
      <c r="B4072" s="143">
        <v>46143</v>
      </c>
      <c r="C4072" s="428" t="s">
        <v>1845</v>
      </c>
      <c r="D4072" s="429" t="s">
        <v>2945</v>
      </c>
      <c r="E4072" s="396" t="s">
        <v>1067</v>
      </c>
      <c r="F4072" s="145">
        <v>2383.6999999999998</v>
      </c>
      <c r="G4072" s="133" t="s">
        <v>1034</v>
      </c>
      <c r="H4072" s="144" t="s">
        <v>1341</v>
      </c>
      <c r="I4072" s="133" t="s">
        <v>1092</v>
      </c>
      <c r="J4072" s="488" t="s">
        <v>3152</v>
      </c>
      <c r="K4072" s="143">
        <v>46204</v>
      </c>
      <c r="L4072" s="133" t="s">
        <v>1092</v>
      </c>
      <c r="M4072" s="133">
        <v>11194.1</v>
      </c>
      <c r="N4072" s="147">
        <f>+F4072+F4073+F4074-M4072-M4073</f>
        <v>0</v>
      </c>
      <c r="O4072" s="141"/>
      <c r="P4072" s="140"/>
    </row>
    <row r="4073" spans="1:16" x14ac:dyDescent="0.35">
      <c r="A4073" s="149"/>
      <c r="B4073" s="143"/>
      <c r="C4073" s="133"/>
      <c r="D4073" s="133"/>
      <c r="E4073" s="145" t="s">
        <v>1075</v>
      </c>
      <c r="F4073" s="145">
        <v>7974</v>
      </c>
      <c r="G4073" s="133" t="s">
        <v>1034</v>
      </c>
      <c r="H4073" s="144" t="s">
        <v>1341</v>
      </c>
      <c r="I4073" s="133" t="s">
        <v>1092</v>
      </c>
      <c r="J4073" s="510" t="s">
        <v>3291</v>
      </c>
      <c r="K4073" s="143">
        <v>46204</v>
      </c>
      <c r="L4073" s="133" t="s">
        <v>1241</v>
      </c>
      <c r="M4073" s="133">
        <v>412</v>
      </c>
      <c r="N4073" s="147"/>
      <c r="O4073" s="141"/>
      <c r="P4073" s="140"/>
    </row>
    <row r="4074" spans="1:16" x14ac:dyDescent="0.35">
      <c r="A4074" s="149"/>
      <c r="B4074" s="143"/>
      <c r="C4074" s="133"/>
      <c r="D4074" s="133"/>
      <c r="E4074" s="145" t="s">
        <v>1118</v>
      </c>
      <c r="F4074" s="145">
        <v>1248.4000000000001</v>
      </c>
      <c r="G4074" s="133"/>
      <c r="H4074" s="144"/>
      <c r="I4074" s="133"/>
      <c r="J4074" s="133"/>
      <c r="K4074" s="133"/>
      <c r="L4074" s="133"/>
      <c r="M4074" s="133"/>
      <c r="N4074" s="147"/>
      <c r="O4074" s="141"/>
      <c r="P4074" s="140"/>
    </row>
    <row r="4075" spans="1:16" x14ac:dyDescent="0.35">
      <c r="A4075" s="149"/>
      <c r="B4075" s="143"/>
      <c r="C4075" s="133"/>
      <c r="D4075" s="133"/>
      <c r="E4075" s="145"/>
      <c r="F4075" s="145"/>
      <c r="G4075" s="133"/>
      <c r="H4075" s="144"/>
      <c r="I4075" s="133"/>
      <c r="J4075" s="133"/>
      <c r="K4075" s="133"/>
      <c r="L4075" s="133"/>
      <c r="M4075" s="133"/>
      <c r="N4075" s="147"/>
      <c r="O4075" s="141"/>
      <c r="P4075" s="140"/>
    </row>
    <row r="4076" spans="1:16" x14ac:dyDescent="0.35">
      <c r="A4076" s="149">
        <v>48</v>
      </c>
      <c r="B4076" s="143">
        <v>46143</v>
      </c>
      <c r="C4076" s="428" t="s">
        <v>1843</v>
      </c>
      <c r="D4076" s="429" t="s">
        <v>2946</v>
      </c>
      <c r="E4076" s="396" t="s">
        <v>1067</v>
      </c>
      <c r="F4076" s="145">
        <v>6461.2</v>
      </c>
      <c r="G4076" s="133" t="s">
        <v>1034</v>
      </c>
      <c r="H4076" s="144" t="s">
        <v>1341</v>
      </c>
      <c r="I4076" s="133" t="s">
        <v>1092</v>
      </c>
      <c r="J4076" s="488" t="s">
        <v>3152</v>
      </c>
      <c r="K4076" s="143">
        <v>46204</v>
      </c>
      <c r="L4076" s="133" t="s">
        <v>1092</v>
      </c>
      <c r="M4076" s="133">
        <v>12165.8</v>
      </c>
      <c r="N4076" s="147">
        <f>+F4076+F4077+F4078+F4079-M4076-M4077</f>
        <v>0</v>
      </c>
      <c r="O4076" s="141"/>
      <c r="P4076" s="140"/>
    </row>
    <row r="4077" spans="1:16" x14ac:dyDescent="0.35">
      <c r="A4077" s="149"/>
      <c r="B4077" s="143"/>
      <c r="C4077" s="133"/>
      <c r="D4077" s="133"/>
      <c r="E4077" s="145" t="s">
        <v>1075</v>
      </c>
      <c r="F4077" s="145">
        <v>5196.8999999999996</v>
      </c>
      <c r="G4077" s="133" t="s">
        <v>1034</v>
      </c>
      <c r="H4077" s="144" t="s">
        <v>1341</v>
      </c>
      <c r="I4077" s="133" t="s">
        <v>1092</v>
      </c>
      <c r="J4077" s="510" t="s">
        <v>3291</v>
      </c>
      <c r="K4077" s="143">
        <v>46204</v>
      </c>
      <c r="L4077" s="133" t="s">
        <v>1241</v>
      </c>
      <c r="M4077" s="133">
        <v>487</v>
      </c>
      <c r="N4077" s="147"/>
      <c r="O4077" s="141"/>
      <c r="P4077" s="140"/>
    </row>
    <row r="4078" spans="1:16" x14ac:dyDescent="0.35">
      <c r="A4078" s="149"/>
      <c r="B4078" s="143"/>
      <c r="C4078" s="133"/>
      <c r="D4078" s="133"/>
      <c r="E4078" s="145" t="s">
        <v>1064</v>
      </c>
      <c r="F4078" s="145">
        <v>800</v>
      </c>
      <c r="G4078" s="133"/>
      <c r="H4078" s="144"/>
      <c r="I4078" s="133"/>
      <c r="J4078" s="133"/>
      <c r="K4078" s="133"/>
      <c r="L4078" s="133"/>
      <c r="M4078" s="133"/>
      <c r="N4078" s="147"/>
      <c r="O4078" s="141"/>
      <c r="P4078" s="140"/>
    </row>
    <row r="4079" spans="1:16" x14ac:dyDescent="0.35">
      <c r="A4079" s="149"/>
      <c r="B4079" s="143"/>
      <c r="C4079" s="133"/>
      <c r="D4079" s="133"/>
      <c r="E4079" s="418" t="s">
        <v>1112</v>
      </c>
      <c r="F4079" s="145">
        <v>194.7</v>
      </c>
      <c r="G4079" s="133"/>
      <c r="H4079" s="144"/>
      <c r="I4079" s="133"/>
      <c r="J4079" s="133"/>
      <c r="K4079" s="133"/>
      <c r="L4079" s="133"/>
      <c r="M4079" s="133"/>
      <c r="N4079" s="147"/>
      <c r="O4079" s="141"/>
      <c r="P4079" s="140"/>
    </row>
    <row r="4080" spans="1:16" x14ac:dyDescent="0.35">
      <c r="A4080" s="149"/>
      <c r="B4080" s="143"/>
      <c r="C4080" s="133"/>
      <c r="D4080" s="133"/>
      <c r="E4080" s="145"/>
      <c r="F4080" s="145"/>
      <c r="G4080" s="133"/>
      <c r="H4080" s="144"/>
      <c r="I4080" s="133"/>
      <c r="J4080" s="133"/>
      <c r="K4080" s="133"/>
      <c r="L4080" s="133"/>
      <c r="M4080" s="133"/>
      <c r="N4080" s="147"/>
      <c r="O4080" s="141"/>
      <c r="P4080" s="140"/>
    </row>
    <row r="4081" spans="1:16" x14ac:dyDescent="0.35">
      <c r="A4081" s="149">
        <v>49</v>
      </c>
      <c r="B4081" s="143">
        <v>46143</v>
      </c>
      <c r="C4081" s="430" t="s">
        <v>1841</v>
      </c>
      <c r="D4081" s="431" t="s">
        <v>2948</v>
      </c>
      <c r="E4081" s="396" t="s">
        <v>1067</v>
      </c>
      <c r="F4081" s="145">
        <v>3783</v>
      </c>
      <c r="G4081" s="133" t="s">
        <v>1034</v>
      </c>
      <c r="H4081" s="144" t="s">
        <v>1341</v>
      </c>
      <c r="I4081" s="133" t="s">
        <v>1092</v>
      </c>
      <c r="J4081" s="488" t="s">
        <v>3152</v>
      </c>
      <c r="K4081" s="143">
        <v>46204</v>
      </c>
      <c r="L4081" s="133" t="s">
        <v>1092</v>
      </c>
      <c r="M4081" s="133">
        <v>4783</v>
      </c>
      <c r="N4081" s="147">
        <f>+F4081+F4082-M4081</f>
        <v>0</v>
      </c>
      <c r="O4081" s="141"/>
      <c r="P4081" s="140"/>
    </row>
    <row r="4082" spans="1:16" x14ac:dyDescent="0.35">
      <c r="A4082" s="149"/>
      <c r="B4082" s="143"/>
      <c r="C4082" s="133"/>
      <c r="D4082" s="133"/>
      <c r="E4082" s="432" t="s">
        <v>2725</v>
      </c>
      <c r="F4082" s="145">
        <v>1000</v>
      </c>
      <c r="G4082" s="133" t="s">
        <v>1034</v>
      </c>
      <c r="H4082" s="144" t="s">
        <v>1341</v>
      </c>
      <c r="I4082" s="133" t="s">
        <v>1092</v>
      </c>
      <c r="J4082" s="510" t="s">
        <v>3291</v>
      </c>
      <c r="K4082" s="143">
        <v>46204</v>
      </c>
      <c r="L4082" s="133" t="s">
        <v>1241</v>
      </c>
      <c r="M4082" s="133"/>
      <c r="N4082" s="147"/>
      <c r="O4082" s="141"/>
      <c r="P4082" s="140"/>
    </row>
    <row r="4083" spans="1:16" x14ac:dyDescent="0.35">
      <c r="A4083" s="149"/>
      <c r="B4083" s="143"/>
      <c r="C4083" s="133"/>
      <c r="D4083" s="133"/>
      <c r="E4083" s="145"/>
      <c r="F4083" s="145"/>
      <c r="G4083" s="133"/>
      <c r="H4083" s="144"/>
      <c r="I4083" s="133"/>
      <c r="J4083" s="133"/>
      <c r="K4083" s="133"/>
      <c r="L4083" s="133"/>
      <c r="M4083" s="133"/>
      <c r="N4083" s="147"/>
      <c r="O4083" s="141"/>
      <c r="P4083" s="140"/>
    </row>
    <row r="4084" spans="1:16" x14ac:dyDescent="0.35">
      <c r="A4084" s="149">
        <v>50</v>
      </c>
      <c r="B4084" s="143">
        <v>46143</v>
      </c>
      <c r="C4084" s="433" t="s">
        <v>1839</v>
      </c>
      <c r="D4084" s="434" t="s">
        <v>2950</v>
      </c>
      <c r="E4084" s="145" t="s">
        <v>1075</v>
      </c>
      <c r="F4084" s="145">
        <v>1154.8</v>
      </c>
      <c r="G4084" s="133" t="s">
        <v>1034</v>
      </c>
      <c r="H4084" s="144" t="s">
        <v>1341</v>
      </c>
      <c r="I4084" s="133" t="s">
        <v>1092</v>
      </c>
      <c r="J4084" s="488" t="s">
        <v>3152</v>
      </c>
      <c r="K4084" s="143">
        <v>46204</v>
      </c>
      <c r="L4084" s="133" t="s">
        <v>1092</v>
      </c>
      <c r="M4084" s="133">
        <v>1815.8</v>
      </c>
      <c r="N4084" s="147">
        <f>+F4084+F4085-M4084-M4085</f>
        <v>0</v>
      </c>
      <c r="O4084" s="141"/>
      <c r="P4084" s="140"/>
    </row>
    <row r="4085" spans="1:16" x14ac:dyDescent="0.35">
      <c r="A4085" s="149"/>
      <c r="B4085" s="143"/>
      <c r="C4085" s="133"/>
      <c r="D4085" s="133"/>
      <c r="E4085" s="145" t="s">
        <v>1064</v>
      </c>
      <c r="F4085" s="145">
        <v>715</v>
      </c>
      <c r="G4085" s="133" t="s">
        <v>1034</v>
      </c>
      <c r="H4085" s="144" t="s">
        <v>1341</v>
      </c>
      <c r="I4085" s="133" t="s">
        <v>1092</v>
      </c>
      <c r="J4085" s="510" t="s">
        <v>3291</v>
      </c>
      <c r="K4085" s="143">
        <v>46204</v>
      </c>
      <c r="L4085" s="133" t="s">
        <v>1241</v>
      </c>
      <c r="M4085" s="133">
        <v>54</v>
      </c>
      <c r="N4085" s="147"/>
      <c r="O4085" s="141"/>
      <c r="P4085" s="140"/>
    </row>
    <row r="4086" spans="1:16" x14ac:dyDescent="0.35">
      <c r="A4086" s="149"/>
      <c r="B4086" s="143"/>
      <c r="C4086" s="133"/>
      <c r="D4086" s="133"/>
      <c r="E4086" s="145"/>
      <c r="F4086" s="145"/>
      <c r="G4086" s="133"/>
      <c r="H4086" s="144"/>
      <c r="I4086" s="133"/>
      <c r="J4086" s="133"/>
      <c r="K4086" s="133"/>
      <c r="L4086" s="133"/>
      <c r="M4086" s="133"/>
      <c r="N4086" s="147"/>
      <c r="O4086" s="141"/>
      <c r="P4086" s="140"/>
    </row>
    <row r="4087" spans="1:16" x14ac:dyDescent="0.35">
      <c r="A4087" s="149">
        <v>51</v>
      </c>
      <c r="B4087" s="143">
        <v>46143</v>
      </c>
      <c r="C4087" s="435" t="s">
        <v>1837</v>
      </c>
      <c r="D4087" s="436" t="s">
        <v>2971</v>
      </c>
      <c r="E4087" s="418" t="s">
        <v>1112</v>
      </c>
      <c r="F4087" s="145">
        <v>177</v>
      </c>
      <c r="G4087" s="133" t="s">
        <v>1034</v>
      </c>
      <c r="H4087" s="144" t="s">
        <v>1341</v>
      </c>
      <c r="I4087" s="133" t="s">
        <v>1092</v>
      </c>
      <c r="J4087" s="488" t="s">
        <v>3152</v>
      </c>
      <c r="K4087" s="143">
        <v>46204</v>
      </c>
      <c r="L4087" s="133" t="s">
        <v>1092</v>
      </c>
      <c r="M4087" s="133">
        <v>8260.7000000000007</v>
      </c>
      <c r="N4087" s="147">
        <f>+F4087+F4088+F4089+F4090+F4091+F4092-M4087-M4088</f>
        <v>0</v>
      </c>
      <c r="O4087" s="141"/>
      <c r="P4087" s="140"/>
    </row>
    <row r="4088" spans="1:16" x14ac:dyDescent="0.35">
      <c r="A4088" s="149"/>
      <c r="B4088" s="143"/>
      <c r="C4088" s="133"/>
      <c r="D4088" s="133"/>
      <c r="E4088" s="145" t="s">
        <v>1075</v>
      </c>
      <c r="F4088" s="145">
        <v>4320</v>
      </c>
      <c r="G4088" s="133" t="s">
        <v>1034</v>
      </c>
      <c r="H4088" s="144" t="s">
        <v>1341</v>
      </c>
      <c r="I4088" s="133" t="s">
        <v>1092</v>
      </c>
      <c r="J4088" s="510" t="s">
        <v>3291</v>
      </c>
      <c r="K4088" s="143">
        <v>46204</v>
      </c>
      <c r="L4088" s="133" t="s">
        <v>1241</v>
      </c>
      <c r="M4088" s="133">
        <v>317</v>
      </c>
      <c r="N4088" s="147"/>
      <c r="O4088" s="141"/>
      <c r="P4088" s="140"/>
    </row>
    <row r="4089" spans="1:16" x14ac:dyDescent="0.35">
      <c r="A4089" s="149"/>
      <c r="B4089" s="143"/>
      <c r="C4089" s="133"/>
      <c r="D4089" s="133"/>
      <c r="E4089" s="145" t="s">
        <v>1118</v>
      </c>
      <c r="F4089" s="145">
        <v>619.4</v>
      </c>
      <c r="G4089" s="133"/>
      <c r="H4089" s="144"/>
      <c r="I4089" s="133"/>
      <c r="J4089" s="133"/>
      <c r="K4089" s="133"/>
      <c r="L4089" s="133"/>
      <c r="M4089" s="133"/>
      <c r="N4089" s="147"/>
      <c r="O4089" s="141"/>
      <c r="P4089" s="140"/>
    </row>
    <row r="4090" spans="1:16" x14ac:dyDescent="0.35">
      <c r="A4090" s="149"/>
      <c r="B4090" s="143"/>
      <c r="C4090" s="133"/>
      <c r="D4090" s="133"/>
      <c r="E4090" s="396" t="s">
        <v>1067</v>
      </c>
      <c r="F4090" s="145">
        <v>661.3</v>
      </c>
      <c r="G4090" s="133"/>
      <c r="H4090" s="144"/>
      <c r="I4090" s="133"/>
      <c r="J4090" s="133"/>
      <c r="K4090" s="133"/>
      <c r="L4090" s="133"/>
      <c r="M4090" s="133"/>
      <c r="N4090" s="147"/>
      <c r="O4090" s="141"/>
      <c r="P4090" s="140"/>
    </row>
    <row r="4091" spans="1:16" x14ac:dyDescent="0.35">
      <c r="A4091" s="149"/>
      <c r="B4091" s="143"/>
      <c r="C4091" s="133"/>
      <c r="D4091" s="133"/>
      <c r="E4091" s="437" t="s">
        <v>2970</v>
      </c>
      <c r="F4091" s="145">
        <v>800</v>
      </c>
      <c r="G4091" s="133"/>
      <c r="H4091" s="144"/>
      <c r="I4091" s="133"/>
      <c r="J4091" s="133"/>
      <c r="K4091" s="133"/>
      <c r="L4091" s="133"/>
      <c r="M4091" s="133"/>
      <c r="N4091" s="147"/>
      <c r="O4091" s="141"/>
      <c r="P4091" s="140"/>
    </row>
    <row r="4092" spans="1:16" x14ac:dyDescent="0.35">
      <c r="A4092" s="149"/>
      <c r="B4092" s="143"/>
      <c r="C4092" s="133"/>
      <c r="D4092" s="133"/>
      <c r="E4092" s="437" t="s">
        <v>1184</v>
      </c>
      <c r="F4092" s="145">
        <v>2000</v>
      </c>
      <c r="G4092" s="133"/>
      <c r="H4092" s="144"/>
      <c r="I4092" s="133"/>
      <c r="J4092" s="133"/>
      <c r="K4092" s="133"/>
      <c r="L4092" s="133"/>
      <c r="M4092" s="133"/>
      <c r="N4092" s="147"/>
      <c r="O4092" s="141"/>
      <c r="P4092" s="140"/>
    </row>
    <row r="4093" spans="1:16" x14ac:dyDescent="0.35">
      <c r="A4093" s="149"/>
      <c r="B4093" s="143"/>
      <c r="C4093" s="133"/>
      <c r="D4093" s="133"/>
      <c r="E4093" s="145"/>
      <c r="F4093" s="145"/>
      <c r="G4093" s="133"/>
      <c r="H4093" s="144"/>
      <c r="I4093" s="133"/>
      <c r="J4093" s="133"/>
      <c r="K4093" s="133"/>
      <c r="L4093" s="133"/>
      <c r="M4093" s="133"/>
      <c r="N4093" s="147"/>
      <c r="O4093" s="141"/>
      <c r="P4093" s="140"/>
    </row>
    <row r="4094" spans="1:16" x14ac:dyDescent="0.35">
      <c r="A4094" s="257"/>
      <c r="B4094" s="152"/>
      <c r="C4094" s="151"/>
      <c r="D4094" s="151"/>
      <c r="E4094" s="154"/>
      <c r="F4094" s="154"/>
      <c r="G4094" s="151"/>
      <c r="H4094" s="153"/>
      <c r="I4094" s="151"/>
      <c r="J4094" s="151"/>
      <c r="K4094" s="151"/>
      <c r="L4094" s="151"/>
      <c r="M4094" s="151"/>
      <c r="N4094" s="151"/>
      <c r="O4094" s="141"/>
      <c r="P4094" s="140"/>
    </row>
    <row r="4095" spans="1:16" x14ac:dyDescent="0.35">
      <c r="A4095" s="149"/>
      <c r="B4095" s="143"/>
      <c r="C4095" s="133"/>
      <c r="D4095" s="133"/>
      <c r="E4095" s="145"/>
      <c r="F4095" s="145"/>
      <c r="G4095" s="133"/>
      <c r="H4095" s="144"/>
      <c r="I4095" s="133"/>
      <c r="J4095" s="133"/>
      <c r="K4095" s="133"/>
      <c r="L4095" s="133"/>
      <c r="M4095" s="133"/>
      <c r="N4095" s="147"/>
      <c r="O4095" s="141"/>
      <c r="P4095" s="140"/>
    </row>
    <row r="4096" spans="1:16" x14ac:dyDescent="0.35">
      <c r="A4096" s="149">
        <v>52</v>
      </c>
      <c r="B4096" s="143">
        <v>46174</v>
      </c>
      <c r="C4096" s="438" t="s">
        <v>1835</v>
      </c>
      <c r="D4096" s="439" t="s">
        <v>2974</v>
      </c>
      <c r="E4096" s="396" t="s">
        <v>1067</v>
      </c>
      <c r="F4096" s="145">
        <v>9836.5</v>
      </c>
      <c r="G4096" s="133" t="s">
        <v>1034</v>
      </c>
      <c r="H4096" s="144" t="s">
        <v>1341</v>
      </c>
      <c r="I4096" s="133" t="s">
        <v>1092</v>
      </c>
      <c r="J4096" s="488" t="s">
        <v>3152</v>
      </c>
      <c r="K4096" s="143">
        <v>46204</v>
      </c>
      <c r="L4096" s="133" t="s">
        <v>1092</v>
      </c>
      <c r="M4096" s="133">
        <v>10365.5</v>
      </c>
      <c r="N4096" s="147">
        <f>+F4096+F4097-M4096-M4097</f>
        <v>0</v>
      </c>
      <c r="O4096" s="141"/>
      <c r="P4096" s="140"/>
    </row>
    <row r="4097" spans="1:16" x14ac:dyDescent="0.35">
      <c r="A4097" s="149"/>
      <c r="B4097" s="143"/>
      <c r="C4097" s="133"/>
      <c r="D4097" s="133"/>
      <c r="E4097" s="145" t="s">
        <v>1064</v>
      </c>
      <c r="F4097" s="145">
        <v>950</v>
      </c>
      <c r="G4097" s="133" t="s">
        <v>1034</v>
      </c>
      <c r="H4097" s="144" t="s">
        <v>1341</v>
      </c>
      <c r="I4097" s="133" t="s">
        <v>1092</v>
      </c>
      <c r="J4097" s="510" t="s">
        <v>3291</v>
      </c>
      <c r="K4097" s="143">
        <v>46204</v>
      </c>
      <c r="L4097" s="133" t="s">
        <v>1241</v>
      </c>
      <c r="M4097" s="133">
        <v>421</v>
      </c>
      <c r="N4097" s="147"/>
      <c r="O4097" s="141"/>
      <c r="P4097" s="140"/>
    </row>
    <row r="4098" spans="1:16" x14ac:dyDescent="0.35">
      <c r="A4098" s="149"/>
      <c r="B4098" s="143"/>
      <c r="C4098" s="133"/>
      <c r="D4098" s="133"/>
      <c r="E4098" s="145"/>
      <c r="F4098" s="145"/>
      <c r="G4098" s="133"/>
      <c r="H4098" s="144"/>
      <c r="I4098" s="133"/>
      <c r="J4098" s="133"/>
      <c r="K4098" s="133"/>
      <c r="L4098" s="133"/>
      <c r="M4098" s="133"/>
      <c r="N4098" s="147"/>
      <c r="O4098" s="141"/>
      <c r="P4098" s="140"/>
    </row>
    <row r="4099" spans="1:16" x14ac:dyDescent="0.35">
      <c r="A4099" s="149">
        <v>53</v>
      </c>
      <c r="B4099" s="143">
        <v>46174</v>
      </c>
      <c r="C4099" s="438" t="s">
        <v>1832</v>
      </c>
      <c r="D4099" s="439" t="s">
        <v>2975</v>
      </c>
      <c r="E4099" s="145" t="s">
        <v>1075</v>
      </c>
      <c r="F4099" s="145">
        <v>7470</v>
      </c>
      <c r="G4099" s="133" t="s">
        <v>1034</v>
      </c>
      <c r="H4099" s="144" t="s">
        <v>1341</v>
      </c>
      <c r="I4099" s="133" t="s">
        <v>1092</v>
      </c>
      <c r="J4099" s="488" t="s">
        <v>3152</v>
      </c>
      <c r="K4099" s="143">
        <v>46204</v>
      </c>
      <c r="L4099" s="133" t="s">
        <v>1092</v>
      </c>
      <c r="M4099" s="133">
        <v>11774.99</v>
      </c>
      <c r="N4099" s="147">
        <f>+F4099+F4100-M4099-M4100</f>
        <v>0</v>
      </c>
      <c r="O4099" s="141"/>
      <c r="P4099" s="140"/>
    </row>
    <row r="4100" spans="1:16" x14ac:dyDescent="0.35">
      <c r="A4100" s="149"/>
      <c r="B4100" s="143"/>
      <c r="C4100" s="133"/>
      <c r="D4100" s="133"/>
      <c r="E4100" s="145" t="s">
        <v>1118</v>
      </c>
      <c r="F4100" s="145">
        <v>4788.99</v>
      </c>
      <c r="G4100" s="133" t="s">
        <v>1034</v>
      </c>
      <c r="H4100" s="144" t="s">
        <v>1341</v>
      </c>
      <c r="I4100" s="133" t="s">
        <v>1092</v>
      </c>
      <c r="J4100" s="510" t="s">
        <v>3291</v>
      </c>
      <c r="K4100" s="143">
        <v>46204</v>
      </c>
      <c r="L4100" s="133" t="s">
        <v>1241</v>
      </c>
      <c r="M4100" s="133">
        <v>484</v>
      </c>
      <c r="N4100" s="147"/>
      <c r="O4100" s="141"/>
      <c r="P4100" s="140"/>
    </row>
    <row r="4101" spans="1:16" x14ac:dyDescent="0.35">
      <c r="A4101" s="149"/>
      <c r="B4101" s="143"/>
      <c r="C4101" s="133"/>
      <c r="D4101" s="133"/>
      <c r="E4101" s="145"/>
      <c r="F4101" s="145"/>
      <c r="G4101" s="133"/>
      <c r="H4101" s="144"/>
      <c r="I4101" s="133"/>
      <c r="J4101" s="133"/>
      <c r="K4101" s="133"/>
      <c r="L4101" s="133"/>
      <c r="M4101" s="133"/>
      <c r="N4101" s="147"/>
      <c r="O4101" s="141"/>
      <c r="P4101" s="140"/>
    </row>
    <row r="4102" spans="1:16" x14ac:dyDescent="0.35">
      <c r="A4102" s="149">
        <v>54</v>
      </c>
      <c r="B4102" s="143">
        <v>46174</v>
      </c>
      <c r="C4102" s="440" t="s">
        <v>1830</v>
      </c>
      <c r="D4102" s="441" t="s">
        <v>2977</v>
      </c>
      <c r="E4102" s="145" t="s">
        <v>1075</v>
      </c>
      <c r="F4102" s="145">
        <v>1488</v>
      </c>
      <c r="G4102" s="133" t="s">
        <v>1034</v>
      </c>
      <c r="H4102" s="144" t="s">
        <v>1341</v>
      </c>
      <c r="I4102" s="133" t="s">
        <v>1092</v>
      </c>
      <c r="J4102" s="488" t="s">
        <v>3152</v>
      </c>
      <c r="K4102" s="143">
        <v>46204</v>
      </c>
      <c r="L4102" s="133" t="s">
        <v>1092</v>
      </c>
      <c r="M4102" s="133">
        <v>1434</v>
      </c>
      <c r="N4102" s="147">
        <f>+F4102-M4102-M4103</f>
        <v>0</v>
      </c>
      <c r="O4102" s="141"/>
      <c r="P4102" s="140"/>
    </row>
    <row r="4103" spans="1:16" x14ac:dyDescent="0.35">
      <c r="A4103" s="149"/>
      <c r="B4103" s="143"/>
      <c r="C4103" s="440"/>
      <c r="D4103" s="441"/>
      <c r="E4103" s="145"/>
      <c r="F4103" s="145"/>
      <c r="G4103" s="133" t="s">
        <v>1034</v>
      </c>
      <c r="H4103" s="144" t="s">
        <v>1341</v>
      </c>
      <c r="I4103" s="133" t="s">
        <v>1092</v>
      </c>
      <c r="J4103" s="510" t="s">
        <v>3291</v>
      </c>
      <c r="K4103" s="143">
        <v>46204</v>
      </c>
      <c r="L4103" s="133" t="s">
        <v>1241</v>
      </c>
      <c r="M4103" s="133">
        <v>54</v>
      </c>
      <c r="N4103" s="147"/>
      <c r="O4103" s="141"/>
      <c r="P4103" s="140"/>
    </row>
    <row r="4104" spans="1:16" x14ac:dyDescent="0.35">
      <c r="A4104" s="149"/>
      <c r="B4104" s="143"/>
      <c r="C4104" s="133"/>
      <c r="D4104" s="133"/>
      <c r="E4104" s="145"/>
      <c r="F4104" s="145"/>
      <c r="G4104" s="133"/>
      <c r="H4104" s="144"/>
      <c r="I4104" s="133"/>
      <c r="J4104" s="133"/>
      <c r="K4104" s="133"/>
      <c r="L4104" s="133"/>
      <c r="M4104" s="133"/>
      <c r="N4104" s="147"/>
      <c r="O4104" s="141"/>
      <c r="P4104" s="140"/>
    </row>
    <row r="4105" spans="1:16" x14ac:dyDescent="0.35">
      <c r="A4105" s="149">
        <v>55</v>
      </c>
      <c r="B4105" s="143">
        <v>46174</v>
      </c>
      <c r="C4105" s="440" t="s">
        <v>1828</v>
      </c>
      <c r="D4105" s="441" t="s">
        <v>2978</v>
      </c>
      <c r="E4105" s="396" t="s">
        <v>1067</v>
      </c>
      <c r="F4105" s="145">
        <v>221</v>
      </c>
      <c r="G4105" s="133" t="s">
        <v>1034</v>
      </c>
      <c r="H4105" s="144" t="s">
        <v>1341</v>
      </c>
      <c r="I4105" s="133" t="s">
        <v>1092</v>
      </c>
      <c r="J4105" s="488" t="s">
        <v>3152</v>
      </c>
      <c r="K4105" s="143">
        <v>46204</v>
      </c>
      <c r="L4105" s="133" t="s">
        <v>1092</v>
      </c>
      <c r="M4105" s="133">
        <v>1584.1</v>
      </c>
      <c r="N4105" s="147">
        <f>+F4105+F4106-M4105-M4106</f>
        <v>0</v>
      </c>
      <c r="O4105" s="141"/>
      <c r="P4105" s="140"/>
    </row>
    <row r="4106" spans="1:16" x14ac:dyDescent="0.35">
      <c r="A4106" s="149"/>
      <c r="B4106" s="143"/>
      <c r="C4106" s="133"/>
      <c r="D4106" s="133"/>
      <c r="E4106" s="145" t="s">
        <v>1075</v>
      </c>
      <c r="F4106" s="145">
        <v>1424.1</v>
      </c>
      <c r="G4106" s="133" t="s">
        <v>1034</v>
      </c>
      <c r="H4106" s="144" t="s">
        <v>1341</v>
      </c>
      <c r="I4106" s="133" t="s">
        <v>1092</v>
      </c>
      <c r="J4106" s="510" t="s">
        <v>3291</v>
      </c>
      <c r="K4106" s="143">
        <v>46204</v>
      </c>
      <c r="L4106" s="133" t="s">
        <v>1241</v>
      </c>
      <c r="M4106" s="133">
        <v>61</v>
      </c>
      <c r="N4106" s="147"/>
      <c r="O4106" s="141"/>
      <c r="P4106" s="140"/>
    </row>
    <row r="4107" spans="1:16" x14ac:dyDescent="0.35">
      <c r="A4107" s="149"/>
      <c r="B4107" s="143"/>
      <c r="C4107" s="133"/>
      <c r="D4107" s="133"/>
      <c r="E4107" s="145"/>
      <c r="F4107" s="145"/>
      <c r="G4107" s="133"/>
      <c r="H4107" s="144"/>
      <c r="I4107" s="133"/>
      <c r="J4107" s="133"/>
      <c r="K4107" s="133"/>
      <c r="L4107" s="133"/>
      <c r="M4107" s="133"/>
      <c r="N4107" s="147"/>
      <c r="O4107" s="141"/>
      <c r="P4107" s="140"/>
    </row>
    <row r="4108" spans="1:16" x14ac:dyDescent="0.35">
      <c r="A4108" s="149">
        <v>56</v>
      </c>
      <c r="B4108" s="143">
        <v>46174</v>
      </c>
      <c r="C4108" s="442" t="s">
        <v>1825</v>
      </c>
      <c r="D4108" s="446" t="s">
        <v>2981</v>
      </c>
      <c r="E4108" s="396" t="s">
        <v>1067</v>
      </c>
      <c r="F4108" s="145">
        <v>6384</v>
      </c>
      <c r="G4108" s="133" t="s">
        <v>1034</v>
      </c>
      <c r="H4108" s="144" t="s">
        <v>1341</v>
      </c>
      <c r="I4108" s="133" t="s">
        <v>1092</v>
      </c>
      <c r="J4108" s="488" t="s">
        <v>3152</v>
      </c>
      <c r="K4108" s="143">
        <v>46204</v>
      </c>
      <c r="L4108" s="133" t="s">
        <v>1092</v>
      </c>
      <c r="M4108" s="133">
        <v>13964.9</v>
      </c>
      <c r="N4108" s="147">
        <f>+F4108+F4109+F4110+F4111+F4112-M4108-M4109</f>
        <v>0</v>
      </c>
      <c r="O4108" s="141"/>
      <c r="P4108" s="140"/>
    </row>
    <row r="4109" spans="1:16" x14ac:dyDescent="0.35">
      <c r="A4109" s="149"/>
      <c r="B4109" s="143"/>
      <c r="C4109" s="133"/>
      <c r="D4109" s="133"/>
      <c r="E4109" s="145" t="s">
        <v>1075</v>
      </c>
      <c r="F4109" s="145">
        <v>3067</v>
      </c>
      <c r="G4109" s="133" t="s">
        <v>1034</v>
      </c>
      <c r="H4109" s="144" t="s">
        <v>1341</v>
      </c>
      <c r="I4109" s="133" t="s">
        <v>1092</v>
      </c>
      <c r="J4109" s="510" t="s">
        <v>3291</v>
      </c>
      <c r="K4109" s="143">
        <v>46204</v>
      </c>
      <c r="L4109" s="133" t="s">
        <v>1241</v>
      </c>
      <c r="M4109" s="133">
        <v>554</v>
      </c>
      <c r="N4109" s="147"/>
      <c r="O4109" s="141"/>
      <c r="P4109" s="140"/>
    </row>
    <row r="4110" spans="1:16" x14ac:dyDescent="0.35">
      <c r="A4110" s="149"/>
      <c r="B4110" s="143"/>
      <c r="C4110" s="133"/>
      <c r="D4110" s="133"/>
      <c r="E4110" s="145" t="s">
        <v>1342</v>
      </c>
      <c r="F4110" s="145">
        <v>1567</v>
      </c>
      <c r="G4110" s="133"/>
      <c r="H4110" s="144"/>
      <c r="I4110" s="133"/>
      <c r="J4110" s="133"/>
      <c r="K4110" s="133"/>
      <c r="L4110" s="133"/>
      <c r="M4110" s="133"/>
      <c r="N4110" s="147"/>
      <c r="O4110" s="141"/>
      <c r="P4110" s="140"/>
    </row>
    <row r="4111" spans="1:16" x14ac:dyDescent="0.35">
      <c r="A4111" s="149"/>
      <c r="B4111" s="143"/>
      <c r="C4111" s="133"/>
      <c r="D4111" s="133"/>
      <c r="E4111" s="418" t="s">
        <v>1112</v>
      </c>
      <c r="F4111" s="145">
        <v>3166.3</v>
      </c>
      <c r="G4111" s="133"/>
      <c r="H4111" s="144"/>
      <c r="I4111" s="133"/>
      <c r="J4111" s="133"/>
      <c r="K4111" s="133"/>
      <c r="L4111" s="133"/>
      <c r="M4111" s="133"/>
      <c r="N4111" s="147"/>
      <c r="O4111" s="141"/>
      <c r="P4111" s="140"/>
    </row>
    <row r="4112" spans="1:16" x14ac:dyDescent="0.35">
      <c r="A4112" s="149"/>
      <c r="B4112" s="143"/>
      <c r="C4112" s="133"/>
      <c r="D4112" s="133"/>
      <c r="E4112" s="145" t="s">
        <v>1064</v>
      </c>
      <c r="F4112" s="145">
        <v>334.6</v>
      </c>
      <c r="G4112" s="133"/>
      <c r="H4112" s="144"/>
      <c r="I4112" s="133"/>
      <c r="J4112" s="133"/>
      <c r="K4112" s="133"/>
      <c r="L4112" s="133"/>
      <c r="M4112" s="133"/>
      <c r="N4112" s="147"/>
      <c r="O4112" s="141"/>
      <c r="P4112" s="140"/>
    </row>
    <row r="4113" spans="1:16" x14ac:dyDescent="0.35">
      <c r="A4113" s="149"/>
      <c r="B4113" s="143"/>
      <c r="C4113" s="133"/>
      <c r="D4113" s="133"/>
      <c r="E4113" s="145"/>
      <c r="F4113" s="145"/>
      <c r="G4113" s="133"/>
      <c r="H4113" s="144"/>
      <c r="I4113" s="133"/>
      <c r="J4113" s="133"/>
      <c r="K4113" s="133"/>
      <c r="L4113" s="133"/>
      <c r="M4113" s="133"/>
      <c r="N4113" s="147"/>
      <c r="O4113" s="141"/>
      <c r="P4113" s="140"/>
    </row>
    <row r="4114" spans="1:16" x14ac:dyDescent="0.35">
      <c r="A4114" s="149">
        <v>57</v>
      </c>
      <c r="B4114" s="143">
        <v>46174</v>
      </c>
      <c r="C4114" s="447" t="s">
        <v>1823</v>
      </c>
      <c r="D4114" s="448" t="s">
        <v>2983</v>
      </c>
      <c r="E4114" s="396" t="s">
        <v>1067</v>
      </c>
      <c r="F4114" s="145">
        <v>1552</v>
      </c>
      <c r="G4114" s="133" t="s">
        <v>1034</v>
      </c>
      <c r="H4114" s="144" t="s">
        <v>1341</v>
      </c>
      <c r="I4114" s="133" t="s">
        <v>1092</v>
      </c>
      <c r="J4114" s="488" t="s">
        <v>3152</v>
      </c>
      <c r="K4114" s="143">
        <v>46204</v>
      </c>
      <c r="L4114" s="133" t="s">
        <v>1092</v>
      </c>
      <c r="M4114" s="133">
        <v>8592.25</v>
      </c>
      <c r="N4114" s="147">
        <f>+F4114+F4115+F4116-M4114-M4115</f>
        <v>0</v>
      </c>
      <c r="O4114" s="141"/>
      <c r="P4114" s="140"/>
    </row>
    <row r="4115" spans="1:16" x14ac:dyDescent="0.35">
      <c r="A4115" s="149"/>
      <c r="B4115" s="143"/>
      <c r="C4115" s="133"/>
      <c r="D4115" s="133"/>
      <c r="E4115" s="145" t="s">
        <v>1075</v>
      </c>
      <c r="F4115" s="145">
        <v>4094</v>
      </c>
      <c r="G4115" s="133" t="s">
        <v>1034</v>
      </c>
      <c r="H4115" s="144" t="s">
        <v>1341</v>
      </c>
      <c r="I4115" s="133" t="s">
        <v>1092</v>
      </c>
      <c r="J4115" s="510" t="s">
        <v>3291</v>
      </c>
      <c r="K4115" s="143">
        <v>46204</v>
      </c>
      <c r="L4115" s="133" t="s">
        <v>1241</v>
      </c>
      <c r="M4115" s="133">
        <v>337</v>
      </c>
      <c r="N4115" s="147"/>
      <c r="O4115" s="141"/>
      <c r="P4115" s="140"/>
    </row>
    <row r="4116" spans="1:16" x14ac:dyDescent="0.35">
      <c r="A4116" s="149"/>
      <c r="B4116" s="143"/>
      <c r="C4116" s="133"/>
      <c r="D4116" s="133"/>
      <c r="E4116" s="145" t="s">
        <v>1118</v>
      </c>
      <c r="F4116" s="145">
        <v>3283.25</v>
      </c>
      <c r="G4116" s="133"/>
      <c r="H4116" s="144"/>
      <c r="I4116" s="133"/>
      <c r="J4116" s="133"/>
      <c r="K4116" s="133"/>
      <c r="L4116" s="133"/>
      <c r="M4116" s="133"/>
      <c r="N4116" s="147"/>
      <c r="O4116" s="141"/>
      <c r="P4116" s="140"/>
    </row>
    <row r="4117" spans="1:16" x14ac:dyDescent="0.35">
      <c r="A4117" s="149"/>
      <c r="B4117" s="143"/>
      <c r="C4117" s="133"/>
      <c r="D4117" s="133"/>
      <c r="E4117" s="145"/>
      <c r="F4117" s="145"/>
      <c r="G4117" s="133"/>
      <c r="H4117" s="144"/>
      <c r="I4117" s="133"/>
      <c r="J4117" s="133"/>
      <c r="K4117" s="133"/>
      <c r="L4117" s="133"/>
      <c r="M4117" s="133"/>
      <c r="N4117" s="147"/>
      <c r="O4117" s="141"/>
      <c r="P4117" s="140"/>
    </row>
    <row r="4118" spans="1:16" x14ac:dyDescent="0.35">
      <c r="A4118" s="149">
        <v>58</v>
      </c>
      <c r="B4118" s="143">
        <v>46174</v>
      </c>
      <c r="C4118" s="449" t="s">
        <v>1822</v>
      </c>
      <c r="D4118" s="450" t="s">
        <v>2985</v>
      </c>
      <c r="E4118" s="396" t="s">
        <v>1067</v>
      </c>
      <c r="F4118" s="145">
        <v>2880.3</v>
      </c>
      <c r="G4118" s="133" t="s">
        <v>1034</v>
      </c>
      <c r="H4118" s="144" t="s">
        <v>1341</v>
      </c>
      <c r="I4118" s="133" t="s">
        <v>1092</v>
      </c>
      <c r="J4118" s="491" t="s">
        <v>3179</v>
      </c>
      <c r="K4118" s="143">
        <v>46204</v>
      </c>
      <c r="L4118" s="133" t="s">
        <v>1092</v>
      </c>
      <c r="M4118" s="133">
        <v>11513.5</v>
      </c>
      <c r="N4118" s="147">
        <f>+F4118+F4119+F4120+F4121-M4118-M4119</f>
        <v>0</v>
      </c>
      <c r="O4118" s="141"/>
      <c r="P4118" s="140"/>
    </row>
    <row r="4119" spans="1:16" x14ac:dyDescent="0.35">
      <c r="A4119" s="149"/>
      <c r="B4119" s="143"/>
      <c r="C4119" s="133"/>
      <c r="D4119" s="133"/>
      <c r="E4119" s="145" t="s">
        <v>1075</v>
      </c>
      <c r="F4119" s="145">
        <v>6230.2</v>
      </c>
      <c r="G4119" s="133" t="s">
        <v>1034</v>
      </c>
      <c r="H4119" s="144" t="s">
        <v>1341</v>
      </c>
      <c r="I4119" s="133" t="s">
        <v>1092</v>
      </c>
      <c r="J4119" s="510" t="s">
        <v>3291</v>
      </c>
      <c r="K4119" s="143">
        <v>46204</v>
      </c>
      <c r="L4119" s="133" t="s">
        <v>1241</v>
      </c>
      <c r="M4119" s="133">
        <v>458</v>
      </c>
      <c r="N4119" s="147"/>
      <c r="O4119" s="141"/>
      <c r="P4119" s="140"/>
    </row>
    <row r="4120" spans="1:16" x14ac:dyDescent="0.35">
      <c r="A4120" s="149"/>
      <c r="B4120" s="143"/>
      <c r="C4120" s="133"/>
      <c r="D4120" s="133"/>
      <c r="E4120" s="145" t="s">
        <v>1342</v>
      </c>
      <c r="F4120" s="145">
        <v>1736</v>
      </c>
      <c r="G4120" s="133"/>
      <c r="H4120" s="144"/>
      <c r="I4120" s="133"/>
      <c r="J4120" s="133"/>
      <c r="K4120" s="133"/>
      <c r="L4120" s="133"/>
      <c r="M4120" s="133"/>
      <c r="N4120" s="147"/>
      <c r="O4120" s="141"/>
      <c r="P4120" s="140"/>
    </row>
    <row r="4121" spans="1:16" x14ac:dyDescent="0.35">
      <c r="A4121" s="149"/>
      <c r="B4121" s="143"/>
      <c r="C4121" s="133"/>
      <c r="D4121" s="133"/>
      <c r="E4121" s="145" t="s">
        <v>1064</v>
      </c>
      <c r="F4121" s="145">
        <v>1125</v>
      </c>
      <c r="G4121" s="133"/>
      <c r="H4121" s="144"/>
      <c r="I4121" s="133"/>
      <c r="J4121" s="133"/>
      <c r="K4121" s="133"/>
      <c r="L4121" s="133"/>
      <c r="M4121" s="133"/>
      <c r="N4121" s="147"/>
      <c r="O4121" s="141"/>
      <c r="P4121" s="140"/>
    </row>
    <row r="4122" spans="1:16" x14ac:dyDescent="0.35">
      <c r="A4122" s="149"/>
      <c r="B4122" s="143"/>
      <c r="C4122" s="133"/>
      <c r="D4122" s="133"/>
      <c r="E4122" s="145"/>
      <c r="F4122" s="145"/>
      <c r="G4122" s="133"/>
      <c r="H4122" s="144"/>
      <c r="I4122" s="133"/>
      <c r="J4122" s="133"/>
      <c r="K4122" s="133"/>
      <c r="L4122" s="133"/>
      <c r="M4122" s="133"/>
      <c r="N4122" s="147"/>
      <c r="O4122" s="141"/>
      <c r="P4122" s="140"/>
    </row>
    <row r="4123" spans="1:16" x14ac:dyDescent="0.35">
      <c r="A4123" s="149">
        <v>59</v>
      </c>
      <c r="B4123" s="143">
        <v>46174</v>
      </c>
      <c r="C4123" s="451" t="s">
        <v>1820</v>
      </c>
      <c r="D4123" s="452" t="s">
        <v>2986</v>
      </c>
      <c r="E4123" s="145" t="s">
        <v>1075</v>
      </c>
      <c r="F4123" s="145">
        <v>3148</v>
      </c>
      <c r="G4123" s="133" t="s">
        <v>1034</v>
      </c>
      <c r="H4123" s="144" t="s">
        <v>1341</v>
      </c>
      <c r="I4123" s="133" t="s">
        <v>1092</v>
      </c>
      <c r="J4123" s="491" t="s">
        <v>3179</v>
      </c>
      <c r="K4123" s="143">
        <v>46204</v>
      </c>
      <c r="L4123" s="133" t="s">
        <v>1092</v>
      </c>
      <c r="M4123" s="133">
        <v>3032</v>
      </c>
      <c r="N4123" s="147">
        <f>+F4123-M4123-M4124</f>
        <v>0</v>
      </c>
      <c r="O4123" s="141"/>
      <c r="P4123" s="140"/>
    </row>
    <row r="4124" spans="1:16" x14ac:dyDescent="0.35">
      <c r="A4124" s="149"/>
      <c r="B4124" s="143"/>
      <c r="C4124" s="451"/>
      <c r="D4124" s="452"/>
      <c r="E4124" s="145"/>
      <c r="F4124" s="145"/>
      <c r="G4124" s="133" t="s">
        <v>1034</v>
      </c>
      <c r="H4124" s="144" t="s">
        <v>1341</v>
      </c>
      <c r="I4124" s="133" t="s">
        <v>1092</v>
      </c>
      <c r="J4124" s="510" t="s">
        <v>3291</v>
      </c>
      <c r="K4124" s="143">
        <v>46204</v>
      </c>
      <c r="L4124" s="133" t="s">
        <v>1241</v>
      </c>
      <c r="M4124" s="133">
        <v>116</v>
      </c>
      <c r="N4124" s="147"/>
      <c r="O4124" s="141"/>
      <c r="P4124" s="140"/>
    </row>
    <row r="4125" spans="1:16" x14ac:dyDescent="0.35">
      <c r="A4125" s="149"/>
      <c r="B4125" s="143"/>
      <c r="C4125" s="133"/>
      <c r="D4125" s="133"/>
      <c r="E4125" s="145"/>
      <c r="F4125" s="145"/>
      <c r="G4125" s="133"/>
      <c r="H4125" s="144"/>
      <c r="I4125" s="133"/>
      <c r="J4125" s="133"/>
      <c r="K4125" s="133"/>
      <c r="L4125" s="133"/>
      <c r="M4125" s="133"/>
      <c r="N4125" s="147"/>
      <c r="O4125" s="141"/>
      <c r="P4125" s="140"/>
    </row>
    <row r="4126" spans="1:16" x14ac:dyDescent="0.35">
      <c r="A4126" s="149">
        <v>60</v>
      </c>
      <c r="B4126" s="143">
        <v>46174</v>
      </c>
      <c r="C4126" s="451" t="s">
        <v>1819</v>
      </c>
      <c r="D4126" s="452" t="s">
        <v>2987</v>
      </c>
      <c r="E4126" s="145" t="s">
        <v>1075</v>
      </c>
      <c r="F4126" s="145">
        <v>2569</v>
      </c>
      <c r="G4126" s="133" t="s">
        <v>1034</v>
      </c>
      <c r="H4126" s="144" t="s">
        <v>1341</v>
      </c>
      <c r="I4126" s="133" t="s">
        <v>1092</v>
      </c>
      <c r="J4126" s="491" t="s">
        <v>3179</v>
      </c>
      <c r="K4126" s="143">
        <v>46204</v>
      </c>
      <c r="L4126" s="133" t="s">
        <v>1092</v>
      </c>
      <c r="M4126" s="133">
        <v>8912</v>
      </c>
      <c r="N4126" s="147">
        <f>+F4126+F4127+F4128+F4129-M4126-M4127</f>
        <v>0</v>
      </c>
      <c r="O4126" s="141"/>
      <c r="P4126" s="140"/>
    </row>
    <row r="4127" spans="1:16" x14ac:dyDescent="0.35">
      <c r="A4127" s="149"/>
      <c r="B4127" s="143"/>
      <c r="C4127" s="133"/>
      <c r="D4127" s="133"/>
      <c r="E4127" s="145" t="s">
        <v>1064</v>
      </c>
      <c r="F4127" s="145">
        <v>2260</v>
      </c>
      <c r="G4127" s="133" t="s">
        <v>1034</v>
      </c>
      <c r="H4127" s="144" t="s">
        <v>1341</v>
      </c>
      <c r="I4127" s="133" t="s">
        <v>1092</v>
      </c>
      <c r="J4127" s="510" t="s">
        <v>3291</v>
      </c>
      <c r="K4127" s="143">
        <v>46204</v>
      </c>
      <c r="L4127" s="133" t="s">
        <v>1241</v>
      </c>
      <c r="M4127" s="133">
        <v>345</v>
      </c>
      <c r="N4127" s="147"/>
      <c r="O4127" s="141"/>
      <c r="P4127" s="140"/>
    </row>
    <row r="4128" spans="1:16" x14ac:dyDescent="0.35">
      <c r="A4128" s="149"/>
      <c r="B4128" s="143"/>
      <c r="C4128" s="133"/>
      <c r="D4128" s="133"/>
      <c r="E4128" s="145" t="s">
        <v>1342</v>
      </c>
      <c r="F4128" s="145">
        <v>3078</v>
      </c>
      <c r="G4128" s="133"/>
      <c r="H4128" s="144"/>
      <c r="I4128" s="133"/>
      <c r="J4128" s="133"/>
      <c r="K4128" s="133"/>
      <c r="L4128" s="133"/>
      <c r="M4128" s="133"/>
      <c r="N4128" s="147"/>
      <c r="O4128" s="141"/>
      <c r="P4128" s="140"/>
    </row>
    <row r="4129" spans="1:16" x14ac:dyDescent="0.35">
      <c r="A4129" s="149"/>
      <c r="B4129" s="143"/>
      <c r="C4129" s="133"/>
      <c r="D4129" s="133"/>
      <c r="E4129" s="396" t="s">
        <v>1067</v>
      </c>
      <c r="F4129" s="145">
        <v>1350</v>
      </c>
      <c r="G4129" s="133"/>
      <c r="H4129" s="144"/>
      <c r="I4129" s="133"/>
      <c r="J4129" s="133"/>
      <c r="K4129" s="133"/>
      <c r="L4129" s="133"/>
      <c r="M4129" s="133"/>
      <c r="N4129" s="147"/>
      <c r="O4129" s="141"/>
      <c r="P4129" s="140"/>
    </row>
    <row r="4130" spans="1:16" x14ac:dyDescent="0.35">
      <c r="A4130" s="149"/>
      <c r="B4130" s="143"/>
      <c r="C4130" s="133"/>
      <c r="D4130" s="133"/>
      <c r="E4130" s="145"/>
      <c r="F4130" s="145"/>
      <c r="G4130" s="133"/>
      <c r="H4130" s="144"/>
      <c r="I4130" s="133"/>
      <c r="J4130" s="133"/>
      <c r="K4130" s="133"/>
      <c r="L4130" s="133"/>
      <c r="M4130" s="133"/>
      <c r="N4130" s="147"/>
      <c r="O4130" s="141"/>
      <c r="P4130" s="140"/>
    </row>
    <row r="4131" spans="1:16" x14ac:dyDescent="0.35">
      <c r="A4131" s="149">
        <v>61</v>
      </c>
      <c r="B4131" s="143">
        <v>46174</v>
      </c>
      <c r="C4131" s="453" t="s">
        <v>1817</v>
      </c>
      <c r="D4131" s="454" t="s">
        <v>2988</v>
      </c>
      <c r="E4131" s="145" t="s">
        <v>1118</v>
      </c>
      <c r="F4131" s="145">
        <v>4129.1000000000004</v>
      </c>
      <c r="G4131" s="133" t="s">
        <v>1034</v>
      </c>
      <c r="H4131" s="144" t="s">
        <v>1341</v>
      </c>
      <c r="I4131" s="133" t="s">
        <v>1092</v>
      </c>
      <c r="J4131" s="491" t="s">
        <v>3179</v>
      </c>
      <c r="K4131" s="143">
        <v>46204</v>
      </c>
      <c r="L4131" s="133" t="s">
        <v>1092</v>
      </c>
      <c r="M4131" s="133">
        <v>4954.1000000000004</v>
      </c>
      <c r="N4131" s="147">
        <f>+F4131+F4132-M4131</f>
        <v>0</v>
      </c>
      <c r="O4131" s="141"/>
      <c r="P4131" s="140"/>
    </row>
    <row r="4132" spans="1:16" x14ac:dyDescent="0.35">
      <c r="A4132" s="149"/>
      <c r="B4132" s="143"/>
      <c r="C4132" s="133"/>
      <c r="D4132" s="133"/>
      <c r="E4132" s="396" t="s">
        <v>1067</v>
      </c>
      <c r="F4132" s="145">
        <v>825</v>
      </c>
      <c r="G4132" s="133" t="s">
        <v>1034</v>
      </c>
      <c r="H4132" s="144" t="s">
        <v>1341</v>
      </c>
      <c r="I4132" s="133" t="s">
        <v>1092</v>
      </c>
      <c r="J4132" s="510" t="s">
        <v>3291</v>
      </c>
      <c r="K4132" s="143">
        <v>46204</v>
      </c>
      <c r="L4132" s="133" t="s">
        <v>1241</v>
      </c>
      <c r="M4132" s="133"/>
      <c r="N4132" s="147"/>
      <c r="O4132" s="141"/>
      <c r="P4132" s="140"/>
    </row>
    <row r="4133" spans="1:16" x14ac:dyDescent="0.35">
      <c r="A4133" s="149"/>
      <c r="B4133" s="143"/>
      <c r="C4133" s="133"/>
      <c r="D4133" s="133"/>
      <c r="E4133" s="145"/>
      <c r="F4133" s="145"/>
      <c r="G4133" s="133"/>
      <c r="H4133" s="144"/>
      <c r="I4133" s="133"/>
      <c r="J4133" s="133"/>
      <c r="K4133" s="133"/>
      <c r="L4133" s="133"/>
      <c r="M4133" s="133"/>
      <c r="N4133" s="147"/>
      <c r="O4133" s="141"/>
      <c r="P4133" s="140"/>
    </row>
    <row r="4134" spans="1:16" x14ac:dyDescent="0.35">
      <c r="A4134" s="149">
        <v>62</v>
      </c>
      <c r="B4134" s="143">
        <v>46174</v>
      </c>
      <c r="C4134" s="455" t="s">
        <v>1815</v>
      </c>
      <c r="D4134" s="456" t="s">
        <v>2992</v>
      </c>
      <c r="E4134" s="145" t="s">
        <v>1342</v>
      </c>
      <c r="F4134" s="145">
        <v>555</v>
      </c>
      <c r="G4134" s="133" t="s">
        <v>1034</v>
      </c>
      <c r="H4134" s="144" t="s">
        <v>1341</v>
      </c>
      <c r="I4134" s="133" t="s">
        <v>1092</v>
      </c>
      <c r="J4134" s="491" t="s">
        <v>3179</v>
      </c>
      <c r="K4134" s="143">
        <v>46204</v>
      </c>
      <c r="L4134" s="133" t="s">
        <v>1092</v>
      </c>
      <c r="M4134" s="133">
        <v>6038</v>
      </c>
      <c r="N4134" s="147">
        <f>+F4134+F4135-M4134-M4135</f>
        <v>0</v>
      </c>
      <c r="O4134" s="141"/>
      <c r="P4134" s="140"/>
    </row>
    <row r="4135" spans="1:16" x14ac:dyDescent="0.35">
      <c r="A4135" s="149"/>
      <c r="B4135" s="143"/>
      <c r="C4135" s="133"/>
      <c r="D4135" s="133"/>
      <c r="E4135" s="145" t="s">
        <v>1075</v>
      </c>
      <c r="F4135" s="145">
        <v>5706</v>
      </c>
      <c r="G4135" s="133" t="s">
        <v>1034</v>
      </c>
      <c r="H4135" s="144" t="s">
        <v>1341</v>
      </c>
      <c r="I4135" s="133" t="s">
        <v>1092</v>
      </c>
      <c r="J4135" s="510" t="s">
        <v>3291</v>
      </c>
      <c r="K4135" s="143">
        <v>46204</v>
      </c>
      <c r="L4135" s="133" t="s">
        <v>1241</v>
      </c>
      <c r="M4135" s="133">
        <v>223</v>
      </c>
      <c r="N4135" s="147"/>
      <c r="O4135" s="141"/>
      <c r="P4135" s="140"/>
    </row>
    <row r="4136" spans="1:16" x14ac:dyDescent="0.35">
      <c r="A4136" s="149"/>
      <c r="B4136" s="143"/>
      <c r="C4136" s="133"/>
      <c r="D4136" s="133"/>
      <c r="E4136" s="145"/>
      <c r="F4136" s="145"/>
      <c r="G4136" s="133"/>
      <c r="H4136" s="144"/>
      <c r="I4136" s="133"/>
      <c r="J4136" s="133"/>
      <c r="K4136" s="133"/>
      <c r="L4136" s="133"/>
      <c r="M4136" s="133"/>
      <c r="N4136" s="147"/>
      <c r="O4136" s="141"/>
      <c r="P4136" s="140"/>
    </row>
    <row r="4137" spans="1:16" x14ac:dyDescent="0.35">
      <c r="A4137" s="149">
        <v>63</v>
      </c>
      <c r="B4137" s="143">
        <v>46174</v>
      </c>
      <c r="C4137" s="455" t="s">
        <v>1813</v>
      </c>
      <c r="D4137" s="456" t="s">
        <v>2993</v>
      </c>
      <c r="E4137" s="145" t="s">
        <v>1075</v>
      </c>
      <c r="F4137" s="145">
        <v>6682.7</v>
      </c>
      <c r="G4137" s="133" t="s">
        <v>1034</v>
      </c>
      <c r="H4137" s="144" t="s">
        <v>1341</v>
      </c>
      <c r="I4137" s="133" t="s">
        <v>1092</v>
      </c>
      <c r="J4137" s="491" t="s">
        <v>3179</v>
      </c>
      <c r="K4137" s="143">
        <v>46204</v>
      </c>
      <c r="L4137" s="133" t="s">
        <v>1092</v>
      </c>
      <c r="M4137" s="133">
        <v>6440.7</v>
      </c>
      <c r="N4137" s="147">
        <f>+F4137-M4137-M4138</f>
        <v>0</v>
      </c>
      <c r="O4137" s="141"/>
      <c r="P4137" s="140"/>
    </row>
    <row r="4138" spans="1:16" x14ac:dyDescent="0.35">
      <c r="A4138" s="149"/>
      <c r="B4138" s="143"/>
      <c r="C4138" s="455"/>
      <c r="D4138" s="456"/>
      <c r="E4138" s="145"/>
      <c r="F4138" s="145"/>
      <c r="G4138" s="133" t="s">
        <v>1034</v>
      </c>
      <c r="H4138" s="144" t="s">
        <v>1341</v>
      </c>
      <c r="I4138" s="133" t="s">
        <v>1092</v>
      </c>
      <c r="J4138" s="510" t="s">
        <v>3291</v>
      </c>
      <c r="K4138" s="143">
        <v>46204</v>
      </c>
      <c r="L4138" s="133" t="s">
        <v>1241</v>
      </c>
      <c r="M4138" s="133">
        <v>242</v>
      </c>
      <c r="N4138" s="147"/>
      <c r="O4138" s="141"/>
      <c r="P4138" s="140"/>
    </row>
    <row r="4139" spans="1:16" x14ac:dyDescent="0.35">
      <c r="A4139" s="149"/>
      <c r="B4139" s="143"/>
      <c r="C4139" s="133"/>
      <c r="D4139" s="133"/>
      <c r="E4139" s="145"/>
      <c r="F4139" s="145"/>
      <c r="G4139" s="133"/>
      <c r="H4139" s="144"/>
      <c r="I4139" s="133"/>
      <c r="J4139" s="133"/>
      <c r="K4139" s="133"/>
      <c r="L4139" s="133"/>
      <c r="M4139" s="133"/>
      <c r="N4139" s="147"/>
      <c r="O4139" s="141"/>
      <c r="P4139" s="140"/>
    </row>
    <row r="4140" spans="1:16" x14ac:dyDescent="0.35">
      <c r="A4140" s="149">
        <v>64</v>
      </c>
      <c r="B4140" s="143">
        <v>46174</v>
      </c>
      <c r="C4140" s="455" t="s">
        <v>1809</v>
      </c>
      <c r="D4140" s="456" t="s">
        <v>2991</v>
      </c>
      <c r="E4140" s="145" t="s">
        <v>1342</v>
      </c>
      <c r="F4140" s="145">
        <v>4884</v>
      </c>
      <c r="G4140" s="133" t="s">
        <v>1034</v>
      </c>
      <c r="H4140" s="144" t="s">
        <v>1341</v>
      </c>
      <c r="I4140" s="133" t="s">
        <v>1092</v>
      </c>
      <c r="J4140" s="501" t="s">
        <v>3241</v>
      </c>
      <c r="K4140" s="143">
        <v>46204</v>
      </c>
      <c r="L4140" s="133" t="s">
        <v>1092</v>
      </c>
      <c r="M4140" s="133">
        <v>7763.6</v>
      </c>
      <c r="N4140" s="147">
        <f>+F4140+F4141-M4140-M4141</f>
        <v>0</v>
      </c>
      <c r="O4140" s="141"/>
      <c r="P4140" s="140"/>
    </row>
    <row r="4141" spans="1:16" x14ac:dyDescent="0.35">
      <c r="A4141" s="149"/>
      <c r="B4141" s="143"/>
      <c r="C4141" s="133"/>
      <c r="D4141" s="133"/>
      <c r="E4141" s="396" t="s">
        <v>1067</v>
      </c>
      <c r="F4141" s="145">
        <v>3180.6</v>
      </c>
      <c r="G4141" s="133" t="s">
        <v>1034</v>
      </c>
      <c r="H4141" s="144" t="s">
        <v>1341</v>
      </c>
      <c r="I4141" s="133" t="s">
        <v>1092</v>
      </c>
      <c r="J4141" s="510" t="s">
        <v>3291</v>
      </c>
      <c r="K4141" s="143">
        <v>46204</v>
      </c>
      <c r="L4141" s="133" t="s">
        <v>1241</v>
      </c>
      <c r="M4141" s="133">
        <v>301</v>
      </c>
      <c r="N4141" s="147"/>
      <c r="O4141" s="141"/>
      <c r="P4141" s="140"/>
    </row>
    <row r="4142" spans="1:16" x14ac:dyDescent="0.35">
      <c r="A4142" s="149"/>
      <c r="B4142" s="143"/>
      <c r="C4142" s="133"/>
      <c r="D4142" s="133"/>
      <c r="E4142" s="145"/>
      <c r="F4142" s="145"/>
      <c r="G4142" s="133"/>
      <c r="H4142" s="144"/>
      <c r="I4142" s="133"/>
      <c r="J4142" s="133"/>
      <c r="K4142" s="133"/>
      <c r="L4142" s="133"/>
      <c r="M4142" s="133"/>
      <c r="N4142" s="147"/>
      <c r="O4142" s="141"/>
      <c r="P4142" s="140"/>
    </row>
    <row r="4143" spans="1:16" x14ac:dyDescent="0.35">
      <c r="A4143" s="149">
        <v>65</v>
      </c>
      <c r="B4143" s="143">
        <v>46174</v>
      </c>
      <c r="C4143" s="459" t="s">
        <v>1807</v>
      </c>
      <c r="D4143" s="460" t="s">
        <v>2998</v>
      </c>
      <c r="E4143" s="145" t="s">
        <v>1342</v>
      </c>
      <c r="F4143" s="145">
        <v>2725</v>
      </c>
      <c r="G4143" s="133" t="s">
        <v>1034</v>
      </c>
      <c r="H4143" s="144" t="s">
        <v>1341</v>
      </c>
      <c r="I4143" s="133" t="s">
        <v>1092</v>
      </c>
      <c r="J4143" s="501" t="s">
        <v>3241</v>
      </c>
      <c r="K4143" s="143">
        <v>46204</v>
      </c>
      <c r="L4143" s="133" t="s">
        <v>1092</v>
      </c>
      <c r="M4143" s="133">
        <v>9885.2000000000007</v>
      </c>
      <c r="N4143" s="147">
        <f>+F4143+F4144+F4145+F4146+F4147-M4143-M4144</f>
        <v>0</v>
      </c>
      <c r="O4143" s="141"/>
      <c r="P4143" s="140"/>
    </row>
    <row r="4144" spans="1:16" x14ac:dyDescent="0.35">
      <c r="A4144" s="149"/>
      <c r="B4144" s="143"/>
      <c r="C4144" s="133"/>
      <c r="D4144" s="133"/>
      <c r="E4144" s="396" t="s">
        <v>1067</v>
      </c>
      <c r="F4144" s="145">
        <v>2257.8000000000002</v>
      </c>
      <c r="G4144" s="133" t="s">
        <v>1034</v>
      </c>
      <c r="H4144" s="144" t="s">
        <v>1341</v>
      </c>
      <c r="I4144" s="133" t="s">
        <v>1092</v>
      </c>
      <c r="J4144" s="510" t="s">
        <v>3291</v>
      </c>
      <c r="K4144" s="143">
        <v>46204</v>
      </c>
      <c r="L4144" s="133" t="s">
        <v>1241</v>
      </c>
      <c r="M4144" s="133">
        <v>389</v>
      </c>
      <c r="N4144" s="147"/>
      <c r="O4144" s="141"/>
      <c r="P4144" s="140"/>
    </row>
    <row r="4145" spans="1:16" x14ac:dyDescent="0.35">
      <c r="A4145" s="149"/>
      <c r="B4145" s="143"/>
      <c r="C4145" s="133"/>
      <c r="D4145" s="133"/>
      <c r="E4145" s="145" t="s">
        <v>1064</v>
      </c>
      <c r="F4145" s="145">
        <v>1890</v>
      </c>
      <c r="G4145" s="133"/>
      <c r="H4145" s="144"/>
      <c r="I4145" s="133"/>
      <c r="J4145" s="133"/>
      <c r="K4145" s="133"/>
      <c r="L4145" s="133"/>
      <c r="M4145" s="133"/>
      <c r="N4145" s="147"/>
      <c r="O4145" s="141"/>
      <c r="P4145" s="140"/>
    </row>
    <row r="4146" spans="1:16" x14ac:dyDescent="0.35">
      <c r="A4146" s="149"/>
      <c r="B4146" s="143"/>
      <c r="C4146" s="133"/>
      <c r="D4146" s="133"/>
      <c r="E4146" s="145" t="s">
        <v>1118</v>
      </c>
      <c r="F4146" s="145">
        <v>3301.4</v>
      </c>
      <c r="G4146" s="133"/>
      <c r="H4146" s="144"/>
      <c r="I4146" s="133"/>
      <c r="J4146" s="133"/>
      <c r="K4146" s="133"/>
      <c r="L4146" s="133"/>
      <c r="M4146" s="133"/>
      <c r="N4146" s="147"/>
      <c r="O4146" s="141"/>
      <c r="P4146" s="140"/>
    </row>
    <row r="4147" spans="1:16" x14ac:dyDescent="0.35">
      <c r="A4147" s="149"/>
      <c r="B4147" s="143"/>
      <c r="C4147" s="133"/>
      <c r="D4147" s="133"/>
      <c r="E4147" s="461" t="s">
        <v>1171</v>
      </c>
      <c r="F4147" s="145">
        <v>100</v>
      </c>
      <c r="G4147" s="133"/>
      <c r="H4147" s="144"/>
      <c r="I4147" s="133"/>
      <c r="J4147" s="133"/>
      <c r="K4147" s="133"/>
      <c r="L4147" s="133"/>
      <c r="M4147" s="133"/>
      <c r="N4147" s="147"/>
      <c r="O4147" s="141"/>
      <c r="P4147" s="140"/>
    </row>
    <row r="4148" spans="1:16" x14ac:dyDescent="0.35">
      <c r="A4148" s="149"/>
      <c r="B4148" s="143"/>
      <c r="C4148" s="133"/>
      <c r="D4148" s="133"/>
      <c r="E4148" s="145"/>
      <c r="F4148" s="145"/>
      <c r="G4148" s="133"/>
      <c r="H4148" s="144"/>
      <c r="I4148" s="133"/>
      <c r="J4148" s="133"/>
      <c r="K4148" s="133"/>
      <c r="L4148" s="133"/>
      <c r="M4148" s="133"/>
      <c r="N4148" s="147"/>
      <c r="O4148" s="141"/>
      <c r="P4148" s="140"/>
    </row>
    <row r="4149" spans="1:16" x14ac:dyDescent="0.35">
      <c r="A4149" s="149">
        <v>66</v>
      </c>
      <c r="B4149" s="143">
        <v>46174</v>
      </c>
      <c r="C4149" s="459" t="s">
        <v>1805</v>
      </c>
      <c r="D4149" s="460" t="s">
        <v>2999</v>
      </c>
      <c r="E4149" s="145" t="s">
        <v>1075</v>
      </c>
      <c r="F4149" s="145">
        <v>3895</v>
      </c>
      <c r="G4149" s="133" t="s">
        <v>1034</v>
      </c>
      <c r="H4149" s="144" t="s">
        <v>1341</v>
      </c>
      <c r="I4149" s="133" t="s">
        <v>1092</v>
      </c>
      <c r="J4149" s="501" t="s">
        <v>3241</v>
      </c>
      <c r="K4149" s="143">
        <v>46204</v>
      </c>
      <c r="L4149" s="133" t="s">
        <v>1092</v>
      </c>
      <c r="M4149" s="133">
        <v>4171</v>
      </c>
      <c r="N4149" s="147">
        <f>+F4149+F4150-M4149-M4150</f>
        <v>0</v>
      </c>
      <c r="O4149" s="141"/>
      <c r="P4149" s="140"/>
    </row>
    <row r="4150" spans="1:16" x14ac:dyDescent="0.35">
      <c r="A4150" s="149"/>
      <c r="B4150" s="143"/>
      <c r="C4150" s="133"/>
      <c r="D4150" s="133"/>
      <c r="E4150" s="396" t="s">
        <v>1067</v>
      </c>
      <c r="F4150" s="145">
        <v>434</v>
      </c>
      <c r="G4150" s="133" t="s">
        <v>1034</v>
      </c>
      <c r="H4150" s="144" t="s">
        <v>1341</v>
      </c>
      <c r="I4150" s="133" t="s">
        <v>1092</v>
      </c>
      <c r="J4150" s="510" t="s">
        <v>3291</v>
      </c>
      <c r="K4150" s="143">
        <v>46204</v>
      </c>
      <c r="L4150" s="133" t="s">
        <v>1241</v>
      </c>
      <c r="M4150" s="133">
        <v>158</v>
      </c>
      <c r="N4150" s="147"/>
      <c r="O4150" s="141"/>
      <c r="P4150" s="140"/>
    </row>
    <row r="4151" spans="1:16" x14ac:dyDescent="0.35">
      <c r="A4151" s="149"/>
      <c r="B4151" s="143"/>
      <c r="C4151" s="133"/>
      <c r="D4151" s="133"/>
      <c r="E4151" s="145"/>
      <c r="F4151" s="145"/>
      <c r="G4151" s="133"/>
      <c r="H4151" s="144"/>
      <c r="I4151" s="133"/>
      <c r="J4151" s="133"/>
      <c r="K4151" s="133"/>
      <c r="L4151" s="133"/>
      <c r="M4151" s="133"/>
      <c r="N4151" s="147"/>
      <c r="O4151" s="141"/>
      <c r="P4151" s="140"/>
    </row>
    <row r="4152" spans="1:16" x14ac:dyDescent="0.35">
      <c r="A4152" s="149">
        <v>67</v>
      </c>
      <c r="B4152" s="143">
        <v>46174</v>
      </c>
      <c r="C4152" s="463" t="s">
        <v>1804</v>
      </c>
      <c r="D4152" s="464" t="s">
        <v>3002</v>
      </c>
      <c r="E4152" s="145" t="s">
        <v>1342</v>
      </c>
      <c r="F4152" s="145">
        <v>3031</v>
      </c>
      <c r="G4152" s="133" t="s">
        <v>1034</v>
      </c>
      <c r="H4152" s="144" t="s">
        <v>1341</v>
      </c>
      <c r="I4152" s="133" t="s">
        <v>1092</v>
      </c>
      <c r="J4152" s="501" t="s">
        <v>3241</v>
      </c>
      <c r="K4152" s="143">
        <v>46204</v>
      </c>
      <c r="L4152" s="133" t="s">
        <v>1092</v>
      </c>
      <c r="M4152" s="133">
        <v>3563.7</v>
      </c>
      <c r="N4152" s="147">
        <f>+F4152+F4153+F4154+F4155-M4152-M4153</f>
        <v>0</v>
      </c>
      <c r="O4152" s="141"/>
      <c r="P4152" s="140"/>
    </row>
    <row r="4153" spans="1:16" x14ac:dyDescent="0.35">
      <c r="A4153" s="149"/>
      <c r="B4153" s="143"/>
      <c r="C4153" s="133"/>
      <c r="D4153" s="133"/>
      <c r="E4153" s="396" t="s">
        <v>1067</v>
      </c>
      <c r="F4153" s="145">
        <v>434.7</v>
      </c>
      <c r="G4153" s="133" t="s">
        <v>1034</v>
      </c>
      <c r="H4153" s="144" t="s">
        <v>1341</v>
      </c>
      <c r="I4153" s="133" t="s">
        <v>1092</v>
      </c>
      <c r="J4153" s="510" t="s">
        <v>3291</v>
      </c>
      <c r="K4153" s="143">
        <v>46204</v>
      </c>
      <c r="L4153" s="133" t="s">
        <v>1241</v>
      </c>
      <c r="M4153" s="133">
        <v>127</v>
      </c>
      <c r="N4153" s="147"/>
      <c r="O4153" s="141"/>
      <c r="P4153" s="140"/>
    </row>
    <row r="4154" spans="1:16" x14ac:dyDescent="0.35">
      <c r="A4154" s="149"/>
      <c r="B4154" s="143"/>
      <c r="C4154" s="133"/>
      <c r="D4154" s="133"/>
      <c r="E4154" s="461" t="s">
        <v>1171</v>
      </c>
      <c r="F4154" s="145">
        <v>75</v>
      </c>
      <c r="G4154" s="133"/>
      <c r="H4154" s="144"/>
      <c r="I4154" s="133"/>
      <c r="J4154" s="133"/>
      <c r="K4154" s="133"/>
      <c r="L4154" s="133"/>
      <c r="M4154" s="133"/>
      <c r="N4154" s="147"/>
      <c r="O4154" s="141"/>
      <c r="P4154" s="140"/>
    </row>
    <row r="4155" spans="1:16" x14ac:dyDescent="0.35">
      <c r="A4155" s="149"/>
      <c r="B4155" s="143"/>
      <c r="C4155" s="133"/>
      <c r="D4155" s="133"/>
      <c r="E4155" s="461" t="s">
        <v>1171</v>
      </c>
      <c r="F4155" s="145">
        <v>150</v>
      </c>
      <c r="G4155" s="133"/>
      <c r="H4155" s="144"/>
      <c r="I4155" s="133"/>
      <c r="J4155" s="133"/>
      <c r="K4155" s="133"/>
      <c r="L4155" s="133"/>
      <c r="M4155" s="133"/>
      <c r="N4155" s="147"/>
      <c r="O4155" s="141"/>
      <c r="P4155" s="140"/>
    </row>
    <row r="4156" spans="1:16" x14ac:dyDescent="0.35">
      <c r="A4156" s="149"/>
      <c r="B4156" s="143"/>
      <c r="C4156" s="133"/>
      <c r="D4156" s="133"/>
      <c r="E4156" s="145"/>
      <c r="F4156" s="145"/>
      <c r="G4156" s="133"/>
      <c r="H4156" s="144"/>
      <c r="I4156" s="133"/>
      <c r="J4156" s="133"/>
      <c r="K4156" s="133"/>
      <c r="L4156" s="133"/>
      <c r="M4156" s="133"/>
      <c r="N4156" s="142"/>
      <c r="O4156" s="141"/>
      <c r="P4156" s="140"/>
    </row>
    <row r="4157" spans="1:16" x14ac:dyDescent="0.35">
      <c r="A4157" s="149">
        <v>68</v>
      </c>
      <c r="B4157" s="143">
        <v>46174</v>
      </c>
      <c r="C4157" s="466" t="s">
        <v>1803</v>
      </c>
      <c r="D4157" s="467" t="s">
        <v>3003</v>
      </c>
      <c r="E4157" s="145" t="s">
        <v>1075</v>
      </c>
      <c r="F4157" s="145">
        <v>1733</v>
      </c>
      <c r="G4157" s="133" t="s">
        <v>1034</v>
      </c>
      <c r="H4157" s="144" t="s">
        <v>1341</v>
      </c>
      <c r="I4157" s="133" t="s">
        <v>1092</v>
      </c>
      <c r="J4157" s="501" t="s">
        <v>3241</v>
      </c>
      <c r="K4157" s="143">
        <v>46204</v>
      </c>
      <c r="L4157" s="133" t="s">
        <v>1092</v>
      </c>
      <c r="M4157" s="133">
        <v>3272</v>
      </c>
      <c r="N4157" s="147">
        <f>+F4157+F4158-M4157-M4158</f>
        <v>0</v>
      </c>
      <c r="O4157" s="141"/>
      <c r="P4157" s="140"/>
    </row>
    <row r="4158" spans="1:16" x14ac:dyDescent="0.35">
      <c r="A4158" s="149"/>
      <c r="B4158" s="143"/>
      <c r="C4158" s="133"/>
      <c r="D4158" s="133"/>
      <c r="E4158" s="145" t="s">
        <v>1064</v>
      </c>
      <c r="F4158" s="145">
        <v>1655</v>
      </c>
      <c r="G4158" s="133" t="s">
        <v>1034</v>
      </c>
      <c r="H4158" s="144" t="s">
        <v>1341</v>
      </c>
      <c r="I4158" s="133" t="s">
        <v>1092</v>
      </c>
      <c r="J4158" s="510" t="s">
        <v>3291</v>
      </c>
      <c r="K4158" s="143">
        <v>46204</v>
      </c>
      <c r="L4158" s="133" t="s">
        <v>1241</v>
      </c>
      <c r="M4158" s="142">
        <v>116</v>
      </c>
      <c r="N4158" s="142"/>
      <c r="O4158" s="141"/>
      <c r="P4158" s="140"/>
    </row>
    <row r="4159" spans="1:16" x14ac:dyDescent="0.35">
      <c r="A4159" s="149"/>
      <c r="B4159" s="143"/>
      <c r="C4159" s="133"/>
      <c r="D4159" s="133"/>
      <c r="E4159" s="145"/>
      <c r="F4159" s="145"/>
      <c r="G4159" s="133"/>
      <c r="H4159" s="144"/>
      <c r="I4159" s="133"/>
      <c r="J4159" s="133"/>
      <c r="K4159" s="133"/>
      <c r="L4159" s="133"/>
      <c r="M4159" s="133"/>
      <c r="N4159" s="142"/>
      <c r="O4159" s="141"/>
      <c r="P4159" s="140"/>
    </row>
    <row r="4160" spans="1:16" x14ac:dyDescent="0.35">
      <c r="A4160" s="149">
        <v>69</v>
      </c>
      <c r="B4160" s="143">
        <v>46174</v>
      </c>
      <c r="C4160" s="466" t="s">
        <v>1802</v>
      </c>
      <c r="D4160" s="467" t="s">
        <v>3004</v>
      </c>
      <c r="E4160" s="145" t="s">
        <v>1075</v>
      </c>
      <c r="F4160" s="145">
        <v>2725</v>
      </c>
      <c r="G4160" s="133" t="s">
        <v>1034</v>
      </c>
      <c r="H4160" s="144" t="s">
        <v>1341</v>
      </c>
      <c r="I4160" s="133" t="s">
        <v>1092</v>
      </c>
      <c r="J4160" s="501" t="s">
        <v>3241</v>
      </c>
      <c r="K4160" s="143">
        <v>46204</v>
      </c>
      <c r="L4160" s="133" t="s">
        <v>1092</v>
      </c>
      <c r="M4160" s="133">
        <v>12146.029999999999</v>
      </c>
      <c r="N4160" s="147">
        <f>+F4160+F4161+F4162-M4160-M4161</f>
        <v>0</v>
      </c>
      <c r="O4160" s="141"/>
      <c r="P4160" s="140"/>
    </row>
    <row r="4161" spans="1:16" x14ac:dyDescent="0.35">
      <c r="A4161" s="149"/>
      <c r="B4161" s="143"/>
      <c r="C4161" s="133"/>
      <c r="D4161" s="133"/>
      <c r="E4161" s="145" t="s">
        <v>1064</v>
      </c>
      <c r="F4161" s="145">
        <v>1785</v>
      </c>
      <c r="G4161" s="133" t="s">
        <v>1034</v>
      </c>
      <c r="H4161" s="144" t="s">
        <v>1341</v>
      </c>
      <c r="I4161" s="133" t="s">
        <v>1092</v>
      </c>
      <c r="J4161" s="510" t="s">
        <v>3291</v>
      </c>
      <c r="K4161" s="143">
        <v>46204</v>
      </c>
      <c r="L4161" s="133" t="s">
        <v>1241</v>
      </c>
      <c r="M4161" s="133">
        <v>487</v>
      </c>
      <c r="N4161" s="142"/>
      <c r="O4161" s="141"/>
      <c r="P4161" s="140"/>
    </row>
    <row r="4162" spans="1:16" x14ac:dyDescent="0.35">
      <c r="A4162" s="149"/>
      <c r="B4162" s="143"/>
      <c r="C4162" s="133"/>
      <c r="D4162" s="133"/>
      <c r="E4162" s="396" t="s">
        <v>1067</v>
      </c>
      <c r="F4162" s="145">
        <v>8123.03</v>
      </c>
      <c r="G4162" s="133"/>
      <c r="H4162" s="144"/>
      <c r="I4162" s="133"/>
      <c r="J4162" s="133"/>
      <c r="K4162" s="133"/>
      <c r="L4162" s="133"/>
      <c r="M4162" s="133"/>
      <c r="N4162" s="142"/>
      <c r="O4162" s="141"/>
      <c r="P4162" s="140"/>
    </row>
    <row r="4163" spans="1:16" x14ac:dyDescent="0.35">
      <c r="A4163" s="149"/>
      <c r="B4163" s="143"/>
      <c r="C4163" s="133"/>
      <c r="D4163" s="133"/>
      <c r="E4163" s="145"/>
      <c r="F4163" s="145"/>
      <c r="G4163" s="133"/>
      <c r="H4163" s="144"/>
      <c r="I4163" s="133"/>
      <c r="J4163" s="133"/>
      <c r="K4163" s="133"/>
      <c r="L4163" s="133"/>
      <c r="M4163" s="133"/>
      <c r="N4163" s="142"/>
      <c r="O4163" s="141"/>
      <c r="P4163" s="140"/>
    </row>
    <row r="4164" spans="1:16" x14ac:dyDescent="0.35">
      <c r="A4164" s="149">
        <v>70</v>
      </c>
      <c r="B4164" s="143">
        <v>46174</v>
      </c>
      <c r="C4164" s="469" t="s">
        <v>1800</v>
      </c>
      <c r="D4164" s="470" t="s">
        <v>3030</v>
      </c>
      <c r="E4164" s="145" t="s">
        <v>1075</v>
      </c>
      <c r="F4164" s="145">
        <v>2272.8000000000002</v>
      </c>
      <c r="G4164" s="133" t="s">
        <v>1034</v>
      </c>
      <c r="H4164" s="144" t="s">
        <v>1341</v>
      </c>
      <c r="I4164" s="133" t="s">
        <v>1092</v>
      </c>
      <c r="J4164" s="501" t="s">
        <v>3241</v>
      </c>
      <c r="K4164" s="143">
        <v>46204</v>
      </c>
      <c r="L4164" s="133" t="s">
        <v>1092</v>
      </c>
      <c r="M4164" s="133">
        <v>14131.2</v>
      </c>
      <c r="N4164" s="147">
        <f>+F4164+F4165+F4166+F4167-M4164-M4165</f>
        <v>0</v>
      </c>
      <c r="O4164" s="141"/>
      <c r="P4164" s="140"/>
    </row>
    <row r="4165" spans="1:16" x14ac:dyDescent="0.35">
      <c r="A4165" s="149"/>
      <c r="B4165" s="143"/>
      <c r="C4165" s="133"/>
      <c r="D4165" s="133"/>
      <c r="E4165" s="145" t="s">
        <v>1064</v>
      </c>
      <c r="F4165" s="145">
        <v>984.5</v>
      </c>
      <c r="G4165" s="133" t="s">
        <v>1034</v>
      </c>
      <c r="H4165" s="144" t="s">
        <v>1341</v>
      </c>
      <c r="I4165" s="133" t="s">
        <v>1092</v>
      </c>
      <c r="J4165" s="510" t="s">
        <v>3291</v>
      </c>
      <c r="K4165" s="143">
        <v>46204</v>
      </c>
      <c r="L4165" s="133" t="s">
        <v>1241</v>
      </c>
      <c r="M4165" s="133">
        <v>566</v>
      </c>
      <c r="N4165" s="142"/>
      <c r="O4165" s="141"/>
      <c r="P4165" s="140"/>
    </row>
    <row r="4166" spans="1:16" x14ac:dyDescent="0.35">
      <c r="A4166" s="149"/>
      <c r="B4166" s="143"/>
      <c r="C4166" s="133"/>
      <c r="D4166" s="133"/>
      <c r="E4166" s="396" t="s">
        <v>1067</v>
      </c>
      <c r="F4166" s="145">
        <v>9633.9</v>
      </c>
      <c r="G4166" s="133"/>
      <c r="H4166" s="144"/>
      <c r="I4166" s="133"/>
      <c r="J4166" s="133"/>
      <c r="K4166" s="133"/>
      <c r="L4166" s="133"/>
      <c r="M4166" s="133"/>
      <c r="N4166" s="142"/>
      <c r="O4166" s="141"/>
      <c r="P4166" s="140"/>
    </row>
    <row r="4167" spans="1:16" x14ac:dyDescent="0.35">
      <c r="A4167" s="149"/>
      <c r="B4167" s="143"/>
      <c r="C4167" s="133"/>
      <c r="D4167" s="133"/>
      <c r="E4167" s="145" t="s">
        <v>1342</v>
      </c>
      <c r="F4167" s="145">
        <v>1806</v>
      </c>
      <c r="G4167" s="133"/>
      <c r="H4167" s="144"/>
      <c r="I4167" s="133"/>
      <c r="J4167" s="133"/>
      <c r="K4167" s="133"/>
      <c r="L4167" s="133"/>
      <c r="M4167" s="133"/>
      <c r="N4167" s="142"/>
      <c r="O4167" s="141"/>
      <c r="P4167" s="140"/>
    </row>
    <row r="4168" spans="1:16" x14ac:dyDescent="0.35">
      <c r="A4168" s="149"/>
      <c r="B4168" s="143"/>
      <c r="C4168" s="133"/>
      <c r="D4168" s="133"/>
      <c r="E4168" s="145"/>
      <c r="F4168" s="145"/>
      <c r="G4168" s="133"/>
      <c r="H4168" s="144"/>
      <c r="I4168" s="133"/>
      <c r="J4168" s="133"/>
      <c r="K4168" s="133"/>
      <c r="L4168" s="133"/>
      <c r="M4168" s="133"/>
      <c r="N4168" s="142"/>
      <c r="O4168" s="141"/>
      <c r="P4168" s="140"/>
    </row>
    <row r="4169" spans="1:16" x14ac:dyDescent="0.35">
      <c r="A4169" s="149">
        <v>71</v>
      </c>
      <c r="B4169" s="143">
        <v>46174</v>
      </c>
      <c r="C4169" s="471" t="s">
        <v>1798</v>
      </c>
      <c r="D4169" s="472" t="s">
        <v>3032</v>
      </c>
      <c r="E4169" s="145" t="s">
        <v>1075</v>
      </c>
      <c r="F4169" s="145">
        <v>4510</v>
      </c>
      <c r="G4169" s="133" t="s">
        <v>1034</v>
      </c>
      <c r="H4169" s="144" t="s">
        <v>1341</v>
      </c>
      <c r="I4169" s="133" t="s">
        <v>1092</v>
      </c>
      <c r="J4169" s="510" t="s">
        <v>3290</v>
      </c>
      <c r="K4169" s="143">
        <v>46204</v>
      </c>
      <c r="L4169" s="133" t="s">
        <v>1092</v>
      </c>
      <c r="M4169" s="133">
        <v>11096.8</v>
      </c>
      <c r="N4169" s="147">
        <f>+F4169+F4170+F4171+F4172+F4173+F4174-M4169-M4170</f>
        <v>0</v>
      </c>
      <c r="O4169" s="141"/>
      <c r="P4169" s="140"/>
    </row>
    <row r="4170" spans="1:16" x14ac:dyDescent="0.35">
      <c r="A4170" s="149"/>
      <c r="B4170" s="143"/>
      <c r="C4170" s="133"/>
      <c r="D4170" s="133"/>
      <c r="E4170" s="349" t="s">
        <v>1071</v>
      </c>
      <c r="F4170" s="145">
        <v>55.7</v>
      </c>
      <c r="G4170" s="133" t="s">
        <v>1034</v>
      </c>
      <c r="H4170" s="144" t="s">
        <v>1341</v>
      </c>
      <c r="I4170" s="133" t="s">
        <v>1092</v>
      </c>
      <c r="J4170" s="510" t="s">
        <v>3291</v>
      </c>
      <c r="K4170" s="143">
        <v>46204</v>
      </c>
      <c r="L4170" s="133" t="s">
        <v>1241</v>
      </c>
      <c r="M4170" s="133">
        <v>435</v>
      </c>
      <c r="N4170" s="142"/>
      <c r="O4170" s="141"/>
      <c r="P4170" s="140"/>
    </row>
    <row r="4171" spans="1:16" x14ac:dyDescent="0.35">
      <c r="A4171" s="149"/>
      <c r="B4171" s="143"/>
      <c r="C4171" s="133"/>
      <c r="D4171" s="133"/>
      <c r="E4171" s="396" t="s">
        <v>1067</v>
      </c>
      <c r="F4171" s="145">
        <v>565</v>
      </c>
      <c r="G4171" s="133"/>
      <c r="H4171" s="144"/>
      <c r="I4171" s="133"/>
      <c r="J4171" s="133"/>
      <c r="K4171" s="133"/>
      <c r="L4171" s="133"/>
      <c r="M4171" s="133"/>
      <c r="N4171" s="142"/>
      <c r="O4171" s="141"/>
      <c r="P4171" s="140"/>
    </row>
    <row r="4172" spans="1:16" x14ac:dyDescent="0.35">
      <c r="A4172" s="149"/>
      <c r="B4172" s="143"/>
      <c r="C4172" s="133"/>
      <c r="D4172" s="133"/>
      <c r="E4172" s="145" t="s">
        <v>1118</v>
      </c>
      <c r="F4172" s="145">
        <v>1608.1</v>
      </c>
      <c r="G4172" s="133"/>
      <c r="H4172" s="144"/>
      <c r="I4172" s="133"/>
      <c r="J4172" s="133"/>
      <c r="K4172" s="133"/>
      <c r="L4172" s="133"/>
      <c r="M4172" s="133"/>
      <c r="N4172" s="142"/>
      <c r="O4172" s="141"/>
      <c r="P4172" s="140"/>
    </row>
    <row r="4173" spans="1:16" x14ac:dyDescent="0.35">
      <c r="A4173" s="149"/>
      <c r="B4173" s="143"/>
      <c r="C4173" s="133"/>
      <c r="D4173" s="133"/>
      <c r="E4173" s="473" t="s">
        <v>2331</v>
      </c>
      <c r="F4173" s="145">
        <v>1250</v>
      </c>
      <c r="G4173" s="133"/>
      <c r="H4173" s="144"/>
      <c r="I4173" s="133"/>
      <c r="J4173" s="133"/>
      <c r="K4173" s="133"/>
      <c r="L4173" s="133"/>
      <c r="M4173" s="133"/>
      <c r="N4173" s="142"/>
      <c r="O4173" s="141"/>
      <c r="P4173" s="140"/>
    </row>
    <row r="4174" spans="1:16" x14ac:dyDescent="0.35">
      <c r="A4174" s="149"/>
      <c r="B4174" s="143"/>
      <c r="C4174" s="133"/>
      <c r="D4174" s="133"/>
      <c r="E4174" s="145" t="s">
        <v>1342</v>
      </c>
      <c r="F4174" s="145">
        <v>3543</v>
      </c>
      <c r="G4174" s="133"/>
      <c r="H4174" s="144"/>
      <c r="I4174" s="133"/>
      <c r="J4174" s="133"/>
      <c r="K4174" s="133"/>
      <c r="L4174" s="133"/>
      <c r="M4174" s="133"/>
      <c r="N4174" s="142"/>
      <c r="O4174" s="141"/>
      <c r="P4174" s="140"/>
    </row>
    <row r="4175" spans="1:16" x14ac:dyDescent="0.35">
      <c r="A4175" s="149"/>
      <c r="B4175" s="143"/>
      <c r="C4175" s="133"/>
      <c r="D4175" s="133"/>
      <c r="E4175" s="145"/>
      <c r="F4175" s="145"/>
      <c r="G4175" s="133"/>
      <c r="H4175" s="144"/>
      <c r="I4175" s="133"/>
      <c r="J4175" s="133"/>
      <c r="K4175" s="133"/>
      <c r="L4175" s="133"/>
      <c r="M4175" s="133"/>
      <c r="N4175" s="142"/>
      <c r="O4175" s="141"/>
      <c r="P4175" s="140"/>
    </row>
    <row r="4176" spans="1:16" x14ac:dyDescent="0.35">
      <c r="A4176" s="257"/>
      <c r="B4176" s="152"/>
      <c r="C4176" s="151"/>
      <c r="D4176" s="151"/>
      <c r="E4176" s="154"/>
      <c r="F4176" s="154"/>
      <c r="G4176" s="151"/>
      <c r="H4176" s="153"/>
      <c r="I4176" s="151"/>
      <c r="J4176" s="151"/>
      <c r="K4176" s="151"/>
      <c r="L4176" s="151"/>
      <c r="M4176" s="151"/>
      <c r="N4176" s="150"/>
      <c r="O4176" s="141"/>
      <c r="P4176" s="140"/>
    </row>
    <row r="4177" spans="1:16" x14ac:dyDescent="0.35">
      <c r="A4177" s="149"/>
      <c r="B4177" s="143"/>
      <c r="C4177" s="133"/>
      <c r="D4177" s="133"/>
      <c r="E4177" s="145"/>
      <c r="F4177" s="145"/>
      <c r="G4177" s="133"/>
      <c r="H4177" s="144"/>
      <c r="I4177" s="133"/>
      <c r="J4177" s="133"/>
      <c r="K4177" s="133"/>
      <c r="L4177" s="133"/>
      <c r="M4177" s="133"/>
      <c r="N4177" s="142"/>
      <c r="O4177" s="141"/>
      <c r="P4177" s="140"/>
    </row>
    <row r="4178" spans="1:16" x14ac:dyDescent="0.35">
      <c r="A4178" s="149">
        <v>72</v>
      </c>
      <c r="B4178" s="143">
        <v>46204</v>
      </c>
      <c r="C4178" s="474" t="s">
        <v>1797</v>
      </c>
      <c r="D4178" s="475" t="s">
        <v>3060</v>
      </c>
      <c r="E4178" s="349" t="s">
        <v>1071</v>
      </c>
      <c r="F4178" s="145">
        <v>100</v>
      </c>
      <c r="G4178" s="133" t="s">
        <v>1034</v>
      </c>
      <c r="H4178" s="144" t="s">
        <v>1341</v>
      </c>
      <c r="I4178" s="133" t="s">
        <v>1092</v>
      </c>
      <c r="J4178" s="510" t="s">
        <v>3290</v>
      </c>
      <c r="K4178" s="143">
        <v>46204</v>
      </c>
      <c r="L4178" s="133" t="s">
        <v>1092</v>
      </c>
      <c r="M4178" s="133">
        <v>1177</v>
      </c>
      <c r="N4178" s="147">
        <f>+F4178+F4179+F4180+F4181-M4178-M4179</f>
        <v>0</v>
      </c>
      <c r="O4178" s="141"/>
      <c r="P4178" s="140"/>
    </row>
    <row r="4179" spans="1:16" x14ac:dyDescent="0.35">
      <c r="A4179" s="149"/>
      <c r="B4179" s="143"/>
      <c r="C4179" s="133"/>
      <c r="D4179" s="133"/>
      <c r="E4179" s="145" t="s">
        <v>1118</v>
      </c>
      <c r="F4179" s="145">
        <v>286</v>
      </c>
      <c r="G4179" s="133" t="s">
        <v>1034</v>
      </c>
      <c r="H4179" s="144" t="s">
        <v>1341</v>
      </c>
      <c r="I4179" s="133" t="s">
        <v>1092</v>
      </c>
      <c r="J4179" s="510" t="s">
        <v>3291</v>
      </c>
      <c r="K4179" s="143">
        <v>46204</v>
      </c>
      <c r="L4179" s="133" t="s">
        <v>1241</v>
      </c>
      <c r="M4179" s="133">
        <v>31</v>
      </c>
      <c r="N4179" s="142"/>
      <c r="O4179" s="141"/>
      <c r="P4179" s="140"/>
    </row>
    <row r="4180" spans="1:16" x14ac:dyDescent="0.35">
      <c r="A4180" s="149"/>
      <c r="B4180" s="143"/>
      <c r="C4180" s="133"/>
      <c r="D4180" s="133"/>
      <c r="E4180" s="396" t="s">
        <v>1067</v>
      </c>
      <c r="F4180" s="145">
        <v>227</v>
      </c>
      <c r="G4180" s="133"/>
      <c r="H4180" s="144"/>
      <c r="I4180" s="133"/>
      <c r="J4180" s="133"/>
      <c r="K4180" s="133"/>
      <c r="L4180" s="133"/>
      <c r="M4180" s="133"/>
      <c r="N4180" s="142"/>
      <c r="O4180" s="141"/>
      <c r="P4180" s="140"/>
    </row>
    <row r="4181" spans="1:16" x14ac:dyDescent="0.35">
      <c r="A4181" s="149"/>
      <c r="B4181" s="143"/>
      <c r="C4181" s="133"/>
      <c r="D4181" s="133"/>
      <c r="E4181" s="145" t="s">
        <v>1342</v>
      </c>
      <c r="F4181" s="145">
        <v>595</v>
      </c>
      <c r="G4181" s="133"/>
      <c r="H4181" s="144"/>
      <c r="I4181" s="133"/>
      <c r="J4181" s="133"/>
      <c r="K4181" s="133"/>
      <c r="L4181" s="133"/>
      <c r="M4181" s="133"/>
      <c r="N4181" s="142"/>
      <c r="O4181" s="141"/>
      <c r="P4181" s="140"/>
    </row>
    <row r="4182" spans="1:16" x14ac:dyDescent="0.35">
      <c r="A4182" s="149"/>
      <c r="B4182" s="143"/>
      <c r="C4182" s="133"/>
      <c r="D4182" s="133"/>
      <c r="E4182" s="145"/>
      <c r="F4182" s="145"/>
      <c r="G4182" s="133"/>
      <c r="H4182" s="144"/>
      <c r="I4182" s="133"/>
      <c r="J4182" s="133"/>
      <c r="K4182" s="133"/>
      <c r="L4182" s="133"/>
      <c r="M4182" s="133"/>
      <c r="N4182" s="142"/>
      <c r="O4182" s="141"/>
      <c r="P4182" s="140"/>
    </row>
    <row r="4183" spans="1:16" x14ac:dyDescent="0.35">
      <c r="A4183" s="149">
        <v>73</v>
      </c>
      <c r="B4183" s="143">
        <v>46204</v>
      </c>
      <c r="C4183" s="474" t="s">
        <v>1795</v>
      </c>
      <c r="D4183" s="475" t="s">
        <v>3061</v>
      </c>
      <c r="E4183" s="145" t="s">
        <v>1064</v>
      </c>
      <c r="F4183" s="145">
        <v>1210</v>
      </c>
      <c r="G4183" s="133" t="s">
        <v>1034</v>
      </c>
      <c r="H4183" s="144" t="s">
        <v>1341</v>
      </c>
      <c r="I4183" s="133" t="s">
        <v>1092</v>
      </c>
      <c r="J4183" s="510" t="s">
        <v>3290</v>
      </c>
      <c r="K4183" s="143">
        <v>46204</v>
      </c>
      <c r="L4183" s="133" t="s">
        <v>1092</v>
      </c>
      <c r="M4183" s="133">
        <v>3719.1</v>
      </c>
      <c r="N4183" s="147">
        <f>+F4183+F4184-M4183-M4184</f>
        <v>0</v>
      </c>
      <c r="O4183" s="141"/>
      <c r="P4183" s="140"/>
    </row>
    <row r="4184" spans="1:16" x14ac:dyDescent="0.35">
      <c r="A4184" s="149"/>
      <c r="B4184" s="143"/>
      <c r="C4184" s="133"/>
      <c r="D4184" s="133"/>
      <c r="E4184" s="145" t="s">
        <v>1118</v>
      </c>
      <c r="F4184" s="145">
        <v>2651.1</v>
      </c>
      <c r="G4184" s="133" t="s">
        <v>1034</v>
      </c>
      <c r="H4184" s="144" t="s">
        <v>1341</v>
      </c>
      <c r="I4184" s="133" t="s">
        <v>1092</v>
      </c>
      <c r="J4184" s="510" t="s">
        <v>3291</v>
      </c>
      <c r="K4184" s="143">
        <v>46204</v>
      </c>
      <c r="L4184" s="133" t="s">
        <v>1241</v>
      </c>
      <c r="M4184" s="133">
        <v>142</v>
      </c>
      <c r="N4184" s="142"/>
      <c r="O4184" s="141"/>
      <c r="P4184" s="140"/>
    </row>
    <row r="4185" spans="1:16" x14ac:dyDescent="0.35">
      <c r="A4185" s="149"/>
      <c r="B4185" s="143"/>
      <c r="C4185" s="133"/>
      <c r="D4185" s="133"/>
      <c r="E4185" s="396"/>
      <c r="F4185" s="145"/>
      <c r="G4185" s="133"/>
      <c r="H4185" s="144"/>
      <c r="I4185" s="133"/>
      <c r="J4185" s="133"/>
      <c r="K4185" s="133"/>
      <c r="L4185" s="133"/>
      <c r="M4185" s="133"/>
      <c r="N4185" s="142"/>
      <c r="O4185" s="141"/>
      <c r="P4185" s="140"/>
    </row>
    <row r="4186" spans="1:16" x14ac:dyDescent="0.35">
      <c r="A4186" s="149">
        <v>74</v>
      </c>
      <c r="B4186" s="143">
        <v>46204</v>
      </c>
      <c r="C4186" s="474" t="s">
        <v>1793</v>
      </c>
      <c r="D4186" s="475" t="s">
        <v>3062</v>
      </c>
      <c r="E4186" s="145" t="s">
        <v>1075</v>
      </c>
      <c r="F4186" s="145">
        <v>2836.5</v>
      </c>
      <c r="G4186" s="133" t="s">
        <v>1034</v>
      </c>
      <c r="H4186" s="144" t="s">
        <v>1341</v>
      </c>
      <c r="I4186" s="133" t="s">
        <v>1092</v>
      </c>
      <c r="J4186" s="510" t="s">
        <v>3290</v>
      </c>
      <c r="K4186" s="143">
        <v>46204</v>
      </c>
      <c r="L4186" s="133" t="s">
        <v>1092</v>
      </c>
      <c r="M4186" s="133">
        <v>7340.5</v>
      </c>
      <c r="N4186" s="147">
        <f>+F4186+F4187+F4188+F4189-M4186-M4187</f>
        <v>0</v>
      </c>
      <c r="O4186" s="141"/>
      <c r="P4186" s="140"/>
    </row>
    <row r="4187" spans="1:16" x14ac:dyDescent="0.35">
      <c r="A4187" s="149"/>
      <c r="B4187" s="143"/>
      <c r="C4187" s="133"/>
      <c r="D4187" s="133"/>
      <c r="E4187" s="145" t="s">
        <v>1064</v>
      </c>
      <c r="F4187" s="145">
        <v>1480</v>
      </c>
      <c r="G4187" s="133" t="s">
        <v>1034</v>
      </c>
      <c r="H4187" s="144" t="s">
        <v>1341</v>
      </c>
      <c r="I4187" s="133" t="s">
        <v>1092</v>
      </c>
      <c r="J4187" s="510" t="s">
        <v>3291</v>
      </c>
      <c r="K4187" s="143">
        <v>46204</v>
      </c>
      <c r="L4187" s="133" t="s">
        <v>1241</v>
      </c>
      <c r="M4187" s="133">
        <v>183</v>
      </c>
      <c r="N4187" s="142"/>
      <c r="O4187" s="141"/>
      <c r="P4187" s="140"/>
    </row>
    <row r="4188" spans="1:16" x14ac:dyDescent="0.35">
      <c r="A4188" s="149"/>
      <c r="B4188" s="143"/>
      <c r="C4188" s="133"/>
      <c r="D4188" s="133"/>
      <c r="E4188" s="148" t="s">
        <v>1059</v>
      </c>
      <c r="F4188" s="145">
        <v>2000</v>
      </c>
      <c r="G4188" s="133"/>
      <c r="H4188" s="144"/>
      <c r="I4188" s="133"/>
      <c r="J4188" s="133"/>
      <c r="K4188" s="133"/>
      <c r="L4188" s="133"/>
      <c r="M4188" s="133"/>
      <c r="N4188" s="142"/>
      <c r="O4188" s="141"/>
      <c r="P4188" s="140"/>
    </row>
    <row r="4189" spans="1:16" x14ac:dyDescent="0.35">
      <c r="A4189" s="149"/>
      <c r="B4189" s="143"/>
      <c r="C4189" s="133"/>
      <c r="D4189" s="133"/>
      <c r="E4189" s="145" t="s">
        <v>1342</v>
      </c>
      <c r="F4189" s="145">
        <v>1207</v>
      </c>
      <c r="G4189" s="133"/>
      <c r="H4189" s="144"/>
      <c r="I4189" s="133"/>
      <c r="J4189" s="133"/>
      <c r="K4189" s="133"/>
      <c r="L4189" s="133"/>
      <c r="M4189" s="133"/>
      <c r="N4189" s="142"/>
      <c r="O4189" s="141"/>
      <c r="P4189" s="140"/>
    </row>
    <row r="4190" spans="1:16" x14ac:dyDescent="0.35">
      <c r="A4190" s="149"/>
      <c r="B4190" s="143"/>
      <c r="C4190" s="133"/>
      <c r="D4190" s="133"/>
      <c r="E4190" s="145"/>
      <c r="F4190" s="145"/>
      <c r="G4190" s="133"/>
      <c r="H4190" s="144"/>
      <c r="I4190" s="133"/>
      <c r="J4190" s="133"/>
      <c r="K4190" s="133"/>
      <c r="L4190" s="133"/>
      <c r="M4190" s="133"/>
      <c r="N4190" s="142"/>
      <c r="O4190" s="141"/>
      <c r="P4190" s="140"/>
    </row>
    <row r="4191" spans="1:16" x14ac:dyDescent="0.35">
      <c r="A4191" s="149">
        <v>75</v>
      </c>
      <c r="B4191" s="143">
        <v>46204</v>
      </c>
      <c r="C4191" s="474" t="s">
        <v>1791</v>
      </c>
      <c r="D4191" s="475" t="s">
        <v>3063</v>
      </c>
      <c r="E4191" s="145" t="s">
        <v>1075</v>
      </c>
      <c r="F4191" s="145">
        <v>2568</v>
      </c>
      <c r="G4191" s="133" t="s">
        <v>1034</v>
      </c>
      <c r="H4191" s="144" t="s">
        <v>1341</v>
      </c>
      <c r="I4191" s="133" t="s">
        <v>1092</v>
      </c>
      <c r="J4191" s="510" t="s">
        <v>3290</v>
      </c>
      <c r="K4191" s="143">
        <v>46204</v>
      </c>
      <c r="L4191" s="133" t="s">
        <v>1092</v>
      </c>
      <c r="M4191" s="133">
        <v>2474</v>
      </c>
      <c r="N4191" s="147">
        <f>+F4191-M4191-M4192</f>
        <v>0</v>
      </c>
      <c r="O4191" s="141"/>
      <c r="P4191" s="140"/>
    </row>
    <row r="4192" spans="1:16" x14ac:dyDescent="0.35">
      <c r="A4192" s="149"/>
      <c r="B4192" s="143"/>
      <c r="C4192" s="133"/>
      <c r="D4192" s="133"/>
      <c r="E4192" s="145"/>
      <c r="F4192" s="145"/>
      <c r="G4192" s="133" t="s">
        <v>1034</v>
      </c>
      <c r="H4192" s="144" t="s">
        <v>1341</v>
      </c>
      <c r="I4192" s="133" t="s">
        <v>1092</v>
      </c>
      <c r="J4192" s="510" t="s">
        <v>3291</v>
      </c>
      <c r="K4192" s="143">
        <v>46204</v>
      </c>
      <c r="L4192" s="133" t="s">
        <v>1241</v>
      </c>
      <c r="M4192" s="133">
        <v>94</v>
      </c>
      <c r="N4192" s="142"/>
      <c r="O4192" s="141"/>
      <c r="P4192" s="140"/>
    </row>
    <row r="4193" spans="1:16" x14ac:dyDescent="0.35">
      <c r="A4193" s="149"/>
      <c r="B4193" s="143"/>
      <c r="C4193" s="133"/>
      <c r="D4193" s="133"/>
      <c r="E4193" s="145"/>
      <c r="F4193" s="145"/>
      <c r="G4193" s="133"/>
      <c r="H4193" s="144"/>
      <c r="I4193" s="133"/>
      <c r="J4193" s="510"/>
      <c r="K4193" s="143"/>
      <c r="L4193" s="133"/>
      <c r="M4193" s="133"/>
      <c r="N4193" s="142"/>
      <c r="O4193" s="141"/>
      <c r="P4193" s="140"/>
    </row>
    <row r="4194" spans="1:16" x14ac:dyDescent="0.35">
      <c r="A4194" s="149">
        <v>76</v>
      </c>
      <c r="B4194" s="143">
        <v>46204</v>
      </c>
      <c r="C4194" s="476" t="s">
        <v>1788</v>
      </c>
      <c r="D4194" s="478" t="s">
        <v>3092</v>
      </c>
      <c r="E4194" s="396" t="s">
        <v>1067</v>
      </c>
      <c r="F4194" s="145">
        <v>123.2</v>
      </c>
      <c r="G4194" s="133" t="s">
        <v>1034</v>
      </c>
      <c r="H4194" s="144" t="s">
        <v>1341</v>
      </c>
      <c r="I4194" s="133" t="s">
        <v>1092</v>
      </c>
      <c r="J4194" s="510" t="s">
        <v>3290</v>
      </c>
      <c r="K4194" s="143">
        <v>46204</v>
      </c>
      <c r="L4194" s="133" t="s">
        <v>1092</v>
      </c>
      <c r="M4194" s="133">
        <v>123.2</v>
      </c>
      <c r="N4194" s="147">
        <f>+F4194-M4194</f>
        <v>0</v>
      </c>
      <c r="O4194" s="141"/>
      <c r="P4194" s="140"/>
    </row>
    <row r="4195" spans="1:16" x14ac:dyDescent="0.35">
      <c r="A4195" s="149"/>
      <c r="B4195" s="143"/>
      <c r="C4195" s="133"/>
      <c r="D4195" s="133"/>
      <c r="E4195" s="145"/>
      <c r="F4195" s="145"/>
      <c r="G4195" s="133"/>
      <c r="H4195" s="144"/>
      <c r="I4195" s="133"/>
      <c r="J4195" s="510"/>
      <c r="K4195" s="143"/>
      <c r="L4195" s="133"/>
      <c r="M4195" s="133"/>
      <c r="N4195" s="142"/>
      <c r="O4195" s="141"/>
      <c r="P4195" s="140"/>
    </row>
    <row r="4196" spans="1:16" x14ac:dyDescent="0.35">
      <c r="A4196" s="149">
        <v>77</v>
      </c>
      <c r="B4196" s="143">
        <v>46204</v>
      </c>
      <c r="C4196" s="484" t="s">
        <v>1787</v>
      </c>
      <c r="D4196" s="485" t="s">
        <v>3093</v>
      </c>
      <c r="E4196" s="396" t="s">
        <v>1067</v>
      </c>
      <c r="F4196" s="145">
        <v>446.3</v>
      </c>
      <c r="G4196" s="133" t="s">
        <v>1034</v>
      </c>
      <c r="H4196" s="144" t="s">
        <v>1341</v>
      </c>
      <c r="I4196" s="133" t="s">
        <v>1092</v>
      </c>
      <c r="J4196" s="510" t="s">
        <v>3290</v>
      </c>
      <c r="K4196" s="143">
        <v>46204</v>
      </c>
      <c r="L4196" s="133" t="s">
        <v>1092</v>
      </c>
      <c r="M4196" s="133">
        <v>3337.3</v>
      </c>
      <c r="N4196" s="147">
        <f>+F4196+F4197+F4198-M4196-M4197</f>
        <v>0</v>
      </c>
      <c r="O4196" s="141"/>
      <c r="P4196" s="140"/>
    </row>
    <row r="4197" spans="1:16" x14ac:dyDescent="0.35">
      <c r="A4197" s="149"/>
      <c r="B4197" s="143"/>
      <c r="C4197" s="133"/>
      <c r="D4197" s="133"/>
      <c r="E4197" s="145" t="s">
        <v>1342</v>
      </c>
      <c r="F4197" s="145">
        <v>2887</v>
      </c>
      <c r="G4197" s="133" t="s">
        <v>1034</v>
      </c>
      <c r="H4197" s="144" t="s">
        <v>1341</v>
      </c>
      <c r="I4197" s="133" t="s">
        <v>1092</v>
      </c>
      <c r="J4197" s="510" t="s">
        <v>3291</v>
      </c>
      <c r="K4197" s="143">
        <v>46204</v>
      </c>
      <c r="L4197" s="133" t="s">
        <v>1241</v>
      </c>
      <c r="M4197" s="133">
        <v>115</v>
      </c>
      <c r="N4197" s="142"/>
      <c r="O4197" s="141"/>
      <c r="P4197" s="140"/>
    </row>
    <row r="4198" spans="1:16" x14ac:dyDescent="0.35">
      <c r="A4198" s="149"/>
      <c r="B4198" s="143"/>
      <c r="C4198" s="133"/>
      <c r="D4198" s="133"/>
      <c r="E4198" s="418" t="s">
        <v>1112</v>
      </c>
      <c r="F4198" s="145">
        <v>119</v>
      </c>
      <c r="G4198" s="133"/>
      <c r="H4198" s="144"/>
      <c r="I4198" s="133"/>
      <c r="J4198" s="133"/>
      <c r="K4198" s="133"/>
      <c r="L4198" s="133"/>
      <c r="M4198" s="133"/>
      <c r="N4198" s="142"/>
      <c r="O4198" s="141"/>
      <c r="P4198" s="140"/>
    </row>
    <row r="4199" spans="1:16" x14ac:dyDescent="0.35">
      <c r="A4199" s="149"/>
      <c r="B4199" s="143"/>
      <c r="C4199" s="133"/>
      <c r="D4199" s="133"/>
      <c r="E4199" s="145"/>
      <c r="F4199" s="145"/>
      <c r="G4199" s="133"/>
      <c r="H4199" s="144"/>
      <c r="I4199" s="133"/>
      <c r="J4199" s="133"/>
      <c r="K4199" s="133"/>
      <c r="L4199" s="133"/>
      <c r="M4199" s="133"/>
      <c r="N4199" s="142"/>
      <c r="O4199" s="141"/>
      <c r="P4199" s="140"/>
    </row>
    <row r="4200" spans="1:16" x14ac:dyDescent="0.35">
      <c r="A4200" s="149">
        <v>78</v>
      </c>
      <c r="B4200" s="143">
        <v>46204</v>
      </c>
      <c r="C4200" s="484" t="s">
        <v>1786</v>
      </c>
      <c r="D4200" s="485" t="s">
        <v>3114</v>
      </c>
      <c r="E4200" s="145" t="s">
        <v>1064</v>
      </c>
      <c r="F4200" s="145">
        <v>1761.1</v>
      </c>
      <c r="G4200" s="133" t="s">
        <v>1034</v>
      </c>
      <c r="H4200" s="144" t="s">
        <v>1341</v>
      </c>
      <c r="I4200" s="133" t="s">
        <v>1092</v>
      </c>
      <c r="J4200" s="510" t="s">
        <v>3290</v>
      </c>
      <c r="K4200" s="143">
        <v>46204</v>
      </c>
      <c r="L4200" s="133" t="s">
        <v>1092</v>
      </c>
      <c r="M4200" s="133">
        <v>2477.1999999999998</v>
      </c>
      <c r="N4200" s="147">
        <f>+F4200+F4201-M4200-M4201</f>
        <v>0</v>
      </c>
      <c r="O4200" s="141"/>
      <c r="P4200" s="140"/>
    </row>
    <row r="4201" spans="1:16" x14ac:dyDescent="0.35">
      <c r="A4201" s="149"/>
      <c r="B4201" s="143"/>
      <c r="C4201" s="133"/>
      <c r="D4201" s="133"/>
      <c r="E4201" s="145" t="s">
        <v>1075</v>
      </c>
      <c r="F4201" s="145">
        <v>812.1</v>
      </c>
      <c r="G4201" s="133" t="s">
        <v>1034</v>
      </c>
      <c r="H4201" s="144" t="s">
        <v>1341</v>
      </c>
      <c r="I4201" s="133" t="s">
        <v>1092</v>
      </c>
      <c r="J4201" s="510" t="s">
        <v>3291</v>
      </c>
      <c r="K4201" s="143">
        <v>46204</v>
      </c>
      <c r="L4201" s="133" t="s">
        <v>1241</v>
      </c>
      <c r="M4201" s="133">
        <v>96</v>
      </c>
      <c r="N4201" s="142"/>
      <c r="O4201" s="141"/>
      <c r="P4201" s="140"/>
    </row>
    <row r="4202" spans="1:16" x14ac:dyDescent="0.35">
      <c r="A4202" s="149"/>
      <c r="B4202" s="143"/>
      <c r="C4202" s="133"/>
      <c r="D4202" s="133"/>
      <c r="E4202" s="145"/>
      <c r="F4202" s="145"/>
      <c r="G4202" s="133"/>
      <c r="H4202" s="144"/>
      <c r="I4202" s="133"/>
      <c r="J4202" s="133"/>
      <c r="K4202" s="133"/>
      <c r="L4202" s="133"/>
      <c r="M4202" s="133"/>
      <c r="N4202" s="142"/>
      <c r="O4202" s="141"/>
      <c r="P4202" s="140"/>
    </row>
    <row r="4203" spans="1:16" x14ac:dyDescent="0.35">
      <c r="A4203" s="149">
        <v>79</v>
      </c>
      <c r="B4203" s="143">
        <v>46204</v>
      </c>
      <c r="C4203" s="486" t="s">
        <v>1784</v>
      </c>
      <c r="D4203" s="487" t="s">
        <v>3125</v>
      </c>
      <c r="E4203" s="145" t="s">
        <v>1118</v>
      </c>
      <c r="F4203" s="145">
        <v>3300.6</v>
      </c>
      <c r="G4203" s="133" t="s">
        <v>1034</v>
      </c>
      <c r="H4203" s="144" t="s">
        <v>1341</v>
      </c>
      <c r="I4203" s="133" t="s">
        <v>1092</v>
      </c>
      <c r="J4203" s="510" t="s">
        <v>3290</v>
      </c>
      <c r="K4203" s="143">
        <v>46204</v>
      </c>
      <c r="L4203" s="133" t="s">
        <v>1092</v>
      </c>
      <c r="M4203" s="133">
        <v>12697.6</v>
      </c>
      <c r="N4203" s="147">
        <f>+F4203+F4204+F4205+F4206-M4203-M4204</f>
        <v>0</v>
      </c>
      <c r="O4203" s="141"/>
      <c r="P4203" s="140"/>
    </row>
    <row r="4204" spans="1:16" x14ac:dyDescent="0.35">
      <c r="A4204" s="149"/>
      <c r="B4204" s="143"/>
      <c r="C4204" s="133"/>
      <c r="D4204" s="133"/>
      <c r="E4204" s="145" t="s">
        <v>1075</v>
      </c>
      <c r="F4204" s="145">
        <v>2060</v>
      </c>
      <c r="G4204" s="133" t="s">
        <v>1034</v>
      </c>
      <c r="H4204" s="144" t="s">
        <v>1341</v>
      </c>
      <c r="I4204" s="133" t="s">
        <v>1092</v>
      </c>
      <c r="J4204" s="510" t="s">
        <v>3291</v>
      </c>
      <c r="K4204" s="143">
        <v>46204</v>
      </c>
      <c r="L4204" s="133" t="s">
        <v>1241</v>
      </c>
      <c r="M4204" s="133">
        <v>507</v>
      </c>
      <c r="N4204" s="142"/>
      <c r="O4204" s="141"/>
      <c r="P4204" s="140"/>
    </row>
    <row r="4205" spans="1:16" x14ac:dyDescent="0.35">
      <c r="A4205" s="149"/>
      <c r="B4205" s="143"/>
      <c r="C4205" s="133"/>
      <c r="D4205" s="133"/>
      <c r="E4205" s="396" t="s">
        <v>1067</v>
      </c>
      <c r="F4205" s="145">
        <v>4994</v>
      </c>
      <c r="G4205" s="133"/>
      <c r="H4205" s="144"/>
      <c r="I4205" s="133"/>
      <c r="J4205" s="133"/>
      <c r="K4205" s="133"/>
      <c r="L4205" s="133"/>
      <c r="M4205" s="133"/>
      <c r="N4205" s="142"/>
      <c r="O4205" s="141"/>
      <c r="P4205" s="140"/>
    </row>
    <row r="4206" spans="1:16" x14ac:dyDescent="0.35">
      <c r="A4206" s="149"/>
      <c r="B4206" s="143"/>
      <c r="C4206" s="133"/>
      <c r="D4206" s="133"/>
      <c r="E4206" s="145" t="s">
        <v>1342</v>
      </c>
      <c r="F4206" s="145">
        <v>2850</v>
      </c>
      <c r="G4206" s="133"/>
      <c r="H4206" s="144"/>
      <c r="I4206" s="133"/>
      <c r="J4206" s="133"/>
      <c r="K4206" s="133"/>
      <c r="L4206" s="133"/>
      <c r="M4206" s="133"/>
      <c r="N4206" s="142"/>
      <c r="O4206" s="141"/>
      <c r="P4206" s="140"/>
    </row>
    <row r="4207" spans="1:16" x14ac:dyDescent="0.35">
      <c r="A4207" s="149"/>
      <c r="B4207" s="143"/>
      <c r="C4207" s="133"/>
      <c r="D4207" s="133"/>
      <c r="E4207" s="145"/>
      <c r="F4207" s="145"/>
      <c r="G4207" s="133"/>
      <c r="H4207" s="144"/>
      <c r="I4207" s="133"/>
      <c r="J4207" s="133"/>
      <c r="K4207" s="133"/>
      <c r="L4207" s="133"/>
      <c r="M4207" s="133"/>
      <c r="N4207" s="142"/>
      <c r="O4207" s="141"/>
      <c r="P4207" s="140"/>
    </row>
    <row r="4208" spans="1:16" x14ac:dyDescent="0.35">
      <c r="A4208" s="149">
        <v>80</v>
      </c>
      <c r="B4208" s="143">
        <v>46204</v>
      </c>
      <c r="C4208" s="488" t="s">
        <v>1783</v>
      </c>
      <c r="D4208" s="490" t="s">
        <v>3149</v>
      </c>
      <c r="E4208" s="145" t="s">
        <v>1075</v>
      </c>
      <c r="F4208" s="145">
        <v>178</v>
      </c>
      <c r="G4208" s="133" t="s">
        <v>1034</v>
      </c>
      <c r="H4208" s="144" t="s">
        <v>1341</v>
      </c>
      <c r="I4208" s="133" t="s">
        <v>1092</v>
      </c>
      <c r="J4208" s="510" t="s">
        <v>3290</v>
      </c>
      <c r="K4208" s="143">
        <v>46204</v>
      </c>
      <c r="L4208" s="133" t="s">
        <v>1092</v>
      </c>
      <c r="M4208" s="133">
        <v>563.29999999999995</v>
      </c>
      <c r="N4208" s="147">
        <f>+F4208+F4209+F4210-M4208-M4209</f>
        <v>0</v>
      </c>
      <c r="O4208" s="141"/>
      <c r="P4208" s="140"/>
    </row>
    <row r="4209" spans="1:16" x14ac:dyDescent="0.35">
      <c r="A4209" s="149"/>
      <c r="B4209" s="143"/>
      <c r="C4209" s="133"/>
      <c r="D4209" s="133"/>
      <c r="E4209" s="145" t="s">
        <v>1342</v>
      </c>
      <c r="F4209" s="145">
        <v>285</v>
      </c>
      <c r="G4209" s="133" t="s">
        <v>1034</v>
      </c>
      <c r="H4209" s="144" t="s">
        <v>1341</v>
      </c>
      <c r="I4209" s="133" t="s">
        <v>1092</v>
      </c>
      <c r="J4209" s="510" t="s">
        <v>3291</v>
      </c>
      <c r="K4209" s="143">
        <v>46204</v>
      </c>
      <c r="L4209" s="133" t="s">
        <v>1241</v>
      </c>
      <c r="M4209" s="133">
        <v>18</v>
      </c>
      <c r="N4209" s="142"/>
      <c r="O4209" s="141"/>
      <c r="P4209" s="140"/>
    </row>
    <row r="4210" spans="1:16" x14ac:dyDescent="0.35">
      <c r="A4210" s="149"/>
      <c r="B4210" s="143"/>
      <c r="C4210" s="133"/>
      <c r="D4210" s="133"/>
      <c r="E4210" s="489" t="s">
        <v>1168</v>
      </c>
      <c r="F4210" s="145">
        <v>118.3</v>
      </c>
      <c r="G4210" s="133"/>
      <c r="H4210" s="144"/>
      <c r="I4210" s="133"/>
      <c r="J4210" s="133"/>
      <c r="K4210" s="133"/>
      <c r="L4210" s="133"/>
      <c r="M4210" s="133"/>
      <c r="N4210" s="142"/>
      <c r="O4210" s="141"/>
      <c r="P4210" s="140"/>
    </row>
    <row r="4211" spans="1:16" x14ac:dyDescent="0.35">
      <c r="A4211" s="149"/>
      <c r="B4211" s="143"/>
      <c r="C4211" s="133"/>
      <c r="D4211" s="133"/>
      <c r="E4211" s="489"/>
      <c r="F4211" s="145"/>
      <c r="G4211" s="133"/>
      <c r="H4211" s="144"/>
      <c r="I4211" s="133"/>
      <c r="J4211" s="133"/>
      <c r="K4211" s="133"/>
      <c r="L4211" s="133"/>
      <c r="M4211" s="133"/>
      <c r="N4211" s="142"/>
      <c r="O4211" s="141"/>
      <c r="P4211" s="140"/>
    </row>
    <row r="4212" spans="1:16" x14ac:dyDescent="0.35">
      <c r="A4212" s="149">
        <v>81</v>
      </c>
      <c r="B4212" s="143">
        <v>46204</v>
      </c>
      <c r="C4212" s="488" t="s">
        <v>1781</v>
      </c>
      <c r="D4212" s="490" t="s">
        <v>3150</v>
      </c>
      <c r="E4212" s="145" t="s">
        <v>1075</v>
      </c>
      <c r="F4212" s="145">
        <v>1653</v>
      </c>
      <c r="G4212" s="133" t="s">
        <v>1034</v>
      </c>
      <c r="H4212" s="144" t="s">
        <v>1341</v>
      </c>
      <c r="I4212" s="133" t="s">
        <v>1092</v>
      </c>
      <c r="J4212" s="510" t="s">
        <v>3290</v>
      </c>
      <c r="K4212" s="143">
        <v>46204</v>
      </c>
      <c r="L4212" s="133" t="s">
        <v>1092</v>
      </c>
      <c r="M4212" s="133">
        <v>6280.17</v>
      </c>
      <c r="N4212" s="147">
        <f>+F4212+F4213+F4214-M4212-M4213</f>
        <v>0</v>
      </c>
      <c r="O4212" s="141"/>
      <c r="P4212" s="140"/>
    </row>
    <row r="4213" spans="1:16" x14ac:dyDescent="0.35">
      <c r="A4213" s="149"/>
      <c r="B4213" s="143"/>
      <c r="C4213" s="133"/>
      <c r="D4213" s="133"/>
      <c r="E4213" s="145" t="s">
        <v>1342</v>
      </c>
      <c r="F4213" s="145">
        <v>726</v>
      </c>
      <c r="G4213" s="133" t="s">
        <v>1034</v>
      </c>
      <c r="H4213" s="144" t="s">
        <v>1341</v>
      </c>
      <c r="I4213" s="133" t="s">
        <v>1092</v>
      </c>
      <c r="J4213" s="510" t="s">
        <v>3291</v>
      </c>
      <c r="K4213" s="143">
        <v>46204</v>
      </c>
      <c r="L4213" s="133" t="s">
        <v>1241</v>
      </c>
      <c r="M4213" s="133">
        <v>239</v>
      </c>
      <c r="N4213" s="142"/>
      <c r="O4213" s="141"/>
      <c r="P4213" s="140"/>
    </row>
    <row r="4214" spans="1:16" x14ac:dyDescent="0.35">
      <c r="A4214" s="149"/>
      <c r="B4214" s="143"/>
      <c r="C4214" s="133"/>
      <c r="D4214" s="133"/>
      <c r="E4214" s="396" t="s">
        <v>1067</v>
      </c>
      <c r="F4214" s="145">
        <v>4140.17</v>
      </c>
      <c r="G4214" s="133"/>
      <c r="H4214" s="144"/>
      <c r="I4214" s="133"/>
      <c r="J4214" s="133"/>
      <c r="K4214" s="133"/>
      <c r="L4214" s="133"/>
      <c r="M4214" s="133"/>
      <c r="N4214" s="142"/>
      <c r="O4214" s="141"/>
      <c r="P4214" s="140"/>
    </row>
    <row r="4215" spans="1:16" x14ac:dyDescent="0.35">
      <c r="A4215" s="149"/>
      <c r="B4215" s="143"/>
      <c r="C4215" s="133"/>
      <c r="D4215" s="133"/>
      <c r="E4215" s="145"/>
      <c r="F4215" s="145"/>
      <c r="G4215" s="133"/>
      <c r="H4215" s="144"/>
      <c r="I4215" s="133"/>
      <c r="J4215" s="133"/>
      <c r="K4215" s="133"/>
      <c r="L4215" s="133"/>
      <c r="M4215" s="133"/>
      <c r="N4215" s="142"/>
      <c r="O4215" s="141"/>
      <c r="P4215" s="140"/>
    </row>
    <row r="4216" spans="1:16" x14ac:dyDescent="0.35">
      <c r="A4216" s="149">
        <v>82</v>
      </c>
      <c r="B4216" s="143">
        <v>46204</v>
      </c>
      <c r="C4216" s="488" t="s">
        <v>1778</v>
      </c>
      <c r="D4216" s="490" t="s">
        <v>3151</v>
      </c>
      <c r="E4216" s="145" t="s">
        <v>1075</v>
      </c>
      <c r="F4216" s="145">
        <v>2063</v>
      </c>
      <c r="G4216" s="133" t="s">
        <v>1034</v>
      </c>
      <c r="H4216" s="144" t="s">
        <v>1341</v>
      </c>
      <c r="I4216" s="133" t="s">
        <v>1092</v>
      </c>
      <c r="J4216" s="510" t="s">
        <v>3290</v>
      </c>
      <c r="K4216" s="143">
        <v>46204</v>
      </c>
      <c r="L4216" s="133" t="s">
        <v>1092</v>
      </c>
      <c r="M4216" s="133">
        <v>3557</v>
      </c>
      <c r="N4216" s="147">
        <f>+F4216+F4217-M4216-M4217</f>
        <v>0</v>
      </c>
      <c r="O4216" s="141"/>
      <c r="P4216" s="140"/>
    </row>
    <row r="4217" spans="1:16" x14ac:dyDescent="0.35">
      <c r="A4217" s="149"/>
      <c r="B4217" s="143"/>
      <c r="C4217" s="133"/>
      <c r="D4217" s="133"/>
      <c r="E4217" s="145" t="s">
        <v>1342</v>
      </c>
      <c r="F4217" s="145">
        <v>1614</v>
      </c>
      <c r="G4217" s="133" t="s">
        <v>1034</v>
      </c>
      <c r="H4217" s="144" t="s">
        <v>1341</v>
      </c>
      <c r="I4217" s="133" t="s">
        <v>1092</v>
      </c>
      <c r="J4217" s="510" t="s">
        <v>3291</v>
      </c>
      <c r="K4217" s="143">
        <v>46204</v>
      </c>
      <c r="L4217" s="133" t="s">
        <v>1241</v>
      </c>
      <c r="M4217" s="133">
        <v>120</v>
      </c>
      <c r="N4217" s="142"/>
      <c r="O4217" s="141"/>
      <c r="P4217" s="140"/>
    </row>
    <row r="4218" spans="1:16" x14ac:dyDescent="0.35">
      <c r="A4218" s="149"/>
      <c r="B4218" s="143"/>
      <c r="C4218" s="133"/>
      <c r="D4218" s="133"/>
      <c r="E4218" s="145"/>
      <c r="F4218" s="145"/>
      <c r="G4218" s="133"/>
      <c r="H4218" s="144"/>
      <c r="I4218" s="133"/>
      <c r="J4218" s="133"/>
      <c r="K4218" s="133"/>
      <c r="L4218" s="133"/>
      <c r="M4218" s="133"/>
      <c r="N4218" s="142"/>
      <c r="O4218" s="141"/>
      <c r="P4218" s="140"/>
    </row>
    <row r="4219" spans="1:16" x14ac:dyDescent="0.35">
      <c r="A4219" s="149">
        <v>83</v>
      </c>
      <c r="B4219" s="143">
        <v>46204</v>
      </c>
      <c r="C4219" s="491" t="s">
        <v>1777</v>
      </c>
      <c r="D4219" s="492" t="s">
        <v>3178</v>
      </c>
      <c r="E4219" s="493" t="s">
        <v>1078</v>
      </c>
      <c r="F4219" s="145">
        <v>1963</v>
      </c>
      <c r="G4219" s="133" t="s">
        <v>1034</v>
      </c>
      <c r="H4219" s="144" t="s">
        <v>1341</v>
      </c>
      <c r="I4219" s="133" t="s">
        <v>1092</v>
      </c>
      <c r="J4219" s="520" t="s">
        <v>3372</v>
      </c>
      <c r="K4219" s="143">
        <v>46204</v>
      </c>
      <c r="L4219" s="133" t="s">
        <v>1092</v>
      </c>
      <c r="M4219" s="133">
        <v>1885</v>
      </c>
      <c r="N4219" s="157">
        <f>+F4219-M4219</f>
        <v>78</v>
      </c>
      <c r="O4219" s="141"/>
      <c r="P4219" s="140">
        <f>N4219-O4219</f>
        <v>78</v>
      </c>
    </row>
    <row r="4220" spans="1:16" x14ac:dyDescent="0.35">
      <c r="A4220" s="149"/>
      <c r="B4220" s="143"/>
      <c r="C4220" s="491"/>
      <c r="D4220" s="492"/>
      <c r="E4220" s="493"/>
      <c r="F4220" s="145"/>
      <c r="G4220" s="133"/>
      <c r="H4220" s="144"/>
      <c r="I4220" s="133"/>
      <c r="J4220" s="520"/>
      <c r="K4220" s="143"/>
      <c r="L4220" s="133"/>
      <c r="M4220" s="133"/>
      <c r="N4220" s="147"/>
      <c r="O4220" s="141"/>
      <c r="P4220" s="140"/>
    </row>
    <row r="4221" spans="1:16" x14ac:dyDescent="0.35">
      <c r="A4221" s="149"/>
      <c r="B4221" s="143"/>
      <c r="C4221" s="133"/>
      <c r="D4221" s="133"/>
      <c r="E4221" s="145"/>
      <c r="F4221" s="145"/>
      <c r="G4221" s="133"/>
      <c r="H4221" s="144"/>
      <c r="I4221" s="133"/>
      <c r="J4221" s="133"/>
      <c r="K4221" s="133"/>
      <c r="L4221" s="133"/>
      <c r="M4221" s="133"/>
      <c r="N4221" s="142"/>
      <c r="O4221" s="141"/>
      <c r="P4221" s="140"/>
    </row>
    <row r="4222" spans="1:16" x14ac:dyDescent="0.35">
      <c r="A4222" s="149">
        <v>84</v>
      </c>
      <c r="B4222" s="143">
        <v>46204</v>
      </c>
      <c r="C4222" s="495" t="s">
        <v>1775</v>
      </c>
      <c r="D4222" s="496" t="s">
        <v>3182</v>
      </c>
      <c r="E4222" s="145" t="s">
        <v>1342</v>
      </c>
      <c r="F4222" s="145">
        <v>2369</v>
      </c>
      <c r="G4222" s="133" t="s">
        <v>1034</v>
      </c>
      <c r="H4222" s="144" t="s">
        <v>1341</v>
      </c>
      <c r="I4222" s="133" t="s">
        <v>1092</v>
      </c>
      <c r="J4222" s="520" t="s">
        <v>3372</v>
      </c>
      <c r="K4222" s="143">
        <v>46204</v>
      </c>
      <c r="L4222" s="133" t="s">
        <v>1092</v>
      </c>
      <c r="M4222" s="133">
        <v>3910.8</v>
      </c>
      <c r="N4222" s="157">
        <f>+F4222+F4223+F4224+F4225-M4222</f>
        <v>162</v>
      </c>
      <c r="O4222" s="141"/>
      <c r="P4222" s="140">
        <f>N4222-O4222</f>
        <v>162</v>
      </c>
    </row>
    <row r="4223" spans="1:16" x14ac:dyDescent="0.35">
      <c r="A4223" s="149"/>
      <c r="B4223" s="143"/>
      <c r="C4223" s="133"/>
      <c r="D4223" s="133"/>
      <c r="E4223" s="396" t="s">
        <v>1067</v>
      </c>
      <c r="F4223" s="145">
        <v>201.1</v>
      </c>
      <c r="G4223" s="133"/>
      <c r="H4223" s="144"/>
      <c r="I4223" s="133"/>
      <c r="J4223" s="133"/>
      <c r="K4223" s="133"/>
      <c r="L4223" s="133"/>
      <c r="M4223" s="133"/>
      <c r="N4223" s="142"/>
      <c r="O4223" s="141"/>
      <c r="P4223" s="140"/>
    </row>
    <row r="4224" spans="1:16" x14ac:dyDescent="0.35">
      <c r="A4224" s="149"/>
      <c r="B4224" s="143"/>
      <c r="C4224" s="133"/>
      <c r="D4224" s="133"/>
      <c r="E4224" s="497" t="s">
        <v>2332</v>
      </c>
      <c r="F4224" s="145">
        <v>444</v>
      </c>
      <c r="G4224" s="133"/>
      <c r="H4224" s="144"/>
      <c r="I4224" s="133"/>
      <c r="J4224" s="133"/>
      <c r="K4224" s="133"/>
      <c r="L4224" s="133"/>
      <c r="M4224" s="133"/>
      <c r="N4224" s="142"/>
      <c r="O4224" s="141"/>
      <c r="P4224" s="140"/>
    </row>
    <row r="4225" spans="1:16" x14ac:dyDescent="0.35">
      <c r="A4225" s="149"/>
      <c r="B4225" s="143"/>
      <c r="C4225" s="133"/>
      <c r="D4225" s="133"/>
      <c r="E4225" s="145" t="s">
        <v>1075</v>
      </c>
      <c r="F4225" s="145">
        <v>1058.7</v>
      </c>
      <c r="G4225" s="133"/>
      <c r="H4225" s="144"/>
      <c r="I4225" s="133"/>
      <c r="J4225" s="133"/>
      <c r="K4225" s="133"/>
      <c r="L4225" s="133"/>
      <c r="M4225" s="133"/>
      <c r="N4225" s="142"/>
      <c r="O4225" s="141"/>
      <c r="P4225" s="140"/>
    </row>
    <row r="4226" spans="1:16" x14ac:dyDescent="0.35">
      <c r="A4226" s="149"/>
      <c r="B4226" s="143"/>
      <c r="C4226" s="133"/>
      <c r="D4226" s="133"/>
      <c r="E4226" s="145"/>
      <c r="F4226" s="145"/>
      <c r="G4226" s="133"/>
      <c r="H4226" s="144"/>
      <c r="I4226" s="133"/>
      <c r="J4226" s="133"/>
      <c r="K4226" s="133"/>
      <c r="L4226" s="133"/>
      <c r="M4226" s="133"/>
      <c r="N4226" s="142"/>
      <c r="O4226" s="141"/>
      <c r="P4226" s="140"/>
    </row>
    <row r="4227" spans="1:16" x14ac:dyDescent="0.35">
      <c r="A4227" s="149">
        <v>85</v>
      </c>
      <c r="B4227" s="143">
        <v>46204</v>
      </c>
      <c r="C4227" s="498" t="s">
        <v>1772</v>
      </c>
      <c r="D4227" s="499" t="s">
        <v>3227</v>
      </c>
      <c r="E4227" s="145" t="s">
        <v>1118</v>
      </c>
      <c r="F4227" s="145">
        <v>2188.3000000000002</v>
      </c>
      <c r="G4227" s="133" t="s">
        <v>1034</v>
      </c>
      <c r="H4227" s="144" t="s">
        <v>1341</v>
      </c>
      <c r="I4227" s="133" t="s">
        <v>1092</v>
      </c>
      <c r="J4227" s="520" t="s">
        <v>3372</v>
      </c>
      <c r="K4227" s="143">
        <v>46204</v>
      </c>
      <c r="L4227" s="133" t="s">
        <v>1092</v>
      </c>
      <c r="M4227" s="133">
        <v>5950.3</v>
      </c>
      <c r="N4227" s="157">
        <f>+F4227+F4228+F4229-M4227</f>
        <v>248</v>
      </c>
      <c r="O4227" s="141"/>
      <c r="P4227" s="140">
        <f>N4227-O4227</f>
        <v>248</v>
      </c>
    </row>
    <row r="4228" spans="1:16" x14ac:dyDescent="0.35">
      <c r="A4228" s="149"/>
      <c r="B4228" s="143"/>
      <c r="C4228" s="133"/>
      <c r="D4228" s="133"/>
      <c r="E4228" s="396" t="s">
        <v>1067</v>
      </c>
      <c r="F4228" s="145">
        <v>123</v>
      </c>
      <c r="G4228" s="133"/>
      <c r="H4228" s="144"/>
      <c r="I4228" s="133"/>
      <c r="J4228" s="133"/>
      <c r="K4228" s="133"/>
      <c r="L4228" s="133"/>
      <c r="M4228" s="133"/>
      <c r="N4228" s="142"/>
      <c r="O4228" s="141"/>
      <c r="P4228" s="140"/>
    </row>
    <row r="4229" spans="1:16" x14ac:dyDescent="0.35">
      <c r="A4229" s="149"/>
      <c r="B4229" s="143"/>
      <c r="C4229" s="133"/>
      <c r="D4229" s="133"/>
      <c r="E4229" s="145" t="s">
        <v>1342</v>
      </c>
      <c r="F4229" s="145">
        <v>3887</v>
      </c>
      <c r="G4229" s="133"/>
      <c r="H4229" s="144"/>
      <c r="I4229" s="133"/>
      <c r="J4229" s="133"/>
      <c r="K4229" s="133"/>
      <c r="L4229" s="133"/>
      <c r="M4229" s="133"/>
      <c r="N4229" s="142"/>
      <c r="O4229" s="141"/>
      <c r="P4229" s="140"/>
    </row>
    <row r="4230" spans="1:16" x14ac:dyDescent="0.35">
      <c r="A4230" s="149"/>
      <c r="B4230" s="143"/>
      <c r="C4230" s="133"/>
      <c r="D4230" s="133"/>
      <c r="E4230" s="145"/>
      <c r="F4230" s="145"/>
      <c r="G4230" s="133"/>
      <c r="H4230" s="144"/>
      <c r="I4230" s="133"/>
      <c r="J4230" s="133"/>
      <c r="K4230" s="133"/>
      <c r="L4230" s="133"/>
      <c r="M4230" s="133"/>
      <c r="N4230" s="142"/>
      <c r="O4230" s="141"/>
      <c r="P4230" s="140"/>
    </row>
    <row r="4231" spans="1:16" x14ac:dyDescent="0.35">
      <c r="A4231" s="149">
        <v>86</v>
      </c>
      <c r="B4231" s="143">
        <v>46204</v>
      </c>
      <c r="C4231" s="498" t="s">
        <v>1771</v>
      </c>
      <c r="D4231" s="499" t="s">
        <v>3228</v>
      </c>
      <c r="E4231" s="145" t="s">
        <v>1342</v>
      </c>
      <c r="F4231" s="145">
        <v>1157</v>
      </c>
      <c r="G4231" s="133" t="s">
        <v>1034</v>
      </c>
      <c r="H4231" s="144" t="s">
        <v>1341</v>
      </c>
      <c r="I4231" s="133" t="s">
        <v>1092</v>
      </c>
      <c r="J4231" s="520" t="s">
        <v>3372</v>
      </c>
      <c r="K4231" s="143">
        <v>46204</v>
      </c>
      <c r="L4231" s="133" t="s">
        <v>1092</v>
      </c>
      <c r="M4231" s="133">
        <v>9492.7000000000007</v>
      </c>
      <c r="N4231" s="157">
        <f>+F4231+F4232+F4233+F4234-M4231</f>
        <v>390</v>
      </c>
      <c r="O4231" s="141"/>
      <c r="P4231" s="140">
        <f>N4231-O4231</f>
        <v>390</v>
      </c>
    </row>
    <row r="4232" spans="1:16" x14ac:dyDescent="0.35">
      <c r="A4232" s="149"/>
      <c r="B4232" s="143"/>
      <c r="C4232" s="133"/>
      <c r="D4232" s="133"/>
      <c r="E4232" s="396" t="s">
        <v>1067</v>
      </c>
      <c r="F4232" s="145">
        <v>6952</v>
      </c>
      <c r="G4232" s="133"/>
      <c r="H4232" s="144"/>
      <c r="I4232" s="133"/>
      <c r="J4232" s="133"/>
      <c r="K4232" s="133"/>
      <c r="L4232" s="133"/>
      <c r="M4232" s="133"/>
      <c r="N4232" s="142"/>
      <c r="O4232" s="141"/>
      <c r="P4232" s="140"/>
    </row>
    <row r="4233" spans="1:16" x14ac:dyDescent="0.35">
      <c r="A4233" s="149"/>
      <c r="B4233" s="143"/>
      <c r="C4233" s="133"/>
      <c r="D4233" s="133"/>
      <c r="E4233" s="497" t="s">
        <v>2332</v>
      </c>
      <c r="F4233" s="145">
        <v>10.7</v>
      </c>
      <c r="G4233" s="133"/>
      <c r="H4233" s="144"/>
      <c r="I4233" s="133"/>
      <c r="J4233" s="133"/>
      <c r="K4233" s="133"/>
      <c r="L4233" s="133"/>
      <c r="M4233" s="133"/>
      <c r="N4233" s="142"/>
      <c r="O4233" s="141"/>
      <c r="P4233" s="140"/>
    </row>
    <row r="4234" spans="1:16" x14ac:dyDescent="0.35">
      <c r="A4234" s="149"/>
      <c r="B4234" s="143"/>
      <c r="C4234" s="133"/>
      <c r="D4234" s="133"/>
      <c r="E4234" s="145" t="s">
        <v>1075</v>
      </c>
      <c r="F4234" s="145">
        <v>1763</v>
      </c>
      <c r="G4234" s="133"/>
      <c r="H4234" s="144"/>
      <c r="I4234" s="133"/>
      <c r="J4234" s="133"/>
      <c r="K4234" s="133"/>
      <c r="L4234" s="133"/>
      <c r="M4234" s="133"/>
      <c r="N4234" s="142"/>
      <c r="O4234" s="141"/>
      <c r="P4234" s="140"/>
    </row>
    <row r="4235" spans="1:16" x14ac:dyDescent="0.35">
      <c r="A4235" s="149"/>
      <c r="B4235" s="143"/>
      <c r="C4235" s="133"/>
      <c r="D4235" s="133"/>
      <c r="E4235" s="145"/>
      <c r="F4235" s="145"/>
      <c r="G4235" s="133"/>
      <c r="H4235" s="144"/>
      <c r="I4235" s="133"/>
      <c r="J4235" s="133"/>
      <c r="K4235" s="133"/>
      <c r="L4235" s="133"/>
      <c r="M4235" s="133"/>
      <c r="N4235" s="142"/>
      <c r="O4235" s="141"/>
      <c r="P4235" s="140"/>
    </row>
    <row r="4236" spans="1:16" x14ac:dyDescent="0.35">
      <c r="A4236" s="149">
        <v>87</v>
      </c>
      <c r="B4236" s="143">
        <v>46204</v>
      </c>
      <c r="C4236" s="501" t="s">
        <v>1769</v>
      </c>
      <c r="D4236" s="502" t="s">
        <v>3240</v>
      </c>
      <c r="E4236" s="145" t="s">
        <v>1064</v>
      </c>
      <c r="F4236" s="145">
        <v>1845</v>
      </c>
      <c r="G4236" s="133" t="s">
        <v>1034</v>
      </c>
      <c r="H4236" s="144" t="s">
        <v>1341</v>
      </c>
      <c r="I4236" s="133" t="s">
        <v>1092</v>
      </c>
      <c r="J4236" s="520" t="s">
        <v>3372</v>
      </c>
      <c r="K4236" s="143">
        <v>46204</v>
      </c>
      <c r="L4236" s="133" t="s">
        <v>1092</v>
      </c>
      <c r="M4236" s="133">
        <v>5623.3</v>
      </c>
      <c r="N4236" s="157">
        <f>+F4236+F4237+F4238-M4236</f>
        <v>235</v>
      </c>
      <c r="O4236" s="141"/>
      <c r="P4236" s="140">
        <f>N4236-O4236</f>
        <v>235</v>
      </c>
    </row>
    <row r="4237" spans="1:16" x14ac:dyDescent="0.35">
      <c r="A4237" s="149"/>
      <c r="B4237" s="143"/>
      <c r="C4237" s="133"/>
      <c r="D4237" s="133"/>
      <c r="E4237" s="396" t="s">
        <v>1067</v>
      </c>
      <c r="F4237" s="145">
        <v>303</v>
      </c>
      <c r="G4237" s="133"/>
      <c r="H4237" s="144"/>
      <c r="I4237" s="133"/>
      <c r="J4237" s="133"/>
      <c r="K4237" s="133"/>
      <c r="L4237" s="133"/>
      <c r="M4237" s="133"/>
      <c r="N4237" s="142"/>
      <c r="O4237" s="141"/>
      <c r="P4237" s="140"/>
    </row>
    <row r="4238" spans="1:16" x14ac:dyDescent="0.35">
      <c r="A4238" s="149"/>
      <c r="B4238" s="143"/>
      <c r="C4238" s="133"/>
      <c r="D4238" s="133"/>
      <c r="E4238" s="145" t="s">
        <v>1342</v>
      </c>
      <c r="F4238" s="145">
        <v>3710.3</v>
      </c>
      <c r="G4238" s="133"/>
      <c r="H4238" s="144"/>
      <c r="I4238" s="133"/>
      <c r="J4238" s="133"/>
      <c r="K4238" s="133"/>
      <c r="L4238" s="133"/>
      <c r="M4238" s="133"/>
      <c r="N4238" s="142"/>
      <c r="O4238" s="141"/>
      <c r="P4238" s="140"/>
    </row>
    <row r="4239" spans="1:16" x14ac:dyDescent="0.35">
      <c r="A4239" s="149"/>
      <c r="B4239" s="143"/>
      <c r="C4239" s="133"/>
      <c r="D4239" s="133"/>
      <c r="E4239" s="145"/>
      <c r="F4239" s="145"/>
      <c r="G4239" s="133"/>
      <c r="H4239" s="144"/>
      <c r="I4239" s="133"/>
      <c r="J4239" s="133"/>
      <c r="K4239" s="133"/>
      <c r="L4239" s="133"/>
      <c r="M4239" s="133"/>
      <c r="N4239" s="142"/>
      <c r="O4239" s="141"/>
      <c r="P4239" s="140"/>
    </row>
    <row r="4240" spans="1:16" x14ac:dyDescent="0.35">
      <c r="A4240" s="149">
        <v>88</v>
      </c>
      <c r="B4240" s="143">
        <v>46204</v>
      </c>
      <c r="C4240" s="503" t="s">
        <v>1767</v>
      </c>
      <c r="D4240" s="504" t="s">
        <v>3253</v>
      </c>
      <c r="E4240" s="145" t="s">
        <v>1075</v>
      </c>
      <c r="F4240" s="145">
        <v>3134</v>
      </c>
      <c r="G4240" s="133" t="s">
        <v>1034</v>
      </c>
      <c r="H4240" s="144" t="s">
        <v>1341</v>
      </c>
      <c r="I4240" s="133" t="s">
        <v>1092</v>
      </c>
      <c r="J4240" s="520" t="s">
        <v>3372</v>
      </c>
      <c r="K4240" s="143">
        <v>46204</v>
      </c>
      <c r="L4240" s="133" t="s">
        <v>1092</v>
      </c>
      <c r="M4240" s="133">
        <v>6355.5</v>
      </c>
      <c r="N4240" s="157">
        <f>+F4240+F4241-M4240</f>
        <v>264</v>
      </c>
      <c r="O4240" s="141"/>
      <c r="P4240" s="140">
        <f>N4240-O4240</f>
        <v>264</v>
      </c>
    </row>
    <row r="4241" spans="1:16" x14ac:dyDescent="0.35">
      <c r="A4241" s="149"/>
      <c r="B4241" s="143"/>
      <c r="C4241" s="133"/>
      <c r="D4241" s="133"/>
      <c r="E4241" s="396" t="s">
        <v>1067</v>
      </c>
      <c r="F4241" s="145">
        <v>3485.5</v>
      </c>
      <c r="G4241" s="133"/>
      <c r="H4241" s="144"/>
      <c r="I4241" s="133"/>
      <c r="J4241" s="133"/>
      <c r="K4241" s="133"/>
      <c r="L4241" s="133"/>
      <c r="M4241" s="133"/>
      <c r="N4241" s="142"/>
      <c r="O4241" s="141"/>
      <c r="P4241" s="140"/>
    </row>
    <row r="4242" spans="1:16" x14ac:dyDescent="0.35">
      <c r="A4242" s="149"/>
      <c r="B4242" s="143"/>
      <c r="C4242" s="133"/>
      <c r="D4242" s="133"/>
      <c r="E4242" s="145"/>
      <c r="F4242" s="145"/>
      <c r="G4242" s="133"/>
      <c r="H4242" s="144"/>
      <c r="I4242" s="133"/>
      <c r="J4242" s="133"/>
      <c r="K4242" s="133"/>
      <c r="L4242" s="133"/>
      <c r="M4242" s="133"/>
      <c r="N4242" s="142"/>
      <c r="O4242" s="141"/>
      <c r="P4242" s="140"/>
    </row>
    <row r="4243" spans="1:16" x14ac:dyDescent="0.35">
      <c r="A4243" s="149">
        <v>89</v>
      </c>
      <c r="B4243" s="143">
        <v>46204</v>
      </c>
      <c r="C4243" s="508" t="s">
        <v>1766</v>
      </c>
      <c r="D4243" s="509" t="s">
        <v>3274</v>
      </c>
      <c r="E4243" s="145" t="s">
        <v>1342</v>
      </c>
      <c r="F4243" s="145">
        <v>2479</v>
      </c>
      <c r="G4243" s="133" t="s">
        <v>1034</v>
      </c>
      <c r="H4243" s="144" t="s">
        <v>1341</v>
      </c>
      <c r="I4243" s="133" t="s">
        <v>1092</v>
      </c>
      <c r="J4243" s="520" t="s">
        <v>3372</v>
      </c>
      <c r="K4243" s="143">
        <v>46204</v>
      </c>
      <c r="L4243" s="133" t="s">
        <v>1092</v>
      </c>
      <c r="M4243" s="133">
        <v>2747</v>
      </c>
      <c r="N4243" s="157">
        <f>+F4243+F4244-M4243</f>
        <v>114</v>
      </c>
      <c r="O4243" s="141"/>
      <c r="P4243" s="140">
        <f>N4243-O4243</f>
        <v>114</v>
      </c>
    </row>
    <row r="4244" spans="1:16" x14ac:dyDescent="0.35">
      <c r="A4244" s="149"/>
      <c r="B4244" s="143"/>
      <c r="C4244" s="133"/>
      <c r="D4244" s="133"/>
      <c r="E4244" s="396" t="s">
        <v>1067</v>
      </c>
      <c r="F4244" s="145">
        <v>382</v>
      </c>
      <c r="G4244" s="133"/>
      <c r="H4244" s="144"/>
      <c r="I4244" s="133"/>
      <c r="J4244" s="133"/>
      <c r="K4244" s="133"/>
      <c r="L4244" s="133"/>
      <c r="M4244" s="133"/>
      <c r="N4244" s="142"/>
      <c r="O4244" s="141"/>
      <c r="P4244" s="140"/>
    </row>
    <row r="4245" spans="1:16" x14ac:dyDescent="0.35">
      <c r="A4245" s="149"/>
      <c r="B4245" s="143"/>
      <c r="C4245" s="133"/>
      <c r="D4245" s="133"/>
      <c r="E4245" s="396"/>
      <c r="F4245" s="145"/>
      <c r="G4245" s="133"/>
      <c r="H4245" s="144"/>
      <c r="I4245" s="133"/>
      <c r="J4245" s="133"/>
      <c r="K4245" s="133"/>
      <c r="L4245" s="133"/>
      <c r="M4245" s="133"/>
      <c r="N4245" s="142"/>
      <c r="O4245" s="141"/>
      <c r="P4245" s="140"/>
    </row>
    <row r="4246" spans="1:16" x14ac:dyDescent="0.35">
      <c r="A4246" s="149">
        <v>90</v>
      </c>
      <c r="B4246" s="143">
        <v>46204</v>
      </c>
      <c r="C4246" s="510" t="s">
        <v>1765</v>
      </c>
      <c r="D4246" s="511" t="s">
        <v>3289</v>
      </c>
      <c r="E4246" s="145" t="s">
        <v>1342</v>
      </c>
      <c r="F4246" s="145">
        <v>4164</v>
      </c>
      <c r="G4246" s="133" t="s">
        <v>1034</v>
      </c>
      <c r="H4246" s="144" t="s">
        <v>1341</v>
      </c>
      <c r="I4246" s="133" t="s">
        <v>1092</v>
      </c>
      <c r="J4246" s="339"/>
      <c r="K4246" s="143"/>
      <c r="L4246" s="133"/>
      <c r="M4246" s="133"/>
      <c r="N4246" s="147">
        <f>+F4246+F4247+F4248+F4249+F4250</f>
        <v>16112.599999999999</v>
      </c>
      <c r="O4246" s="141">
        <f>+N4246*4%</f>
        <v>644.50399999999991</v>
      </c>
      <c r="P4246" s="140">
        <f>N4246-O4246</f>
        <v>15468.095999999998</v>
      </c>
    </row>
    <row r="4247" spans="1:16" x14ac:dyDescent="0.35">
      <c r="A4247" s="149"/>
      <c r="B4247" s="143"/>
      <c r="C4247" s="133"/>
      <c r="D4247" s="133"/>
      <c r="E4247" s="396" t="s">
        <v>1067</v>
      </c>
      <c r="F4247" s="145">
        <v>6980.4</v>
      </c>
      <c r="G4247" s="133"/>
      <c r="H4247" s="144"/>
      <c r="I4247" s="133"/>
      <c r="J4247" s="133"/>
      <c r="K4247" s="133"/>
      <c r="L4247" s="133"/>
      <c r="M4247" s="133"/>
      <c r="N4247" s="142"/>
      <c r="O4247" s="141"/>
      <c r="P4247" s="140"/>
    </row>
    <row r="4248" spans="1:16" x14ac:dyDescent="0.35">
      <c r="A4248" s="149"/>
      <c r="B4248" s="143"/>
      <c r="C4248" s="133"/>
      <c r="D4248" s="133"/>
      <c r="E4248" s="497" t="s">
        <v>2332</v>
      </c>
      <c r="F4248" s="145">
        <v>104</v>
      </c>
      <c r="G4248" s="133"/>
      <c r="H4248" s="144"/>
      <c r="I4248" s="133"/>
      <c r="J4248" s="133"/>
      <c r="K4248" s="133"/>
      <c r="L4248" s="133"/>
      <c r="M4248" s="133"/>
      <c r="N4248" s="142"/>
      <c r="O4248" s="141"/>
      <c r="P4248" s="140"/>
    </row>
    <row r="4249" spans="1:16" x14ac:dyDescent="0.35">
      <c r="A4249" s="149"/>
      <c r="B4249" s="143"/>
      <c r="C4249" s="133"/>
      <c r="D4249" s="133"/>
      <c r="E4249" s="145" t="s">
        <v>1075</v>
      </c>
      <c r="F4249" s="145">
        <v>2698</v>
      </c>
      <c r="G4249" s="133"/>
      <c r="H4249" s="144"/>
      <c r="I4249" s="133"/>
      <c r="J4249" s="133"/>
      <c r="K4249" s="133"/>
      <c r="L4249" s="133"/>
      <c r="M4249" s="133"/>
      <c r="N4249" s="142"/>
      <c r="O4249" s="141"/>
      <c r="P4249" s="140"/>
    </row>
    <row r="4250" spans="1:16" x14ac:dyDescent="0.35">
      <c r="A4250" s="149"/>
      <c r="B4250" s="143"/>
      <c r="C4250" s="133"/>
      <c r="D4250" s="133"/>
      <c r="E4250" s="145" t="s">
        <v>1118</v>
      </c>
      <c r="F4250" s="145">
        <v>2166.1999999999998</v>
      </c>
      <c r="G4250" s="133"/>
      <c r="H4250" s="144"/>
      <c r="I4250" s="133"/>
      <c r="J4250" s="133"/>
      <c r="K4250" s="133"/>
      <c r="L4250" s="133"/>
      <c r="M4250" s="133"/>
      <c r="N4250" s="142"/>
      <c r="O4250" s="141"/>
      <c r="P4250" s="140"/>
    </row>
    <row r="4251" spans="1:16" x14ac:dyDescent="0.35">
      <c r="A4251" s="149"/>
      <c r="B4251" s="143"/>
      <c r="C4251" s="133"/>
      <c r="D4251" s="133"/>
      <c r="E4251" s="396"/>
      <c r="F4251" s="145"/>
      <c r="G4251" s="133"/>
      <c r="H4251" s="144"/>
      <c r="I4251" s="133"/>
      <c r="J4251" s="133"/>
      <c r="K4251" s="133"/>
      <c r="L4251" s="133"/>
      <c r="M4251" s="133"/>
      <c r="N4251" s="142"/>
      <c r="O4251" s="141"/>
      <c r="P4251" s="140"/>
    </row>
    <row r="4252" spans="1:16" x14ac:dyDescent="0.35">
      <c r="A4252" s="149">
        <v>91</v>
      </c>
      <c r="B4252" s="143">
        <v>46204</v>
      </c>
      <c r="C4252" s="513" t="s">
        <v>1763</v>
      </c>
      <c r="D4252" s="514" t="s">
        <v>3329</v>
      </c>
      <c r="E4252" s="145" t="s">
        <v>1342</v>
      </c>
      <c r="F4252" s="145">
        <v>3592.8</v>
      </c>
      <c r="G4252" s="133" t="s">
        <v>1034</v>
      </c>
      <c r="H4252" s="144" t="s">
        <v>1341</v>
      </c>
      <c r="I4252" s="133" t="s">
        <v>1092</v>
      </c>
      <c r="J4252" s="339"/>
      <c r="K4252" s="143"/>
      <c r="L4252" s="133"/>
      <c r="M4252" s="133"/>
      <c r="N4252" s="147">
        <f>+F4252+F4253+F4255+F4254</f>
        <v>4668.4000000000005</v>
      </c>
      <c r="O4252" s="141">
        <f>+N4252*4%</f>
        <v>186.73600000000002</v>
      </c>
      <c r="P4252" s="140">
        <f>N4252-O4252</f>
        <v>4481.6640000000007</v>
      </c>
    </row>
    <row r="4253" spans="1:16" x14ac:dyDescent="0.35">
      <c r="A4253" s="149"/>
      <c r="B4253" s="143"/>
      <c r="C4253" s="133"/>
      <c r="D4253" s="133"/>
      <c r="E4253" s="497" t="s">
        <v>2332</v>
      </c>
      <c r="F4253" s="145">
        <v>311.8</v>
      </c>
      <c r="G4253" s="133"/>
      <c r="H4253" s="144"/>
      <c r="I4253" s="133"/>
      <c r="J4253" s="133"/>
      <c r="K4253" s="133"/>
      <c r="L4253" s="133"/>
      <c r="M4253" s="133"/>
      <c r="N4253" s="142"/>
      <c r="O4253" s="141"/>
      <c r="P4253" s="140"/>
    </row>
    <row r="4254" spans="1:16" x14ac:dyDescent="0.35">
      <c r="A4254" s="149"/>
      <c r="B4254" s="143"/>
      <c r="C4254" s="133"/>
      <c r="D4254" s="133"/>
      <c r="E4254" s="145" t="s">
        <v>1075</v>
      </c>
      <c r="F4254" s="145">
        <v>268</v>
      </c>
      <c r="G4254" s="133"/>
      <c r="H4254" s="144"/>
      <c r="I4254" s="133"/>
      <c r="J4254" s="133"/>
      <c r="K4254" s="133"/>
      <c r="L4254" s="133"/>
      <c r="M4254" s="133"/>
      <c r="N4254" s="142"/>
      <c r="O4254" s="141"/>
      <c r="P4254" s="140"/>
    </row>
    <row r="4255" spans="1:16" x14ac:dyDescent="0.35">
      <c r="A4255" s="149"/>
      <c r="B4255" s="143"/>
      <c r="C4255" s="133"/>
      <c r="D4255" s="133"/>
      <c r="E4255" s="145" t="s">
        <v>1064</v>
      </c>
      <c r="F4255" s="145">
        <v>495.8</v>
      </c>
      <c r="G4255" s="133"/>
      <c r="H4255" s="144"/>
      <c r="I4255" s="133"/>
      <c r="J4255" s="133"/>
      <c r="K4255" s="133"/>
      <c r="L4255" s="133"/>
      <c r="M4255" s="133"/>
      <c r="N4255" s="142"/>
      <c r="O4255" s="141"/>
      <c r="P4255" s="140"/>
    </row>
    <row r="4256" spans="1:16" x14ac:dyDescent="0.35">
      <c r="A4256" s="149"/>
      <c r="B4256" s="143"/>
      <c r="C4256" s="133"/>
      <c r="D4256" s="133"/>
      <c r="E4256" s="396"/>
      <c r="F4256" s="145"/>
      <c r="G4256" s="133"/>
      <c r="H4256" s="144"/>
      <c r="I4256" s="133"/>
      <c r="J4256" s="133"/>
      <c r="K4256" s="133"/>
      <c r="L4256" s="133"/>
      <c r="M4256" s="133"/>
      <c r="N4256" s="142"/>
      <c r="O4256" s="141"/>
      <c r="P4256" s="140"/>
    </row>
    <row r="4257" spans="1:16" x14ac:dyDescent="0.35">
      <c r="A4257" s="149">
        <v>92</v>
      </c>
      <c r="B4257" s="143">
        <v>46204</v>
      </c>
      <c r="C4257" s="513" t="s">
        <v>1761</v>
      </c>
      <c r="D4257" s="514" t="s">
        <v>3330</v>
      </c>
      <c r="E4257" s="145" t="s">
        <v>1342</v>
      </c>
      <c r="F4257" s="145">
        <v>6551</v>
      </c>
      <c r="G4257" s="133" t="s">
        <v>1034</v>
      </c>
      <c r="H4257" s="144" t="s">
        <v>1341</v>
      </c>
      <c r="I4257" s="133" t="s">
        <v>1092</v>
      </c>
      <c r="J4257" s="339"/>
      <c r="K4257" s="143"/>
      <c r="L4257" s="133"/>
      <c r="M4257" s="133"/>
      <c r="N4257" s="147">
        <f>+F4257+F4258+F4260+F4259+F4261</f>
        <v>16663.5</v>
      </c>
      <c r="O4257" s="141">
        <f>+N4257*4%</f>
        <v>666.54</v>
      </c>
      <c r="P4257" s="140">
        <f>N4257-O4257</f>
        <v>15996.96</v>
      </c>
    </row>
    <row r="4258" spans="1:16" x14ac:dyDescent="0.35">
      <c r="A4258" s="149"/>
      <c r="B4258" s="143"/>
      <c r="C4258" s="133"/>
      <c r="D4258" s="133"/>
      <c r="E4258" s="396" t="s">
        <v>1067</v>
      </c>
      <c r="F4258" s="145">
        <v>3545.5</v>
      </c>
      <c r="G4258" s="133"/>
      <c r="H4258" s="144"/>
      <c r="I4258" s="133"/>
      <c r="J4258" s="133"/>
      <c r="K4258" s="133"/>
      <c r="L4258" s="133"/>
      <c r="M4258" s="133"/>
      <c r="N4258" s="142"/>
      <c r="O4258" s="141"/>
      <c r="P4258" s="140"/>
    </row>
    <row r="4259" spans="1:16" x14ac:dyDescent="0.35">
      <c r="A4259" s="149"/>
      <c r="B4259" s="143"/>
      <c r="C4259" s="133"/>
      <c r="D4259" s="133"/>
      <c r="E4259" s="145" t="s">
        <v>1075</v>
      </c>
      <c r="F4259" s="145">
        <v>5288</v>
      </c>
      <c r="G4259" s="133"/>
      <c r="H4259" s="144"/>
      <c r="I4259" s="133"/>
      <c r="J4259" s="133"/>
      <c r="K4259" s="133"/>
      <c r="L4259" s="133"/>
      <c r="M4259" s="133"/>
      <c r="N4259" s="142"/>
      <c r="O4259" s="141"/>
      <c r="P4259" s="140"/>
    </row>
    <row r="4260" spans="1:16" x14ac:dyDescent="0.35">
      <c r="A4260" s="149"/>
      <c r="B4260" s="143"/>
      <c r="C4260" s="133"/>
      <c r="D4260" s="133"/>
      <c r="E4260" s="145" t="s">
        <v>1064</v>
      </c>
      <c r="F4260" s="145">
        <v>1092</v>
      </c>
      <c r="G4260" s="133"/>
      <c r="H4260" s="144"/>
      <c r="I4260" s="133"/>
      <c r="J4260" s="133"/>
      <c r="K4260" s="133"/>
      <c r="L4260" s="133"/>
      <c r="M4260" s="133"/>
      <c r="N4260" s="142"/>
      <c r="O4260" s="141"/>
      <c r="P4260" s="140"/>
    </row>
    <row r="4261" spans="1:16" x14ac:dyDescent="0.35">
      <c r="A4261" s="149"/>
      <c r="B4261" s="143"/>
      <c r="C4261" s="133"/>
      <c r="D4261" s="133"/>
      <c r="E4261" s="497" t="s">
        <v>2332</v>
      </c>
      <c r="F4261" s="145">
        <v>187</v>
      </c>
      <c r="G4261" s="133"/>
      <c r="H4261" s="144"/>
      <c r="I4261" s="133"/>
      <c r="J4261" s="133"/>
      <c r="K4261" s="133"/>
      <c r="L4261" s="133"/>
      <c r="M4261" s="133"/>
      <c r="N4261" s="142"/>
      <c r="O4261" s="141"/>
      <c r="P4261" s="140"/>
    </row>
    <row r="4262" spans="1:16" x14ac:dyDescent="0.35">
      <c r="A4262" s="149"/>
      <c r="B4262" s="143"/>
      <c r="C4262" s="133"/>
      <c r="D4262" s="133"/>
      <c r="E4262" s="396"/>
      <c r="F4262" s="145"/>
      <c r="G4262" s="133"/>
      <c r="H4262" s="144"/>
      <c r="I4262" s="133"/>
      <c r="J4262" s="133"/>
      <c r="K4262" s="133"/>
      <c r="L4262" s="133"/>
      <c r="M4262" s="133"/>
      <c r="N4262" s="142"/>
      <c r="O4262" s="141"/>
      <c r="P4262" s="140"/>
    </row>
    <row r="4263" spans="1:16" x14ac:dyDescent="0.35">
      <c r="A4263" s="149">
        <v>93</v>
      </c>
      <c r="B4263" s="143">
        <v>46204</v>
      </c>
      <c r="C4263" s="517" t="s">
        <v>1759</v>
      </c>
      <c r="D4263" s="519" t="s">
        <v>3361</v>
      </c>
      <c r="E4263" s="145" t="s">
        <v>1342</v>
      </c>
      <c r="F4263" s="145">
        <v>2382</v>
      </c>
      <c r="G4263" s="133" t="s">
        <v>1034</v>
      </c>
      <c r="H4263" s="144" t="s">
        <v>1341</v>
      </c>
      <c r="I4263" s="133" t="s">
        <v>1092</v>
      </c>
      <c r="J4263" s="339"/>
      <c r="K4263" s="143"/>
      <c r="L4263" s="133"/>
      <c r="M4263" s="133"/>
      <c r="N4263" s="147">
        <f>+F4263+F4264+F4265+F4266</f>
        <v>6516.93</v>
      </c>
      <c r="O4263" s="141">
        <f>+N4263*4%</f>
        <v>260.67720000000003</v>
      </c>
      <c r="P4263" s="140">
        <f>N4263-O4263</f>
        <v>6256.2528000000002</v>
      </c>
    </row>
    <row r="4264" spans="1:16" x14ac:dyDescent="0.35">
      <c r="A4264" s="149"/>
      <c r="B4264" s="143"/>
      <c r="C4264" s="133"/>
      <c r="D4264" s="133"/>
      <c r="E4264" s="396" t="s">
        <v>1067</v>
      </c>
      <c r="F4264" s="145">
        <v>930</v>
      </c>
      <c r="G4264" s="133"/>
      <c r="H4264" s="144"/>
      <c r="I4264" s="133"/>
      <c r="J4264" s="133"/>
      <c r="K4264" s="133"/>
      <c r="L4264" s="133"/>
      <c r="M4264" s="133"/>
      <c r="N4264" s="142"/>
      <c r="O4264" s="141"/>
      <c r="P4264" s="140"/>
    </row>
    <row r="4265" spans="1:16" x14ac:dyDescent="0.35">
      <c r="A4265" s="149"/>
      <c r="B4265" s="143"/>
      <c r="C4265" s="133"/>
      <c r="D4265" s="133"/>
      <c r="E4265" s="493" t="s">
        <v>1078</v>
      </c>
      <c r="F4265" s="145">
        <v>2019.7</v>
      </c>
      <c r="G4265" s="133"/>
      <c r="H4265" s="144"/>
      <c r="I4265" s="133"/>
      <c r="J4265" s="133"/>
      <c r="K4265" s="133"/>
      <c r="L4265" s="133"/>
      <c r="M4265" s="133"/>
      <c r="N4265" s="142"/>
      <c r="O4265" s="141"/>
      <c r="P4265" s="140"/>
    </row>
    <row r="4266" spans="1:16" x14ac:dyDescent="0.35">
      <c r="A4266" s="149"/>
      <c r="B4266" s="143"/>
      <c r="C4266" s="133"/>
      <c r="D4266" s="133"/>
      <c r="E4266" s="145" t="s">
        <v>1118</v>
      </c>
      <c r="F4266" s="145">
        <v>1185.23</v>
      </c>
      <c r="G4266" s="133"/>
      <c r="H4266" s="144"/>
      <c r="I4266" s="133"/>
      <c r="J4266" s="133"/>
      <c r="K4266" s="133"/>
      <c r="L4266" s="133"/>
      <c r="M4266" s="133"/>
      <c r="N4266" s="142"/>
      <c r="O4266" s="141"/>
      <c r="P4266" s="140"/>
    </row>
    <row r="4267" spans="1:16" x14ac:dyDescent="0.35">
      <c r="A4267" s="149"/>
      <c r="B4267" s="143"/>
      <c r="C4267" s="133"/>
      <c r="D4267" s="133"/>
      <c r="E4267" s="396"/>
      <c r="F4267" s="145"/>
      <c r="G4267" s="133"/>
      <c r="H4267" s="144"/>
      <c r="I4267" s="133"/>
      <c r="J4267" s="133"/>
      <c r="K4267" s="133"/>
      <c r="L4267" s="133"/>
      <c r="M4267" s="133"/>
      <c r="N4267" s="142"/>
      <c r="O4267" s="141"/>
      <c r="P4267" s="140"/>
    </row>
    <row r="4268" spans="1:16" x14ac:dyDescent="0.35">
      <c r="A4268" s="149">
        <v>94</v>
      </c>
      <c r="B4268" s="143">
        <v>46204</v>
      </c>
      <c r="C4268" s="517" t="s">
        <v>1758</v>
      </c>
      <c r="D4268" s="519" t="s">
        <v>3362</v>
      </c>
      <c r="E4268" s="145" t="s">
        <v>1342</v>
      </c>
      <c r="F4268" s="145">
        <v>4404</v>
      </c>
      <c r="G4268" s="133" t="s">
        <v>1034</v>
      </c>
      <c r="H4268" s="144" t="s">
        <v>1341</v>
      </c>
      <c r="I4268" s="133" t="s">
        <v>1092</v>
      </c>
      <c r="J4268" s="339"/>
      <c r="K4268" s="143"/>
      <c r="L4268" s="133"/>
      <c r="M4268" s="133"/>
      <c r="N4268" s="147">
        <f>+F4268</f>
        <v>4404</v>
      </c>
      <c r="O4268" s="141">
        <f>+N4268*4%</f>
        <v>176.16</v>
      </c>
      <c r="P4268" s="140">
        <f>N4268-O4268</f>
        <v>4227.84</v>
      </c>
    </row>
    <row r="4269" spans="1:16" x14ac:dyDescent="0.35">
      <c r="A4269" s="149"/>
      <c r="B4269" s="143"/>
      <c r="C4269" s="133"/>
      <c r="D4269" s="133"/>
      <c r="E4269" s="396"/>
      <c r="F4269" s="145"/>
      <c r="G4269" s="133"/>
      <c r="H4269" s="144"/>
      <c r="I4269" s="133"/>
      <c r="J4269" s="133"/>
      <c r="K4269" s="133"/>
      <c r="L4269" s="133"/>
      <c r="M4269" s="133"/>
      <c r="N4269" s="142"/>
      <c r="O4269" s="141"/>
      <c r="P4269" s="140"/>
    </row>
    <row r="4270" spans="1:16" x14ac:dyDescent="0.35">
      <c r="A4270" s="149">
        <v>95</v>
      </c>
      <c r="B4270" s="143">
        <v>46204</v>
      </c>
      <c r="C4270" s="520" t="s">
        <v>1756</v>
      </c>
      <c r="D4270" s="521" t="s">
        <v>3370</v>
      </c>
      <c r="E4270" s="145" t="s">
        <v>1342</v>
      </c>
      <c r="F4270" s="145">
        <v>966</v>
      </c>
      <c r="G4270" s="133" t="s">
        <v>1034</v>
      </c>
      <c r="H4270" s="144" t="s">
        <v>1341</v>
      </c>
      <c r="I4270" s="133" t="s">
        <v>1092</v>
      </c>
      <c r="J4270" s="339"/>
      <c r="K4270" s="143"/>
      <c r="L4270" s="133"/>
      <c r="M4270" s="133"/>
      <c r="N4270" s="147">
        <f>+F4270</f>
        <v>966</v>
      </c>
      <c r="O4270" s="141"/>
      <c r="P4270" s="140">
        <f>N4270-O4270</f>
        <v>966</v>
      </c>
    </row>
    <row r="4271" spans="1:16" x14ac:dyDescent="0.35">
      <c r="A4271" s="149"/>
      <c r="B4271" s="143"/>
      <c r="C4271" s="133"/>
      <c r="D4271" s="133"/>
      <c r="E4271" s="396"/>
      <c r="F4271" s="145"/>
      <c r="G4271" s="133"/>
      <c r="H4271" s="144"/>
      <c r="I4271" s="133"/>
      <c r="J4271" s="133"/>
      <c r="K4271" s="133"/>
      <c r="L4271" s="133"/>
      <c r="M4271" s="133"/>
      <c r="N4271" s="142"/>
      <c r="O4271" s="141"/>
      <c r="P4271" s="140"/>
    </row>
    <row r="4272" spans="1:16" x14ac:dyDescent="0.35">
      <c r="A4272" s="149">
        <v>96</v>
      </c>
      <c r="B4272" s="143">
        <v>46204</v>
      </c>
      <c r="C4272" s="529" t="s">
        <v>1755</v>
      </c>
      <c r="D4272" s="530" t="s">
        <v>3396</v>
      </c>
      <c r="E4272" s="145" t="s">
        <v>1342</v>
      </c>
      <c r="F4272" s="145">
        <v>5252</v>
      </c>
      <c r="G4272" s="133" t="s">
        <v>1034</v>
      </c>
      <c r="H4272" s="144" t="s">
        <v>1341</v>
      </c>
      <c r="I4272" s="133" t="s">
        <v>1092</v>
      </c>
      <c r="J4272" s="339"/>
      <c r="K4272" s="143"/>
      <c r="L4272" s="133"/>
      <c r="M4272" s="133"/>
      <c r="N4272" s="147">
        <f>+F4272+F4273+F4274+F4275+F4276</f>
        <v>13308.3</v>
      </c>
      <c r="O4272" s="141">
        <f>+N4272*4%</f>
        <v>532.33199999999999</v>
      </c>
      <c r="P4272" s="140">
        <f>N4272-O4272</f>
        <v>12775.967999999999</v>
      </c>
    </row>
    <row r="4273" spans="1:16" x14ac:dyDescent="0.35">
      <c r="A4273" s="149"/>
      <c r="B4273" s="143"/>
      <c r="C4273" s="133"/>
      <c r="D4273" s="133"/>
      <c r="E4273" s="145" t="s">
        <v>1064</v>
      </c>
      <c r="F4273" s="145">
        <v>930.5</v>
      </c>
      <c r="G4273" s="133"/>
      <c r="H4273" s="144"/>
      <c r="I4273" s="133"/>
      <c r="J4273" s="133"/>
      <c r="K4273" s="133"/>
      <c r="L4273" s="133"/>
      <c r="M4273" s="133"/>
      <c r="N4273" s="142"/>
      <c r="O4273" s="141"/>
      <c r="P4273" s="140"/>
    </row>
    <row r="4274" spans="1:16" x14ac:dyDescent="0.35">
      <c r="A4274" s="149"/>
      <c r="B4274" s="143"/>
      <c r="C4274" s="133"/>
      <c r="D4274" s="133"/>
      <c r="E4274" s="396" t="s">
        <v>1067</v>
      </c>
      <c r="F4274" s="145">
        <v>2594</v>
      </c>
      <c r="G4274" s="133"/>
      <c r="H4274" s="144"/>
      <c r="I4274" s="133"/>
      <c r="J4274" s="133"/>
      <c r="K4274" s="133"/>
      <c r="L4274" s="133"/>
      <c r="M4274" s="133"/>
      <c r="N4274" s="142"/>
      <c r="O4274" s="141"/>
      <c r="P4274" s="140"/>
    </row>
    <row r="4275" spans="1:16" x14ac:dyDescent="0.35">
      <c r="A4275" s="149"/>
      <c r="B4275" s="143"/>
      <c r="C4275" s="133"/>
      <c r="D4275" s="133"/>
      <c r="E4275" s="145" t="s">
        <v>1118</v>
      </c>
      <c r="F4275" s="145">
        <v>1128.8</v>
      </c>
      <c r="G4275" s="133"/>
      <c r="H4275" s="144"/>
      <c r="I4275" s="133"/>
      <c r="J4275" s="133"/>
      <c r="K4275" s="133"/>
      <c r="L4275" s="133"/>
      <c r="M4275" s="133"/>
      <c r="N4275" s="142"/>
      <c r="O4275" s="141"/>
      <c r="P4275" s="140"/>
    </row>
    <row r="4276" spans="1:16" x14ac:dyDescent="0.35">
      <c r="A4276" s="149"/>
      <c r="B4276" s="143"/>
      <c r="C4276" s="133"/>
      <c r="D4276" s="133"/>
      <c r="E4276" s="145" t="s">
        <v>1075</v>
      </c>
      <c r="F4276" s="145">
        <v>3403</v>
      </c>
      <c r="G4276" s="133"/>
      <c r="H4276" s="144"/>
      <c r="I4276" s="133"/>
      <c r="J4276" s="133"/>
      <c r="K4276" s="133"/>
      <c r="L4276" s="133"/>
      <c r="M4276" s="133"/>
      <c r="N4276" s="142"/>
      <c r="O4276" s="141"/>
      <c r="P4276" s="140"/>
    </row>
    <row r="4277" spans="1:16" x14ac:dyDescent="0.35">
      <c r="A4277" s="149"/>
      <c r="B4277" s="143"/>
      <c r="C4277" s="133"/>
      <c r="D4277" s="133"/>
      <c r="E4277" s="396"/>
      <c r="F4277" s="145"/>
      <c r="G4277" s="133"/>
      <c r="H4277" s="144"/>
      <c r="I4277" s="133"/>
      <c r="J4277" s="133"/>
      <c r="K4277" s="133"/>
      <c r="L4277" s="133"/>
      <c r="M4277" s="133"/>
      <c r="N4277" s="142"/>
      <c r="O4277" s="141"/>
      <c r="P4277" s="140"/>
    </row>
    <row r="4278" spans="1:16" x14ac:dyDescent="0.35">
      <c r="A4278" s="149">
        <v>97</v>
      </c>
      <c r="B4278" s="143">
        <v>46204</v>
      </c>
      <c r="C4278" s="529" t="s">
        <v>1752</v>
      </c>
      <c r="D4278" s="530" t="s">
        <v>3396</v>
      </c>
      <c r="E4278" s="148" t="s">
        <v>1059</v>
      </c>
      <c r="F4278" s="145">
        <v>108000</v>
      </c>
      <c r="G4278" s="133" t="s">
        <v>1034</v>
      </c>
      <c r="H4278" s="144" t="s">
        <v>1341</v>
      </c>
      <c r="I4278" s="133" t="s">
        <v>1092</v>
      </c>
      <c r="J4278" s="339"/>
      <c r="K4278" s="143"/>
      <c r="L4278" s="133"/>
      <c r="M4278" s="133"/>
      <c r="N4278" s="147">
        <f>+F4278</f>
        <v>108000</v>
      </c>
      <c r="O4278" s="141">
        <f>+N4278*4%</f>
        <v>4320</v>
      </c>
      <c r="P4278" s="140">
        <f>N4278-O4278</f>
        <v>103680</v>
      </c>
    </row>
    <row r="4279" spans="1:16" x14ac:dyDescent="0.35">
      <c r="A4279" s="149"/>
      <c r="B4279" s="143"/>
      <c r="C4279" s="133"/>
      <c r="D4279" s="133"/>
      <c r="E4279" s="396"/>
      <c r="F4279" s="145"/>
      <c r="G4279" s="133"/>
      <c r="H4279" s="144"/>
      <c r="I4279" s="133"/>
      <c r="J4279" s="133"/>
      <c r="K4279" s="133"/>
      <c r="L4279" s="133"/>
      <c r="M4279" s="133"/>
      <c r="N4279" s="142"/>
      <c r="O4279" s="141"/>
      <c r="P4279" s="140"/>
    </row>
    <row r="4280" spans="1:16" x14ac:dyDescent="0.35">
      <c r="A4280" s="149"/>
      <c r="B4280" s="143"/>
      <c r="C4280" s="133"/>
      <c r="D4280" s="133"/>
      <c r="E4280" s="396"/>
      <c r="F4280" s="145"/>
      <c r="G4280" s="133"/>
      <c r="H4280" s="144"/>
      <c r="I4280" s="133"/>
      <c r="J4280" s="133"/>
      <c r="K4280" s="133"/>
      <c r="L4280" s="133"/>
      <c r="M4280" s="133"/>
      <c r="N4280" s="142"/>
      <c r="O4280" s="141"/>
      <c r="P4280" s="140"/>
    </row>
    <row r="4281" spans="1:16" x14ac:dyDescent="0.35">
      <c r="A4281" s="149"/>
      <c r="B4281" s="143"/>
      <c r="C4281" s="133"/>
      <c r="D4281" s="133"/>
      <c r="E4281" s="396"/>
      <c r="F4281" s="145"/>
      <c r="G4281" s="133"/>
      <c r="H4281" s="144"/>
      <c r="I4281" s="133"/>
      <c r="J4281" s="133"/>
      <c r="K4281" s="133"/>
      <c r="L4281" s="133"/>
      <c r="M4281" s="133"/>
      <c r="N4281" s="142"/>
      <c r="O4281" s="141"/>
      <c r="P4281" s="140"/>
    </row>
    <row r="4282" spans="1:16" x14ac:dyDescent="0.35">
      <c r="A4282" s="149"/>
      <c r="B4282" s="143"/>
      <c r="C4282" s="133"/>
      <c r="D4282" s="133"/>
      <c r="E4282" s="396"/>
      <c r="F4282" s="145"/>
      <c r="G4282" s="133"/>
      <c r="H4282" s="144"/>
      <c r="I4282" s="133"/>
      <c r="J4282" s="133"/>
      <c r="K4282" s="133"/>
      <c r="L4282" s="133"/>
      <c r="M4282" s="133"/>
      <c r="N4282" s="142"/>
      <c r="O4282" s="141"/>
      <c r="P4282" s="140"/>
    </row>
    <row r="4283" spans="1:16" x14ac:dyDescent="0.35">
      <c r="A4283" s="149"/>
      <c r="B4283" s="143"/>
      <c r="C4283" s="133"/>
      <c r="D4283" s="133"/>
      <c r="E4283" s="396"/>
      <c r="F4283" s="145"/>
      <c r="G4283" s="133"/>
      <c r="H4283" s="144"/>
      <c r="I4283" s="133"/>
      <c r="J4283" s="133"/>
      <c r="K4283" s="133"/>
      <c r="L4283" s="133"/>
      <c r="M4283" s="133"/>
      <c r="N4283" s="142"/>
      <c r="O4283" s="141"/>
      <c r="P4283" s="140"/>
    </row>
    <row r="4284" spans="1:16" x14ac:dyDescent="0.35">
      <c r="A4284" s="149"/>
      <c r="B4284" s="143"/>
      <c r="C4284" s="133"/>
      <c r="D4284" s="133"/>
      <c r="E4284" s="396"/>
      <c r="F4284" s="145"/>
      <c r="G4284" s="133"/>
      <c r="H4284" s="144"/>
      <c r="I4284" s="133"/>
      <c r="J4284" s="133"/>
      <c r="K4284" s="133"/>
      <c r="L4284" s="133"/>
      <c r="M4284" s="133"/>
      <c r="N4284" s="142"/>
      <c r="O4284" s="141"/>
      <c r="P4284" s="140"/>
    </row>
    <row r="4285" spans="1:16" x14ac:dyDescent="0.35">
      <c r="A4285" s="149"/>
      <c r="B4285" s="143"/>
      <c r="C4285" s="133"/>
      <c r="D4285" s="133"/>
      <c r="E4285" s="145"/>
      <c r="F4285" s="145"/>
      <c r="G4285" s="133"/>
      <c r="H4285" s="144"/>
      <c r="I4285" s="133"/>
      <c r="J4285" s="133"/>
      <c r="K4285" s="133"/>
      <c r="L4285" s="133"/>
      <c r="M4285" s="133"/>
      <c r="N4285" s="142"/>
      <c r="O4285" s="141"/>
      <c r="P4285" s="140"/>
    </row>
    <row r="4286" spans="1:16" x14ac:dyDescent="0.35">
      <c r="A4286" s="149"/>
      <c r="B4286" s="143"/>
      <c r="C4286" s="133"/>
      <c r="D4286" s="133"/>
      <c r="E4286" s="145"/>
      <c r="F4286" s="145"/>
      <c r="G4286" s="133"/>
      <c r="H4286" s="144"/>
      <c r="I4286" s="133"/>
      <c r="J4286" s="133"/>
      <c r="K4286" s="133"/>
      <c r="L4286" s="133"/>
      <c r="M4286" s="133"/>
      <c r="N4286" s="142"/>
      <c r="O4286" s="141"/>
      <c r="P4286" s="140"/>
    </row>
    <row r="4287" spans="1:16" x14ac:dyDescent="0.35">
      <c r="A4287" s="149"/>
      <c r="B4287" s="143"/>
      <c r="C4287" s="133"/>
      <c r="D4287" s="133"/>
      <c r="E4287" s="145"/>
      <c r="F4287" s="145"/>
      <c r="G4287" s="133"/>
      <c r="H4287" s="144"/>
      <c r="I4287" s="133"/>
      <c r="J4287" s="133"/>
      <c r="K4287" s="133"/>
      <c r="L4287" s="133"/>
      <c r="M4287" s="133"/>
      <c r="N4287" s="142"/>
      <c r="O4287" s="141"/>
      <c r="P4287" s="140"/>
    </row>
    <row r="4288" spans="1:16" x14ac:dyDescent="0.35">
      <c r="A4288" s="149"/>
      <c r="B4288" s="143"/>
      <c r="C4288" s="133"/>
      <c r="D4288" s="133"/>
      <c r="E4288" s="145"/>
      <c r="F4288" s="145"/>
      <c r="G4288" s="133"/>
      <c r="H4288" s="144"/>
      <c r="I4288" s="133"/>
      <c r="J4288" s="133"/>
      <c r="K4288" s="133"/>
      <c r="L4288" s="133"/>
      <c r="M4288" s="133"/>
      <c r="N4288" s="142"/>
      <c r="O4288" s="141"/>
      <c r="P4288" s="140"/>
    </row>
    <row r="4289" spans="1:18" x14ac:dyDescent="0.35">
      <c r="A4289" s="149"/>
      <c r="B4289" s="143"/>
      <c r="C4289" s="133"/>
      <c r="D4289" s="133"/>
      <c r="E4289" s="145"/>
      <c r="F4289" s="145"/>
      <c r="G4289" s="133"/>
      <c r="H4289" s="144"/>
      <c r="I4289" s="133"/>
      <c r="J4289" s="133"/>
      <c r="K4289" s="133"/>
      <c r="L4289" s="133"/>
      <c r="M4289" s="133"/>
      <c r="N4289" s="142"/>
      <c r="O4289" s="141"/>
      <c r="P4289" s="140"/>
    </row>
    <row r="4290" spans="1:18" x14ac:dyDescent="0.35">
      <c r="A4290" s="149"/>
      <c r="B4290" s="143"/>
      <c r="C4290" s="133"/>
      <c r="D4290" s="133"/>
      <c r="E4290" s="145"/>
      <c r="F4290" s="145"/>
      <c r="G4290" s="133"/>
      <c r="H4290" s="144"/>
      <c r="I4290" s="133"/>
      <c r="J4290" s="133"/>
      <c r="K4290" s="133"/>
      <c r="L4290" s="133"/>
      <c r="M4290" s="133"/>
      <c r="N4290" s="142"/>
      <c r="O4290" s="141"/>
      <c r="P4290" s="140"/>
    </row>
    <row r="4291" spans="1:18" x14ac:dyDescent="0.35">
      <c r="A4291" s="149"/>
      <c r="B4291" s="143"/>
      <c r="C4291" s="133"/>
      <c r="D4291" s="133"/>
      <c r="E4291" s="145"/>
      <c r="F4291" s="145"/>
      <c r="G4291" s="133"/>
      <c r="H4291" s="144"/>
      <c r="I4291" s="133"/>
      <c r="J4291" s="133"/>
      <c r="K4291" s="133"/>
      <c r="L4291" s="133"/>
      <c r="M4291" s="133"/>
      <c r="N4291" s="142"/>
      <c r="O4291" s="141"/>
      <c r="P4291" s="140"/>
    </row>
    <row r="4292" spans="1:18" x14ac:dyDescent="0.35">
      <c r="A4292" s="149"/>
      <c r="B4292" s="143"/>
      <c r="C4292" s="133"/>
      <c r="D4292" s="133"/>
      <c r="E4292" s="145"/>
      <c r="F4292" s="145"/>
      <c r="G4292" s="133"/>
      <c r="H4292" s="144"/>
      <c r="I4292" s="133"/>
      <c r="J4292" s="133"/>
      <c r="K4292" s="133"/>
      <c r="L4292" s="133"/>
      <c r="M4292" s="133"/>
      <c r="N4292" s="142"/>
      <c r="O4292" s="141"/>
      <c r="P4292" s="140"/>
    </row>
    <row r="4293" spans="1:18" x14ac:dyDescent="0.35">
      <c r="A4293" s="149"/>
      <c r="B4293" s="143"/>
      <c r="C4293" s="133"/>
      <c r="D4293" s="133"/>
      <c r="E4293" s="145"/>
      <c r="F4293" s="145"/>
      <c r="G4293" s="133"/>
      <c r="H4293" s="144"/>
      <c r="I4293" s="133"/>
      <c r="J4293" s="133"/>
      <c r="K4293" s="133"/>
      <c r="L4293" s="133"/>
      <c r="M4293" s="133"/>
      <c r="N4293" s="142"/>
      <c r="O4293" s="141"/>
      <c r="P4293" s="140"/>
    </row>
    <row r="4294" spans="1:18" x14ac:dyDescent="0.35">
      <c r="A4294" s="149"/>
      <c r="B4294" s="143"/>
      <c r="C4294" s="133"/>
      <c r="D4294" s="133"/>
      <c r="E4294" s="145"/>
      <c r="F4294" s="145"/>
      <c r="G4294" s="133"/>
      <c r="H4294" s="144"/>
      <c r="I4294" s="133"/>
      <c r="J4294" s="133"/>
      <c r="K4294" s="133"/>
      <c r="L4294" s="133"/>
      <c r="M4294" s="133"/>
      <c r="N4294" s="142"/>
      <c r="O4294" s="141"/>
      <c r="P4294" s="140"/>
    </row>
    <row r="4295" spans="1:18" x14ac:dyDescent="0.35">
      <c r="A4295" s="149"/>
      <c r="B4295" s="143"/>
      <c r="C4295" s="133"/>
      <c r="D4295" s="133"/>
      <c r="E4295" s="145"/>
      <c r="F4295" s="145"/>
      <c r="G4295" s="133"/>
      <c r="H4295" s="144"/>
      <c r="I4295" s="133"/>
      <c r="J4295" s="133"/>
      <c r="K4295" s="133"/>
      <c r="L4295" s="133"/>
      <c r="M4295" s="133"/>
      <c r="N4295" s="142"/>
      <c r="O4295" s="141"/>
      <c r="P4295" s="140"/>
    </row>
    <row r="4296" spans="1:18" x14ac:dyDescent="0.35">
      <c r="A4296" s="149"/>
      <c r="B4296" s="143"/>
      <c r="C4296" s="133"/>
      <c r="D4296" s="133"/>
      <c r="E4296" s="145"/>
      <c r="F4296" s="145"/>
      <c r="G4296" s="133"/>
      <c r="H4296" s="144"/>
      <c r="I4296" s="133"/>
      <c r="J4296" s="133"/>
      <c r="K4296" s="133"/>
      <c r="L4296" s="133"/>
      <c r="M4296" s="133"/>
      <c r="N4296" s="142"/>
      <c r="O4296" s="141"/>
      <c r="P4296" s="140"/>
    </row>
    <row r="4297" spans="1:18" x14ac:dyDescent="0.35">
      <c r="A4297" s="149"/>
      <c r="B4297" s="143"/>
      <c r="C4297" s="133"/>
      <c r="D4297" s="133"/>
      <c r="E4297" s="145"/>
      <c r="F4297" s="145"/>
      <c r="G4297" s="133"/>
      <c r="H4297" s="144"/>
      <c r="I4297" s="133"/>
      <c r="J4297" s="133"/>
      <c r="K4297" s="133"/>
      <c r="L4297" s="133"/>
      <c r="M4297" s="133"/>
      <c r="N4297" s="142"/>
      <c r="O4297" s="141"/>
      <c r="P4297" s="140"/>
    </row>
    <row r="4298" spans="1:18" x14ac:dyDescent="0.35">
      <c r="A4298" s="146"/>
      <c r="B4298" s="143"/>
      <c r="C4298" s="133"/>
      <c r="D4298" s="133"/>
      <c r="E4298" s="145"/>
      <c r="F4298" s="145"/>
      <c r="G4298" s="133"/>
      <c r="H4298" s="144"/>
      <c r="I4298" s="133"/>
      <c r="J4298" s="133"/>
      <c r="K4298" s="133"/>
      <c r="L4298" s="133"/>
      <c r="M4298" s="133"/>
      <c r="N4298" s="142"/>
      <c r="P4298" s="140"/>
    </row>
    <row r="4299" spans="1:18" x14ac:dyDescent="0.35">
      <c r="A4299" s="139"/>
      <c r="B4299" s="138"/>
      <c r="C4299" s="138"/>
      <c r="D4299" s="138"/>
      <c r="E4299" s="138"/>
      <c r="F4299" s="134">
        <f>SUM(F3:F4298)</f>
        <v>11559488.51</v>
      </c>
      <c r="G4299" s="138"/>
      <c r="H4299" s="138"/>
      <c r="I4299" s="138" t="s">
        <v>1090</v>
      </c>
      <c r="J4299" s="138"/>
      <c r="K4299" s="138"/>
      <c r="L4299" s="138"/>
      <c r="M4299" s="134">
        <f>SUM(M3:M4298)</f>
        <v>11387357.779999996</v>
      </c>
      <c r="N4299" s="134">
        <f>SUM(N3:N4298)</f>
        <v>172130.7300000001</v>
      </c>
      <c r="O4299" s="140"/>
    </row>
    <row r="4300" spans="1:18" x14ac:dyDescent="0.35">
      <c r="A4300" s="136"/>
      <c r="B4300" s="135"/>
      <c r="C4300" s="135"/>
      <c r="D4300" s="135"/>
      <c r="E4300" s="135"/>
      <c r="F4300" s="135"/>
      <c r="G4300" s="135"/>
      <c r="H4300" s="135"/>
      <c r="I4300" s="135"/>
      <c r="J4300" s="135"/>
      <c r="K4300" s="135"/>
      <c r="L4300" s="137"/>
      <c r="M4300" s="137"/>
      <c r="N4300" s="137"/>
      <c r="R4300" s="140"/>
    </row>
    <row r="4301" spans="1:18" x14ac:dyDescent="0.35">
      <c r="A4301" s="136"/>
      <c r="B4301" s="135"/>
      <c r="C4301" s="135"/>
      <c r="D4301" s="135"/>
      <c r="E4301" s="135"/>
      <c r="F4301" s="135"/>
      <c r="G4301" s="135"/>
      <c r="H4301" s="135"/>
      <c r="I4301" s="135"/>
      <c r="J4301" s="135"/>
      <c r="K4301" s="135"/>
      <c r="L4301" s="137"/>
      <c r="M4301" s="137"/>
      <c r="N4301" s="134">
        <f>+F4299-M4299</f>
        <v>172130.73000000417</v>
      </c>
      <c r="O4301" s="140"/>
      <c r="P4301" s="140"/>
    </row>
    <row r="4302" spans="1:18" x14ac:dyDescent="0.35">
      <c r="A4302" s="136"/>
      <c r="B4302" s="135"/>
      <c r="C4302" s="135"/>
      <c r="D4302" s="135"/>
      <c r="E4302" s="135"/>
      <c r="F4302" s="135"/>
      <c r="G4302" s="135"/>
      <c r="H4302" s="135"/>
      <c r="I4302" s="135"/>
      <c r="J4302" s="135"/>
      <c r="K4302" s="135"/>
      <c r="L4302" s="137"/>
      <c r="M4302" s="135"/>
      <c r="N4302" s="137"/>
      <c r="O4302" s="140"/>
    </row>
    <row r="4303" spans="1:18" x14ac:dyDescent="0.35">
      <c r="A4303" s="136"/>
      <c r="B4303" s="135"/>
      <c r="C4303" s="135"/>
      <c r="D4303" s="135"/>
      <c r="E4303" s="135"/>
      <c r="F4303" s="135"/>
      <c r="G4303" s="135"/>
      <c r="H4303" s="135"/>
      <c r="I4303" s="135"/>
      <c r="J4303" s="135"/>
      <c r="K4303" s="135"/>
      <c r="L4303" s="135"/>
      <c r="M4303" s="135"/>
      <c r="N4303" s="134">
        <f>+N4299-N4301</f>
        <v>-4.0745362639427185E-9</v>
      </c>
    </row>
  </sheetData>
  <autoFilter ref="D2:R4299">
    <filterColumn colId="11" showButton="0"/>
    <filterColumn colId="12" showButton="0"/>
    <filterColumn colId="13" showButton="0"/>
  </autoFilter>
  <mergeCells count="2">
    <mergeCell ref="A1:N1"/>
    <mergeCell ref="O2:R2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zoomScaleNormal="100" workbookViewId="0">
      <pane xSplit="3" ySplit="2" topLeftCell="F349" activePane="bottomRight" state="frozen"/>
      <selection pane="topRight" activeCell="D1" sqref="D1"/>
      <selection pane="bottomLeft" activeCell="A3" sqref="A3"/>
      <selection pane="bottomRight" activeCell="O1" sqref="O1"/>
    </sheetView>
  </sheetViews>
  <sheetFormatPr defaultRowHeight="14.5" x14ac:dyDescent="0.35"/>
  <cols>
    <col min="1" max="1" width="7.1796875" style="132" bestFit="1" customWidth="1"/>
    <col min="2" max="2" width="7.08984375" style="132" bestFit="1" customWidth="1"/>
    <col min="3" max="3" width="11.26953125" style="132" bestFit="1" customWidth="1"/>
    <col min="4" max="4" width="9.90625" style="132" bestFit="1" customWidth="1"/>
    <col min="5" max="5" width="26.7265625" style="132" customWidth="1"/>
    <col min="6" max="6" width="9.36328125" style="132" bestFit="1" customWidth="1"/>
    <col min="7" max="7" width="11.54296875" style="132" customWidth="1"/>
    <col min="8" max="8" width="9.90625" style="132" customWidth="1"/>
    <col min="9" max="9" width="21.26953125" style="132" customWidth="1"/>
    <col min="10" max="10" width="12.26953125" style="132" customWidth="1"/>
    <col min="11" max="11" width="8.26953125" style="132" customWidth="1"/>
    <col min="12" max="12" width="18.7265625" style="132" bestFit="1" customWidth="1"/>
    <col min="13" max="14" width="9.36328125" style="132" bestFit="1" customWidth="1"/>
    <col min="15" max="15" width="5.81640625" style="132" customWidth="1"/>
    <col min="16" max="16" width="8.36328125" style="132" bestFit="1" customWidth="1"/>
    <col min="17" max="17" width="6.36328125" style="132" hidden="1" customWidth="1"/>
    <col min="18" max="19" width="8.7265625" style="132" hidden="1" customWidth="1"/>
    <col min="20" max="16384" width="8.7265625" style="132"/>
  </cols>
  <sheetData>
    <row r="1" spans="1:21" ht="18.5" x14ac:dyDescent="0.45">
      <c r="A1" s="562" t="s">
        <v>1340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132" t="s">
        <v>1339</v>
      </c>
    </row>
    <row r="2" spans="1:21" ht="70" x14ac:dyDescent="0.35">
      <c r="A2" s="175" t="s">
        <v>1338</v>
      </c>
      <c r="B2" s="175" t="s">
        <v>1329</v>
      </c>
      <c r="C2" s="172" t="s">
        <v>1337</v>
      </c>
      <c r="D2" s="172" t="s">
        <v>1336</v>
      </c>
      <c r="E2" s="172" t="s">
        <v>1335</v>
      </c>
      <c r="F2" s="172" t="s">
        <v>1334</v>
      </c>
      <c r="G2" s="174" t="s">
        <v>1333</v>
      </c>
      <c r="H2" s="174" t="s">
        <v>1332</v>
      </c>
      <c r="I2" s="173" t="s">
        <v>1331</v>
      </c>
      <c r="J2" s="170" t="s">
        <v>1330</v>
      </c>
      <c r="K2" s="172" t="s">
        <v>1329</v>
      </c>
      <c r="L2" s="171" t="s">
        <v>1328</v>
      </c>
      <c r="M2" s="170" t="s">
        <v>1327</v>
      </c>
      <c r="N2" s="169" t="s">
        <v>1326</v>
      </c>
      <c r="O2" s="563" t="s">
        <v>1325</v>
      </c>
      <c r="P2" s="564"/>
      <c r="Q2" s="564"/>
      <c r="R2" s="564"/>
      <c r="S2" s="564"/>
      <c r="T2" s="564"/>
      <c r="U2" s="564"/>
    </row>
    <row r="3" spans="1:21" x14ac:dyDescent="0.35">
      <c r="A3" s="146">
        <v>1</v>
      </c>
      <c r="B3" s="143">
        <v>45413</v>
      </c>
      <c r="C3" s="133" t="s">
        <v>1324</v>
      </c>
      <c r="D3" s="133" t="s">
        <v>1323</v>
      </c>
      <c r="E3" s="145" t="s">
        <v>1184</v>
      </c>
      <c r="F3" s="145">
        <v>4000</v>
      </c>
      <c r="G3" s="133" t="s">
        <v>1094</v>
      </c>
      <c r="H3" s="144" t="s">
        <v>1093</v>
      </c>
      <c r="I3" s="133" t="s">
        <v>1092</v>
      </c>
      <c r="J3" s="133" t="s">
        <v>1320</v>
      </c>
      <c r="K3" s="143">
        <v>45444</v>
      </c>
      <c r="L3" s="133" t="s">
        <v>1092</v>
      </c>
      <c r="M3" s="142">
        <v>4000</v>
      </c>
      <c r="N3" s="142">
        <f>+F3-M3</f>
        <v>0</v>
      </c>
      <c r="O3" s="141"/>
      <c r="P3" s="140"/>
    </row>
    <row r="4" spans="1:21" x14ac:dyDescent="0.35">
      <c r="A4" s="146"/>
      <c r="B4" s="143"/>
      <c r="C4" s="133"/>
      <c r="D4" s="133"/>
      <c r="E4" s="145"/>
      <c r="F4" s="145"/>
      <c r="G4" s="133"/>
      <c r="H4" s="144"/>
      <c r="I4" s="133"/>
      <c r="J4" s="133"/>
      <c r="K4" s="143"/>
      <c r="L4" s="133"/>
      <c r="M4" s="142"/>
      <c r="N4" s="142"/>
      <c r="O4" s="141"/>
      <c r="P4" s="140"/>
    </row>
    <row r="5" spans="1:21" x14ac:dyDescent="0.35">
      <c r="A5" s="156"/>
      <c r="B5" s="152"/>
      <c r="C5" s="151"/>
      <c r="D5" s="151"/>
      <c r="E5" s="154"/>
      <c r="F5" s="154"/>
      <c r="G5" s="151"/>
      <c r="H5" s="153"/>
      <c r="I5" s="151"/>
      <c r="J5" s="151"/>
      <c r="K5" s="152"/>
      <c r="L5" s="151"/>
      <c r="M5" s="150"/>
      <c r="N5" s="150"/>
      <c r="O5" s="141"/>
      <c r="P5" s="140"/>
    </row>
    <row r="6" spans="1:21" x14ac:dyDescent="0.35">
      <c r="A6" s="146"/>
      <c r="B6" s="143"/>
      <c r="C6" s="133"/>
      <c r="D6" s="133"/>
      <c r="E6" s="145"/>
      <c r="F6" s="145"/>
      <c r="G6" s="133"/>
      <c r="H6" s="144"/>
      <c r="I6" s="133"/>
      <c r="J6" s="133"/>
      <c r="K6" s="143"/>
      <c r="L6" s="133"/>
      <c r="M6" s="142"/>
      <c r="N6" s="142"/>
      <c r="P6" s="140"/>
    </row>
    <row r="7" spans="1:21" x14ac:dyDescent="0.35">
      <c r="A7" s="146">
        <v>2</v>
      </c>
      <c r="B7" s="143">
        <v>45444</v>
      </c>
      <c r="C7" s="133" t="s">
        <v>1322</v>
      </c>
      <c r="D7" s="133" t="s">
        <v>1321</v>
      </c>
      <c r="E7" s="148" t="s">
        <v>1059</v>
      </c>
      <c r="F7" s="145">
        <v>74250</v>
      </c>
      <c r="G7" s="133" t="s">
        <v>1094</v>
      </c>
      <c r="H7" s="144" t="s">
        <v>1093</v>
      </c>
      <c r="I7" s="133" t="s">
        <v>1092</v>
      </c>
      <c r="J7" s="133" t="s">
        <v>1320</v>
      </c>
      <c r="K7" s="143">
        <v>45444</v>
      </c>
      <c r="L7" s="133" t="s">
        <v>1092</v>
      </c>
      <c r="M7" s="142">
        <v>14819.3</v>
      </c>
      <c r="N7" s="147">
        <f>+F7-M7-M8-M9-M10-M11-M12</f>
        <v>0</v>
      </c>
      <c r="O7" s="141"/>
      <c r="P7" s="140"/>
    </row>
    <row r="8" spans="1:21" x14ac:dyDescent="0.35">
      <c r="A8" s="146"/>
      <c r="B8" s="143"/>
      <c r="C8" s="133"/>
      <c r="D8" s="133"/>
      <c r="E8" s="148"/>
      <c r="F8" s="145"/>
      <c r="G8" s="133" t="s">
        <v>1094</v>
      </c>
      <c r="H8" s="144" t="s">
        <v>1093</v>
      </c>
      <c r="I8" s="133" t="s">
        <v>1092</v>
      </c>
      <c r="J8" s="133" t="s">
        <v>1316</v>
      </c>
      <c r="K8" s="143">
        <v>45444</v>
      </c>
      <c r="L8" s="133" t="s">
        <v>1092</v>
      </c>
      <c r="M8" s="142">
        <v>17461</v>
      </c>
      <c r="N8" s="147"/>
      <c r="O8" s="141"/>
      <c r="P8" s="140"/>
    </row>
    <row r="9" spans="1:21" x14ac:dyDescent="0.35">
      <c r="A9" s="146"/>
      <c r="B9" s="143"/>
      <c r="C9" s="133"/>
      <c r="D9" s="133"/>
      <c r="E9" s="148"/>
      <c r="F9" s="145"/>
      <c r="G9" s="133" t="s">
        <v>1094</v>
      </c>
      <c r="H9" s="144" t="s">
        <v>1093</v>
      </c>
      <c r="I9" s="133" t="s">
        <v>1092</v>
      </c>
      <c r="J9" s="133" t="s">
        <v>1309</v>
      </c>
      <c r="K9" s="143">
        <v>45474</v>
      </c>
      <c r="L9" s="133" t="s">
        <v>1092</v>
      </c>
      <c r="M9" s="142">
        <v>8934.2000000000007</v>
      </c>
      <c r="N9" s="147"/>
      <c r="O9" s="141"/>
      <c r="P9" s="140"/>
    </row>
    <row r="10" spans="1:21" x14ac:dyDescent="0.35">
      <c r="A10" s="146"/>
      <c r="B10" s="143"/>
      <c r="C10" s="133"/>
      <c r="D10" s="133"/>
      <c r="E10" s="148"/>
      <c r="F10" s="145"/>
      <c r="G10" s="133" t="s">
        <v>1094</v>
      </c>
      <c r="H10" s="144" t="s">
        <v>1093</v>
      </c>
      <c r="I10" s="133" t="s">
        <v>1092</v>
      </c>
      <c r="J10" s="133" t="s">
        <v>1308</v>
      </c>
      <c r="K10" s="143">
        <v>45474</v>
      </c>
      <c r="L10" s="133" t="s">
        <v>1092</v>
      </c>
      <c r="M10" s="142">
        <v>7904.1</v>
      </c>
      <c r="N10" s="147"/>
      <c r="O10" s="141"/>
      <c r="P10" s="140"/>
    </row>
    <row r="11" spans="1:21" x14ac:dyDescent="0.35">
      <c r="A11" s="146"/>
      <c r="B11" s="143"/>
      <c r="C11" s="133"/>
      <c r="D11" s="133"/>
      <c r="E11" s="148"/>
      <c r="F11" s="145"/>
      <c r="G11" s="133" t="s">
        <v>1094</v>
      </c>
      <c r="H11" s="144" t="s">
        <v>1093</v>
      </c>
      <c r="I11" s="133" t="s">
        <v>1092</v>
      </c>
      <c r="J11" s="133" t="s">
        <v>1307</v>
      </c>
      <c r="K11" s="143">
        <v>45505</v>
      </c>
      <c r="L11" s="133" t="s">
        <v>1092</v>
      </c>
      <c r="M11" s="142">
        <v>23645.4</v>
      </c>
      <c r="N11" s="147"/>
      <c r="O11" s="141"/>
      <c r="P11" s="140"/>
    </row>
    <row r="12" spans="1:21" x14ac:dyDescent="0.35">
      <c r="A12" s="146"/>
      <c r="B12" s="143"/>
      <c r="C12" s="133"/>
      <c r="D12" s="133"/>
      <c r="E12" s="148"/>
      <c r="F12" s="145"/>
      <c r="G12" s="133" t="s">
        <v>1094</v>
      </c>
      <c r="H12" s="144" t="s">
        <v>1093</v>
      </c>
      <c r="I12" s="133" t="s">
        <v>1092</v>
      </c>
      <c r="J12" s="133" t="s">
        <v>1277</v>
      </c>
      <c r="K12" s="143">
        <v>45536</v>
      </c>
      <c r="L12" s="133" t="s">
        <v>1241</v>
      </c>
      <c r="M12" s="142">
        <v>1486</v>
      </c>
      <c r="N12" s="147"/>
      <c r="O12" s="141"/>
      <c r="P12" s="140"/>
    </row>
    <row r="13" spans="1:21" x14ac:dyDescent="0.35">
      <c r="A13" s="146"/>
      <c r="B13" s="143"/>
      <c r="C13" s="133"/>
      <c r="D13" s="133"/>
      <c r="E13" s="145"/>
      <c r="F13" s="145"/>
      <c r="G13" s="133"/>
      <c r="H13" s="144"/>
      <c r="I13" s="133"/>
      <c r="J13" s="133"/>
      <c r="K13" s="143"/>
      <c r="L13" s="133"/>
      <c r="M13" s="142"/>
      <c r="N13" s="147"/>
      <c r="P13" s="140"/>
    </row>
    <row r="14" spans="1:21" x14ac:dyDescent="0.35">
      <c r="A14" s="146">
        <v>3</v>
      </c>
      <c r="B14" s="143">
        <v>45444</v>
      </c>
      <c r="C14" s="133" t="s">
        <v>1319</v>
      </c>
      <c r="D14" s="133" t="s">
        <v>1317</v>
      </c>
      <c r="E14" s="148" t="s">
        <v>1059</v>
      </c>
      <c r="F14" s="145">
        <v>35000</v>
      </c>
      <c r="G14" s="133" t="s">
        <v>1094</v>
      </c>
      <c r="H14" s="144" t="s">
        <v>1093</v>
      </c>
      <c r="I14" s="133" t="s">
        <v>1092</v>
      </c>
      <c r="J14" s="133" t="s">
        <v>1290</v>
      </c>
      <c r="K14" s="143">
        <v>45505</v>
      </c>
      <c r="L14" s="133" t="s">
        <v>1092</v>
      </c>
      <c r="M14" s="142">
        <v>34302</v>
      </c>
      <c r="N14" s="147">
        <f>+F14-M14-M15</f>
        <v>0</v>
      </c>
      <c r="O14" s="141"/>
      <c r="P14" s="140"/>
    </row>
    <row r="15" spans="1:21" x14ac:dyDescent="0.35">
      <c r="A15" s="146"/>
      <c r="B15" s="143"/>
      <c r="C15" s="133"/>
      <c r="D15" s="133"/>
      <c r="E15" s="148"/>
      <c r="F15" s="145"/>
      <c r="G15" s="133" t="s">
        <v>1094</v>
      </c>
      <c r="H15" s="144" t="s">
        <v>1093</v>
      </c>
      <c r="I15" s="133" t="s">
        <v>1092</v>
      </c>
      <c r="J15" s="133" t="s">
        <v>1277</v>
      </c>
      <c r="K15" s="143">
        <v>45536</v>
      </c>
      <c r="L15" s="133" t="s">
        <v>1241</v>
      </c>
      <c r="M15" s="142">
        <v>698</v>
      </c>
      <c r="N15" s="147"/>
      <c r="O15" s="141"/>
      <c r="P15" s="140"/>
    </row>
    <row r="16" spans="1:21" x14ac:dyDescent="0.35">
      <c r="A16" s="146"/>
      <c r="B16" s="143"/>
      <c r="C16" s="133"/>
      <c r="D16" s="133"/>
      <c r="E16" s="145"/>
      <c r="F16" s="145"/>
      <c r="G16" s="133"/>
      <c r="H16" s="144"/>
      <c r="I16" s="133"/>
      <c r="J16" s="133"/>
      <c r="K16" s="143"/>
      <c r="L16" s="133"/>
      <c r="M16" s="142"/>
      <c r="N16" s="147"/>
      <c r="P16" s="140"/>
    </row>
    <row r="17" spans="1:16" x14ac:dyDescent="0.35">
      <c r="A17" s="146">
        <v>4</v>
      </c>
      <c r="B17" s="143">
        <v>45444</v>
      </c>
      <c r="C17" s="133" t="s">
        <v>1318</v>
      </c>
      <c r="D17" s="133" t="s">
        <v>1317</v>
      </c>
      <c r="E17" s="145" t="s">
        <v>1184</v>
      </c>
      <c r="F17" s="145">
        <v>1500</v>
      </c>
      <c r="G17" s="133" t="s">
        <v>1094</v>
      </c>
      <c r="H17" s="144" t="s">
        <v>1093</v>
      </c>
      <c r="I17" s="133" t="s">
        <v>1092</v>
      </c>
      <c r="J17" s="133" t="s">
        <v>1316</v>
      </c>
      <c r="K17" s="143">
        <v>45444</v>
      </c>
      <c r="L17" s="133" t="s">
        <v>1092</v>
      </c>
      <c r="M17" s="142">
        <v>1500</v>
      </c>
      <c r="N17" s="147">
        <f>+F17-M17</f>
        <v>0</v>
      </c>
      <c r="O17" s="141"/>
      <c r="P17" s="140"/>
    </row>
    <row r="18" spans="1:16" x14ac:dyDescent="0.35">
      <c r="A18" s="146"/>
      <c r="B18" s="143"/>
      <c r="C18" s="133"/>
      <c r="D18" s="133"/>
      <c r="E18" s="145"/>
      <c r="F18" s="145"/>
      <c r="G18" s="133"/>
      <c r="H18" s="144"/>
      <c r="I18" s="133"/>
      <c r="J18" s="133"/>
      <c r="K18" s="143"/>
      <c r="L18" s="133"/>
      <c r="M18" s="142"/>
      <c r="N18" s="147"/>
      <c r="O18" s="141"/>
      <c r="P18" s="140"/>
    </row>
    <row r="19" spans="1:16" x14ac:dyDescent="0.35">
      <c r="A19" s="146">
        <v>5</v>
      </c>
      <c r="B19" s="143">
        <v>45444</v>
      </c>
      <c r="C19" s="133" t="s">
        <v>1315</v>
      </c>
      <c r="D19" s="133" t="s">
        <v>1313</v>
      </c>
      <c r="E19" s="148" t="s">
        <v>1059</v>
      </c>
      <c r="F19" s="145">
        <v>35000</v>
      </c>
      <c r="G19" s="133" t="s">
        <v>1094</v>
      </c>
      <c r="H19" s="144" t="s">
        <v>1093</v>
      </c>
      <c r="I19" s="133" t="s">
        <v>1092</v>
      </c>
      <c r="J19" s="133" t="s">
        <v>1307</v>
      </c>
      <c r="K19" s="143">
        <v>45505</v>
      </c>
      <c r="L19" s="133" t="s">
        <v>1092</v>
      </c>
      <c r="M19" s="142">
        <v>15916.9</v>
      </c>
      <c r="N19" s="147">
        <f>+F19-M19-M20-M21</f>
        <v>0</v>
      </c>
      <c r="O19" s="141"/>
      <c r="P19" s="140"/>
    </row>
    <row r="20" spans="1:16" x14ac:dyDescent="0.35">
      <c r="A20" s="146"/>
      <c r="B20" s="143"/>
      <c r="C20" s="133"/>
      <c r="D20" s="133"/>
      <c r="E20" s="148"/>
      <c r="F20" s="145"/>
      <c r="G20" s="133" t="s">
        <v>1094</v>
      </c>
      <c r="H20" s="144" t="s">
        <v>1093</v>
      </c>
      <c r="I20" s="133" t="s">
        <v>1092</v>
      </c>
      <c r="J20" s="133" t="s">
        <v>1290</v>
      </c>
      <c r="K20" s="143">
        <v>45505</v>
      </c>
      <c r="L20" s="133" t="s">
        <v>1092</v>
      </c>
      <c r="M20" s="142">
        <v>18381.099999999999</v>
      </c>
      <c r="N20" s="168"/>
      <c r="O20" s="141"/>
      <c r="P20" s="140"/>
    </row>
    <row r="21" spans="1:16" x14ac:dyDescent="0.35">
      <c r="A21" s="146"/>
      <c r="B21" s="143"/>
      <c r="C21" s="133"/>
      <c r="D21" s="133"/>
      <c r="E21" s="148"/>
      <c r="F21" s="145"/>
      <c r="G21" s="133" t="s">
        <v>1094</v>
      </c>
      <c r="H21" s="144" t="s">
        <v>1093</v>
      </c>
      <c r="I21" s="133" t="s">
        <v>1092</v>
      </c>
      <c r="J21" s="133" t="s">
        <v>1277</v>
      </c>
      <c r="K21" s="143">
        <v>45536</v>
      </c>
      <c r="L21" s="133" t="s">
        <v>1241</v>
      </c>
      <c r="M21" s="142">
        <v>702</v>
      </c>
      <c r="N21" s="168"/>
      <c r="O21" s="141"/>
      <c r="P21" s="140"/>
    </row>
    <row r="22" spans="1:16" x14ac:dyDescent="0.35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68"/>
    </row>
    <row r="23" spans="1:16" x14ac:dyDescent="0.35">
      <c r="A23" s="146">
        <v>6</v>
      </c>
      <c r="B23" s="143">
        <v>45444</v>
      </c>
      <c r="C23" s="133" t="s">
        <v>1314</v>
      </c>
      <c r="D23" s="133" t="s">
        <v>1313</v>
      </c>
      <c r="E23" s="145" t="s">
        <v>1184</v>
      </c>
      <c r="F23" s="145">
        <v>10000</v>
      </c>
      <c r="G23" s="133" t="s">
        <v>1094</v>
      </c>
      <c r="H23" s="144" t="s">
        <v>1093</v>
      </c>
      <c r="I23" s="133" t="s">
        <v>1092</v>
      </c>
      <c r="J23" s="133" t="s">
        <v>1309</v>
      </c>
      <c r="K23" s="143">
        <v>45474</v>
      </c>
      <c r="L23" s="133" t="s">
        <v>1092</v>
      </c>
      <c r="M23" s="142">
        <f>2500+1000+1500</f>
        <v>5000</v>
      </c>
      <c r="N23" s="147">
        <f>+F23+F24+F25-M23-M24</f>
        <v>0</v>
      </c>
      <c r="O23" s="141"/>
      <c r="P23" s="140"/>
    </row>
    <row r="24" spans="1:16" x14ac:dyDescent="0.35">
      <c r="A24" s="133"/>
      <c r="B24" s="133"/>
      <c r="C24" s="133"/>
      <c r="D24" s="133"/>
      <c r="E24" s="145" t="s">
        <v>46</v>
      </c>
      <c r="F24" s="133">
        <v>2500</v>
      </c>
      <c r="G24" s="133" t="s">
        <v>1094</v>
      </c>
      <c r="H24" s="144" t="s">
        <v>1093</v>
      </c>
      <c r="I24" s="133" t="s">
        <v>1092</v>
      </c>
      <c r="J24" s="133" t="s">
        <v>1308</v>
      </c>
      <c r="K24" s="143">
        <v>45474</v>
      </c>
      <c r="L24" s="133" t="s">
        <v>1092</v>
      </c>
      <c r="M24" s="133">
        <v>11500</v>
      </c>
      <c r="N24" s="168"/>
    </row>
    <row r="25" spans="1:16" x14ac:dyDescent="0.35">
      <c r="A25" s="133"/>
      <c r="B25" s="133"/>
      <c r="C25" s="133"/>
      <c r="D25" s="133"/>
      <c r="E25" s="145" t="s">
        <v>55</v>
      </c>
      <c r="F25" s="133">
        <v>4000</v>
      </c>
      <c r="G25" s="133"/>
      <c r="H25" s="133"/>
      <c r="I25" s="133"/>
      <c r="J25" s="133"/>
      <c r="K25" s="133"/>
      <c r="L25" s="133"/>
      <c r="M25" s="133"/>
      <c r="N25" s="168"/>
    </row>
    <row r="26" spans="1:16" x14ac:dyDescent="0.35">
      <c r="A26" s="133"/>
      <c r="B26" s="133"/>
      <c r="C26" s="133"/>
      <c r="D26" s="133"/>
      <c r="E26" s="145"/>
      <c r="F26" s="133"/>
      <c r="G26" s="133"/>
      <c r="H26" s="133"/>
      <c r="I26" s="133"/>
      <c r="J26" s="133"/>
      <c r="K26" s="133"/>
      <c r="L26" s="133"/>
      <c r="M26" s="133"/>
      <c r="N26" s="168"/>
    </row>
    <row r="27" spans="1:16" x14ac:dyDescent="0.35">
      <c r="A27" s="146">
        <v>7</v>
      </c>
      <c r="B27" s="143">
        <v>45444</v>
      </c>
      <c r="C27" s="133" t="s">
        <v>1312</v>
      </c>
      <c r="D27" s="133" t="s">
        <v>1310</v>
      </c>
      <c r="E27" s="145" t="s">
        <v>1112</v>
      </c>
      <c r="F27" s="145">
        <v>384.69999999937136</v>
      </c>
      <c r="G27" s="133" t="s">
        <v>1094</v>
      </c>
      <c r="H27" s="144" t="s">
        <v>1093</v>
      </c>
      <c r="I27" s="133" t="s">
        <v>1092</v>
      </c>
      <c r="J27" s="133" t="s">
        <v>1309</v>
      </c>
      <c r="K27" s="143">
        <v>45474</v>
      </c>
      <c r="L27" s="133" t="s">
        <v>1092</v>
      </c>
      <c r="M27" s="142">
        <v>384.69999999937136</v>
      </c>
      <c r="N27" s="147">
        <f>+F27-M27</f>
        <v>0</v>
      </c>
      <c r="O27" s="141"/>
      <c r="P27" s="140"/>
    </row>
    <row r="28" spans="1:16" x14ac:dyDescent="0.35">
      <c r="A28" s="133"/>
      <c r="B28" s="133"/>
      <c r="C28" s="133"/>
      <c r="D28" s="133"/>
      <c r="E28" s="145"/>
      <c r="F28" s="133"/>
      <c r="G28" s="133"/>
      <c r="H28" s="133"/>
      <c r="I28" s="133"/>
      <c r="J28" s="133"/>
      <c r="K28" s="133"/>
      <c r="L28" s="133"/>
      <c r="M28" s="133"/>
      <c r="N28" s="168"/>
    </row>
    <row r="29" spans="1:16" x14ac:dyDescent="0.35">
      <c r="A29" s="146">
        <v>8</v>
      </c>
      <c r="B29" s="143">
        <v>45444</v>
      </c>
      <c r="C29" s="133" t="s">
        <v>1311</v>
      </c>
      <c r="D29" s="133" t="s">
        <v>1310</v>
      </c>
      <c r="E29" s="145" t="s">
        <v>1118</v>
      </c>
      <c r="F29" s="145">
        <v>258.7</v>
      </c>
      <c r="G29" s="133" t="s">
        <v>1094</v>
      </c>
      <c r="H29" s="144" t="s">
        <v>1093</v>
      </c>
      <c r="I29" s="133" t="s">
        <v>1092</v>
      </c>
      <c r="J29" s="133" t="s">
        <v>1309</v>
      </c>
      <c r="K29" s="143">
        <v>45474</v>
      </c>
      <c r="L29" s="133" t="s">
        <v>1092</v>
      </c>
      <c r="M29" s="142">
        <v>158.69999999999999</v>
      </c>
      <c r="N29" s="147">
        <f>+F29+F30-M29-M30-M31-M32-M33</f>
        <v>0</v>
      </c>
      <c r="O29" s="141"/>
      <c r="P29" s="140"/>
    </row>
    <row r="30" spans="1:16" x14ac:dyDescent="0.35">
      <c r="A30" s="133"/>
      <c r="B30" s="133"/>
      <c r="C30" s="133"/>
      <c r="D30" s="133"/>
      <c r="E30" s="148" t="s">
        <v>1059</v>
      </c>
      <c r="F30" s="133">
        <v>3000</v>
      </c>
      <c r="G30" s="133" t="s">
        <v>1094</v>
      </c>
      <c r="H30" s="144" t="s">
        <v>1093</v>
      </c>
      <c r="I30" s="133" t="s">
        <v>1092</v>
      </c>
      <c r="J30" s="133" t="s">
        <v>1308</v>
      </c>
      <c r="K30" s="143">
        <v>45474</v>
      </c>
      <c r="L30" s="133" t="s">
        <v>1092</v>
      </c>
      <c r="M30" s="133">
        <v>50</v>
      </c>
      <c r="N30" s="168"/>
    </row>
    <row r="31" spans="1:16" x14ac:dyDescent="0.35">
      <c r="A31" s="133"/>
      <c r="B31" s="133"/>
      <c r="C31" s="133"/>
      <c r="D31" s="133"/>
      <c r="E31" s="145"/>
      <c r="F31" s="133"/>
      <c r="G31" s="133" t="s">
        <v>1094</v>
      </c>
      <c r="H31" s="144" t="s">
        <v>1093</v>
      </c>
      <c r="I31" s="133" t="s">
        <v>1092</v>
      </c>
      <c r="J31" s="133" t="s">
        <v>1307</v>
      </c>
      <c r="K31" s="143">
        <v>45505</v>
      </c>
      <c r="L31" s="133" t="s">
        <v>1092</v>
      </c>
      <c r="M31" s="133">
        <v>50</v>
      </c>
      <c r="N31" s="168"/>
    </row>
    <row r="32" spans="1:16" x14ac:dyDescent="0.35">
      <c r="A32" s="133"/>
      <c r="B32" s="133"/>
      <c r="C32" s="133"/>
      <c r="D32" s="133"/>
      <c r="E32" s="145"/>
      <c r="F32" s="133"/>
      <c r="G32" s="133" t="s">
        <v>1094</v>
      </c>
      <c r="H32" s="144" t="s">
        <v>1093</v>
      </c>
      <c r="I32" s="133" t="s">
        <v>1092</v>
      </c>
      <c r="J32" s="133" t="s">
        <v>1290</v>
      </c>
      <c r="K32" s="143">
        <v>45505</v>
      </c>
      <c r="L32" s="133" t="s">
        <v>1092</v>
      </c>
      <c r="M32" s="133">
        <v>2933</v>
      </c>
      <c r="N32" s="168"/>
    </row>
    <row r="33" spans="1:16" x14ac:dyDescent="0.35">
      <c r="A33" s="133"/>
      <c r="B33" s="133"/>
      <c r="C33" s="133"/>
      <c r="D33" s="133"/>
      <c r="E33" s="145"/>
      <c r="F33" s="133"/>
      <c r="G33" s="133" t="s">
        <v>1094</v>
      </c>
      <c r="H33" s="144" t="s">
        <v>1093</v>
      </c>
      <c r="I33" s="133" t="s">
        <v>1092</v>
      </c>
      <c r="J33" s="133" t="s">
        <v>1277</v>
      </c>
      <c r="K33" s="143">
        <v>45536</v>
      </c>
      <c r="L33" s="133" t="s">
        <v>1241</v>
      </c>
      <c r="M33" s="133">
        <v>67</v>
      </c>
      <c r="N33" s="168"/>
    </row>
    <row r="34" spans="1:16" x14ac:dyDescent="0.35">
      <c r="A34" s="133"/>
      <c r="B34" s="133"/>
      <c r="C34" s="133"/>
      <c r="D34" s="133"/>
      <c r="E34" s="145"/>
      <c r="F34" s="133"/>
      <c r="G34" s="133"/>
      <c r="H34" s="133"/>
      <c r="I34" s="133"/>
      <c r="J34" s="133"/>
      <c r="K34" s="143"/>
      <c r="L34" s="133"/>
      <c r="M34" s="133"/>
      <c r="N34" s="168"/>
    </row>
    <row r="35" spans="1:16" x14ac:dyDescent="0.35">
      <c r="A35" s="146">
        <v>9</v>
      </c>
      <c r="B35" s="143">
        <v>45444</v>
      </c>
      <c r="C35" s="133" t="s">
        <v>1306</v>
      </c>
      <c r="D35" s="133" t="s">
        <v>1305</v>
      </c>
      <c r="E35" s="148" t="s">
        <v>1059</v>
      </c>
      <c r="F35" s="145">
        <v>7000</v>
      </c>
      <c r="G35" s="133" t="s">
        <v>1094</v>
      </c>
      <c r="H35" s="144" t="s">
        <v>1093</v>
      </c>
      <c r="I35" s="133" t="s">
        <v>1092</v>
      </c>
      <c r="J35" s="133" t="s">
        <v>1289</v>
      </c>
      <c r="K35" s="143">
        <v>45505</v>
      </c>
      <c r="L35" s="133" t="s">
        <v>1092</v>
      </c>
      <c r="M35" s="142">
        <v>7000</v>
      </c>
      <c r="N35" s="147">
        <f>+F35-M35</f>
        <v>0</v>
      </c>
      <c r="O35" s="141"/>
      <c r="P35" s="140"/>
    </row>
    <row r="36" spans="1:16" x14ac:dyDescent="0.35">
      <c r="A36" s="146"/>
      <c r="B36" s="143"/>
      <c r="C36" s="133"/>
      <c r="D36" s="133"/>
      <c r="E36" s="148"/>
      <c r="F36" s="145"/>
      <c r="G36" s="133"/>
      <c r="H36" s="144"/>
      <c r="I36" s="133"/>
      <c r="J36" s="133"/>
      <c r="K36" s="143"/>
      <c r="L36" s="133"/>
      <c r="M36" s="142"/>
      <c r="N36" s="147"/>
      <c r="O36" s="141"/>
      <c r="P36" s="140"/>
    </row>
    <row r="37" spans="1:16" x14ac:dyDescent="0.35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68"/>
    </row>
    <row r="38" spans="1:16" x14ac:dyDescent="0.35">
      <c r="A38" s="146">
        <v>10</v>
      </c>
      <c r="B38" s="143">
        <v>45444</v>
      </c>
      <c r="C38" s="133" t="s">
        <v>1304</v>
      </c>
      <c r="D38" s="133" t="s">
        <v>1303</v>
      </c>
      <c r="E38" s="148" t="s">
        <v>1059</v>
      </c>
      <c r="F38" s="145">
        <v>20000</v>
      </c>
      <c r="G38" s="133" t="s">
        <v>1094</v>
      </c>
      <c r="H38" s="144" t="s">
        <v>1093</v>
      </c>
      <c r="I38" s="133" t="s">
        <v>1092</v>
      </c>
      <c r="J38" s="133" t="s">
        <v>1289</v>
      </c>
      <c r="K38" s="143">
        <v>45505</v>
      </c>
      <c r="L38" s="133" t="s">
        <v>1092</v>
      </c>
      <c r="M38" s="142">
        <v>8820.2000000000007</v>
      </c>
      <c r="N38" s="147">
        <f>+F38-M38-M39-M40</f>
        <v>0</v>
      </c>
      <c r="O38" s="141"/>
      <c r="P38" s="140"/>
    </row>
    <row r="39" spans="1:16" x14ac:dyDescent="0.35">
      <c r="A39" s="146"/>
      <c r="B39" s="143"/>
      <c r="C39" s="133"/>
      <c r="D39" s="133"/>
      <c r="E39" s="148"/>
      <c r="F39" s="145"/>
      <c r="G39" s="133" t="s">
        <v>1094</v>
      </c>
      <c r="H39" s="144" t="s">
        <v>1093</v>
      </c>
      <c r="I39" s="133" t="s">
        <v>1092</v>
      </c>
      <c r="J39" s="133" t="s">
        <v>1287</v>
      </c>
      <c r="K39" s="143">
        <v>45505</v>
      </c>
      <c r="L39" s="133" t="s">
        <v>1092</v>
      </c>
      <c r="M39" s="142">
        <v>10781.8</v>
      </c>
      <c r="N39" s="147"/>
      <c r="O39" s="141"/>
      <c r="P39" s="140"/>
    </row>
    <row r="40" spans="1:16" x14ac:dyDescent="0.35">
      <c r="A40" s="146"/>
      <c r="B40" s="143"/>
      <c r="C40" s="133"/>
      <c r="D40" s="133"/>
      <c r="E40" s="148"/>
      <c r="F40" s="145"/>
      <c r="G40" s="133" t="s">
        <v>1094</v>
      </c>
      <c r="H40" s="144" t="s">
        <v>1093</v>
      </c>
      <c r="I40" s="133" t="s">
        <v>1092</v>
      </c>
      <c r="J40" s="133" t="s">
        <v>1277</v>
      </c>
      <c r="K40" s="143">
        <v>45536</v>
      </c>
      <c r="L40" s="133" t="s">
        <v>1241</v>
      </c>
      <c r="M40" s="142">
        <v>398</v>
      </c>
      <c r="N40" s="147"/>
      <c r="O40" s="141"/>
      <c r="P40" s="140"/>
    </row>
    <row r="41" spans="1:16" x14ac:dyDescent="0.35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68"/>
    </row>
    <row r="42" spans="1:16" x14ac:dyDescent="0.35">
      <c r="A42" s="146">
        <v>11</v>
      </c>
      <c r="B42" s="143">
        <v>45444</v>
      </c>
      <c r="C42" s="133" t="s">
        <v>1302</v>
      </c>
      <c r="D42" s="133" t="s">
        <v>1301</v>
      </c>
      <c r="E42" s="145" t="s">
        <v>46</v>
      </c>
      <c r="F42" s="145">
        <v>3000</v>
      </c>
      <c r="G42" s="133" t="s">
        <v>1094</v>
      </c>
      <c r="H42" s="144" t="s">
        <v>1093</v>
      </c>
      <c r="I42" s="133" t="s">
        <v>1092</v>
      </c>
      <c r="J42" s="133" t="s">
        <v>1289</v>
      </c>
      <c r="K42" s="143">
        <v>45505</v>
      </c>
      <c r="L42" s="133" t="s">
        <v>1092</v>
      </c>
      <c r="M42" s="142">
        <v>1500</v>
      </c>
      <c r="N42" s="147">
        <f>+F42-M42-M43</f>
        <v>0</v>
      </c>
      <c r="O42" s="141"/>
      <c r="P42" s="140"/>
    </row>
    <row r="43" spans="1:16" x14ac:dyDescent="0.35">
      <c r="A43" s="146"/>
      <c r="B43" s="143"/>
      <c r="C43" s="133"/>
      <c r="D43" s="133"/>
      <c r="E43" s="145"/>
      <c r="F43" s="145"/>
      <c r="G43" s="133" t="s">
        <v>1094</v>
      </c>
      <c r="H43" s="144" t="s">
        <v>1093</v>
      </c>
      <c r="I43" s="133" t="s">
        <v>1092</v>
      </c>
      <c r="J43" s="133" t="s">
        <v>1287</v>
      </c>
      <c r="K43" s="143">
        <v>45505</v>
      </c>
      <c r="L43" s="133" t="s">
        <v>1092</v>
      </c>
      <c r="M43" s="142">
        <v>1500</v>
      </c>
      <c r="N43" s="147"/>
      <c r="O43" s="141"/>
      <c r="P43" s="140"/>
    </row>
    <row r="44" spans="1:16" x14ac:dyDescent="0.35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68"/>
    </row>
    <row r="45" spans="1:16" x14ac:dyDescent="0.35">
      <c r="A45" s="146">
        <v>12</v>
      </c>
      <c r="B45" s="143">
        <v>45444</v>
      </c>
      <c r="C45" s="133" t="s">
        <v>1300</v>
      </c>
      <c r="D45" s="133" t="s">
        <v>1299</v>
      </c>
      <c r="E45" s="148" t="s">
        <v>1059</v>
      </c>
      <c r="F45" s="145">
        <v>10000</v>
      </c>
      <c r="G45" s="133" t="s">
        <v>1094</v>
      </c>
      <c r="H45" s="144" t="s">
        <v>1093</v>
      </c>
      <c r="I45" s="133" t="s">
        <v>1092</v>
      </c>
      <c r="J45" s="133" t="s">
        <v>1287</v>
      </c>
      <c r="K45" s="143">
        <v>45505</v>
      </c>
      <c r="L45" s="133" t="s">
        <v>1092</v>
      </c>
      <c r="M45" s="142">
        <v>9795</v>
      </c>
      <c r="N45" s="147">
        <f>+F45-M45-M46</f>
        <v>0</v>
      </c>
      <c r="O45" s="141"/>
      <c r="P45" s="140"/>
    </row>
    <row r="46" spans="1:16" x14ac:dyDescent="0.35">
      <c r="A46" s="146"/>
      <c r="B46" s="143"/>
      <c r="C46" s="133"/>
      <c r="D46" s="133"/>
      <c r="E46" s="148"/>
      <c r="F46" s="145"/>
      <c r="G46" s="133" t="s">
        <v>1094</v>
      </c>
      <c r="H46" s="144" t="s">
        <v>1093</v>
      </c>
      <c r="I46" s="133" t="s">
        <v>1092</v>
      </c>
      <c r="J46" s="133" t="s">
        <v>1277</v>
      </c>
      <c r="K46" s="143">
        <v>45536</v>
      </c>
      <c r="L46" s="133" t="s">
        <v>1241</v>
      </c>
      <c r="M46" s="142">
        <v>205</v>
      </c>
      <c r="N46" s="147"/>
      <c r="O46" s="141"/>
      <c r="P46" s="140"/>
    </row>
    <row r="47" spans="1:16" x14ac:dyDescent="0.35">
      <c r="A47" s="146"/>
      <c r="B47" s="143"/>
      <c r="C47" s="133"/>
      <c r="D47" s="133"/>
      <c r="E47" s="148"/>
      <c r="F47" s="145"/>
      <c r="G47" s="133"/>
      <c r="H47" s="144"/>
      <c r="I47" s="133"/>
      <c r="J47" s="133"/>
      <c r="K47" s="143"/>
      <c r="L47" s="133"/>
      <c r="M47" s="142"/>
      <c r="N47" s="147"/>
      <c r="O47" s="141"/>
      <c r="P47" s="140"/>
    </row>
    <row r="48" spans="1:16" x14ac:dyDescent="0.35">
      <c r="A48" s="167"/>
      <c r="B48" s="163"/>
      <c r="C48" s="162"/>
      <c r="D48" s="162"/>
      <c r="E48" s="166"/>
      <c r="F48" s="165"/>
      <c r="G48" s="162"/>
      <c r="H48" s="164"/>
      <c r="I48" s="162"/>
      <c r="J48" s="162"/>
      <c r="K48" s="163"/>
      <c r="L48" s="162"/>
      <c r="M48" s="161"/>
      <c r="N48" s="161"/>
      <c r="O48" s="141"/>
      <c r="P48" s="140"/>
    </row>
    <row r="49" spans="1:16" x14ac:dyDescent="0.35">
      <c r="A49" s="146"/>
      <c r="B49" s="143"/>
      <c r="C49" s="133"/>
      <c r="D49" s="133"/>
      <c r="E49" s="148"/>
      <c r="F49" s="145"/>
      <c r="G49" s="133"/>
      <c r="H49" s="144"/>
      <c r="I49" s="133"/>
      <c r="J49" s="133"/>
      <c r="K49" s="143"/>
      <c r="L49" s="133"/>
      <c r="M49" s="142"/>
      <c r="N49" s="147"/>
      <c r="O49" s="141"/>
      <c r="P49" s="140"/>
    </row>
    <row r="50" spans="1:16" x14ac:dyDescent="0.35">
      <c r="A50" s="146">
        <v>13</v>
      </c>
      <c r="B50" s="143">
        <v>45474</v>
      </c>
      <c r="C50" s="133" t="s">
        <v>1298</v>
      </c>
      <c r="D50" s="133" t="s">
        <v>1296</v>
      </c>
      <c r="E50" s="148" t="s">
        <v>1059</v>
      </c>
      <c r="F50" s="145">
        <v>33000</v>
      </c>
      <c r="G50" s="133" t="s">
        <v>1094</v>
      </c>
      <c r="H50" s="144" t="s">
        <v>1093</v>
      </c>
      <c r="I50" s="133" t="s">
        <v>1092</v>
      </c>
      <c r="J50" s="133" t="s">
        <v>1287</v>
      </c>
      <c r="K50" s="143">
        <v>45505</v>
      </c>
      <c r="L50" s="133" t="s">
        <v>1092</v>
      </c>
      <c r="M50" s="142">
        <v>4391.8999999999996</v>
      </c>
      <c r="N50" s="147">
        <f>+F50-M50-M51-M52-M53</f>
        <v>0</v>
      </c>
      <c r="O50" s="141"/>
      <c r="P50" s="140"/>
    </row>
    <row r="51" spans="1:16" x14ac:dyDescent="0.35">
      <c r="A51" s="146"/>
      <c r="B51" s="143"/>
      <c r="C51" s="133"/>
      <c r="D51" s="133"/>
      <c r="E51" s="148"/>
      <c r="F51" s="145"/>
      <c r="G51" s="133" t="s">
        <v>1094</v>
      </c>
      <c r="H51" s="144" t="s">
        <v>1093</v>
      </c>
      <c r="I51" s="133" t="s">
        <v>1092</v>
      </c>
      <c r="J51" s="133" t="s">
        <v>1277</v>
      </c>
      <c r="K51" s="143">
        <v>45536</v>
      </c>
      <c r="L51" s="133" t="s">
        <v>1092</v>
      </c>
      <c r="M51" s="142">
        <v>11141.56</v>
      </c>
      <c r="N51" s="147"/>
      <c r="O51" s="141"/>
      <c r="P51" s="140"/>
    </row>
    <row r="52" spans="1:16" x14ac:dyDescent="0.35">
      <c r="A52" s="146"/>
      <c r="B52" s="143"/>
      <c r="C52" s="133"/>
      <c r="D52" s="133"/>
      <c r="E52" s="148"/>
      <c r="F52" s="145"/>
      <c r="G52" s="133" t="s">
        <v>1094</v>
      </c>
      <c r="H52" s="144" t="s">
        <v>1093</v>
      </c>
      <c r="I52" s="133" t="s">
        <v>1092</v>
      </c>
      <c r="J52" s="133" t="s">
        <v>1277</v>
      </c>
      <c r="K52" s="143">
        <v>45536</v>
      </c>
      <c r="L52" s="133" t="s">
        <v>1241</v>
      </c>
      <c r="M52" s="142">
        <v>661</v>
      </c>
      <c r="N52" s="147"/>
      <c r="O52" s="141"/>
      <c r="P52" s="140"/>
    </row>
    <row r="53" spans="1:16" x14ac:dyDescent="0.35">
      <c r="A53" s="146"/>
      <c r="B53" s="143"/>
      <c r="C53" s="133"/>
      <c r="D53" s="133"/>
      <c r="E53" s="148"/>
      <c r="F53" s="145"/>
      <c r="G53" s="133" t="s">
        <v>1094</v>
      </c>
      <c r="H53" s="144" t="s">
        <v>1093</v>
      </c>
      <c r="I53" s="133" t="s">
        <v>1092</v>
      </c>
      <c r="J53" s="133" t="s">
        <v>1268</v>
      </c>
      <c r="K53" s="143">
        <v>45566</v>
      </c>
      <c r="L53" s="133" t="s">
        <v>1092</v>
      </c>
      <c r="M53" s="142">
        <v>16805.54</v>
      </c>
      <c r="N53" s="147"/>
      <c r="O53" s="141"/>
      <c r="P53" s="140"/>
    </row>
    <row r="54" spans="1:16" x14ac:dyDescent="0.35">
      <c r="A54" s="146"/>
      <c r="B54" s="143"/>
      <c r="C54" s="133"/>
      <c r="D54" s="133"/>
      <c r="E54" s="148"/>
      <c r="F54" s="145"/>
      <c r="G54" s="133"/>
      <c r="H54" s="144"/>
      <c r="I54" s="133"/>
      <c r="J54" s="133"/>
      <c r="K54" s="143"/>
      <c r="L54" s="133"/>
      <c r="M54" s="142"/>
      <c r="N54" s="142"/>
      <c r="O54" s="141"/>
      <c r="P54" s="140"/>
    </row>
    <row r="55" spans="1:16" x14ac:dyDescent="0.35">
      <c r="A55" s="146">
        <v>14</v>
      </c>
      <c r="B55" s="143">
        <v>45474</v>
      </c>
      <c r="C55" s="133" t="s">
        <v>1297</v>
      </c>
      <c r="D55" s="133" t="s">
        <v>1296</v>
      </c>
      <c r="E55" s="145" t="s">
        <v>1184</v>
      </c>
      <c r="F55" s="145">
        <v>16000</v>
      </c>
      <c r="G55" s="133" t="s">
        <v>1094</v>
      </c>
      <c r="H55" s="144" t="s">
        <v>1093</v>
      </c>
      <c r="I55" s="133" t="s">
        <v>1092</v>
      </c>
      <c r="J55" s="133" t="s">
        <v>1287</v>
      </c>
      <c r="K55" s="143">
        <v>45505</v>
      </c>
      <c r="L55" s="133" t="s">
        <v>1092</v>
      </c>
      <c r="M55" s="142">
        <v>7000</v>
      </c>
      <c r="N55" s="147">
        <f>+F55-M55-M56-M57</f>
        <v>0</v>
      </c>
      <c r="O55" s="141"/>
      <c r="P55" s="140"/>
    </row>
    <row r="56" spans="1:16" x14ac:dyDescent="0.35">
      <c r="A56" s="146"/>
      <c r="B56" s="143"/>
      <c r="C56" s="133"/>
      <c r="D56" s="133"/>
      <c r="E56" s="145"/>
      <c r="F56" s="145"/>
      <c r="G56" s="133" t="s">
        <v>1094</v>
      </c>
      <c r="H56" s="144" t="s">
        <v>1093</v>
      </c>
      <c r="I56" s="133" t="s">
        <v>1092</v>
      </c>
      <c r="J56" s="133" t="s">
        <v>1277</v>
      </c>
      <c r="K56" s="143">
        <v>45536</v>
      </c>
      <c r="L56" s="133" t="s">
        <v>1092</v>
      </c>
      <c r="M56" s="142">
        <v>4500</v>
      </c>
      <c r="N56" s="142"/>
      <c r="O56" s="141"/>
      <c r="P56" s="140"/>
    </row>
    <row r="57" spans="1:16" x14ac:dyDescent="0.35">
      <c r="A57" s="146"/>
      <c r="B57" s="143"/>
      <c r="C57" s="133"/>
      <c r="D57" s="133"/>
      <c r="E57" s="145"/>
      <c r="F57" s="145"/>
      <c r="G57" s="133" t="s">
        <v>1094</v>
      </c>
      <c r="H57" s="144" t="s">
        <v>1093</v>
      </c>
      <c r="I57" s="133" t="s">
        <v>1092</v>
      </c>
      <c r="J57" s="133" t="s">
        <v>1199</v>
      </c>
      <c r="K57" s="143">
        <v>45607</v>
      </c>
      <c r="L57" s="133" t="s">
        <v>1092</v>
      </c>
      <c r="M57" s="142">
        <v>4500</v>
      </c>
      <c r="N57" s="147"/>
      <c r="O57" s="141"/>
      <c r="P57" s="140"/>
    </row>
    <row r="58" spans="1:16" x14ac:dyDescent="0.35">
      <c r="A58" s="146"/>
      <c r="B58" s="143"/>
      <c r="C58" s="133"/>
      <c r="D58" s="133"/>
      <c r="E58" s="145"/>
      <c r="F58" s="145"/>
      <c r="G58" s="133"/>
      <c r="H58" s="144"/>
      <c r="I58" s="133"/>
      <c r="J58" s="133"/>
      <c r="K58" s="143"/>
      <c r="L58" s="133"/>
      <c r="M58" s="142"/>
      <c r="N58" s="147"/>
      <c r="O58" s="141"/>
      <c r="P58" s="140"/>
    </row>
    <row r="59" spans="1:16" x14ac:dyDescent="0.35">
      <c r="A59" s="146">
        <v>15</v>
      </c>
      <c r="B59" s="143">
        <v>45474</v>
      </c>
      <c r="C59" s="133" t="s">
        <v>1295</v>
      </c>
      <c r="D59" s="133" t="s">
        <v>1294</v>
      </c>
      <c r="E59" s="145" t="s">
        <v>1112</v>
      </c>
      <c r="F59" s="145">
        <v>199.7</v>
      </c>
      <c r="G59" s="133" t="s">
        <v>1094</v>
      </c>
      <c r="H59" s="144" t="s">
        <v>1093</v>
      </c>
      <c r="I59" s="133" t="s">
        <v>1092</v>
      </c>
      <c r="J59" s="133" t="s">
        <v>1287</v>
      </c>
      <c r="K59" s="143">
        <v>45505</v>
      </c>
      <c r="L59" s="133" t="s">
        <v>1092</v>
      </c>
      <c r="M59" s="142">
        <v>199.7</v>
      </c>
      <c r="N59" s="147">
        <f>+F59-M59</f>
        <v>0</v>
      </c>
      <c r="O59" s="141"/>
      <c r="P59" s="140"/>
    </row>
    <row r="60" spans="1:16" x14ac:dyDescent="0.35">
      <c r="A60" s="146"/>
      <c r="B60" s="143"/>
      <c r="C60" s="133"/>
      <c r="D60" s="133"/>
      <c r="E60" s="148"/>
      <c r="F60" s="145"/>
      <c r="G60" s="133"/>
      <c r="H60" s="144"/>
      <c r="I60" s="133"/>
      <c r="J60" s="133"/>
      <c r="K60" s="143"/>
      <c r="L60" s="133"/>
      <c r="M60" s="142"/>
      <c r="N60" s="147"/>
      <c r="O60" s="141"/>
      <c r="P60" s="140"/>
    </row>
    <row r="61" spans="1:16" x14ac:dyDescent="0.35">
      <c r="A61" s="146">
        <v>16</v>
      </c>
      <c r="B61" s="143">
        <v>45474</v>
      </c>
      <c r="C61" s="133" t="s">
        <v>1293</v>
      </c>
      <c r="D61" s="133" t="s">
        <v>1291</v>
      </c>
      <c r="E61" s="145" t="s">
        <v>1071</v>
      </c>
      <c r="F61" s="145">
        <v>1128</v>
      </c>
      <c r="G61" s="133" t="s">
        <v>1094</v>
      </c>
      <c r="H61" s="144" t="s">
        <v>1093</v>
      </c>
      <c r="I61" s="133" t="s">
        <v>1092</v>
      </c>
      <c r="J61" s="133" t="s">
        <v>1287</v>
      </c>
      <c r="K61" s="143">
        <v>45505</v>
      </c>
      <c r="L61" s="133" t="s">
        <v>1092</v>
      </c>
      <c r="M61" s="142">
        <v>1105</v>
      </c>
      <c r="N61" s="147">
        <f>+F61-M61-M62</f>
        <v>0</v>
      </c>
      <c r="O61" s="141"/>
      <c r="P61" s="140"/>
    </row>
    <row r="62" spans="1:16" x14ac:dyDescent="0.35">
      <c r="A62" s="146"/>
      <c r="B62" s="143"/>
      <c r="C62" s="133"/>
      <c r="D62" s="133"/>
      <c r="E62" s="145"/>
      <c r="F62" s="145"/>
      <c r="G62" s="133" t="s">
        <v>1094</v>
      </c>
      <c r="H62" s="144" t="s">
        <v>1093</v>
      </c>
      <c r="I62" s="133" t="s">
        <v>1092</v>
      </c>
      <c r="J62" s="133" t="s">
        <v>1277</v>
      </c>
      <c r="K62" s="143">
        <v>45536</v>
      </c>
      <c r="L62" s="133" t="s">
        <v>1241</v>
      </c>
      <c r="M62" s="142">
        <v>23</v>
      </c>
      <c r="N62" s="147"/>
      <c r="O62" s="141"/>
      <c r="P62" s="140"/>
    </row>
    <row r="63" spans="1:16" x14ac:dyDescent="0.35">
      <c r="A63" s="146"/>
      <c r="B63" s="143"/>
      <c r="C63" s="133"/>
      <c r="D63" s="133"/>
      <c r="E63" s="148"/>
      <c r="F63" s="145"/>
      <c r="G63" s="133"/>
      <c r="H63" s="144"/>
      <c r="I63" s="133"/>
      <c r="J63" s="133"/>
      <c r="K63" s="143"/>
      <c r="L63" s="133"/>
      <c r="M63" s="142"/>
      <c r="N63" s="147"/>
      <c r="O63" s="141"/>
      <c r="P63" s="140"/>
    </row>
    <row r="64" spans="1:16" x14ac:dyDescent="0.35">
      <c r="A64" s="146">
        <v>17</v>
      </c>
      <c r="B64" s="143">
        <v>45474</v>
      </c>
      <c r="C64" s="133" t="s">
        <v>1292</v>
      </c>
      <c r="D64" s="133" t="s">
        <v>1291</v>
      </c>
      <c r="E64" s="145" t="s">
        <v>1118</v>
      </c>
      <c r="F64" s="145">
        <v>1075</v>
      </c>
      <c r="G64" s="133" t="s">
        <v>1094</v>
      </c>
      <c r="H64" s="144" t="s">
        <v>1093</v>
      </c>
      <c r="I64" s="133" t="s">
        <v>1092</v>
      </c>
      <c r="J64" s="133" t="s">
        <v>1290</v>
      </c>
      <c r="K64" s="143">
        <v>45505</v>
      </c>
      <c r="L64" s="133" t="s">
        <v>1092</v>
      </c>
      <c r="M64" s="142">
        <v>1013.9</v>
      </c>
      <c r="N64" s="147">
        <f>+F64+F65-M64-M65</f>
        <v>0</v>
      </c>
      <c r="O64" s="141"/>
      <c r="P64" s="140"/>
    </row>
    <row r="65" spans="1:16" x14ac:dyDescent="0.35">
      <c r="A65" s="146"/>
      <c r="B65" s="143"/>
      <c r="C65" s="133"/>
      <c r="D65" s="133"/>
      <c r="E65" s="145" t="s">
        <v>1118</v>
      </c>
      <c r="F65" s="145">
        <v>979.7</v>
      </c>
      <c r="G65" s="133" t="s">
        <v>1094</v>
      </c>
      <c r="H65" s="144" t="s">
        <v>1093</v>
      </c>
      <c r="I65" s="133" t="s">
        <v>1092</v>
      </c>
      <c r="J65" s="133" t="s">
        <v>1289</v>
      </c>
      <c r="K65" s="143">
        <v>45505</v>
      </c>
      <c r="L65" s="133" t="s">
        <v>1092</v>
      </c>
      <c r="M65" s="142">
        <v>1040.7999999999997</v>
      </c>
      <c r="N65" s="147"/>
      <c r="O65" s="141"/>
      <c r="P65" s="140"/>
    </row>
    <row r="66" spans="1:16" x14ac:dyDescent="0.35">
      <c r="A66" s="146"/>
      <c r="B66" s="143"/>
      <c r="C66" s="133"/>
      <c r="D66" s="133"/>
      <c r="E66" s="148"/>
      <c r="F66" s="145"/>
      <c r="G66" s="133"/>
      <c r="H66" s="144"/>
      <c r="I66" s="133"/>
      <c r="J66" s="133"/>
      <c r="K66" s="143"/>
      <c r="L66" s="133"/>
      <c r="M66" s="142"/>
      <c r="N66" s="147"/>
      <c r="O66" s="141"/>
      <c r="P66" s="140"/>
    </row>
    <row r="67" spans="1:16" x14ac:dyDescent="0.35">
      <c r="A67" s="146">
        <v>18</v>
      </c>
      <c r="B67" s="143">
        <v>45474</v>
      </c>
      <c r="C67" s="133" t="s">
        <v>1288</v>
      </c>
      <c r="D67" s="133" t="s">
        <v>1285</v>
      </c>
      <c r="E67" s="145" t="s">
        <v>1118</v>
      </c>
      <c r="F67" s="145">
        <v>1150.9000000000001</v>
      </c>
      <c r="G67" s="133" t="s">
        <v>1094</v>
      </c>
      <c r="H67" s="144" t="s">
        <v>1093</v>
      </c>
      <c r="I67" s="133" t="s">
        <v>1092</v>
      </c>
      <c r="J67" s="133" t="s">
        <v>1287</v>
      </c>
      <c r="K67" s="143">
        <v>45505</v>
      </c>
      <c r="L67" s="133" t="s">
        <v>1092</v>
      </c>
      <c r="M67" s="142">
        <v>2190.4</v>
      </c>
      <c r="N67" s="147">
        <f>+F67+F68-M67-M68</f>
        <v>0</v>
      </c>
      <c r="O67" s="141"/>
      <c r="P67" s="140"/>
    </row>
    <row r="68" spans="1:16" x14ac:dyDescent="0.35">
      <c r="A68" s="146"/>
      <c r="B68" s="143"/>
      <c r="C68" s="133"/>
      <c r="D68" s="133"/>
      <c r="E68" s="145" t="s">
        <v>1071</v>
      </c>
      <c r="F68" s="145">
        <v>1079.5</v>
      </c>
      <c r="G68" s="133" t="s">
        <v>1094</v>
      </c>
      <c r="H68" s="144" t="s">
        <v>1093</v>
      </c>
      <c r="I68" s="133" t="s">
        <v>1092</v>
      </c>
      <c r="J68" s="133" t="s">
        <v>1277</v>
      </c>
      <c r="K68" s="143">
        <v>45536</v>
      </c>
      <c r="L68" s="133" t="s">
        <v>1241</v>
      </c>
      <c r="M68" s="142">
        <v>40</v>
      </c>
      <c r="N68" s="147"/>
      <c r="O68" s="141"/>
      <c r="P68" s="140"/>
    </row>
    <row r="69" spans="1:16" x14ac:dyDescent="0.35">
      <c r="A69" s="146"/>
      <c r="B69" s="143"/>
      <c r="C69" s="133"/>
      <c r="D69" s="133"/>
      <c r="E69" s="148"/>
      <c r="F69" s="145"/>
      <c r="G69" s="133"/>
      <c r="H69" s="144"/>
      <c r="I69" s="133"/>
      <c r="J69" s="133"/>
      <c r="K69" s="143"/>
      <c r="L69" s="133"/>
      <c r="M69" s="142"/>
      <c r="N69" s="147"/>
      <c r="O69" s="141"/>
      <c r="P69" s="140"/>
    </row>
    <row r="70" spans="1:16" x14ac:dyDescent="0.35">
      <c r="A70" s="146">
        <v>19</v>
      </c>
      <c r="B70" s="143">
        <v>45474</v>
      </c>
      <c r="C70" s="133" t="s">
        <v>1286</v>
      </c>
      <c r="D70" s="133" t="s">
        <v>1285</v>
      </c>
      <c r="E70" s="145" t="s">
        <v>1067</v>
      </c>
      <c r="F70" s="145">
        <v>705.6</v>
      </c>
      <c r="G70" s="133" t="s">
        <v>1094</v>
      </c>
      <c r="H70" s="144" t="s">
        <v>1093</v>
      </c>
      <c r="I70" s="133" t="s">
        <v>1092</v>
      </c>
      <c r="J70" s="133" t="s">
        <v>1277</v>
      </c>
      <c r="K70" s="143">
        <v>45536</v>
      </c>
      <c r="L70" s="133" t="s">
        <v>1092</v>
      </c>
      <c r="M70" s="142">
        <v>705.6</v>
      </c>
      <c r="N70" s="147">
        <f>+F70-M70</f>
        <v>0</v>
      </c>
      <c r="O70" s="141"/>
      <c r="P70" s="140"/>
    </row>
    <row r="71" spans="1:16" x14ac:dyDescent="0.35">
      <c r="A71" s="146"/>
      <c r="B71" s="143"/>
      <c r="C71" s="133"/>
      <c r="D71" s="133"/>
      <c r="E71" s="148"/>
      <c r="F71" s="145"/>
      <c r="G71" s="133"/>
      <c r="H71" s="144"/>
      <c r="I71" s="133"/>
      <c r="J71" s="133"/>
      <c r="K71" s="143"/>
      <c r="L71" s="133"/>
      <c r="M71" s="142"/>
      <c r="N71" s="147"/>
      <c r="O71" s="141"/>
      <c r="P71" s="140"/>
    </row>
    <row r="72" spans="1:16" x14ac:dyDescent="0.35">
      <c r="A72" s="146">
        <v>20</v>
      </c>
      <c r="B72" s="143">
        <v>45474</v>
      </c>
      <c r="C72" s="133" t="s">
        <v>1284</v>
      </c>
      <c r="D72" s="133" t="s">
        <v>1282</v>
      </c>
      <c r="E72" s="145" t="s">
        <v>1071</v>
      </c>
      <c r="F72" s="145">
        <v>620</v>
      </c>
      <c r="G72" s="133" t="s">
        <v>1094</v>
      </c>
      <c r="H72" s="144" t="s">
        <v>1093</v>
      </c>
      <c r="I72" s="133" t="s">
        <v>1092</v>
      </c>
      <c r="J72" s="133" t="s">
        <v>1277</v>
      </c>
      <c r="K72" s="143">
        <v>45536</v>
      </c>
      <c r="L72" s="133" t="s">
        <v>1092</v>
      </c>
      <c r="M72" s="142">
        <v>620</v>
      </c>
      <c r="N72" s="147">
        <f>+F72-M72</f>
        <v>0</v>
      </c>
      <c r="O72" s="141"/>
      <c r="P72" s="140"/>
    </row>
    <row r="73" spans="1:16" x14ac:dyDescent="0.35">
      <c r="A73" s="146"/>
      <c r="B73" s="143"/>
      <c r="C73" s="133"/>
      <c r="D73" s="133"/>
      <c r="E73" s="148"/>
      <c r="F73" s="145"/>
      <c r="G73" s="133"/>
      <c r="H73" s="144"/>
      <c r="I73" s="133"/>
      <c r="J73" s="133"/>
      <c r="K73" s="143"/>
      <c r="L73" s="133"/>
      <c r="M73" s="142"/>
      <c r="N73" s="147"/>
      <c r="O73" s="141"/>
      <c r="P73" s="140"/>
    </row>
    <row r="74" spans="1:16" x14ac:dyDescent="0.35">
      <c r="A74" s="146">
        <v>19</v>
      </c>
      <c r="B74" s="143">
        <v>45474</v>
      </c>
      <c r="C74" s="133" t="s">
        <v>1283</v>
      </c>
      <c r="D74" s="133" t="s">
        <v>1282</v>
      </c>
      <c r="E74" s="145" t="s">
        <v>1112</v>
      </c>
      <c r="F74" s="145">
        <v>220.5</v>
      </c>
      <c r="G74" s="133" t="s">
        <v>1094</v>
      </c>
      <c r="H74" s="144" t="s">
        <v>1093</v>
      </c>
      <c r="I74" s="133" t="s">
        <v>1092</v>
      </c>
      <c r="J74" s="133" t="s">
        <v>1277</v>
      </c>
      <c r="K74" s="143">
        <v>45536</v>
      </c>
      <c r="L74" s="133" t="s">
        <v>1092</v>
      </c>
      <c r="M74" s="142">
        <v>220.5</v>
      </c>
      <c r="N74" s="147">
        <f>+F74-M74</f>
        <v>0</v>
      </c>
      <c r="O74" s="141"/>
      <c r="P74" s="140"/>
    </row>
    <row r="75" spans="1:16" x14ac:dyDescent="0.35">
      <c r="A75" s="146"/>
      <c r="B75" s="143"/>
      <c r="C75" s="133"/>
      <c r="D75" s="133"/>
      <c r="E75" s="148"/>
      <c r="F75" s="145"/>
      <c r="G75" s="133"/>
      <c r="H75" s="144"/>
      <c r="I75" s="133"/>
      <c r="J75" s="133"/>
      <c r="K75" s="143"/>
      <c r="L75" s="133"/>
      <c r="M75" s="142"/>
      <c r="N75" s="142"/>
      <c r="O75" s="141"/>
      <c r="P75" s="140"/>
    </row>
    <row r="76" spans="1:16" x14ac:dyDescent="0.35">
      <c r="A76" s="146">
        <v>20</v>
      </c>
      <c r="B76" s="143">
        <v>45474</v>
      </c>
      <c r="C76" s="133" t="s">
        <v>1281</v>
      </c>
      <c r="D76" s="133" t="s">
        <v>1280</v>
      </c>
      <c r="E76" s="145" t="s">
        <v>55</v>
      </c>
      <c r="F76" s="145">
        <v>8000</v>
      </c>
      <c r="G76" s="133" t="s">
        <v>1094</v>
      </c>
      <c r="H76" s="144" t="s">
        <v>1093</v>
      </c>
      <c r="I76" s="133" t="s">
        <v>1092</v>
      </c>
      <c r="J76" s="133" t="s">
        <v>1270</v>
      </c>
      <c r="K76" s="143">
        <v>45536</v>
      </c>
      <c r="L76" s="133" t="s">
        <v>1092</v>
      </c>
      <c r="M76" s="142">
        <v>8000</v>
      </c>
      <c r="N76" s="142">
        <f>+F76-M76</f>
        <v>0</v>
      </c>
      <c r="O76" s="141"/>
      <c r="P76" s="140"/>
    </row>
    <row r="77" spans="1:16" x14ac:dyDescent="0.35">
      <c r="A77" s="146"/>
      <c r="B77" s="143"/>
      <c r="C77" s="133"/>
      <c r="D77" s="133"/>
      <c r="E77" s="148"/>
      <c r="F77" s="145"/>
      <c r="G77" s="133"/>
      <c r="H77" s="144"/>
      <c r="I77" s="133"/>
      <c r="J77" s="133"/>
      <c r="K77" s="143"/>
      <c r="L77" s="133"/>
      <c r="M77" s="142"/>
      <c r="N77" s="142"/>
      <c r="O77" s="141"/>
      <c r="P77" s="140"/>
    </row>
    <row r="78" spans="1:16" x14ac:dyDescent="0.35">
      <c r="A78" s="146">
        <v>21</v>
      </c>
      <c r="B78" s="143">
        <v>45474</v>
      </c>
      <c r="C78" s="133" t="s">
        <v>1279</v>
      </c>
      <c r="D78" s="133" t="s">
        <v>1278</v>
      </c>
      <c r="E78" s="145" t="s">
        <v>1078</v>
      </c>
      <c r="F78" s="145">
        <v>5134.34</v>
      </c>
      <c r="G78" s="133" t="s">
        <v>1094</v>
      </c>
      <c r="H78" s="144" t="s">
        <v>1093</v>
      </c>
      <c r="I78" s="133" t="s">
        <v>1092</v>
      </c>
      <c r="J78" s="133" t="s">
        <v>1277</v>
      </c>
      <c r="K78" s="143">
        <v>45536</v>
      </c>
      <c r="L78" s="133" t="s">
        <v>1092</v>
      </c>
      <c r="M78" s="142">
        <v>1134.3399999999999</v>
      </c>
      <c r="N78" s="142">
        <f>+F78-M78-M79</f>
        <v>0</v>
      </c>
      <c r="O78" s="141"/>
      <c r="P78" s="140"/>
    </row>
    <row r="79" spans="1:16" x14ac:dyDescent="0.35">
      <c r="A79" s="146"/>
      <c r="B79" s="143"/>
      <c r="C79" s="133"/>
      <c r="D79" s="133"/>
      <c r="E79" s="145"/>
      <c r="F79" s="145"/>
      <c r="G79" s="133" t="s">
        <v>1094</v>
      </c>
      <c r="H79" s="144" t="s">
        <v>1093</v>
      </c>
      <c r="I79" s="133" t="s">
        <v>1092</v>
      </c>
      <c r="J79" s="133" t="s">
        <v>1270</v>
      </c>
      <c r="K79" s="143">
        <v>45536</v>
      </c>
      <c r="L79" s="133" t="s">
        <v>1092</v>
      </c>
      <c r="M79" s="142">
        <v>4000</v>
      </c>
      <c r="N79" s="142"/>
      <c r="O79" s="141"/>
      <c r="P79" s="140"/>
    </row>
    <row r="80" spans="1:16" x14ac:dyDescent="0.35">
      <c r="A80" s="146"/>
      <c r="B80" s="143"/>
      <c r="C80" s="133"/>
      <c r="D80" s="133"/>
      <c r="E80" s="145"/>
      <c r="F80" s="145"/>
      <c r="G80" s="133"/>
      <c r="H80" s="144"/>
      <c r="I80" s="133"/>
      <c r="J80" s="133"/>
      <c r="K80" s="143"/>
      <c r="L80" s="133"/>
      <c r="M80" s="142"/>
      <c r="N80" s="142"/>
      <c r="O80" s="141"/>
      <c r="P80" s="140"/>
    </row>
    <row r="81" spans="1:16" x14ac:dyDescent="0.35">
      <c r="A81" s="146">
        <v>22</v>
      </c>
      <c r="B81" s="143">
        <v>45474</v>
      </c>
      <c r="C81" s="133" t="s">
        <v>1276</v>
      </c>
      <c r="D81" s="133" t="s">
        <v>1275</v>
      </c>
      <c r="E81" s="145" t="s">
        <v>1071</v>
      </c>
      <c r="F81" s="145">
        <v>408</v>
      </c>
      <c r="G81" s="133" t="s">
        <v>1094</v>
      </c>
      <c r="H81" s="144" t="s">
        <v>1093</v>
      </c>
      <c r="I81" s="133" t="s">
        <v>1092</v>
      </c>
      <c r="J81" s="133" t="s">
        <v>1270</v>
      </c>
      <c r="K81" s="143">
        <v>45536</v>
      </c>
      <c r="L81" s="133" t="s">
        <v>1092</v>
      </c>
      <c r="M81" s="142">
        <v>408</v>
      </c>
      <c r="N81" s="142">
        <f>+F81-M81</f>
        <v>0</v>
      </c>
      <c r="O81" s="141"/>
      <c r="P81" s="140"/>
    </row>
    <row r="82" spans="1:16" x14ac:dyDescent="0.35">
      <c r="A82" s="146"/>
      <c r="B82" s="143"/>
      <c r="C82" s="133"/>
      <c r="D82" s="133"/>
      <c r="E82" s="145"/>
      <c r="F82" s="145"/>
      <c r="G82" s="133"/>
      <c r="H82" s="144"/>
      <c r="I82" s="133"/>
      <c r="J82" s="133"/>
      <c r="K82" s="143"/>
      <c r="L82" s="133"/>
      <c r="M82" s="142"/>
      <c r="N82" s="142"/>
      <c r="O82" s="141"/>
      <c r="P82" s="140"/>
    </row>
    <row r="83" spans="1:16" x14ac:dyDescent="0.35">
      <c r="A83" s="146">
        <v>23</v>
      </c>
      <c r="B83" s="143">
        <v>45474</v>
      </c>
      <c r="C83" s="133" t="s">
        <v>1274</v>
      </c>
      <c r="D83" s="133" t="s">
        <v>1273</v>
      </c>
      <c r="E83" s="145" t="s">
        <v>46</v>
      </c>
      <c r="F83" s="145">
        <v>1000</v>
      </c>
      <c r="G83" s="133" t="s">
        <v>1094</v>
      </c>
      <c r="H83" s="144" t="s">
        <v>1093</v>
      </c>
      <c r="I83" s="133" t="s">
        <v>1092</v>
      </c>
      <c r="J83" s="133" t="s">
        <v>1270</v>
      </c>
      <c r="K83" s="143">
        <v>45536</v>
      </c>
      <c r="L83" s="133" t="s">
        <v>1092</v>
      </c>
      <c r="M83" s="142">
        <v>1000</v>
      </c>
      <c r="N83" s="142">
        <f>+F83-M83</f>
        <v>0</v>
      </c>
      <c r="O83" s="141"/>
      <c r="P83" s="140"/>
    </row>
    <row r="84" spans="1:16" x14ac:dyDescent="0.35">
      <c r="A84" s="146"/>
      <c r="B84" s="143"/>
      <c r="C84" s="133"/>
      <c r="D84" s="133"/>
      <c r="E84" s="145"/>
      <c r="F84" s="145"/>
      <c r="G84" s="133"/>
      <c r="H84" s="144"/>
      <c r="I84" s="133"/>
      <c r="J84" s="133"/>
      <c r="K84" s="143"/>
      <c r="L84" s="133"/>
      <c r="M84" s="142"/>
      <c r="N84" s="142"/>
      <c r="O84" s="141"/>
      <c r="P84" s="140"/>
    </row>
    <row r="85" spans="1:16" x14ac:dyDescent="0.35">
      <c r="A85" s="146">
        <v>24</v>
      </c>
      <c r="B85" s="143">
        <v>45474</v>
      </c>
      <c r="C85" s="133" t="s">
        <v>1272</v>
      </c>
      <c r="D85" s="133" t="s">
        <v>1271</v>
      </c>
      <c r="E85" s="148" t="s">
        <v>1059</v>
      </c>
      <c r="F85" s="145">
        <v>16000</v>
      </c>
      <c r="G85" s="133" t="s">
        <v>1094</v>
      </c>
      <c r="H85" s="144" t="s">
        <v>1093</v>
      </c>
      <c r="I85" s="133" t="s">
        <v>1092</v>
      </c>
      <c r="J85" s="133" t="s">
        <v>1270</v>
      </c>
      <c r="K85" s="143">
        <v>45536</v>
      </c>
      <c r="L85" s="133" t="s">
        <v>1092</v>
      </c>
      <c r="M85" s="142">
        <v>2066</v>
      </c>
      <c r="N85" s="142">
        <f>+F85-M85-M86</f>
        <v>0</v>
      </c>
      <c r="O85" s="141"/>
      <c r="P85" s="140"/>
    </row>
    <row r="86" spans="1:16" x14ac:dyDescent="0.35">
      <c r="A86" s="146"/>
      <c r="B86" s="143"/>
      <c r="C86" s="133"/>
      <c r="D86" s="133"/>
      <c r="E86" s="148"/>
      <c r="F86" s="145"/>
      <c r="G86" s="133" t="s">
        <v>1094</v>
      </c>
      <c r="H86" s="144" t="s">
        <v>1093</v>
      </c>
      <c r="I86" s="133" t="s">
        <v>1092</v>
      </c>
      <c r="J86" s="133" t="s">
        <v>1199</v>
      </c>
      <c r="K86" s="143">
        <v>45607</v>
      </c>
      <c r="L86" s="133" t="s">
        <v>1092</v>
      </c>
      <c r="M86" s="142">
        <v>13934</v>
      </c>
      <c r="N86" s="142"/>
      <c r="O86" s="141"/>
      <c r="P86" s="140"/>
    </row>
    <row r="87" spans="1:16" x14ac:dyDescent="0.35">
      <c r="A87" s="146"/>
      <c r="B87" s="143"/>
      <c r="C87" s="133"/>
      <c r="D87" s="133"/>
      <c r="E87" s="145"/>
      <c r="F87" s="145"/>
      <c r="G87" s="133"/>
      <c r="H87" s="144"/>
      <c r="I87" s="133"/>
      <c r="J87" s="133"/>
      <c r="K87" s="143"/>
      <c r="L87" s="133"/>
      <c r="M87" s="142"/>
      <c r="N87" s="142"/>
      <c r="O87" s="141"/>
      <c r="P87" s="140"/>
    </row>
    <row r="88" spans="1:16" x14ac:dyDescent="0.35">
      <c r="A88" s="146">
        <v>25</v>
      </c>
      <c r="B88" s="143">
        <v>45474</v>
      </c>
      <c r="C88" s="133" t="s">
        <v>1269</v>
      </c>
      <c r="D88" s="133" t="s">
        <v>1266</v>
      </c>
      <c r="E88" s="145" t="s">
        <v>1078</v>
      </c>
      <c r="F88" s="145">
        <v>4354.45</v>
      </c>
      <c r="G88" s="133" t="s">
        <v>1094</v>
      </c>
      <c r="H88" s="144" t="s">
        <v>1093</v>
      </c>
      <c r="I88" s="133" t="s">
        <v>1092</v>
      </c>
      <c r="J88" s="133" t="s">
        <v>1268</v>
      </c>
      <c r="K88" s="143">
        <v>45566</v>
      </c>
      <c r="L88" s="133" t="s">
        <v>1092</v>
      </c>
      <c r="M88" s="142">
        <v>2217.46</v>
      </c>
      <c r="N88" s="142">
        <f>+F88-M88-M89</f>
        <v>0</v>
      </c>
      <c r="O88" s="141"/>
      <c r="P88" s="140"/>
    </row>
    <row r="89" spans="1:16" x14ac:dyDescent="0.35">
      <c r="A89" s="146"/>
      <c r="B89" s="143"/>
      <c r="C89" s="133"/>
      <c r="D89" s="133"/>
      <c r="E89" s="145"/>
      <c r="F89" s="145"/>
      <c r="G89" s="133" t="s">
        <v>1094</v>
      </c>
      <c r="H89" s="144" t="s">
        <v>1093</v>
      </c>
      <c r="I89" s="133" t="s">
        <v>1092</v>
      </c>
      <c r="J89" s="133" t="s">
        <v>1199</v>
      </c>
      <c r="K89" s="143">
        <v>45607</v>
      </c>
      <c r="L89" s="133" t="s">
        <v>1092</v>
      </c>
      <c r="M89" s="142">
        <v>2136.9899999999998</v>
      </c>
      <c r="N89" s="142"/>
      <c r="O89" s="141"/>
      <c r="P89" s="140"/>
    </row>
    <row r="90" spans="1:16" x14ac:dyDescent="0.35">
      <c r="A90" s="146"/>
      <c r="B90" s="143"/>
      <c r="C90" s="133"/>
      <c r="D90" s="133"/>
      <c r="E90" s="145"/>
      <c r="F90" s="145"/>
      <c r="G90" s="133"/>
      <c r="H90" s="144"/>
      <c r="I90" s="133"/>
      <c r="J90" s="133"/>
      <c r="K90" s="143"/>
      <c r="L90" s="133"/>
      <c r="M90" s="142"/>
      <c r="N90" s="142"/>
      <c r="O90" s="141"/>
      <c r="P90" s="140"/>
    </row>
    <row r="91" spans="1:16" x14ac:dyDescent="0.35">
      <c r="A91" s="146"/>
      <c r="B91" s="143"/>
      <c r="C91" s="133"/>
      <c r="D91" s="133"/>
      <c r="E91" s="145"/>
      <c r="F91" s="145"/>
      <c r="G91" s="133"/>
      <c r="H91" s="144"/>
      <c r="I91" s="133"/>
      <c r="J91" s="133"/>
      <c r="K91" s="143"/>
      <c r="L91" s="133"/>
      <c r="M91" s="142"/>
      <c r="N91" s="142"/>
      <c r="O91" s="141"/>
      <c r="P91" s="140"/>
    </row>
    <row r="92" spans="1:16" x14ac:dyDescent="0.35">
      <c r="A92" s="146">
        <v>26</v>
      </c>
      <c r="B92" s="143">
        <v>45474</v>
      </c>
      <c r="C92" s="133" t="s">
        <v>1267</v>
      </c>
      <c r="D92" s="133" t="s">
        <v>1266</v>
      </c>
      <c r="E92" s="148" t="s">
        <v>1059</v>
      </c>
      <c r="F92" s="145">
        <v>25000</v>
      </c>
      <c r="G92" s="133" t="s">
        <v>1094</v>
      </c>
      <c r="H92" s="144" t="s">
        <v>1093</v>
      </c>
      <c r="I92" s="133" t="s">
        <v>1092</v>
      </c>
      <c r="J92" s="133" t="s">
        <v>1199</v>
      </c>
      <c r="K92" s="143">
        <v>45607</v>
      </c>
      <c r="L92" s="133" t="s">
        <v>1092</v>
      </c>
      <c r="M92" s="142">
        <v>25000</v>
      </c>
      <c r="N92" s="142">
        <f>+F92-M92</f>
        <v>0</v>
      </c>
      <c r="O92" s="141"/>
      <c r="P92" s="140"/>
    </row>
    <row r="93" spans="1:16" x14ac:dyDescent="0.35">
      <c r="A93" s="146"/>
      <c r="B93" s="143"/>
      <c r="C93" s="133"/>
      <c r="D93" s="133"/>
      <c r="E93" s="148"/>
      <c r="F93" s="145"/>
      <c r="G93" s="133"/>
      <c r="H93" s="144"/>
      <c r="I93" s="133"/>
      <c r="J93" s="133"/>
      <c r="K93" s="143"/>
      <c r="L93" s="133"/>
      <c r="M93" s="142"/>
      <c r="N93" s="142"/>
      <c r="O93" s="141"/>
      <c r="P93" s="140"/>
    </row>
    <row r="94" spans="1:16" x14ac:dyDescent="0.35">
      <c r="A94" s="156"/>
      <c r="B94" s="152"/>
      <c r="C94" s="151"/>
      <c r="D94" s="151"/>
      <c r="E94" s="155"/>
      <c r="F94" s="154"/>
      <c r="G94" s="151"/>
      <c r="H94" s="153"/>
      <c r="I94" s="151"/>
      <c r="J94" s="151"/>
      <c r="K94" s="152"/>
      <c r="L94" s="151"/>
      <c r="M94" s="150"/>
      <c r="N94" s="150"/>
      <c r="O94" s="141"/>
      <c r="P94" s="140"/>
    </row>
    <row r="95" spans="1:16" x14ac:dyDescent="0.35">
      <c r="A95" s="146"/>
      <c r="B95" s="143"/>
      <c r="C95" s="133"/>
      <c r="D95" s="133"/>
      <c r="E95" s="145"/>
      <c r="F95" s="145"/>
      <c r="G95" s="133"/>
      <c r="H95" s="144"/>
      <c r="I95" s="133"/>
      <c r="J95" s="133"/>
      <c r="K95" s="143"/>
      <c r="L95" s="133"/>
      <c r="M95" s="142"/>
      <c r="N95" s="142"/>
      <c r="O95" s="141"/>
      <c r="P95" s="159"/>
    </row>
    <row r="96" spans="1:16" x14ac:dyDescent="0.35">
      <c r="A96" s="146">
        <v>27</v>
      </c>
      <c r="B96" s="143">
        <v>45505</v>
      </c>
      <c r="C96" s="133" t="s">
        <v>1265</v>
      </c>
      <c r="D96" s="133" t="s">
        <v>1262</v>
      </c>
      <c r="E96" s="145" t="s">
        <v>1071</v>
      </c>
      <c r="F96" s="145">
        <v>1867.8</v>
      </c>
      <c r="G96" s="133" t="s">
        <v>1094</v>
      </c>
      <c r="H96" s="144" t="s">
        <v>1093</v>
      </c>
      <c r="I96" s="133" t="s">
        <v>1092</v>
      </c>
      <c r="J96" s="133" t="s">
        <v>1199</v>
      </c>
      <c r="K96" s="143">
        <v>45607</v>
      </c>
      <c r="L96" s="133" t="s">
        <v>1092</v>
      </c>
      <c r="M96" s="142">
        <v>1867.8</v>
      </c>
      <c r="N96" s="142">
        <f>+F96-M96</f>
        <v>0</v>
      </c>
      <c r="O96" s="141"/>
      <c r="P96" s="159"/>
    </row>
    <row r="97" spans="1:16" x14ac:dyDescent="0.35">
      <c r="A97" s="146"/>
      <c r="B97" s="143"/>
      <c r="C97" s="133"/>
      <c r="D97" s="133"/>
      <c r="E97" s="148"/>
      <c r="F97" s="145"/>
      <c r="G97" s="133"/>
      <c r="H97" s="144"/>
      <c r="I97" s="133"/>
      <c r="J97" s="133"/>
      <c r="K97" s="143"/>
      <c r="L97" s="133"/>
      <c r="M97" s="142"/>
      <c r="N97" s="142"/>
      <c r="O97" s="141"/>
      <c r="P97" s="159"/>
    </row>
    <row r="98" spans="1:16" x14ac:dyDescent="0.35">
      <c r="A98" s="146">
        <v>28</v>
      </c>
      <c r="B98" s="143">
        <v>45505</v>
      </c>
      <c r="C98" s="133" t="s">
        <v>1264</v>
      </c>
      <c r="D98" s="133" t="s">
        <v>1262</v>
      </c>
      <c r="E98" s="148" t="s">
        <v>1059</v>
      </c>
      <c r="F98" s="145">
        <v>30000</v>
      </c>
      <c r="G98" s="133" t="s">
        <v>1094</v>
      </c>
      <c r="H98" s="144" t="s">
        <v>1093</v>
      </c>
      <c r="I98" s="133" t="s">
        <v>1092</v>
      </c>
      <c r="J98" s="133" t="s">
        <v>1199</v>
      </c>
      <c r="K98" s="143">
        <v>45607</v>
      </c>
      <c r="L98" s="133" t="s">
        <v>1092</v>
      </c>
      <c r="M98" s="142">
        <v>29408</v>
      </c>
      <c r="N98" s="142">
        <f>+F98-M98-M99</f>
        <v>0</v>
      </c>
      <c r="O98" s="141"/>
      <c r="P98" s="159"/>
    </row>
    <row r="99" spans="1:16" x14ac:dyDescent="0.35">
      <c r="A99" s="146"/>
      <c r="B99" s="143"/>
      <c r="C99" s="133"/>
      <c r="D99" s="133"/>
      <c r="E99" s="148"/>
      <c r="F99" s="145"/>
      <c r="G99" s="133" t="s">
        <v>1094</v>
      </c>
      <c r="H99" s="144" t="s">
        <v>1093</v>
      </c>
      <c r="I99" s="133" t="s">
        <v>1092</v>
      </c>
      <c r="J99" s="133" t="s">
        <v>1242</v>
      </c>
      <c r="K99" s="143">
        <v>45627</v>
      </c>
      <c r="L99" s="133" t="s">
        <v>1241</v>
      </c>
      <c r="M99" s="142">
        <v>592</v>
      </c>
      <c r="N99" s="142"/>
      <c r="O99" s="141"/>
      <c r="P99" s="159"/>
    </row>
    <row r="100" spans="1:16" x14ac:dyDescent="0.35">
      <c r="A100" s="146"/>
      <c r="B100" s="143"/>
      <c r="C100" s="133"/>
      <c r="D100" s="133"/>
      <c r="E100" s="148"/>
      <c r="F100" s="145"/>
      <c r="G100" s="133"/>
      <c r="H100" s="144"/>
      <c r="I100" s="133"/>
      <c r="J100" s="133"/>
      <c r="K100" s="143"/>
      <c r="L100" s="133"/>
      <c r="M100" s="142"/>
      <c r="N100" s="142"/>
      <c r="O100" s="141"/>
      <c r="P100" s="159"/>
    </row>
    <row r="101" spans="1:16" x14ac:dyDescent="0.35">
      <c r="A101" s="146">
        <v>29</v>
      </c>
      <c r="B101" s="143">
        <v>45505</v>
      </c>
      <c r="C101" s="133" t="s">
        <v>1263</v>
      </c>
      <c r="D101" s="133" t="s">
        <v>1262</v>
      </c>
      <c r="E101" s="145" t="s">
        <v>1118</v>
      </c>
      <c r="F101" s="145">
        <v>2165.3000000000002</v>
      </c>
      <c r="G101" s="133" t="s">
        <v>1094</v>
      </c>
      <c r="H101" s="144" t="s">
        <v>1093</v>
      </c>
      <c r="I101" s="133" t="s">
        <v>1092</v>
      </c>
      <c r="J101" s="133" t="s">
        <v>1199</v>
      </c>
      <c r="K101" s="143">
        <v>45607</v>
      </c>
      <c r="L101" s="133" t="s">
        <v>1092</v>
      </c>
      <c r="M101" s="142">
        <v>2165.3000000000002</v>
      </c>
      <c r="N101" s="142">
        <f>+F101-M101</f>
        <v>0</v>
      </c>
      <c r="O101" s="141"/>
      <c r="P101" s="159"/>
    </row>
    <row r="102" spans="1:16" x14ac:dyDescent="0.35">
      <c r="A102" s="146"/>
      <c r="B102" s="143"/>
      <c r="C102" s="133"/>
      <c r="D102" s="133"/>
      <c r="E102" s="145"/>
      <c r="F102" s="145"/>
      <c r="G102" s="133"/>
      <c r="H102" s="144"/>
      <c r="I102" s="133"/>
      <c r="J102" s="133"/>
      <c r="K102" s="143"/>
      <c r="L102" s="133"/>
      <c r="M102" s="142"/>
      <c r="N102" s="142"/>
      <c r="O102" s="141"/>
      <c r="P102" s="159"/>
    </row>
    <row r="103" spans="1:16" x14ac:dyDescent="0.35">
      <c r="A103" s="146">
        <v>30</v>
      </c>
      <c r="B103" s="143">
        <v>45505</v>
      </c>
      <c r="C103" s="133" t="s">
        <v>1261</v>
      </c>
      <c r="D103" s="133" t="s">
        <v>1259</v>
      </c>
      <c r="E103" s="145" t="s">
        <v>1184</v>
      </c>
      <c r="F103" s="145">
        <v>7000</v>
      </c>
      <c r="G103" s="133" t="s">
        <v>1094</v>
      </c>
      <c r="H103" s="144" t="s">
        <v>1093</v>
      </c>
      <c r="I103" s="133" t="s">
        <v>1092</v>
      </c>
      <c r="J103" s="133" t="s">
        <v>1199</v>
      </c>
      <c r="K103" s="143">
        <v>45607</v>
      </c>
      <c r="L103" s="133" t="s">
        <v>1092</v>
      </c>
      <c r="M103" s="142">
        <v>8055.5</v>
      </c>
      <c r="N103" s="142">
        <f>+F103+F104-M103</f>
        <v>0</v>
      </c>
      <c r="O103" s="141"/>
      <c r="P103" s="159"/>
    </row>
    <row r="104" spans="1:16" x14ac:dyDescent="0.35">
      <c r="A104" s="146"/>
      <c r="B104" s="143"/>
      <c r="C104" s="133"/>
      <c r="D104" s="133"/>
      <c r="E104" s="145" t="s">
        <v>1118</v>
      </c>
      <c r="F104" s="145">
        <v>1055.5</v>
      </c>
      <c r="G104" s="133"/>
      <c r="H104" s="144"/>
      <c r="I104" s="133"/>
      <c r="J104" s="133"/>
      <c r="K104" s="143"/>
      <c r="L104" s="133"/>
      <c r="M104" s="142"/>
      <c r="N104" s="142"/>
      <c r="O104" s="141"/>
      <c r="P104" s="159"/>
    </row>
    <row r="105" spans="1:16" x14ac:dyDescent="0.35">
      <c r="A105" s="146"/>
      <c r="B105" s="143"/>
      <c r="C105" s="133"/>
      <c r="D105" s="133"/>
      <c r="E105" s="160"/>
      <c r="F105" s="145"/>
      <c r="G105" s="133"/>
      <c r="H105" s="144"/>
      <c r="I105" s="133"/>
      <c r="J105" s="133"/>
      <c r="K105" s="143"/>
      <c r="L105" s="133"/>
      <c r="M105" s="142"/>
      <c r="N105" s="142"/>
      <c r="O105" s="141"/>
      <c r="P105" s="159"/>
    </row>
    <row r="106" spans="1:16" x14ac:dyDescent="0.35">
      <c r="A106" s="146">
        <v>31</v>
      </c>
      <c r="B106" s="143">
        <v>45505</v>
      </c>
      <c r="C106" s="133" t="s">
        <v>1260</v>
      </c>
      <c r="D106" s="133" t="s">
        <v>1259</v>
      </c>
      <c r="E106" s="160" t="s">
        <v>1071</v>
      </c>
      <c r="F106" s="145">
        <v>866.9</v>
      </c>
      <c r="G106" s="133" t="s">
        <v>1094</v>
      </c>
      <c r="H106" s="144" t="s">
        <v>1093</v>
      </c>
      <c r="I106" s="133" t="s">
        <v>1092</v>
      </c>
      <c r="J106" s="133" t="s">
        <v>1199</v>
      </c>
      <c r="K106" s="143">
        <v>45607</v>
      </c>
      <c r="L106" s="133" t="s">
        <v>1092</v>
      </c>
      <c r="M106" s="142">
        <v>866.9</v>
      </c>
      <c r="N106" s="142">
        <f>+F106-M106</f>
        <v>0</v>
      </c>
      <c r="O106" s="141"/>
      <c r="P106" s="159"/>
    </row>
    <row r="107" spans="1:16" x14ac:dyDescent="0.35">
      <c r="A107" s="146"/>
      <c r="B107" s="143"/>
      <c r="C107" s="133"/>
      <c r="D107" s="133"/>
      <c r="E107" s="145"/>
      <c r="F107" s="145"/>
      <c r="G107" s="133"/>
      <c r="H107" s="144"/>
      <c r="I107" s="133"/>
      <c r="J107" s="133"/>
      <c r="K107" s="143"/>
      <c r="L107" s="133"/>
      <c r="M107" s="142"/>
      <c r="N107" s="142"/>
      <c r="O107" s="141"/>
      <c r="P107" s="140"/>
    </row>
    <row r="108" spans="1:16" x14ac:dyDescent="0.35">
      <c r="A108" s="146">
        <v>32</v>
      </c>
      <c r="B108" s="143">
        <v>45505</v>
      </c>
      <c r="C108" s="133" t="s">
        <v>1258</v>
      </c>
      <c r="D108" s="133" t="s">
        <v>1255</v>
      </c>
      <c r="E108" s="145" t="s">
        <v>1118</v>
      </c>
      <c r="F108" s="145">
        <v>1368.8</v>
      </c>
      <c r="G108" s="133" t="s">
        <v>1094</v>
      </c>
      <c r="H108" s="144" t="s">
        <v>1093</v>
      </c>
      <c r="I108" s="133" t="s">
        <v>1092</v>
      </c>
      <c r="J108" s="133" t="s">
        <v>1199</v>
      </c>
      <c r="K108" s="143">
        <v>45607</v>
      </c>
      <c r="L108" s="133" t="s">
        <v>1092</v>
      </c>
      <c r="M108" s="142">
        <v>1368.8</v>
      </c>
      <c r="N108" s="142">
        <f>+F108-M108</f>
        <v>0</v>
      </c>
      <c r="O108" s="141"/>
      <c r="P108" s="140"/>
    </row>
    <row r="109" spans="1:16" x14ac:dyDescent="0.35">
      <c r="A109" s="146"/>
      <c r="B109" s="143"/>
      <c r="C109" s="133"/>
      <c r="D109" s="133"/>
      <c r="E109" s="145"/>
      <c r="F109" s="145"/>
      <c r="G109" s="133"/>
      <c r="H109" s="144"/>
      <c r="I109" s="133"/>
      <c r="J109" s="133"/>
      <c r="K109" s="143"/>
      <c r="L109" s="133"/>
      <c r="M109" s="142"/>
      <c r="N109" s="142"/>
      <c r="O109" s="141"/>
      <c r="P109" s="140"/>
    </row>
    <row r="110" spans="1:16" x14ac:dyDescent="0.35">
      <c r="A110" s="146">
        <v>33</v>
      </c>
      <c r="B110" s="143">
        <v>45505</v>
      </c>
      <c r="C110" s="133" t="s">
        <v>1257</v>
      </c>
      <c r="D110" s="133" t="s">
        <v>1255</v>
      </c>
      <c r="E110" s="145" t="s">
        <v>1112</v>
      </c>
      <c r="F110" s="145">
        <v>312.2</v>
      </c>
      <c r="G110" s="133" t="s">
        <v>1094</v>
      </c>
      <c r="H110" s="144" t="s">
        <v>1093</v>
      </c>
      <c r="I110" s="133" t="s">
        <v>1092</v>
      </c>
      <c r="J110" s="133" t="s">
        <v>1199</v>
      </c>
      <c r="K110" s="143">
        <v>45607</v>
      </c>
      <c r="L110" s="133" t="s">
        <v>1092</v>
      </c>
      <c r="M110" s="142">
        <v>312.2</v>
      </c>
      <c r="N110" s="142">
        <f>+F110-M110</f>
        <v>0</v>
      </c>
      <c r="O110" s="141"/>
      <c r="P110" s="140"/>
    </row>
    <row r="111" spans="1:16" x14ac:dyDescent="0.35">
      <c r="A111" s="146"/>
      <c r="B111" s="143"/>
      <c r="C111" s="133"/>
      <c r="D111" s="133"/>
      <c r="E111" s="145"/>
      <c r="F111" s="145"/>
      <c r="G111" s="133"/>
      <c r="H111" s="144"/>
      <c r="I111" s="133"/>
      <c r="J111" s="133"/>
      <c r="K111" s="143"/>
      <c r="L111" s="133"/>
      <c r="M111" s="142"/>
      <c r="N111" s="142"/>
      <c r="O111" s="141"/>
      <c r="P111" s="140"/>
    </row>
    <row r="112" spans="1:16" x14ac:dyDescent="0.35">
      <c r="A112" s="146">
        <v>34</v>
      </c>
      <c r="B112" s="143">
        <v>45505</v>
      </c>
      <c r="C112" s="133" t="s">
        <v>1256</v>
      </c>
      <c r="D112" s="133" t="s">
        <v>1255</v>
      </c>
      <c r="E112" s="148" t="s">
        <v>1059</v>
      </c>
      <c r="F112" s="145">
        <v>15000</v>
      </c>
      <c r="G112" s="133" t="s">
        <v>1094</v>
      </c>
      <c r="H112" s="144" t="s">
        <v>1093</v>
      </c>
      <c r="I112" s="133" t="s">
        <v>1092</v>
      </c>
      <c r="J112" s="133" t="s">
        <v>1236</v>
      </c>
      <c r="K112" s="143">
        <v>45627</v>
      </c>
      <c r="L112" s="133" t="s">
        <v>1092</v>
      </c>
      <c r="M112" s="142">
        <v>9153.7099999999991</v>
      </c>
      <c r="N112" s="142">
        <f>+F112-M112-M113-M114</f>
        <v>0</v>
      </c>
      <c r="O112" s="141"/>
      <c r="P112" s="159"/>
    </row>
    <row r="113" spans="1:16" x14ac:dyDescent="0.35">
      <c r="A113" s="146"/>
      <c r="B113" s="143"/>
      <c r="C113" s="133"/>
      <c r="D113" s="133"/>
      <c r="E113" s="148"/>
      <c r="F113" s="145"/>
      <c r="G113" s="133" t="s">
        <v>1094</v>
      </c>
      <c r="H113" s="144" t="s">
        <v>1093</v>
      </c>
      <c r="I113" s="133" t="s">
        <v>1092</v>
      </c>
      <c r="J113" s="133" t="s">
        <v>1242</v>
      </c>
      <c r="K113" s="143">
        <v>45627</v>
      </c>
      <c r="L113" s="133" t="s">
        <v>1241</v>
      </c>
      <c r="M113" s="142">
        <v>305</v>
      </c>
      <c r="N113" s="142"/>
      <c r="O113" s="141"/>
      <c r="P113" s="159"/>
    </row>
    <row r="114" spans="1:16" x14ac:dyDescent="0.35">
      <c r="A114" s="146"/>
      <c r="B114" s="143"/>
      <c r="C114" s="133"/>
      <c r="D114" s="133"/>
      <c r="E114" s="148"/>
      <c r="F114" s="145"/>
      <c r="G114" s="133" t="s">
        <v>1094</v>
      </c>
      <c r="H114" s="144" t="s">
        <v>1093</v>
      </c>
      <c r="I114" s="133" t="s">
        <v>1092</v>
      </c>
      <c r="J114" s="133" t="s">
        <v>1183</v>
      </c>
      <c r="K114" s="143">
        <v>45627</v>
      </c>
      <c r="L114" s="133" t="s">
        <v>1092</v>
      </c>
      <c r="M114" s="142">
        <v>5541.29</v>
      </c>
      <c r="N114" s="142"/>
      <c r="O114" s="141"/>
      <c r="P114" s="159"/>
    </row>
    <row r="115" spans="1:16" x14ac:dyDescent="0.35">
      <c r="A115" s="146"/>
      <c r="B115" s="143"/>
      <c r="C115" s="133"/>
      <c r="D115" s="133"/>
      <c r="E115" s="148"/>
      <c r="F115" s="145"/>
      <c r="G115" s="133"/>
      <c r="H115" s="144"/>
      <c r="I115" s="133"/>
      <c r="J115" s="133"/>
      <c r="K115" s="143"/>
      <c r="L115" s="133"/>
      <c r="M115" s="142"/>
      <c r="N115" s="142"/>
      <c r="O115" s="141"/>
      <c r="P115" s="159"/>
    </row>
    <row r="116" spans="1:16" x14ac:dyDescent="0.35">
      <c r="A116" s="146">
        <v>35</v>
      </c>
      <c r="B116" s="143">
        <v>45505</v>
      </c>
      <c r="C116" s="133" t="s">
        <v>1254</v>
      </c>
      <c r="D116" s="133" t="s">
        <v>1253</v>
      </c>
      <c r="E116" s="145" t="s">
        <v>46</v>
      </c>
      <c r="F116" s="145">
        <v>1000</v>
      </c>
      <c r="G116" s="133" t="s">
        <v>1094</v>
      </c>
      <c r="H116" s="144" t="s">
        <v>1093</v>
      </c>
      <c r="I116" s="133" t="s">
        <v>1092</v>
      </c>
      <c r="J116" s="133" t="s">
        <v>1199</v>
      </c>
      <c r="K116" s="143">
        <v>45607</v>
      </c>
      <c r="L116" s="133" t="s">
        <v>1092</v>
      </c>
      <c r="M116" s="142">
        <v>1000</v>
      </c>
      <c r="N116" s="142">
        <f>+F116-M116</f>
        <v>0</v>
      </c>
      <c r="O116" s="141"/>
      <c r="P116" s="159"/>
    </row>
    <row r="117" spans="1:16" x14ac:dyDescent="0.35">
      <c r="A117" s="146"/>
      <c r="B117" s="143"/>
      <c r="C117" s="133"/>
      <c r="D117" s="133"/>
      <c r="E117" s="145"/>
      <c r="F117" s="145"/>
      <c r="G117" s="133"/>
      <c r="H117" s="144"/>
      <c r="I117" s="133"/>
      <c r="J117" s="133"/>
      <c r="K117" s="143"/>
      <c r="L117" s="133"/>
      <c r="M117" s="142"/>
      <c r="N117" s="142"/>
      <c r="O117" s="141"/>
      <c r="P117" s="159"/>
    </row>
    <row r="118" spans="1:16" x14ac:dyDescent="0.35">
      <c r="A118" s="146">
        <v>36</v>
      </c>
      <c r="B118" s="143">
        <v>45505</v>
      </c>
      <c r="C118" s="133" t="s">
        <v>1252</v>
      </c>
      <c r="D118" s="133" t="s">
        <v>1250</v>
      </c>
      <c r="E118" s="145" t="s">
        <v>46</v>
      </c>
      <c r="F118" s="145">
        <v>2000</v>
      </c>
      <c r="G118" s="133" t="s">
        <v>1094</v>
      </c>
      <c r="H118" s="144" t="s">
        <v>1093</v>
      </c>
      <c r="I118" s="133" t="s">
        <v>1092</v>
      </c>
      <c r="J118" s="133" t="s">
        <v>1199</v>
      </c>
      <c r="K118" s="143">
        <v>45607</v>
      </c>
      <c r="L118" s="133" t="s">
        <v>1092</v>
      </c>
      <c r="M118" s="142">
        <v>2000</v>
      </c>
      <c r="N118" s="142">
        <f>+F118-M118</f>
        <v>0</v>
      </c>
      <c r="O118" s="141"/>
      <c r="P118" s="159"/>
    </row>
    <row r="119" spans="1:16" x14ac:dyDescent="0.35">
      <c r="A119" s="146"/>
      <c r="B119" s="143"/>
      <c r="C119" s="133"/>
      <c r="D119" s="133"/>
      <c r="E119" s="145"/>
      <c r="F119" s="145"/>
      <c r="G119" s="133"/>
      <c r="H119" s="144"/>
      <c r="I119" s="133"/>
      <c r="J119" s="133"/>
      <c r="K119" s="143"/>
      <c r="L119" s="133"/>
      <c r="M119" s="142"/>
      <c r="N119" s="142"/>
      <c r="O119" s="141"/>
      <c r="P119" s="159"/>
    </row>
    <row r="120" spans="1:16" x14ac:dyDescent="0.35">
      <c r="A120" s="146">
        <v>37</v>
      </c>
      <c r="B120" s="143">
        <v>45505</v>
      </c>
      <c r="C120" s="133" t="s">
        <v>1251</v>
      </c>
      <c r="D120" s="133" t="s">
        <v>1250</v>
      </c>
      <c r="E120" s="160" t="s">
        <v>1071</v>
      </c>
      <c r="F120" s="145">
        <v>1875.3</v>
      </c>
      <c r="G120" s="133" t="s">
        <v>1094</v>
      </c>
      <c r="H120" s="144" t="s">
        <v>1093</v>
      </c>
      <c r="I120" s="133" t="s">
        <v>1092</v>
      </c>
      <c r="J120" s="133" t="s">
        <v>1236</v>
      </c>
      <c r="K120" s="143">
        <v>45627</v>
      </c>
      <c r="L120" s="133" t="s">
        <v>1092</v>
      </c>
      <c r="M120" s="142">
        <v>1837.3</v>
      </c>
      <c r="N120" s="142">
        <f>+F120-M120-M121</f>
        <v>0</v>
      </c>
      <c r="O120" s="141"/>
      <c r="P120" s="159"/>
    </row>
    <row r="121" spans="1:16" x14ac:dyDescent="0.35">
      <c r="A121" s="146"/>
      <c r="B121" s="143"/>
      <c r="C121" s="133"/>
      <c r="D121" s="133"/>
      <c r="E121" s="160"/>
      <c r="F121" s="145"/>
      <c r="G121" s="133" t="s">
        <v>1094</v>
      </c>
      <c r="H121" s="144" t="s">
        <v>1093</v>
      </c>
      <c r="I121" s="133" t="s">
        <v>1092</v>
      </c>
      <c r="J121" s="133" t="s">
        <v>1242</v>
      </c>
      <c r="K121" s="143">
        <v>45627</v>
      </c>
      <c r="L121" s="133" t="s">
        <v>1241</v>
      </c>
      <c r="M121" s="142">
        <v>38</v>
      </c>
      <c r="N121" s="142"/>
      <c r="O121" s="141"/>
      <c r="P121" s="159"/>
    </row>
    <row r="122" spans="1:16" x14ac:dyDescent="0.35">
      <c r="A122" s="146"/>
      <c r="B122" s="143"/>
      <c r="C122" s="133"/>
      <c r="D122" s="133"/>
      <c r="E122" s="160"/>
      <c r="F122" s="145"/>
      <c r="G122" s="133"/>
      <c r="H122" s="144"/>
      <c r="I122" s="133"/>
      <c r="J122" s="133"/>
      <c r="K122" s="143"/>
      <c r="L122" s="133"/>
      <c r="M122" s="142"/>
      <c r="N122" s="142"/>
      <c r="O122" s="141"/>
      <c r="P122" s="159"/>
    </row>
    <row r="123" spans="1:16" x14ac:dyDescent="0.35">
      <c r="A123" s="146"/>
      <c r="B123" s="143"/>
      <c r="C123" s="133"/>
      <c r="D123" s="133"/>
      <c r="E123" s="145"/>
      <c r="F123" s="145"/>
      <c r="G123" s="133"/>
      <c r="H123" s="144"/>
      <c r="I123" s="133"/>
      <c r="J123" s="133"/>
      <c r="K123" s="143"/>
      <c r="L123" s="133"/>
      <c r="M123" s="142"/>
      <c r="N123" s="142"/>
      <c r="O123" s="141"/>
      <c r="P123" s="159"/>
    </row>
    <row r="124" spans="1:16" x14ac:dyDescent="0.35">
      <c r="A124" s="146">
        <v>38</v>
      </c>
      <c r="B124" s="143">
        <v>45505</v>
      </c>
      <c r="C124" s="133" t="s">
        <v>1249</v>
      </c>
      <c r="D124" s="133" t="s">
        <v>1248</v>
      </c>
      <c r="E124" s="145" t="s">
        <v>1118</v>
      </c>
      <c r="F124" s="145">
        <v>1369.5</v>
      </c>
      <c r="G124" s="133" t="s">
        <v>1094</v>
      </c>
      <c r="H124" s="144" t="s">
        <v>1093</v>
      </c>
      <c r="I124" s="133" t="s">
        <v>1092</v>
      </c>
      <c r="J124" s="133" t="s">
        <v>1199</v>
      </c>
      <c r="K124" s="143">
        <v>45607</v>
      </c>
      <c r="L124" s="133" t="s">
        <v>1092</v>
      </c>
      <c r="M124" s="142">
        <v>333.11</v>
      </c>
      <c r="N124" s="147">
        <f>+F124-M124-M125</f>
        <v>0</v>
      </c>
      <c r="O124" s="141"/>
      <c r="P124" s="159"/>
    </row>
    <row r="125" spans="1:16" x14ac:dyDescent="0.35">
      <c r="A125" s="146"/>
      <c r="B125" s="143"/>
      <c r="C125" s="133"/>
      <c r="D125" s="133"/>
      <c r="E125" s="145"/>
      <c r="F125" s="145"/>
      <c r="G125" s="133"/>
      <c r="H125" s="144"/>
      <c r="I125" s="133"/>
      <c r="J125" s="133" t="s">
        <v>1236</v>
      </c>
      <c r="K125" s="143">
        <v>45627</v>
      </c>
      <c r="L125" s="133" t="s">
        <v>1092</v>
      </c>
      <c r="M125" s="142">
        <v>1036.3900000000001</v>
      </c>
      <c r="N125" s="142"/>
      <c r="O125" s="141"/>
      <c r="P125" s="159"/>
    </row>
    <row r="126" spans="1:16" x14ac:dyDescent="0.35">
      <c r="A126" s="146"/>
      <c r="B126" s="143"/>
      <c r="C126" s="133"/>
      <c r="D126" s="133"/>
      <c r="E126" s="145"/>
      <c r="F126" s="145"/>
      <c r="G126" s="133"/>
      <c r="H126" s="144"/>
      <c r="I126" s="133"/>
      <c r="J126" s="133"/>
      <c r="K126" s="143"/>
      <c r="L126" s="133"/>
      <c r="M126" s="142"/>
      <c r="N126" s="142"/>
      <c r="O126" s="141"/>
      <c r="P126" s="159"/>
    </row>
    <row r="127" spans="1:16" x14ac:dyDescent="0.35">
      <c r="A127" s="146">
        <v>39</v>
      </c>
      <c r="B127" s="143">
        <v>45505</v>
      </c>
      <c r="C127" s="133" t="s">
        <v>1247</v>
      </c>
      <c r="D127" s="133" t="s">
        <v>1246</v>
      </c>
      <c r="E127" s="145" t="s">
        <v>1118</v>
      </c>
      <c r="F127" s="145">
        <v>1653.2</v>
      </c>
      <c r="G127" s="133" t="s">
        <v>1094</v>
      </c>
      <c r="H127" s="144" t="s">
        <v>1093</v>
      </c>
      <c r="I127" s="133" t="s">
        <v>1092</v>
      </c>
      <c r="J127" s="133" t="s">
        <v>1236</v>
      </c>
      <c r="K127" s="143">
        <v>45627</v>
      </c>
      <c r="L127" s="133" t="s">
        <v>1092</v>
      </c>
      <c r="M127" s="142">
        <v>2643.3</v>
      </c>
      <c r="N127" s="142">
        <f>+F127+F128-M127</f>
        <v>0</v>
      </c>
      <c r="O127" s="141"/>
      <c r="P127" s="159"/>
    </row>
    <row r="128" spans="1:16" x14ac:dyDescent="0.35">
      <c r="A128" s="146"/>
      <c r="B128" s="143"/>
      <c r="C128" s="133"/>
      <c r="D128" s="133"/>
      <c r="E128" s="145" t="s">
        <v>1118</v>
      </c>
      <c r="F128" s="145">
        <v>990.1</v>
      </c>
      <c r="G128" s="133"/>
      <c r="H128" s="144"/>
      <c r="I128" s="133"/>
      <c r="J128" s="133"/>
      <c r="K128" s="143"/>
      <c r="L128" s="133"/>
      <c r="M128" s="142"/>
      <c r="N128" s="142"/>
      <c r="O128" s="141"/>
      <c r="P128" s="159"/>
    </row>
    <row r="129" spans="1:16" x14ac:dyDescent="0.35">
      <c r="A129" s="146"/>
      <c r="B129" s="143"/>
      <c r="C129" s="133"/>
      <c r="D129" s="133"/>
      <c r="E129" s="145"/>
      <c r="F129" s="145"/>
      <c r="G129" s="133"/>
      <c r="H129" s="144"/>
      <c r="I129" s="133"/>
      <c r="J129" s="133"/>
      <c r="K129" s="143"/>
      <c r="L129" s="133"/>
      <c r="M129" s="142"/>
      <c r="N129" s="142"/>
      <c r="O129" s="141"/>
      <c r="P129" s="159"/>
    </row>
    <row r="130" spans="1:16" x14ac:dyDescent="0.35">
      <c r="A130" s="146">
        <v>40</v>
      </c>
      <c r="B130" s="143">
        <v>45505</v>
      </c>
      <c r="C130" s="133" t="s">
        <v>1245</v>
      </c>
      <c r="D130" s="133" t="s">
        <v>1244</v>
      </c>
      <c r="E130" s="145" t="s">
        <v>1118</v>
      </c>
      <c r="F130" s="145">
        <v>1394.1</v>
      </c>
      <c r="G130" s="133" t="s">
        <v>1094</v>
      </c>
      <c r="H130" s="144" t="s">
        <v>1093</v>
      </c>
      <c r="I130" s="133" t="s">
        <v>1092</v>
      </c>
      <c r="J130" s="133" t="s">
        <v>1236</v>
      </c>
      <c r="K130" s="143">
        <v>45627</v>
      </c>
      <c r="L130" s="133" t="s">
        <v>1092</v>
      </c>
      <c r="M130" s="142">
        <v>1394.1</v>
      </c>
      <c r="N130" s="142">
        <f>+F130-M130</f>
        <v>0</v>
      </c>
      <c r="O130" s="141"/>
      <c r="P130" s="159"/>
    </row>
    <row r="131" spans="1:16" x14ac:dyDescent="0.35">
      <c r="A131" s="146"/>
      <c r="B131" s="143"/>
      <c r="C131" s="133"/>
      <c r="D131" s="133"/>
      <c r="E131" s="145"/>
      <c r="F131" s="145"/>
      <c r="G131" s="133"/>
      <c r="H131" s="144"/>
      <c r="I131" s="133"/>
      <c r="J131" s="133"/>
      <c r="K131" s="143"/>
      <c r="L131" s="133"/>
      <c r="M131" s="142"/>
      <c r="N131" s="142"/>
      <c r="O131" s="141"/>
      <c r="P131" s="159"/>
    </row>
    <row r="132" spans="1:16" x14ac:dyDescent="0.35">
      <c r="A132" s="146">
        <v>41</v>
      </c>
      <c r="B132" s="143">
        <v>45505</v>
      </c>
      <c r="C132" s="133" t="s">
        <v>1243</v>
      </c>
      <c r="D132" s="133" t="s">
        <v>1239</v>
      </c>
      <c r="E132" s="148" t="s">
        <v>1059</v>
      </c>
      <c r="F132" s="145">
        <v>16000</v>
      </c>
      <c r="G132" s="133" t="s">
        <v>1094</v>
      </c>
      <c r="H132" s="144" t="s">
        <v>1093</v>
      </c>
      <c r="I132" s="133" t="s">
        <v>1092</v>
      </c>
      <c r="J132" s="133" t="s">
        <v>1242</v>
      </c>
      <c r="K132" s="143">
        <v>45627</v>
      </c>
      <c r="L132" s="133" t="s">
        <v>1241</v>
      </c>
      <c r="M132" s="142">
        <v>322</v>
      </c>
      <c r="N132" s="142">
        <f>+F132-M132-M133</f>
        <v>0</v>
      </c>
      <c r="O132" s="141"/>
      <c r="P132" s="159"/>
    </row>
    <row r="133" spans="1:16" x14ac:dyDescent="0.35">
      <c r="A133" s="146"/>
      <c r="B133" s="143"/>
      <c r="C133" s="133"/>
      <c r="D133" s="133"/>
      <c r="E133" s="145"/>
      <c r="F133" s="145"/>
      <c r="G133" s="133" t="s">
        <v>1094</v>
      </c>
      <c r="H133" s="144" t="s">
        <v>1093</v>
      </c>
      <c r="I133" s="133" t="s">
        <v>1092</v>
      </c>
      <c r="J133" s="133" t="s">
        <v>1183</v>
      </c>
      <c r="K133" s="143">
        <v>45627</v>
      </c>
      <c r="L133" s="133" t="s">
        <v>1092</v>
      </c>
      <c r="M133" s="142">
        <v>15678</v>
      </c>
      <c r="N133" s="142"/>
      <c r="O133" s="141"/>
      <c r="P133" s="159"/>
    </row>
    <row r="134" spans="1:16" x14ac:dyDescent="0.35">
      <c r="A134" s="146"/>
      <c r="B134" s="143"/>
      <c r="C134" s="133"/>
      <c r="D134" s="133"/>
      <c r="E134" s="145"/>
      <c r="F134" s="145"/>
      <c r="G134" s="133"/>
      <c r="H134" s="144"/>
      <c r="I134" s="133"/>
      <c r="J134" s="133"/>
      <c r="K134" s="143"/>
      <c r="L134" s="133"/>
      <c r="M134" s="142"/>
      <c r="N134" s="142"/>
      <c r="O134" s="141"/>
      <c r="P134" s="159"/>
    </row>
    <row r="135" spans="1:16" x14ac:dyDescent="0.35">
      <c r="A135" s="146">
        <v>42</v>
      </c>
      <c r="B135" s="143">
        <v>45505</v>
      </c>
      <c r="C135" s="133" t="s">
        <v>1240</v>
      </c>
      <c r="D135" s="133" t="s">
        <v>1239</v>
      </c>
      <c r="E135" s="145" t="s">
        <v>1118</v>
      </c>
      <c r="F135" s="145">
        <v>919.4</v>
      </c>
      <c r="G135" s="133" t="s">
        <v>1094</v>
      </c>
      <c r="H135" s="144" t="s">
        <v>1093</v>
      </c>
      <c r="I135" s="133" t="s">
        <v>1092</v>
      </c>
      <c r="J135" s="133" t="s">
        <v>1236</v>
      </c>
      <c r="K135" s="143">
        <v>45627</v>
      </c>
      <c r="L135" s="133" t="s">
        <v>1092</v>
      </c>
      <c r="M135" s="142">
        <v>919.4</v>
      </c>
      <c r="N135" s="142">
        <f>+F135-M135</f>
        <v>0</v>
      </c>
      <c r="O135" s="141"/>
      <c r="P135" s="159"/>
    </row>
    <row r="136" spans="1:16" x14ac:dyDescent="0.35">
      <c r="A136" s="146"/>
      <c r="B136" s="143"/>
      <c r="C136" s="133"/>
      <c r="D136" s="133"/>
      <c r="E136" s="145"/>
      <c r="F136" s="145"/>
      <c r="G136" s="133"/>
      <c r="H136" s="144"/>
      <c r="I136" s="133"/>
      <c r="J136" s="133"/>
      <c r="K136" s="143"/>
      <c r="L136" s="133"/>
      <c r="M136" s="142"/>
      <c r="N136" s="142"/>
      <c r="O136" s="141"/>
      <c r="P136" s="159"/>
    </row>
    <row r="137" spans="1:16" x14ac:dyDescent="0.35">
      <c r="A137" s="146">
        <v>43</v>
      </c>
      <c r="B137" s="143">
        <v>45505</v>
      </c>
      <c r="C137" s="133" t="s">
        <v>1238</v>
      </c>
      <c r="D137" s="133" t="s">
        <v>1237</v>
      </c>
      <c r="E137" s="145" t="s">
        <v>1118</v>
      </c>
      <c r="F137" s="145">
        <v>1354.8</v>
      </c>
      <c r="G137" s="133" t="s">
        <v>1094</v>
      </c>
      <c r="H137" s="144" t="s">
        <v>1093</v>
      </c>
      <c r="I137" s="133" t="s">
        <v>1092</v>
      </c>
      <c r="J137" s="133" t="s">
        <v>1236</v>
      </c>
      <c r="K137" s="143">
        <v>45627</v>
      </c>
      <c r="L137" s="133" t="s">
        <v>1092</v>
      </c>
      <c r="M137" s="142">
        <v>1354.8</v>
      </c>
      <c r="N137" s="142">
        <f>+F137-M137</f>
        <v>0</v>
      </c>
      <c r="O137" s="141"/>
      <c r="P137" s="159"/>
    </row>
    <row r="138" spans="1:16" x14ac:dyDescent="0.35">
      <c r="A138" s="146"/>
      <c r="B138" s="143"/>
      <c r="C138" s="133"/>
      <c r="D138" s="133"/>
      <c r="E138" s="145"/>
      <c r="F138" s="145"/>
      <c r="G138" s="133"/>
      <c r="H138" s="144"/>
      <c r="I138" s="133"/>
      <c r="J138" s="133"/>
      <c r="K138" s="143"/>
      <c r="L138" s="133"/>
      <c r="M138" s="142"/>
      <c r="N138" s="142"/>
      <c r="O138" s="141"/>
      <c r="P138" s="159"/>
    </row>
    <row r="139" spans="1:16" x14ac:dyDescent="0.35">
      <c r="A139" s="146">
        <v>44</v>
      </c>
      <c r="B139" s="143">
        <v>45505</v>
      </c>
      <c r="C139" s="133" t="s">
        <v>1235</v>
      </c>
      <c r="D139" s="133" t="s">
        <v>1234</v>
      </c>
      <c r="E139" s="145" t="s">
        <v>1118</v>
      </c>
      <c r="F139" s="145">
        <v>1034.8</v>
      </c>
      <c r="G139" s="133" t="s">
        <v>1094</v>
      </c>
      <c r="H139" s="144" t="s">
        <v>1093</v>
      </c>
      <c r="I139" s="133" t="s">
        <v>1092</v>
      </c>
      <c r="J139" s="133" t="s">
        <v>1199</v>
      </c>
      <c r="K139" s="143">
        <v>45607</v>
      </c>
      <c r="L139" s="133" t="s">
        <v>1092</v>
      </c>
      <c r="M139" s="142">
        <v>1000</v>
      </c>
      <c r="N139" s="142">
        <f>+F139+F140-M139-M140</f>
        <v>0</v>
      </c>
      <c r="O139" s="141"/>
      <c r="P139" s="159"/>
    </row>
    <row r="140" spans="1:16" x14ac:dyDescent="0.35">
      <c r="A140" s="146"/>
      <c r="B140" s="143"/>
      <c r="C140" s="133"/>
      <c r="D140" s="133"/>
      <c r="E140" s="145" t="s">
        <v>46</v>
      </c>
      <c r="F140" s="158">
        <v>1000</v>
      </c>
      <c r="G140" s="133" t="s">
        <v>1094</v>
      </c>
      <c r="H140" s="144" t="s">
        <v>1093</v>
      </c>
      <c r="I140" s="133" t="s">
        <v>1092</v>
      </c>
      <c r="J140" s="133" t="s">
        <v>1183</v>
      </c>
      <c r="K140" s="143">
        <v>45627</v>
      </c>
      <c r="L140" s="133" t="s">
        <v>1092</v>
      </c>
      <c r="M140" s="142">
        <v>1034.8</v>
      </c>
      <c r="N140" s="142"/>
      <c r="O140" s="141"/>
      <c r="P140" s="159"/>
    </row>
    <row r="141" spans="1:16" x14ac:dyDescent="0.35">
      <c r="A141" s="146"/>
      <c r="B141" s="143"/>
      <c r="C141" s="133"/>
      <c r="D141" s="133"/>
      <c r="E141" s="145"/>
      <c r="F141" s="145"/>
      <c r="G141" s="133"/>
      <c r="H141" s="144"/>
      <c r="I141" s="133"/>
      <c r="J141" s="133"/>
      <c r="K141" s="143"/>
      <c r="L141" s="133"/>
      <c r="M141" s="142"/>
      <c r="N141" s="142"/>
      <c r="O141" s="141"/>
      <c r="P141" s="159"/>
    </row>
    <row r="142" spans="1:16" x14ac:dyDescent="0.35">
      <c r="A142" s="146">
        <v>45</v>
      </c>
      <c r="B142" s="143">
        <v>45505</v>
      </c>
      <c r="C142" s="133" t="s">
        <v>1233</v>
      </c>
      <c r="D142" s="133" t="s">
        <v>1232</v>
      </c>
      <c r="E142" s="145" t="s">
        <v>1118</v>
      </c>
      <c r="F142" s="145">
        <v>820.9</v>
      </c>
      <c r="G142" s="133" t="s">
        <v>1094</v>
      </c>
      <c r="H142" s="144" t="s">
        <v>1093</v>
      </c>
      <c r="I142" s="133" t="s">
        <v>1092</v>
      </c>
      <c r="J142" s="133" t="s">
        <v>1183</v>
      </c>
      <c r="K142" s="143">
        <v>45627</v>
      </c>
      <c r="L142" s="133" t="s">
        <v>1092</v>
      </c>
      <c r="M142" s="142">
        <v>820.9</v>
      </c>
      <c r="N142" s="142">
        <f>+F142-M142</f>
        <v>0</v>
      </c>
      <c r="O142" s="141"/>
      <c r="P142" s="159"/>
    </row>
    <row r="143" spans="1:16" x14ac:dyDescent="0.35">
      <c r="A143" s="146"/>
      <c r="B143" s="143"/>
      <c r="C143" s="133"/>
      <c r="D143" s="133"/>
      <c r="E143" s="145"/>
      <c r="F143" s="145"/>
      <c r="G143" s="133"/>
      <c r="H143" s="144"/>
      <c r="I143" s="133"/>
      <c r="J143" s="133"/>
      <c r="K143" s="143"/>
      <c r="L143" s="133"/>
      <c r="M143" s="142"/>
      <c r="N143" s="142"/>
      <c r="O143" s="141"/>
      <c r="P143" s="159"/>
    </row>
    <row r="144" spans="1:16" x14ac:dyDescent="0.35">
      <c r="A144" s="146">
        <v>46</v>
      </c>
      <c r="B144" s="143">
        <v>45505</v>
      </c>
      <c r="C144" s="133" t="s">
        <v>1231</v>
      </c>
      <c r="D144" s="133" t="s">
        <v>1230</v>
      </c>
      <c r="E144" s="145" t="s">
        <v>1118</v>
      </c>
      <c r="F144" s="145">
        <v>912.9</v>
      </c>
      <c r="G144" s="133" t="s">
        <v>1094</v>
      </c>
      <c r="H144" s="144" t="s">
        <v>1093</v>
      </c>
      <c r="I144" s="133" t="s">
        <v>1092</v>
      </c>
      <c r="J144" s="133" t="s">
        <v>1183</v>
      </c>
      <c r="K144" s="143">
        <v>45627</v>
      </c>
      <c r="L144" s="133" t="s">
        <v>1092</v>
      </c>
      <c r="M144" s="142">
        <v>912.9</v>
      </c>
      <c r="N144" s="142">
        <f>+F144-M144</f>
        <v>0</v>
      </c>
      <c r="O144" s="141"/>
      <c r="P144" s="159"/>
    </row>
    <row r="145" spans="1:16" x14ac:dyDescent="0.35">
      <c r="A145" s="146"/>
      <c r="B145" s="143"/>
      <c r="C145" s="133"/>
      <c r="D145" s="133"/>
      <c r="E145" s="145"/>
      <c r="F145" s="145"/>
      <c r="G145" s="133"/>
      <c r="H145" s="144"/>
      <c r="I145" s="133"/>
      <c r="J145" s="133"/>
      <c r="K145" s="143"/>
      <c r="L145" s="133"/>
      <c r="M145" s="142"/>
      <c r="N145" s="142"/>
      <c r="O145" s="141"/>
      <c r="P145" s="159"/>
    </row>
    <row r="146" spans="1:16" x14ac:dyDescent="0.35">
      <c r="A146" s="146">
        <v>47</v>
      </c>
      <c r="B146" s="143">
        <v>45505</v>
      </c>
      <c r="C146" s="133" t="s">
        <v>1229</v>
      </c>
      <c r="D146" s="133" t="s">
        <v>1228</v>
      </c>
      <c r="E146" s="145" t="s">
        <v>1071</v>
      </c>
      <c r="F146" s="145">
        <v>220.3</v>
      </c>
      <c r="G146" s="133" t="s">
        <v>1094</v>
      </c>
      <c r="H146" s="144" t="s">
        <v>1093</v>
      </c>
      <c r="I146" s="133" t="s">
        <v>1092</v>
      </c>
      <c r="J146" s="133" t="s">
        <v>1199</v>
      </c>
      <c r="K146" s="143">
        <v>45607</v>
      </c>
      <c r="L146" s="133" t="s">
        <v>1092</v>
      </c>
      <c r="M146" s="142">
        <f>1000+220.3</f>
        <v>1220.3</v>
      </c>
      <c r="N146" s="142">
        <f>+F146+F147-M146</f>
        <v>0</v>
      </c>
      <c r="O146" s="141"/>
      <c r="P146" s="159"/>
    </row>
    <row r="147" spans="1:16" x14ac:dyDescent="0.35">
      <c r="A147" s="146"/>
      <c r="B147" s="143"/>
      <c r="C147" s="133"/>
      <c r="D147" s="133"/>
      <c r="E147" s="145" t="s">
        <v>46</v>
      </c>
      <c r="F147" s="158">
        <v>1000</v>
      </c>
      <c r="G147" s="133"/>
      <c r="H147" s="144"/>
      <c r="I147" s="133"/>
      <c r="J147" s="133"/>
      <c r="K147" s="143"/>
      <c r="L147" s="133"/>
      <c r="M147" s="142"/>
      <c r="N147" s="142"/>
      <c r="O147" s="141"/>
      <c r="P147" s="159"/>
    </row>
    <row r="148" spans="1:16" x14ac:dyDescent="0.35">
      <c r="A148" s="146"/>
      <c r="B148" s="143"/>
      <c r="C148" s="133"/>
      <c r="D148" s="133"/>
      <c r="E148" s="145"/>
      <c r="F148" s="145"/>
      <c r="G148" s="133"/>
      <c r="H148" s="144"/>
      <c r="I148" s="133"/>
      <c r="J148" s="133"/>
      <c r="K148" s="143"/>
      <c r="L148" s="133"/>
      <c r="M148" s="142"/>
      <c r="N148" s="142"/>
      <c r="O148" s="141"/>
      <c r="P148" s="159"/>
    </row>
    <row r="149" spans="1:16" x14ac:dyDescent="0.35">
      <c r="A149" s="146">
        <v>48</v>
      </c>
      <c r="B149" s="143">
        <v>45505</v>
      </c>
      <c r="C149" s="133" t="s">
        <v>1227</v>
      </c>
      <c r="D149" s="133" t="s">
        <v>1226</v>
      </c>
      <c r="E149" s="145" t="s">
        <v>1078</v>
      </c>
      <c r="F149" s="145">
        <v>935.03</v>
      </c>
      <c r="G149" s="133" t="s">
        <v>1094</v>
      </c>
      <c r="H149" s="144" t="s">
        <v>1093</v>
      </c>
      <c r="I149" s="133" t="s">
        <v>1092</v>
      </c>
      <c r="J149" s="133" t="s">
        <v>1183</v>
      </c>
      <c r="K149" s="143">
        <v>45627</v>
      </c>
      <c r="L149" s="133" t="s">
        <v>1092</v>
      </c>
      <c r="M149" s="142">
        <v>935.03</v>
      </c>
      <c r="N149" s="142">
        <f>+F149-M149</f>
        <v>0</v>
      </c>
      <c r="O149" s="141"/>
      <c r="P149" s="159"/>
    </row>
    <row r="150" spans="1:16" x14ac:dyDescent="0.35">
      <c r="A150" s="146"/>
      <c r="B150" s="143"/>
      <c r="C150" s="133"/>
      <c r="D150" s="133"/>
      <c r="E150" s="145"/>
      <c r="F150" s="145"/>
      <c r="G150" s="133"/>
      <c r="H150" s="144"/>
      <c r="I150" s="133"/>
      <c r="J150" s="133"/>
      <c r="K150" s="143"/>
      <c r="L150" s="133"/>
      <c r="M150" s="142"/>
      <c r="N150" s="142"/>
      <c r="O150" s="141"/>
      <c r="P150" s="159"/>
    </row>
    <row r="151" spans="1:16" x14ac:dyDescent="0.35">
      <c r="A151" s="156"/>
      <c r="B151" s="152"/>
      <c r="C151" s="151"/>
      <c r="D151" s="151"/>
      <c r="E151" s="154"/>
      <c r="F151" s="154"/>
      <c r="G151" s="151"/>
      <c r="H151" s="153"/>
      <c r="I151" s="151"/>
      <c r="J151" s="151"/>
      <c r="K151" s="152"/>
      <c r="L151" s="151"/>
      <c r="M151" s="150"/>
      <c r="N151" s="150"/>
      <c r="O151" s="141"/>
      <c r="P151" s="159"/>
    </row>
    <row r="152" spans="1:16" x14ac:dyDescent="0.35">
      <c r="A152" s="146"/>
      <c r="B152" s="143"/>
      <c r="C152" s="133"/>
      <c r="D152" s="133"/>
      <c r="E152" s="145"/>
      <c r="F152" s="145"/>
      <c r="G152" s="133"/>
      <c r="H152" s="144"/>
      <c r="I152" s="133"/>
      <c r="J152" s="133"/>
      <c r="K152" s="143"/>
      <c r="L152" s="133"/>
      <c r="M152" s="142"/>
      <c r="N152" s="142"/>
      <c r="O152" s="141"/>
      <c r="P152" s="159"/>
    </row>
    <row r="153" spans="1:16" x14ac:dyDescent="0.35">
      <c r="A153" s="146">
        <v>49</v>
      </c>
      <c r="B153" s="143">
        <v>45536</v>
      </c>
      <c r="C153" s="133" t="s">
        <v>1225</v>
      </c>
      <c r="D153" s="133" t="s">
        <v>1224</v>
      </c>
      <c r="E153" s="145" t="s">
        <v>1078</v>
      </c>
      <c r="F153" s="145">
        <v>3522.82</v>
      </c>
      <c r="G153" s="133" t="s">
        <v>1094</v>
      </c>
      <c r="H153" s="144" t="s">
        <v>1093</v>
      </c>
      <c r="I153" s="133" t="s">
        <v>1092</v>
      </c>
      <c r="J153" s="133" t="s">
        <v>1183</v>
      </c>
      <c r="K153" s="143">
        <v>45627</v>
      </c>
      <c r="L153" s="133" t="s">
        <v>1092</v>
      </c>
      <c r="M153" s="142">
        <v>3522.82</v>
      </c>
      <c r="N153" s="142">
        <f>+F153-M153</f>
        <v>0</v>
      </c>
      <c r="O153" s="141"/>
      <c r="P153" s="159"/>
    </row>
    <row r="154" spans="1:16" x14ac:dyDescent="0.35">
      <c r="A154" s="146"/>
      <c r="B154" s="143"/>
      <c r="C154" s="133"/>
      <c r="D154" s="133"/>
      <c r="E154" s="145"/>
      <c r="F154" s="145"/>
      <c r="G154" s="133"/>
      <c r="H154" s="144"/>
      <c r="I154" s="133"/>
      <c r="J154" s="133"/>
      <c r="K154" s="143"/>
      <c r="L154" s="133"/>
      <c r="M154" s="142"/>
      <c r="N154" s="142"/>
      <c r="O154" s="141"/>
      <c r="P154" s="159"/>
    </row>
    <row r="155" spans="1:16" x14ac:dyDescent="0.35">
      <c r="A155" s="146">
        <v>50</v>
      </c>
      <c r="B155" s="143">
        <v>45536</v>
      </c>
      <c r="C155" s="133" t="s">
        <v>1223</v>
      </c>
      <c r="D155" s="133" t="s">
        <v>1222</v>
      </c>
      <c r="E155" s="145" t="s">
        <v>1112</v>
      </c>
      <c r="F155" s="145">
        <v>330</v>
      </c>
      <c r="G155" s="133" t="s">
        <v>1094</v>
      </c>
      <c r="H155" s="144" t="s">
        <v>1093</v>
      </c>
      <c r="I155" s="133" t="s">
        <v>1092</v>
      </c>
      <c r="J155" s="133" t="s">
        <v>1183</v>
      </c>
      <c r="K155" s="143">
        <v>45627</v>
      </c>
      <c r="L155" s="133" t="s">
        <v>1092</v>
      </c>
      <c r="M155" s="142">
        <v>330</v>
      </c>
      <c r="N155" s="142">
        <f>+F155-M155</f>
        <v>0</v>
      </c>
      <c r="O155" s="141"/>
      <c r="P155" s="159"/>
    </row>
    <row r="156" spans="1:16" x14ac:dyDescent="0.35">
      <c r="A156" s="146"/>
      <c r="B156" s="143"/>
      <c r="C156" s="133"/>
      <c r="D156" s="133"/>
      <c r="E156" s="145"/>
      <c r="F156" s="145"/>
      <c r="G156" s="133"/>
      <c r="H156" s="144"/>
      <c r="I156" s="133"/>
      <c r="J156" s="133"/>
      <c r="K156" s="143"/>
      <c r="L156" s="133"/>
      <c r="M156" s="142"/>
      <c r="N156" s="142"/>
      <c r="O156" s="141"/>
      <c r="P156" s="140"/>
    </row>
    <row r="157" spans="1:16" x14ac:dyDescent="0.35">
      <c r="A157" s="146">
        <v>51</v>
      </c>
      <c r="B157" s="143">
        <v>45536</v>
      </c>
      <c r="C157" s="133" t="s">
        <v>1221</v>
      </c>
      <c r="D157" s="133" t="s">
        <v>1220</v>
      </c>
      <c r="E157" s="145" t="s">
        <v>46</v>
      </c>
      <c r="F157" s="158">
        <v>1000</v>
      </c>
      <c r="G157" s="133" t="s">
        <v>1094</v>
      </c>
      <c r="H157" s="144" t="s">
        <v>1093</v>
      </c>
      <c r="I157" s="133" t="s">
        <v>1092</v>
      </c>
      <c r="J157" s="133" t="s">
        <v>1199</v>
      </c>
      <c r="K157" s="143">
        <v>45607</v>
      </c>
      <c r="L157" s="133" t="s">
        <v>1092</v>
      </c>
      <c r="M157" s="142">
        <v>1000</v>
      </c>
      <c r="N157" s="142">
        <f>+F157-M157</f>
        <v>0</v>
      </c>
      <c r="O157" s="141"/>
      <c r="P157" s="140"/>
    </row>
    <row r="158" spans="1:16" x14ac:dyDescent="0.35">
      <c r="A158" s="146"/>
      <c r="B158" s="143"/>
      <c r="C158" s="133"/>
      <c r="D158" s="133"/>
      <c r="E158" s="145"/>
      <c r="F158" s="145"/>
      <c r="G158" s="133"/>
      <c r="H158" s="144"/>
      <c r="I158" s="133"/>
      <c r="J158" s="133"/>
      <c r="K158" s="143"/>
      <c r="L158" s="133"/>
      <c r="M158" s="142"/>
      <c r="N158" s="142"/>
      <c r="O158" s="141"/>
      <c r="P158" s="140"/>
    </row>
    <row r="159" spans="1:16" x14ac:dyDescent="0.35">
      <c r="A159" s="146">
        <v>52</v>
      </c>
      <c r="B159" s="143">
        <v>45536</v>
      </c>
      <c r="C159" s="133" t="s">
        <v>1219</v>
      </c>
      <c r="D159" s="133" t="s">
        <v>1217</v>
      </c>
      <c r="E159" s="145" t="s">
        <v>1112</v>
      </c>
      <c r="F159" s="145">
        <v>110</v>
      </c>
      <c r="G159" s="133" t="s">
        <v>1094</v>
      </c>
      <c r="H159" s="144" t="s">
        <v>1093</v>
      </c>
      <c r="I159" s="133" t="s">
        <v>1092</v>
      </c>
      <c r="J159" s="133" t="s">
        <v>1183</v>
      </c>
      <c r="K159" s="143">
        <v>45627</v>
      </c>
      <c r="L159" s="133" t="s">
        <v>1092</v>
      </c>
      <c r="M159" s="142">
        <v>110</v>
      </c>
      <c r="N159" s="142">
        <f>+F159-M159</f>
        <v>0</v>
      </c>
      <c r="O159" s="141"/>
      <c r="P159" s="159"/>
    </row>
    <row r="160" spans="1:16" x14ac:dyDescent="0.35">
      <c r="A160" s="146"/>
      <c r="B160" s="143"/>
      <c r="C160" s="133"/>
      <c r="D160" s="133"/>
      <c r="E160" s="145"/>
      <c r="F160" s="145"/>
      <c r="G160" s="133"/>
      <c r="H160" s="144"/>
      <c r="I160" s="133"/>
      <c r="J160" s="133"/>
      <c r="K160" s="143"/>
      <c r="L160" s="133"/>
      <c r="M160" s="142"/>
      <c r="N160" s="142"/>
      <c r="O160" s="141"/>
      <c r="P160" s="140"/>
    </row>
    <row r="161" spans="1:16" x14ac:dyDescent="0.35">
      <c r="A161" s="146">
        <v>53</v>
      </c>
      <c r="B161" s="143">
        <v>45536</v>
      </c>
      <c r="C161" s="133" t="s">
        <v>1218</v>
      </c>
      <c r="D161" s="133" t="s">
        <v>1217</v>
      </c>
      <c r="E161" s="145" t="s">
        <v>1184</v>
      </c>
      <c r="F161" s="145">
        <v>5000</v>
      </c>
      <c r="G161" s="133" t="s">
        <v>1094</v>
      </c>
      <c r="H161" s="144" t="s">
        <v>1093</v>
      </c>
      <c r="I161" s="133" t="s">
        <v>1092</v>
      </c>
      <c r="J161" s="133" t="s">
        <v>1199</v>
      </c>
      <c r="K161" s="143">
        <v>45607</v>
      </c>
      <c r="L161" s="133" t="s">
        <v>1092</v>
      </c>
      <c r="M161" s="142">
        <v>9000</v>
      </c>
      <c r="N161" s="142">
        <f>+F161+F162-M161</f>
        <v>0</v>
      </c>
      <c r="O161" s="141"/>
      <c r="P161" s="140"/>
    </row>
    <row r="162" spans="1:16" x14ac:dyDescent="0.35">
      <c r="A162" s="146"/>
      <c r="B162" s="143"/>
      <c r="C162" s="133"/>
      <c r="D162" s="133"/>
      <c r="E162" s="145" t="s">
        <v>55</v>
      </c>
      <c r="F162" s="145">
        <v>4000</v>
      </c>
      <c r="G162" s="133"/>
      <c r="H162" s="144"/>
      <c r="I162" s="133"/>
      <c r="J162" s="133"/>
      <c r="K162" s="143"/>
      <c r="L162" s="133"/>
      <c r="M162" s="142"/>
      <c r="N162" s="142"/>
      <c r="O162" s="141"/>
      <c r="P162" s="140"/>
    </row>
    <row r="163" spans="1:16" x14ac:dyDescent="0.35">
      <c r="A163" s="146"/>
      <c r="B163" s="143"/>
      <c r="C163" s="133"/>
      <c r="D163" s="133"/>
      <c r="E163" s="145"/>
      <c r="F163" s="145"/>
      <c r="G163" s="133"/>
      <c r="H163" s="144"/>
      <c r="I163" s="133"/>
      <c r="J163" s="133"/>
      <c r="K163" s="143"/>
      <c r="L163" s="133"/>
      <c r="M163" s="142"/>
      <c r="N163" s="142"/>
      <c r="O163" s="141"/>
      <c r="P163" s="140"/>
    </row>
    <row r="164" spans="1:16" x14ac:dyDescent="0.35">
      <c r="A164" s="146">
        <v>54</v>
      </c>
      <c r="B164" s="143">
        <v>45536</v>
      </c>
      <c r="C164" s="133" t="s">
        <v>1216</v>
      </c>
      <c r="D164" s="133" t="s">
        <v>1212</v>
      </c>
      <c r="E164" s="145" t="s">
        <v>1071</v>
      </c>
      <c r="F164" s="145">
        <v>1023</v>
      </c>
      <c r="G164" s="133" t="s">
        <v>1094</v>
      </c>
      <c r="H164" s="144" t="s">
        <v>1093</v>
      </c>
      <c r="I164" s="133" t="s">
        <v>1092</v>
      </c>
      <c r="J164" s="133" t="s">
        <v>1182</v>
      </c>
      <c r="K164" s="143">
        <v>45658</v>
      </c>
      <c r="L164" s="133" t="s">
        <v>1092</v>
      </c>
      <c r="M164" s="142">
        <v>1001</v>
      </c>
      <c r="N164" s="147">
        <f>+F164-M164-M165</f>
        <v>0</v>
      </c>
      <c r="O164" s="141"/>
      <c r="P164" s="140"/>
    </row>
    <row r="165" spans="1:16" x14ac:dyDescent="0.35">
      <c r="A165" s="146"/>
      <c r="B165" s="143"/>
      <c r="C165" s="133"/>
      <c r="D165" s="133"/>
      <c r="E165" s="145"/>
      <c r="F165" s="145"/>
      <c r="G165" s="133" t="s">
        <v>1094</v>
      </c>
      <c r="H165" s="144" t="s">
        <v>1093</v>
      </c>
      <c r="I165" s="133" t="s">
        <v>1092</v>
      </c>
      <c r="J165" s="133" t="s">
        <v>1214</v>
      </c>
      <c r="K165" s="143">
        <v>45658</v>
      </c>
      <c r="L165" s="133" t="s">
        <v>1092</v>
      </c>
      <c r="M165" s="142">
        <v>22</v>
      </c>
      <c r="N165" s="142"/>
      <c r="O165" s="141"/>
      <c r="P165" s="140"/>
    </row>
    <row r="166" spans="1:16" x14ac:dyDescent="0.35">
      <c r="A166" s="146"/>
      <c r="B166" s="143"/>
      <c r="C166" s="133"/>
      <c r="D166" s="133"/>
      <c r="E166" s="145"/>
      <c r="F166" s="145"/>
      <c r="G166" s="133"/>
      <c r="H166" s="144"/>
      <c r="I166" s="133"/>
      <c r="J166" s="133"/>
      <c r="K166" s="143"/>
      <c r="L166" s="133"/>
      <c r="M166" s="142"/>
      <c r="N166" s="142"/>
      <c r="O166" s="141"/>
      <c r="P166" s="140"/>
    </row>
    <row r="167" spans="1:16" x14ac:dyDescent="0.35">
      <c r="A167" s="146">
        <v>55</v>
      </c>
      <c r="B167" s="143">
        <v>45536</v>
      </c>
      <c r="C167" s="133" t="s">
        <v>1215</v>
      </c>
      <c r="D167" s="133" t="s">
        <v>1212</v>
      </c>
      <c r="E167" s="148" t="s">
        <v>1059</v>
      </c>
      <c r="F167" s="145">
        <v>10000</v>
      </c>
      <c r="G167" s="133" t="s">
        <v>1094</v>
      </c>
      <c r="H167" s="144" t="s">
        <v>1093</v>
      </c>
      <c r="I167" s="133" t="s">
        <v>1092</v>
      </c>
      <c r="J167" s="133" t="s">
        <v>1174</v>
      </c>
      <c r="K167" s="143">
        <v>45658</v>
      </c>
      <c r="L167" s="133" t="s">
        <v>1092</v>
      </c>
      <c r="M167" s="142">
        <v>9800</v>
      </c>
      <c r="N167" s="142">
        <f>+F167-M167-M168</f>
        <v>0</v>
      </c>
      <c r="O167" s="141"/>
      <c r="P167" s="140"/>
    </row>
    <row r="168" spans="1:16" x14ac:dyDescent="0.35">
      <c r="A168" s="146"/>
      <c r="B168" s="143"/>
      <c r="C168" s="133"/>
      <c r="D168" s="133"/>
      <c r="E168" s="148"/>
      <c r="F168" s="145"/>
      <c r="G168" s="133" t="s">
        <v>1094</v>
      </c>
      <c r="H168" s="144" t="s">
        <v>1093</v>
      </c>
      <c r="I168" s="133" t="s">
        <v>1092</v>
      </c>
      <c r="J168" s="133" t="s">
        <v>1214</v>
      </c>
      <c r="K168" s="143">
        <v>45658</v>
      </c>
      <c r="L168" s="133" t="s">
        <v>1092</v>
      </c>
      <c r="M168" s="142">
        <v>200</v>
      </c>
      <c r="N168" s="142"/>
      <c r="O168" s="141"/>
      <c r="P168" s="140"/>
    </row>
    <row r="169" spans="1:16" x14ac:dyDescent="0.35">
      <c r="A169" s="146"/>
      <c r="B169" s="143"/>
      <c r="C169" s="133"/>
      <c r="D169" s="133"/>
      <c r="E169" s="145"/>
      <c r="F169" s="145"/>
      <c r="G169" s="133"/>
      <c r="H169" s="144"/>
      <c r="I169" s="133"/>
      <c r="J169" s="133"/>
      <c r="K169" s="143"/>
      <c r="L169" s="133"/>
      <c r="M169" s="142"/>
      <c r="N169" s="142"/>
      <c r="O169" s="141"/>
      <c r="P169" s="140"/>
    </row>
    <row r="170" spans="1:16" x14ac:dyDescent="0.35">
      <c r="A170" s="146">
        <v>56</v>
      </c>
      <c r="B170" s="143">
        <v>45536</v>
      </c>
      <c r="C170" s="133" t="s">
        <v>1213</v>
      </c>
      <c r="D170" s="133" t="s">
        <v>1212</v>
      </c>
      <c r="E170" s="145" t="s">
        <v>1078</v>
      </c>
      <c r="F170" s="145">
        <v>542.5</v>
      </c>
      <c r="G170" s="133" t="s">
        <v>1094</v>
      </c>
      <c r="H170" s="144" t="s">
        <v>1093</v>
      </c>
      <c r="I170" s="133" t="s">
        <v>1092</v>
      </c>
      <c r="J170" s="133" t="s">
        <v>1182</v>
      </c>
      <c r="K170" s="143">
        <v>45658</v>
      </c>
      <c r="L170" s="133" t="s">
        <v>1092</v>
      </c>
      <c r="M170" s="142">
        <v>542.5</v>
      </c>
      <c r="N170" s="142">
        <f>+F170-M170</f>
        <v>0</v>
      </c>
      <c r="O170" s="141"/>
      <c r="P170" s="140"/>
    </row>
    <row r="171" spans="1:16" x14ac:dyDescent="0.35">
      <c r="A171" s="146"/>
      <c r="B171" s="143"/>
      <c r="C171" s="133"/>
      <c r="D171" s="133"/>
      <c r="E171" s="145"/>
      <c r="F171" s="145"/>
      <c r="G171" s="133"/>
      <c r="H171" s="144"/>
      <c r="I171" s="133"/>
      <c r="J171" s="133"/>
      <c r="K171" s="143"/>
      <c r="L171" s="133"/>
      <c r="M171" s="142"/>
      <c r="N171" s="142"/>
      <c r="O171" s="141"/>
      <c r="P171" s="140"/>
    </row>
    <row r="172" spans="1:16" x14ac:dyDescent="0.35">
      <c r="A172" s="146">
        <v>57</v>
      </c>
      <c r="B172" s="143">
        <v>45536</v>
      </c>
      <c r="C172" s="133" t="s">
        <v>1211</v>
      </c>
      <c r="D172" s="133" t="s">
        <v>1210</v>
      </c>
      <c r="E172" s="145" t="s">
        <v>1078</v>
      </c>
      <c r="F172" s="145">
        <v>243.35</v>
      </c>
      <c r="G172" s="133" t="s">
        <v>1094</v>
      </c>
      <c r="H172" s="144" t="s">
        <v>1093</v>
      </c>
      <c r="I172" s="133" t="s">
        <v>1092</v>
      </c>
      <c r="J172" s="133" t="s">
        <v>1182</v>
      </c>
      <c r="K172" s="143">
        <v>45658</v>
      </c>
      <c r="L172" s="133" t="s">
        <v>1092</v>
      </c>
      <c r="M172" s="142">
        <v>243.35</v>
      </c>
      <c r="N172" s="142">
        <f>+F172-M172</f>
        <v>0</v>
      </c>
      <c r="O172" s="141"/>
      <c r="P172" s="140"/>
    </row>
    <row r="173" spans="1:16" x14ac:dyDescent="0.35">
      <c r="A173" s="146"/>
      <c r="B173" s="143"/>
      <c r="C173" s="133"/>
      <c r="D173" s="133"/>
      <c r="E173" s="145"/>
      <c r="F173" s="145"/>
      <c r="G173" s="133"/>
      <c r="H173" s="144"/>
      <c r="I173" s="133"/>
      <c r="J173" s="133"/>
      <c r="K173" s="143"/>
      <c r="L173" s="133"/>
      <c r="M173" s="142"/>
      <c r="N173" s="142"/>
      <c r="O173" s="141"/>
      <c r="P173" s="140"/>
    </row>
    <row r="174" spans="1:16" x14ac:dyDescent="0.35">
      <c r="A174" s="146">
        <v>58</v>
      </c>
      <c r="B174" s="143">
        <v>45536</v>
      </c>
      <c r="C174" s="133" t="s">
        <v>1209</v>
      </c>
      <c r="D174" s="133" t="s">
        <v>1208</v>
      </c>
      <c r="E174" s="145" t="s">
        <v>1078</v>
      </c>
      <c r="F174" s="145">
        <v>1330.43</v>
      </c>
      <c r="G174" s="133" t="s">
        <v>1094</v>
      </c>
      <c r="H174" s="144" t="s">
        <v>1093</v>
      </c>
      <c r="I174" s="133" t="s">
        <v>1092</v>
      </c>
      <c r="J174" s="133" t="s">
        <v>1182</v>
      </c>
      <c r="K174" s="143">
        <v>45658</v>
      </c>
      <c r="L174" s="133" t="s">
        <v>1092</v>
      </c>
      <c r="M174" s="142">
        <v>1330.43</v>
      </c>
      <c r="N174" s="142">
        <f>+F174-M174</f>
        <v>0</v>
      </c>
      <c r="O174" s="141"/>
      <c r="P174" s="140"/>
    </row>
    <row r="175" spans="1:16" x14ac:dyDescent="0.35">
      <c r="A175" s="146"/>
      <c r="B175" s="143"/>
      <c r="C175" s="133"/>
      <c r="D175" s="133"/>
      <c r="E175" s="145"/>
      <c r="F175" s="145"/>
      <c r="G175" s="133"/>
      <c r="H175" s="144"/>
      <c r="I175" s="133"/>
      <c r="J175" s="133"/>
      <c r="K175" s="143"/>
      <c r="L175" s="133"/>
      <c r="M175" s="142"/>
      <c r="N175" s="142"/>
      <c r="O175" s="141"/>
      <c r="P175" s="140"/>
    </row>
    <row r="176" spans="1:16" x14ac:dyDescent="0.35">
      <c r="A176" s="146">
        <v>59</v>
      </c>
      <c r="B176" s="143">
        <v>45536</v>
      </c>
      <c r="C176" s="133" t="s">
        <v>1207</v>
      </c>
      <c r="D176" s="133" t="s">
        <v>1202</v>
      </c>
      <c r="E176" s="145" t="s">
        <v>1118</v>
      </c>
      <c r="F176" s="145">
        <v>1024.7</v>
      </c>
      <c r="G176" s="133" t="s">
        <v>1094</v>
      </c>
      <c r="H176" s="144" t="s">
        <v>1093</v>
      </c>
      <c r="I176" s="133" t="s">
        <v>1092</v>
      </c>
      <c r="J176" s="133" t="s">
        <v>1182</v>
      </c>
      <c r="K176" s="143">
        <v>45658</v>
      </c>
      <c r="L176" s="133" t="s">
        <v>1092</v>
      </c>
      <c r="M176" s="142">
        <v>1024.7</v>
      </c>
      <c r="N176" s="142">
        <f>+F176-M176</f>
        <v>0</v>
      </c>
      <c r="O176" s="141"/>
      <c r="P176" s="140"/>
    </row>
    <row r="177" spans="1:16" x14ac:dyDescent="0.35">
      <c r="A177" s="146"/>
      <c r="B177" s="143"/>
      <c r="C177" s="133"/>
      <c r="D177" s="133"/>
      <c r="E177" s="145"/>
      <c r="F177" s="145"/>
      <c r="G177" s="133"/>
      <c r="H177" s="144"/>
      <c r="I177" s="133"/>
      <c r="J177" s="133"/>
      <c r="K177" s="143"/>
      <c r="L177" s="133"/>
      <c r="M177" s="142"/>
      <c r="N177" s="142"/>
      <c r="O177" s="141"/>
      <c r="P177" s="140"/>
    </row>
    <row r="178" spans="1:16" x14ac:dyDescent="0.35">
      <c r="A178" s="146">
        <v>60</v>
      </c>
      <c r="B178" s="143">
        <v>45536</v>
      </c>
      <c r="C178" s="133" t="s">
        <v>1206</v>
      </c>
      <c r="D178" s="133" t="s">
        <v>1205</v>
      </c>
      <c r="E178" s="145" t="s">
        <v>46</v>
      </c>
      <c r="F178" s="158">
        <v>1000</v>
      </c>
      <c r="G178" s="133" t="s">
        <v>1094</v>
      </c>
      <c r="H178" s="144" t="s">
        <v>1093</v>
      </c>
      <c r="I178" s="133" t="s">
        <v>1092</v>
      </c>
      <c r="J178" s="133" t="s">
        <v>1199</v>
      </c>
      <c r="K178" s="143">
        <v>45607</v>
      </c>
      <c r="L178" s="133" t="s">
        <v>1092</v>
      </c>
      <c r="M178" s="142">
        <v>1316.9</v>
      </c>
      <c r="N178" s="142">
        <f>+F178+F179-M178</f>
        <v>0</v>
      </c>
      <c r="O178" s="141"/>
      <c r="P178" s="140"/>
    </row>
    <row r="179" spans="1:16" x14ac:dyDescent="0.35">
      <c r="A179" s="146"/>
      <c r="B179" s="143"/>
      <c r="C179" s="133"/>
      <c r="D179" s="133"/>
      <c r="E179" s="145" t="s">
        <v>1112</v>
      </c>
      <c r="F179" s="145">
        <v>316.89999999999998</v>
      </c>
      <c r="G179" s="133"/>
      <c r="H179" s="144"/>
      <c r="I179" s="133"/>
      <c r="J179" s="133"/>
      <c r="K179" s="143"/>
      <c r="L179" s="133"/>
      <c r="M179" s="142"/>
      <c r="N179" s="142"/>
      <c r="O179" s="141"/>
      <c r="P179" s="140"/>
    </row>
    <row r="180" spans="1:16" x14ac:dyDescent="0.35">
      <c r="A180" s="146"/>
      <c r="B180" s="143"/>
      <c r="C180" s="133"/>
      <c r="D180" s="133"/>
      <c r="E180" s="145"/>
      <c r="F180" s="145"/>
      <c r="G180" s="133"/>
      <c r="H180" s="144"/>
      <c r="I180" s="133"/>
      <c r="J180" s="133"/>
      <c r="K180" s="143"/>
      <c r="L180" s="133"/>
      <c r="M180" s="142"/>
      <c r="N180" s="142"/>
      <c r="O180" s="141"/>
      <c r="P180" s="140"/>
    </row>
    <row r="181" spans="1:16" x14ac:dyDescent="0.35">
      <c r="A181" s="146">
        <v>61</v>
      </c>
      <c r="B181" s="143">
        <v>45536</v>
      </c>
      <c r="C181" s="133" t="s">
        <v>1204</v>
      </c>
      <c r="D181" s="133" t="s">
        <v>1202</v>
      </c>
      <c r="E181" s="145" t="s">
        <v>1078</v>
      </c>
      <c r="F181" s="145">
        <v>399</v>
      </c>
      <c r="G181" s="133" t="s">
        <v>1094</v>
      </c>
      <c r="H181" s="144" t="s">
        <v>1093</v>
      </c>
      <c r="I181" s="133" t="s">
        <v>1092</v>
      </c>
      <c r="J181" s="133" t="s">
        <v>1182</v>
      </c>
      <c r="K181" s="143">
        <v>45658</v>
      </c>
      <c r="L181" s="133" t="s">
        <v>1092</v>
      </c>
      <c r="M181" s="142">
        <v>399</v>
      </c>
      <c r="N181" s="142">
        <f>+F181-M181</f>
        <v>0</v>
      </c>
      <c r="O181" s="141"/>
      <c r="P181" s="140"/>
    </row>
    <row r="182" spans="1:16" x14ac:dyDescent="0.35">
      <c r="A182" s="146"/>
      <c r="B182" s="143"/>
      <c r="C182" s="133"/>
      <c r="D182" s="133"/>
      <c r="E182" s="145"/>
      <c r="F182" s="145"/>
      <c r="G182" s="133"/>
      <c r="H182" s="144"/>
      <c r="I182" s="133"/>
      <c r="J182" s="133"/>
      <c r="K182" s="143"/>
      <c r="L182" s="133"/>
      <c r="M182" s="142"/>
      <c r="N182" s="142"/>
      <c r="O182" s="141"/>
      <c r="P182" s="140"/>
    </row>
    <row r="183" spans="1:16" x14ac:dyDescent="0.35">
      <c r="A183" s="146">
        <v>62</v>
      </c>
      <c r="B183" s="143">
        <v>45536</v>
      </c>
      <c r="C183" s="133" t="s">
        <v>1203</v>
      </c>
      <c r="D183" s="133" t="s">
        <v>1202</v>
      </c>
      <c r="E183" s="145" t="s">
        <v>1078</v>
      </c>
      <c r="F183" s="145">
        <v>593.11</v>
      </c>
      <c r="G183" s="133" t="s">
        <v>1094</v>
      </c>
      <c r="H183" s="144" t="s">
        <v>1093</v>
      </c>
      <c r="I183" s="133" t="s">
        <v>1092</v>
      </c>
      <c r="J183" s="133" t="s">
        <v>1182</v>
      </c>
      <c r="K183" s="143">
        <v>45658</v>
      </c>
      <c r="L183" s="133" t="s">
        <v>1092</v>
      </c>
      <c r="M183" s="142">
        <v>593.11</v>
      </c>
      <c r="N183" s="142">
        <f>+F183-M183</f>
        <v>0</v>
      </c>
      <c r="O183" s="141"/>
      <c r="P183" s="140"/>
    </row>
    <row r="184" spans="1:16" x14ac:dyDescent="0.35">
      <c r="A184" s="146"/>
      <c r="B184" s="143"/>
      <c r="C184" s="133"/>
      <c r="D184" s="133"/>
      <c r="E184" s="145"/>
      <c r="F184" s="145"/>
      <c r="G184" s="133"/>
      <c r="H184" s="144"/>
      <c r="I184" s="133"/>
      <c r="J184" s="133"/>
      <c r="K184" s="143"/>
      <c r="L184" s="133"/>
      <c r="M184" s="142"/>
      <c r="N184" s="142"/>
      <c r="O184" s="141"/>
      <c r="P184" s="140"/>
    </row>
    <row r="185" spans="1:16" x14ac:dyDescent="0.35">
      <c r="A185" s="146">
        <v>63</v>
      </c>
      <c r="B185" s="143">
        <v>45536</v>
      </c>
      <c r="C185" s="133" t="s">
        <v>1201</v>
      </c>
      <c r="D185" s="133" t="s">
        <v>1200</v>
      </c>
      <c r="E185" s="145" t="s">
        <v>1078</v>
      </c>
      <c r="F185" s="145">
        <v>4625</v>
      </c>
      <c r="G185" s="133" t="s">
        <v>1094</v>
      </c>
      <c r="H185" s="144" t="s">
        <v>1093</v>
      </c>
      <c r="I185" s="133" t="s">
        <v>1092</v>
      </c>
      <c r="J185" s="133" t="s">
        <v>1199</v>
      </c>
      <c r="K185" s="143">
        <v>45607</v>
      </c>
      <c r="L185" s="133" t="s">
        <v>1092</v>
      </c>
      <c r="M185" s="142">
        <v>7000</v>
      </c>
      <c r="N185" s="142">
        <f>+F185+F186-M185-M186</f>
        <v>0</v>
      </c>
      <c r="O185" s="141"/>
      <c r="P185" s="140"/>
    </row>
    <row r="186" spans="1:16" x14ac:dyDescent="0.35">
      <c r="A186" s="146"/>
      <c r="B186" s="143"/>
      <c r="C186" s="133"/>
      <c r="D186" s="133"/>
      <c r="E186" s="145" t="s">
        <v>1184</v>
      </c>
      <c r="F186" s="145">
        <v>7000</v>
      </c>
      <c r="G186" s="133" t="s">
        <v>1094</v>
      </c>
      <c r="H186" s="144" t="s">
        <v>1093</v>
      </c>
      <c r="I186" s="133" t="s">
        <v>1092</v>
      </c>
      <c r="J186" s="133" t="s">
        <v>1174</v>
      </c>
      <c r="K186" s="143">
        <v>45658</v>
      </c>
      <c r="L186" s="133" t="s">
        <v>1092</v>
      </c>
      <c r="M186" s="142">
        <v>4625</v>
      </c>
      <c r="N186" s="142"/>
      <c r="O186" s="141"/>
      <c r="P186" s="140"/>
    </row>
    <row r="187" spans="1:16" x14ac:dyDescent="0.35">
      <c r="A187" s="146"/>
      <c r="B187" s="143"/>
      <c r="C187" s="133"/>
      <c r="D187" s="133"/>
      <c r="E187" s="145"/>
      <c r="F187" s="145"/>
      <c r="G187" s="133"/>
      <c r="H187" s="144"/>
      <c r="I187" s="133"/>
      <c r="J187" s="133"/>
      <c r="K187" s="143"/>
      <c r="L187" s="133"/>
      <c r="M187" s="142"/>
      <c r="N187" s="142"/>
      <c r="O187" s="141"/>
      <c r="P187" s="140"/>
    </row>
    <row r="188" spans="1:16" x14ac:dyDescent="0.35">
      <c r="A188" s="146">
        <v>64</v>
      </c>
      <c r="B188" s="143">
        <v>45536</v>
      </c>
      <c r="C188" s="133" t="s">
        <v>1198</v>
      </c>
      <c r="D188" s="133" t="s">
        <v>1197</v>
      </c>
      <c r="E188" s="145" t="s">
        <v>46</v>
      </c>
      <c r="F188" s="158">
        <v>3000</v>
      </c>
      <c r="G188" s="133" t="s">
        <v>1094</v>
      </c>
      <c r="H188" s="144" t="s">
        <v>1093</v>
      </c>
      <c r="I188" s="133" t="s">
        <v>1092</v>
      </c>
      <c r="J188" s="133" t="s">
        <v>1182</v>
      </c>
      <c r="K188" s="143">
        <v>45658</v>
      </c>
      <c r="L188" s="133" t="s">
        <v>1092</v>
      </c>
      <c r="M188" s="142">
        <v>3000</v>
      </c>
      <c r="N188" s="142">
        <f>+F188-M188</f>
        <v>0</v>
      </c>
      <c r="O188" s="141"/>
      <c r="P188" s="140"/>
    </row>
    <row r="189" spans="1:16" x14ac:dyDescent="0.35">
      <c r="A189" s="146"/>
      <c r="B189" s="143"/>
      <c r="C189" s="133"/>
      <c r="D189" s="133"/>
      <c r="E189" s="145"/>
      <c r="F189" s="145"/>
      <c r="G189" s="133"/>
      <c r="H189" s="144"/>
      <c r="I189" s="133"/>
      <c r="J189" s="133"/>
      <c r="K189" s="143"/>
      <c r="L189" s="133"/>
      <c r="M189" s="142"/>
      <c r="N189" s="142"/>
      <c r="O189" s="141"/>
      <c r="P189" s="140"/>
    </row>
    <row r="190" spans="1:16" x14ac:dyDescent="0.35">
      <c r="A190" s="146">
        <v>65</v>
      </c>
      <c r="B190" s="143">
        <v>45536</v>
      </c>
      <c r="C190" s="133" t="s">
        <v>1196</v>
      </c>
      <c r="D190" s="133" t="s">
        <v>1195</v>
      </c>
      <c r="E190" s="145" t="s">
        <v>46</v>
      </c>
      <c r="F190" s="145">
        <v>1500</v>
      </c>
      <c r="G190" s="133" t="s">
        <v>1094</v>
      </c>
      <c r="H190" s="144" t="s">
        <v>1093</v>
      </c>
      <c r="I190" s="133" t="s">
        <v>1092</v>
      </c>
      <c r="J190" s="133" t="s">
        <v>1182</v>
      </c>
      <c r="K190" s="143">
        <v>45658</v>
      </c>
      <c r="L190" s="133" t="s">
        <v>1092</v>
      </c>
      <c r="M190" s="142">
        <v>1500</v>
      </c>
      <c r="N190" s="142">
        <f>+F190+F191-M190-M191</f>
        <v>0</v>
      </c>
      <c r="O190" s="141"/>
      <c r="P190" s="140"/>
    </row>
    <row r="191" spans="1:16" x14ac:dyDescent="0.35">
      <c r="A191" s="146"/>
      <c r="B191" s="143"/>
      <c r="C191" s="133"/>
      <c r="D191" s="133"/>
      <c r="E191" s="145" t="s">
        <v>1118</v>
      </c>
      <c r="F191" s="145">
        <v>2000</v>
      </c>
      <c r="G191" s="133" t="s">
        <v>1094</v>
      </c>
      <c r="H191" s="144" t="s">
        <v>1093</v>
      </c>
      <c r="I191" s="133" t="s">
        <v>1092</v>
      </c>
      <c r="J191" s="133" t="s">
        <v>1174</v>
      </c>
      <c r="K191" s="143">
        <v>45658</v>
      </c>
      <c r="L191" s="133" t="s">
        <v>1092</v>
      </c>
      <c r="M191" s="142">
        <v>2000</v>
      </c>
      <c r="N191" s="142"/>
      <c r="O191" s="141"/>
      <c r="P191" s="140"/>
    </row>
    <row r="192" spans="1:16" x14ac:dyDescent="0.35">
      <c r="A192" s="146"/>
      <c r="B192" s="143"/>
      <c r="C192" s="133"/>
      <c r="D192" s="133"/>
      <c r="E192" s="145"/>
      <c r="F192" s="145"/>
      <c r="G192" s="133"/>
      <c r="H192" s="144"/>
      <c r="I192" s="133"/>
      <c r="J192" s="133"/>
      <c r="K192" s="143"/>
      <c r="L192" s="133"/>
      <c r="M192" s="142"/>
      <c r="N192" s="142"/>
      <c r="O192" s="141"/>
      <c r="P192" s="140"/>
    </row>
    <row r="193" spans="1:16" x14ac:dyDescent="0.35">
      <c r="A193" s="146">
        <v>66</v>
      </c>
      <c r="B193" s="143">
        <v>45536</v>
      </c>
      <c r="C193" s="133" t="s">
        <v>1194</v>
      </c>
      <c r="D193" s="133" t="s">
        <v>1193</v>
      </c>
      <c r="E193" s="145" t="s">
        <v>1078</v>
      </c>
      <c r="F193" s="145">
        <v>426.7</v>
      </c>
      <c r="G193" s="133" t="s">
        <v>1094</v>
      </c>
      <c r="H193" s="144" t="s">
        <v>1093</v>
      </c>
      <c r="I193" s="133" t="s">
        <v>1092</v>
      </c>
      <c r="J193" s="133" t="s">
        <v>1182</v>
      </c>
      <c r="K193" s="143">
        <v>45658</v>
      </c>
      <c r="L193" s="133" t="s">
        <v>1092</v>
      </c>
      <c r="M193" s="142">
        <v>426.7</v>
      </c>
      <c r="N193" s="142">
        <f>+F193-M193</f>
        <v>0</v>
      </c>
      <c r="O193" s="141"/>
      <c r="P193" s="140"/>
    </row>
    <row r="194" spans="1:16" x14ac:dyDescent="0.35">
      <c r="A194" s="146"/>
      <c r="B194" s="143"/>
      <c r="C194" s="133"/>
      <c r="D194" s="133"/>
      <c r="E194" s="145"/>
      <c r="F194" s="145"/>
      <c r="G194" s="133"/>
      <c r="H194" s="144"/>
      <c r="I194" s="133"/>
      <c r="J194" s="133"/>
      <c r="K194" s="143"/>
      <c r="L194" s="133"/>
      <c r="M194" s="142"/>
      <c r="N194" s="142"/>
      <c r="O194" s="141"/>
      <c r="P194" s="140"/>
    </row>
    <row r="195" spans="1:16" x14ac:dyDescent="0.35">
      <c r="A195" s="156"/>
      <c r="B195" s="152"/>
      <c r="C195" s="151"/>
      <c r="D195" s="151"/>
      <c r="E195" s="154"/>
      <c r="F195" s="154"/>
      <c r="G195" s="151"/>
      <c r="H195" s="153"/>
      <c r="I195" s="151"/>
      <c r="J195" s="151"/>
      <c r="K195" s="152"/>
      <c r="L195" s="151"/>
      <c r="M195" s="150"/>
      <c r="N195" s="150"/>
      <c r="O195" s="141"/>
      <c r="P195" s="140"/>
    </row>
    <row r="196" spans="1:16" x14ac:dyDescent="0.35">
      <c r="A196" s="146"/>
      <c r="B196" s="143"/>
      <c r="C196" s="133"/>
      <c r="D196" s="133"/>
      <c r="E196" s="145"/>
      <c r="F196" s="145"/>
      <c r="G196" s="133"/>
      <c r="H196" s="144"/>
      <c r="I196" s="133"/>
      <c r="J196" s="133"/>
      <c r="K196" s="143"/>
      <c r="L196" s="133"/>
      <c r="M196" s="142"/>
      <c r="N196" s="142"/>
      <c r="O196" s="141"/>
      <c r="P196" s="140"/>
    </row>
    <row r="197" spans="1:16" x14ac:dyDescent="0.35">
      <c r="A197" s="146">
        <v>67</v>
      </c>
      <c r="B197" s="143">
        <v>45566</v>
      </c>
      <c r="C197" s="133" t="s">
        <v>1192</v>
      </c>
      <c r="D197" s="133" t="s">
        <v>1191</v>
      </c>
      <c r="E197" s="145" t="s">
        <v>55</v>
      </c>
      <c r="F197" s="145">
        <v>6000</v>
      </c>
      <c r="G197" s="133" t="s">
        <v>1094</v>
      </c>
      <c r="H197" s="144" t="s">
        <v>1093</v>
      </c>
      <c r="I197" s="133" t="s">
        <v>1092</v>
      </c>
      <c r="J197" s="133" t="s">
        <v>1182</v>
      </c>
      <c r="K197" s="143">
        <v>45658</v>
      </c>
      <c r="L197" s="133" t="s">
        <v>1092</v>
      </c>
      <c r="M197" s="142">
        <v>5302.47</v>
      </c>
      <c r="N197" s="147">
        <f>+F197-M197-M198</f>
        <v>0</v>
      </c>
      <c r="O197" s="141"/>
      <c r="P197" s="140"/>
    </row>
    <row r="198" spans="1:16" x14ac:dyDescent="0.35">
      <c r="A198" s="146"/>
      <c r="B198" s="143"/>
      <c r="C198" s="133"/>
      <c r="D198" s="133"/>
      <c r="E198" s="145"/>
      <c r="F198" s="145"/>
      <c r="G198" s="133" t="s">
        <v>1094</v>
      </c>
      <c r="H198" s="144" t="s">
        <v>1093</v>
      </c>
      <c r="I198" s="133" t="s">
        <v>1092</v>
      </c>
      <c r="J198" s="133" t="s">
        <v>1174</v>
      </c>
      <c r="K198" s="143">
        <v>45658</v>
      </c>
      <c r="L198" s="133" t="s">
        <v>1092</v>
      </c>
      <c r="M198" s="142">
        <v>697.53</v>
      </c>
      <c r="N198" s="142"/>
      <c r="O198" s="141"/>
      <c r="P198" s="140"/>
    </row>
    <row r="199" spans="1:16" x14ac:dyDescent="0.35">
      <c r="A199" s="146"/>
      <c r="B199" s="143"/>
      <c r="C199" s="133"/>
      <c r="D199" s="133"/>
      <c r="E199" s="145"/>
      <c r="F199" s="145"/>
      <c r="G199" s="133"/>
      <c r="H199" s="144"/>
      <c r="I199" s="133"/>
      <c r="J199" s="133"/>
      <c r="K199" s="143"/>
      <c r="L199" s="133"/>
      <c r="M199" s="142"/>
      <c r="N199" s="142"/>
      <c r="O199" s="141"/>
      <c r="P199" s="140"/>
    </row>
    <row r="200" spans="1:16" x14ac:dyDescent="0.35">
      <c r="A200" s="146">
        <v>68</v>
      </c>
      <c r="B200" s="143">
        <v>45566</v>
      </c>
      <c r="C200" s="133" t="s">
        <v>1190</v>
      </c>
      <c r="D200" s="133" t="s">
        <v>1189</v>
      </c>
      <c r="E200" s="145" t="s">
        <v>1078</v>
      </c>
      <c r="F200" s="145">
        <v>6000</v>
      </c>
      <c r="G200" s="133" t="s">
        <v>1094</v>
      </c>
      <c r="H200" s="144" t="s">
        <v>1093</v>
      </c>
      <c r="I200" s="133" t="s">
        <v>1092</v>
      </c>
      <c r="J200" s="133" t="s">
        <v>1183</v>
      </c>
      <c r="K200" s="143">
        <v>45627</v>
      </c>
      <c r="L200" s="133" t="s">
        <v>1092</v>
      </c>
      <c r="M200" s="142">
        <v>1500</v>
      </c>
      <c r="N200" s="147">
        <f>+F200+F201-M200-M201</f>
        <v>0</v>
      </c>
      <c r="O200" s="141"/>
      <c r="P200" s="140"/>
    </row>
    <row r="201" spans="1:16" x14ac:dyDescent="0.35">
      <c r="A201" s="146"/>
      <c r="B201" s="143"/>
      <c r="C201" s="133"/>
      <c r="D201" s="133"/>
      <c r="E201" s="145" t="s">
        <v>1184</v>
      </c>
      <c r="F201" s="145">
        <v>1500</v>
      </c>
      <c r="G201" s="133" t="s">
        <v>1094</v>
      </c>
      <c r="H201" s="144" t="s">
        <v>1093</v>
      </c>
      <c r="I201" s="133" t="s">
        <v>1092</v>
      </c>
      <c r="J201" s="133" t="s">
        <v>1174</v>
      </c>
      <c r="K201" s="143">
        <v>45658</v>
      </c>
      <c r="L201" s="133" t="s">
        <v>1092</v>
      </c>
      <c r="M201" s="142">
        <v>6000</v>
      </c>
      <c r="N201" s="142"/>
      <c r="O201" s="141"/>
      <c r="P201" s="140"/>
    </row>
    <row r="202" spans="1:16" x14ac:dyDescent="0.35">
      <c r="A202" s="146"/>
      <c r="B202" s="143"/>
      <c r="C202" s="133"/>
      <c r="D202" s="133"/>
      <c r="E202" s="145"/>
      <c r="F202" s="145"/>
      <c r="G202" s="133"/>
      <c r="H202" s="144"/>
      <c r="I202" s="133"/>
      <c r="J202" s="133"/>
      <c r="K202" s="143"/>
      <c r="L202" s="133"/>
      <c r="M202" s="142"/>
      <c r="N202" s="142"/>
      <c r="O202" s="141"/>
      <c r="P202" s="140"/>
    </row>
    <row r="203" spans="1:16" x14ac:dyDescent="0.35">
      <c r="A203" s="146">
        <v>69</v>
      </c>
      <c r="B203" s="143">
        <v>45566</v>
      </c>
      <c r="C203" s="133" t="s">
        <v>1188</v>
      </c>
      <c r="D203" s="133" t="s">
        <v>1187</v>
      </c>
      <c r="E203" s="145" t="s">
        <v>1184</v>
      </c>
      <c r="F203" s="145">
        <v>1500</v>
      </c>
      <c r="G203" s="133" t="s">
        <v>1094</v>
      </c>
      <c r="H203" s="144" t="s">
        <v>1093</v>
      </c>
      <c r="I203" s="133" t="s">
        <v>1092</v>
      </c>
      <c r="J203" s="133" t="s">
        <v>1183</v>
      </c>
      <c r="K203" s="143">
        <v>45627</v>
      </c>
      <c r="L203" s="133" t="s">
        <v>1092</v>
      </c>
      <c r="M203" s="142">
        <v>1500</v>
      </c>
      <c r="N203" s="142">
        <f>+F203-M203</f>
        <v>0</v>
      </c>
      <c r="O203" s="141"/>
      <c r="P203" s="140"/>
    </row>
    <row r="204" spans="1:16" x14ac:dyDescent="0.35">
      <c r="A204" s="146"/>
      <c r="B204" s="143"/>
      <c r="C204" s="133"/>
      <c r="D204" s="133"/>
      <c r="E204" s="145"/>
      <c r="F204" s="145"/>
      <c r="G204" s="133"/>
      <c r="H204" s="144"/>
      <c r="I204" s="133"/>
      <c r="J204" s="133"/>
      <c r="K204" s="143"/>
      <c r="L204" s="133"/>
      <c r="M204" s="142"/>
      <c r="N204" s="142"/>
      <c r="O204" s="141"/>
      <c r="P204" s="140"/>
    </row>
    <row r="205" spans="1:16" x14ac:dyDescent="0.35">
      <c r="A205" s="146">
        <v>70</v>
      </c>
      <c r="B205" s="143">
        <v>45566</v>
      </c>
      <c r="C205" s="133" t="s">
        <v>1186</v>
      </c>
      <c r="D205" s="133" t="s">
        <v>1185</v>
      </c>
      <c r="E205" s="145" t="s">
        <v>1184</v>
      </c>
      <c r="F205" s="145">
        <v>30000</v>
      </c>
      <c r="G205" s="133" t="s">
        <v>1094</v>
      </c>
      <c r="H205" s="144" t="s">
        <v>1093</v>
      </c>
      <c r="I205" s="133" t="s">
        <v>1092</v>
      </c>
      <c r="J205" s="133" t="s">
        <v>1183</v>
      </c>
      <c r="K205" s="143">
        <v>45627</v>
      </c>
      <c r="L205" s="133" t="s">
        <v>1092</v>
      </c>
      <c r="M205" s="142">
        <v>5510.26</v>
      </c>
      <c r="N205" s="147">
        <f>+F205-M205-M206-M207-M208</f>
        <v>0</v>
      </c>
      <c r="O205" s="141"/>
      <c r="P205" s="140"/>
    </row>
    <row r="206" spans="1:16" x14ac:dyDescent="0.35">
      <c r="A206" s="146"/>
      <c r="B206" s="143"/>
      <c r="C206" s="133"/>
      <c r="D206" s="133"/>
      <c r="E206" s="145"/>
      <c r="F206" s="145"/>
      <c r="G206" s="133" t="s">
        <v>1094</v>
      </c>
      <c r="H206" s="144" t="s">
        <v>1093</v>
      </c>
      <c r="I206" s="133" t="s">
        <v>1092</v>
      </c>
      <c r="J206" s="133" t="s">
        <v>1182</v>
      </c>
      <c r="K206" s="143">
        <v>45658</v>
      </c>
      <c r="L206" s="133" t="s">
        <v>1092</v>
      </c>
      <c r="M206" s="142">
        <v>2879.74</v>
      </c>
      <c r="N206" s="142"/>
      <c r="O206" s="141"/>
      <c r="P206" s="140"/>
    </row>
    <row r="207" spans="1:16" x14ac:dyDescent="0.35">
      <c r="A207" s="146"/>
      <c r="B207" s="143"/>
      <c r="C207" s="133"/>
      <c r="D207" s="133"/>
      <c r="E207" s="145"/>
      <c r="F207" s="145"/>
      <c r="G207" s="133" t="s">
        <v>1094</v>
      </c>
      <c r="H207" s="144" t="s">
        <v>1093</v>
      </c>
      <c r="I207" s="133" t="s">
        <v>1092</v>
      </c>
      <c r="J207" s="133" t="s">
        <v>1174</v>
      </c>
      <c r="K207" s="143">
        <v>45658</v>
      </c>
      <c r="L207" s="133" t="s">
        <v>1092</v>
      </c>
      <c r="M207" s="142">
        <v>4176.97</v>
      </c>
      <c r="N207" s="142"/>
      <c r="O207" s="141"/>
      <c r="P207" s="140"/>
    </row>
    <row r="208" spans="1:16" x14ac:dyDescent="0.35">
      <c r="A208" s="146"/>
      <c r="B208" s="143"/>
      <c r="C208" s="133"/>
      <c r="D208" s="133"/>
      <c r="E208" s="145"/>
      <c r="F208" s="145"/>
      <c r="G208" s="133" t="s">
        <v>1094</v>
      </c>
      <c r="H208" s="144" t="s">
        <v>1093</v>
      </c>
      <c r="I208" s="133" t="s">
        <v>1092</v>
      </c>
      <c r="J208" s="133" t="s">
        <v>1134</v>
      </c>
      <c r="K208" s="143">
        <v>45689</v>
      </c>
      <c r="L208" s="133" t="s">
        <v>1092</v>
      </c>
      <c r="M208" s="142">
        <v>17433.03</v>
      </c>
      <c r="N208" s="142"/>
      <c r="O208" s="141"/>
      <c r="P208" s="140"/>
    </row>
    <row r="209" spans="1:16" x14ac:dyDescent="0.35">
      <c r="A209" s="146"/>
      <c r="B209" s="143"/>
      <c r="C209" s="133"/>
      <c r="D209" s="133"/>
      <c r="E209" s="145"/>
      <c r="F209" s="145"/>
      <c r="G209" s="133"/>
      <c r="H209" s="144"/>
      <c r="I209" s="133"/>
      <c r="J209" s="133"/>
      <c r="K209" s="143"/>
      <c r="L209" s="133"/>
      <c r="M209" s="142"/>
      <c r="N209" s="142"/>
      <c r="O209" s="141"/>
      <c r="P209" s="140"/>
    </row>
    <row r="210" spans="1:16" x14ac:dyDescent="0.35">
      <c r="A210" s="146"/>
      <c r="B210" s="143"/>
      <c r="C210" s="133"/>
      <c r="D210" s="133"/>
      <c r="E210" s="145"/>
      <c r="F210" s="145"/>
      <c r="G210" s="133"/>
      <c r="H210" s="144"/>
      <c r="I210" s="133"/>
      <c r="J210" s="133"/>
      <c r="K210" s="143"/>
      <c r="L210" s="133"/>
      <c r="M210" s="142"/>
      <c r="N210" s="142"/>
      <c r="O210" s="141"/>
      <c r="P210" s="140"/>
    </row>
    <row r="211" spans="1:16" x14ac:dyDescent="0.35">
      <c r="A211" s="146">
        <v>71</v>
      </c>
      <c r="B211" s="143">
        <v>45566</v>
      </c>
      <c r="C211" s="133" t="s">
        <v>1181</v>
      </c>
      <c r="D211" s="133" t="s">
        <v>1180</v>
      </c>
      <c r="E211" s="145" t="s">
        <v>1071</v>
      </c>
      <c r="F211" s="145">
        <v>321</v>
      </c>
      <c r="G211" s="133" t="s">
        <v>1094</v>
      </c>
      <c r="H211" s="144" t="s">
        <v>1093</v>
      </c>
      <c r="I211" s="133" t="s">
        <v>1092</v>
      </c>
      <c r="J211" s="133" t="s">
        <v>1134</v>
      </c>
      <c r="K211" s="143">
        <v>45689</v>
      </c>
      <c r="L211" s="133" t="s">
        <v>1092</v>
      </c>
      <c r="M211" s="142">
        <v>321</v>
      </c>
      <c r="N211" s="142">
        <f>+F211-M211</f>
        <v>0</v>
      </c>
      <c r="O211" s="141"/>
      <c r="P211" s="140"/>
    </row>
    <row r="212" spans="1:16" x14ac:dyDescent="0.35">
      <c r="A212" s="146"/>
      <c r="B212" s="143"/>
      <c r="C212" s="133"/>
      <c r="D212" s="133"/>
      <c r="E212" s="145"/>
      <c r="F212" s="145"/>
      <c r="G212" s="133"/>
      <c r="H212" s="144"/>
      <c r="I212" s="133"/>
      <c r="J212" s="133"/>
      <c r="K212" s="143"/>
      <c r="L212" s="133"/>
      <c r="M212" s="142"/>
      <c r="N212" s="142"/>
      <c r="O212" s="141"/>
      <c r="P212" s="140"/>
    </row>
    <row r="213" spans="1:16" x14ac:dyDescent="0.35">
      <c r="A213" s="146">
        <v>72</v>
      </c>
      <c r="B213" s="143">
        <v>45566</v>
      </c>
      <c r="C213" s="133" t="s">
        <v>1179</v>
      </c>
      <c r="D213" s="133" t="s">
        <v>1178</v>
      </c>
      <c r="E213" s="145" t="s">
        <v>1171</v>
      </c>
      <c r="F213" s="145">
        <v>100</v>
      </c>
      <c r="G213" s="133" t="s">
        <v>1094</v>
      </c>
      <c r="H213" s="144" t="s">
        <v>1093</v>
      </c>
      <c r="I213" s="133" t="s">
        <v>1092</v>
      </c>
      <c r="J213" s="133" t="s">
        <v>1174</v>
      </c>
      <c r="K213" s="143">
        <v>45658</v>
      </c>
      <c r="L213" s="133" t="s">
        <v>1092</v>
      </c>
      <c r="M213" s="142">
        <v>1375</v>
      </c>
      <c r="N213" s="147">
        <f>+F213+F214+F215+F216+F217+F218-M213-M214</f>
        <v>0</v>
      </c>
      <c r="O213" s="141"/>
      <c r="P213" s="140"/>
    </row>
    <row r="214" spans="1:16" x14ac:dyDescent="0.35">
      <c r="A214" s="146"/>
      <c r="B214" s="143"/>
      <c r="C214" s="133"/>
      <c r="D214" s="133"/>
      <c r="E214" s="145" t="s">
        <v>1171</v>
      </c>
      <c r="F214" s="145">
        <v>100</v>
      </c>
      <c r="G214" s="133" t="s">
        <v>1094</v>
      </c>
      <c r="H214" s="144" t="s">
        <v>1093</v>
      </c>
      <c r="I214" s="133" t="s">
        <v>1092</v>
      </c>
      <c r="J214" s="133" t="s">
        <v>1134</v>
      </c>
      <c r="K214" s="143">
        <v>45689</v>
      </c>
      <c r="L214" s="133" t="s">
        <v>1092</v>
      </c>
      <c r="M214" s="142">
        <v>550</v>
      </c>
      <c r="N214" s="142"/>
      <c r="O214" s="141"/>
      <c r="P214" s="140"/>
    </row>
    <row r="215" spans="1:16" x14ac:dyDescent="0.35">
      <c r="A215" s="146"/>
      <c r="B215" s="143"/>
      <c r="C215" s="133"/>
      <c r="D215" s="133"/>
      <c r="E215" s="145" t="s">
        <v>1171</v>
      </c>
      <c r="F215" s="145">
        <v>100</v>
      </c>
      <c r="G215" s="133"/>
      <c r="H215" s="144"/>
      <c r="I215" s="133"/>
      <c r="J215" s="133"/>
      <c r="K215" s="143"/>
      <c r="L215" s="133"/>
      <c r="M215" s="142"/>
      <c r="N215" s="142"/>
      <c r="O215" s="141"/>
      <c r="P215" s="140"/>
    </row>
    <row r="216" spans="1:16" x14ac:dyDescent="0.35">
      <c r="A216" s="146"/>
      <c r="B216" s="143"/>
      <c r="C216" s="133"/>
      <c r="D216" s="133"/>
      <c r="E216" s="145" t="s">
        <v>1171</v>
      </c>
      <c r="F216" s="145">
        <v>100</v>
      </c>
      <c r="G216" s="133"/>
      <c r="H216" s="144"/>
      <c r="I216" s="133"/>
      <c r="J216" s="133"/>
      <c r="K216" s="143"/>
      <c r="L216" s="133"/>
      <c r="M216" s="142"/>
      <c r="N216" s="142"/>
      <c r="O216" s="141"/>
      <c r="P216" s="140"/>
    </row>
    <row r="217" spans="1:16" x14ac:dyDescent="0.35">
      <c r="A217" s="146"/>
      <c r="B217" s="143"/>
      <c r="C217" s="133"/>
      <c r="D217" s="133"/>
      <c r="E217" s="145" t="s">
        <v>1171</v>
      </c>
      <c r="F217" s="145">
        <v>150</v>
      </c>
      <c r="G217" s="133"/>
      <c r="H217" s="144"/>
      <c r="I217" s="133"/>
      <c r="J217" s="133"/>
      <c r="K217" s="143"/>
      <c r="L217" s="133"/>
      <c r="M217" s="142"/>
      <c r="N217" s="142"/>
      <c r="O217" s="141"/>
      <c r="P217" s="140"/>
    </row>
    <row r="218" spans="1:16" x14ac:dyDescent="0.35">
      <c r="A218" s="146"/>
      <c r="B218" s="143"/>
      <c r="C218" s="133"/>
      <c r="D218" s="133"/>
      <c r="E218" s="145" t="s">
        <v>46</v>
      </c>
      <c r="F218" s="145">
        <v>1375</v>
      </c>
      <c r="G218" s="133"/>
      <c r="H218" s="144"/>
      <c r="I218" s="133"/>
      <c r="J218" s="133"/>
      <c r="K218" s="143"/>
      <c r="L218" s="133"/>
      <c r="M218" s="142"/>
      <c r="N218" s="142"/>
      <c r="O218" s="141"/>
      <c r="P218" s="140"/>
    </row>
    <row r="219" spans="1:16" x14ac:dyDescent="0.35">
      <c r="A219" s="146"/>
      <c r="B219" s="143"/>
      <c r="C219" s="133"/>
      <c r="D219" s="133"/>
      <c r="E219" s="145"/>
      <c r="F219" s="145"/>
      <c r="G219" s="133"/>
      <c r="H219" s="144"/>
      <c r="I219" s="133"/>
      <c r="J219" s="133"/>
      <c r="K219" s="143"/>
      <c r="L219" s="133"/>
      <c r="M219" s="142"/>
      <c r="N219" s="142"/>
      <c r="O219" s="141"/>
      <c r="P219" s="140"/>
    </row>
    <row r="220" spans="1:16" x14ac:dyDescent="0.35">
      <c r="A220" s="146">
        <v>73</v>
      </c>
      <c r="B220" s="143">
        <v>45566</v>
      </c>
      <c r="C220" s="133" t="s">
        <v>1177</v>
      </c>
      <c r="D220" s="133" t="s">
        <v>1175</v>
      </c>
      <c r="E220" s="145" t="s">
        <v>1112</v>
      </c>
      <c r="F220" s="145">
        <v>127.5</v>
      </c>
      <c r="G220" s="133" t="s">
        <v>1094</v>
      </c>
      <c r="H220" s="144" t="s">
        <v>1093</v>
      </c>
      <c r="I220" s="133" t="s">
        <v>1092</v>
      </c>
      <c r="J220" s="133" t="s">
        <v>1174</v>
      </c>
      <c r="K220" s="143">
        <v>45658</v>
      </c>
      <c r="L220" s="133" t="s">
        <v>1092</v>
      </c>
      <c r="M220" s="142">
        <v>580.5</v>
      </c>
      <c r="N220" s="142">
        <f>+F220+F221-M220</f>
        <v>0</v>
      </c>
      <c r="O220" s="141"/>
      <c r="P220" s="140"/>
    </row>
    <row r="221" spans="1:16" x14ac:dyDescent="0.35">
      <c r="A221" s="146"/>
      <c r="B221" s="143"/>
      <c r="C221" s="133"/>
      <c r="D221" s="133"/>
      <c r="E221" s="145" t="s">
        <v>1067</v>
      </c>
      <c r="F221" s="145">
        <v>453</v>
      </c>
      <c r="G221" s="133"/>
      <c r="H221" s="144"/>
      <c r="I221" s="133"/>
      <c r="J221" s="133"/>
      <c r="K221" s="143"/>
      <c r="L221" s="133"/>
      <c r="M221" s="142"/>
      <c r="N221" s="142"/>
      <c r="O221" s="141"/>
      <c r="P221" s="140"/>
    </row>
    <row r="222" spans="1:16" x14ac:dyDescent="0.35">
      <c r="A222" s="146"/>
      <c r="B222" s="143"/>
      <c r="C222" s="133"/>
      <c r="D222" s="133"/>
      <c r="E222" s="145"/>
      <c r="F222" s="145"/>
      <c r="G222" s="133"/>
      <c r="H222" s="144"/>
      <c r="I222" s="133"/>
      <c r="J222" s="133"/>
      <c r="K222" s="143"/>
      <c r="L222" s="133"/>
      <c r="M222" s="142"/>
      <c r="N222" s="142"/>
      <c r="O222" s="141"/>
      <c r="P222" s="140"/>
    </row>
    <row r="223" spans="1:16" x14ac:dyDescent="0.35">
      <c r="A223" s="146">
        <v>74</v>
      </c>
      <c r="B223" s="143">
        <v>45566</v>
      </c>
      <c r="C223" s="133" t="s">
        <v>1176</v>
      </c>
      <c r="D223" s="133" t="s">
        <v>1175</v>
      </c>
      <c r="E223" s="145" t="s">
        <v>46</v>
      </c>
      <c r="F223" s="145">
        <v>8625</v>
      </c>
      <c r="G223" s="133" t="s">
        <v>1094</v>
      </c>
      <c r="H223" s="144" t="s">
        <v>1093</v>
      </c>
      <c r="I223" s="133" t="s">
        <v>1092</v>
      </c>
      <c r="J223" s="133" t="s">
        <v>1174</v>
      </c>
      <c r="K223" s="143">
        <v>45658</v>
      </c>
      <c r="L223" s="133" t="s">
        <v>1092</v>
      </c>
      <c r="M223" s="142">
        <v>8625</v>
      </c>
      <c r="N223" s="142">
        <f>+F223-M223</f>
        <v>0</v>
      </c>
      <c r="O223" s="141"/>
      <c r="P223" s="140"/>
    </row>
    <row r="224" spans="1:16" x14ac:dyDescent="0.35">
      <c r="A224" s="146"/>
      <c r="B224" s="143"/>
      <c r="C224" s="133"/>
      <c r="D224" s="133"/>
      <c r="E224" s="145"/>
      <c r="F224" s="145"/>
      <c r="G224" s="133"/>
      <c r="H224" s="144"/>
      <c r="I224" s="133"/>
      <c r="J224" s="133"/>
      <c r="K224" s="143"/>
      <c r="L224" s="133"/>
      <c r="M224" s="142"/>
      <c r="N224" s="142"/>
      <c r="O224" s="141"/>
      <c r="P224" s="140"/>
    </row>
    <row r="225" spans="1:16" x14ac:dyDescent="0.35">
      <c r="A225" s="146">
        <v>75</v>
      </c>
      <c r="B225" s="143">
        <v>45566</v>
      </c>
      <c r="C225" s="133" t="s">
        <v>1173</v>
      </c>
      <c r="D225" s="133" t="s">
        <v>1172</v>
      </c>
      <c r="E225" s="145" t="s">
        <v>1171</v>
      </c>
      <c r="F225" s="145">
        <v>25</v>
      </c>
      <c r="G225" s="133" t="s">
        <v>1094</v>
      </c>
      <c r="H225" s="144" t="s">
        <v>1093</v>
      </c>
      <c r="I225" s="133" t="s">
        <v>1092</v>
      </c>
      <c r="J225" s="133" t="s">
        <v>1134</v>
      </c>
      <c r="K225" s="143">
        <v>45689</v>
      </c>
      <c r="L225" s="133" t="s">
        <v>1092</v>
      </c>
      <c r="M225" s="142">
        <v>210.9</v>
      </c>
      <c r="N225" s="142">
        <f>+F225+F226+F227-M225</f>
        <v>0</v>
      </c>
      <c r="O225" s="141"/>
      <c r="P225" s="140"/>
    </row>
    <row r="226" spans="1:16" x14ac:dyDescent="0.35">
      <c r="A226" s="146"/>
      <c r="B226" s="143"/>
      <c r="C226" s="133"/>
      <c r="D226" s="133"/>
      <c r="E226" s="145" t="s">
        <v>1171</v>
      </c>
      <c r="F226" s="145">
        <v>25</v>
      </c>
      <c r="G226" s="133"/>
      <c r="H226" s="144"/>
      <c r="I226" s="133"/>
      <c r="J226" s="133"/>
      <c r="K226" s="143"/>
      <c r="L226" s="133"/>
      <c r="M226" s="142"/>
      <c r="N226" s="142"/>
      <c r="O226" s="141"/>
      <c r="P226" s="140"/>
    </row>
    <row r="227" spans="1:16" x14ac:dyDescent="0.35">
      <c r="A227" s="146"/>
      <c r="B227" s="143"/>
      <c r="C227" s="133"/>
      <c r="D227" s="133"/>
      <c r="E227" s="145" t="s">
        <v>1071</v>
      </c>
      <c r="F227" s="145">
        <v>160.9</v>
      </c>
      <c r="G227" s="133"/>
      <c r="H227" s="144"/>
      <c r="I227" s="133"/>
      <c r="J227" s="133"/>
      <c r="K227" s="143"/>
      <c r="L227" s="133"/>
      <c r="M227" s="142"/>
      <c r="N227" s="142"/>
      <c r="O227" s="141"/>
      <c r="P227" s="140"/>
    </row>
    <row r="228" spans="1:16" x14ac:dyDescent="0.35">
      <c r="A228" s="146"/>
      <c r="B228" s="143"/>
      <c r="C228" s="133"/>
      <c r="D228" s="133"/>
      <c r="E228" s="145"/>
      <c r="F228" s="145"/>
      <c r="G228" s="133"/>
      <c r="H228" s="144"/>
      <c r="I228" s="133"/>
      <c r="J228" s="133"/>
      <c r="K228" s="143"/>
      <c r="L228" s="133"/>
      <c r="M228" s="142"/>
      <c r="N228" s="142"/>
      <c r="O228" s="141"/>
      <c r="P228" s="140"/>
    </row>
    <row r="229" spans="1:16" x14ac:dyDescent="0.35">
      <c r="A229" s="156"/>
      <c r="B229" s="152"/>
      <c r="C229" s="151"/>
      <c r="D229" s="151"/>
      <c r="E229" s="154"/>
      <c r="F229" s="154"/>
      <c r="G229" s="151"/>
      <c r="H229" s="153"/>
      <c r="I229" s="151"/>
      <c r="J229" s="151"/>
      <c r="K229" s="152"/>
      <c r="L229" s="151"/>
      <c r="M229" s="150"/>
      <c r="N229" s="150"/>
      <c r="O229" s="141"/>
      <c r="P229" s="140"/>
    </row>
    <row r="230" spans="1:16" x14ac:dyDescent="0.35">
      <c r="A230" s="146"/>
      <c r="B230" s="143"/>
      <c r="C230" s="133"/>
      <c r="D230" s="133"/>
      <c r="E230" s="145"/>
      <c r="F230" s="145"/>
      <c r="G230" s="133"/>
      <c r="H230" s="144"/>
      <c r="I230" s="133"/>
      <c r="J230" s="133"/>
      <c r="K230" s="143"/>
      <c r="L230" s="133"/>
      <c r="M230" s="142"/>
      <c r="N230" s="142"/>
      <c r="O230" s="141"/>
      <c r="P230" s="140"/>
    </row>
    <row r="231" spans="1:16" x14ac:dyDescent="0.35">
      <c r="A231" s="146">
        <v>76</v>
      </c>
      <c r="B231" s="143">
        <v>45597</v>
      </c>
      <c r="C231" s="133" t="s">
        <v>1170</v>
      </c>
      <c r="D231" s="133" t="s">
        <v>1169</v>
      </c>
      <c r="E231" s="145" t="s">
        <v>1071</v>
      </c>
      <c r="F231" s="145">
        <v>167.3</v>
      </c>
      <c r="G231" s="133" t="s">
        <v>1094</v>
      </c>
      <c r="H231" s="144" t="s">
        <v>1093</v>
      </c>
      <c r="I231" s="133" t="s">
        <v>1092</v>
      </c>
      <c r="J231" s="133" t="s">
        <v>1134</v>
      </c>
      <c r="K231" s="143">
        <v>45689</v>
      </c>
      <c r="L231" s="133" t="s">
        <v>1092</v>
      </c>
      <c r="M231" s="142">
        <v>942.2</v>
      </c>
      <c r="N231" s="142">
        <f>+F231+F232+F233-M231</f>
        <v>0</v>
      </c>
      <c r="O231" s="141"/>
      <c r="P231" s="140"/>
    </row>
    <row r="232" spans="1:16" x14ac:dyDescent="0.35">
      <c r="A232" s="146"/>
      <c r="B232" s="143"/>
      <c r="C232" s="133"/>
      <c r="D232" s="133"/>
      <c r="E232" s="145" t="s">
        <v>1067</v>
      </c>
      <c r="F232" s="145">
        <v>759.1</v>
      </c>
      <c r="G232" s="133"/>
      <c r="H232" s="144"/>
      <c r="I232" s="133"/>
      <c r="J232" s="133"/>
      <c r="K232" s="143"/>
      <c r="L232" s="133"/>
      <c r="M232" s="142"/>
      <c r="N232" s="142"/>
      <c r="O232" s="141"/>
      <c r="P232" s="140"/>
    </row>
    <row r="233" spans="1:16" x14ac:dyDescent="0.35">
      <c r="A233" s="146"/>
      <c r="B233" s="143"/>
      <c r="C233" s="133"/>
      <c r="D233" s="133"/>
      <c r="E233" s="145" t="s">
        <v>1168</v>
      </c>
      <c r="F233" s="145">
        <v>15.8</v>
      </c>
      <c r="G233" s="133"/>
      <c r="H233" s="144"/>
      <c r="I233" s="133"/>
      <c r="J233" s="133"/>
      <c r="K233" s="143"/>
      <c r="L233" s="133"/>
      <c r="M233" s="142"/>
      <c r="N233" s="142"/>
      <c r="O233" s="141"/>
      <c r="P233" s="140"/>
    </row>
    <row r="234" spans="1:16" x14ac:dyDescent="0.35">
      <c r="A234" s="146"/>
      <c r="B234" s="143"/>
      <c r="C234" s="133"/>
      <c r="D234" s="133"/>
      <c r="E234" s="145"/>
      <c r="F234" s="145"/>
      <c r="G234" s="133"/>
      <c r="H234" s="144"/>
      <c r="I234" s="133"/>
      <c r="J234" s="133"/>
      <c r="K234" s="143"/>
      <c r="L234" s="133"/>
      <c r="M234" s="142"/>
      <c r="N234" s="142"/>
      <c r="O234" s="141"/>
      <c r="P234" s="140"/>
    </row>
    <row r="235" spans="1:16" x14ac:dyDescent="0.35">
      <c r="A235" s="146">
        <v>77</v>
      </c>
      <c r="B235" s="143">
        <v>45597</v>
      </c>
      <c r="C235" s="133" t="s">
        <v>1167</v>
      </c>
      <c r="D235" s="133" t="s">
        <v>1166</v>
      </c>
      <c r="E235" s="145" t="s">
        <v>1071</v>
      </c>
      <c r="F235" s="145">
        <v>296.89999999999998</v>
      </c>
      <c r="G235" s="133" t="s">
        <v>1094</v>
      </c>
      <c r="H235" s="144" t="s">
        <v>1093</v>
      </c>
      <c r="I235" s="133" t="s">
        <v>1092</v>
      </c>
      <c r="J235" s="133" t="s">
        <v>1134</v>
      </c>
      <c r="K235" s="143">
        <v>45689</v>
      </c>
      <c r="L235" s="133" t="s">
        <v>1092</v>
      </c>
      <c r="M235" s="142">
        <v>3296.9</v>
      </c>
      <c r="N235" s="142">
        <f>+F235+F236-M235</f>
        <v>0</v>
      </c>
      <c r="O235" s="141"/>
      <c r="P235" s="140"/>
    </row>
    <row r="236" spans="1:16" x14ac:dyDescent="0.35">
      <c r="A236" s="146"/>
      <c r="B236" s="143"/>
      <c r="C236" s="133"/>
      <c r="D236" s="133"/>
      <c r="E236" s="145" t="s">
        <v>1165</v>
      </c>
      <c r="F236" s="145">
        <v>3000</v>
      </c>
      <c r="G236" s="133"/>
      <c r="H236" s="144"/>
      <c r="I236" s="133"/>
      <c r="J236" s="133"/>
      <c r="K236" s="143"/>
      <c r="L236" s="133"/>
      <c r="M236" s="142"/>
      <c r="N236" s="142"/>
      <c r="O236" s="141"/>
      <c r="P236" s="140"/>
    </row>
    <row r="237" spans="1:16" x14ac:dyDescent="0.35">
      <c r="A237" s="146"/>
      <c r="B237" s="143"/>
      <c r="C237" s="133"/>
      <c r="D237" s="133"/>
      <c r="E237" s="145"/>
      <c r="F237" s="145"/>
      <c r="G237" s="133"/>
      <c r="H237" s="144"/>
      <c r="I237" s="133"/>
      <c r="J237" s="133"/>
      <c r="K237" s="143"/>
      <c r="L237" s="133"/>
      <c r="M237" s="142"/>
      <c r="N237" s="142"/>
      <c r="O237" s="141"/>
      <c r="P237" s="140"/>
    </row>
    <row r="238" spans="1:16" x14ac:dyDescent="0.35">
      <c r="A238" s="146">
        <v>78</v>
      </c>
      <c r="B238" s="143">
        <v>45597</v>
      </c>
      <c r="C238" s="133" t="s">
        <v>1164</v>
      </c>
      <c r="D238" s="133" t="s">
        <v>1163</v>
      </c>
      <c r="E238" s="145" t="s">
        <v>1112</v>
      </c>
      <c r="F238" s="145">
        <v>289.2</v>
      </c>
      <c r="G238" s="133" t="s">
        <v>1094</v>
      </c>
      <c r="H238" s="144" t="s">
        <v>1093</v>
      </c>
      <c r="I238" s="133" t="s">
        <v>1092</v>
      </c>
      <c r="J238" s="133" t="s">
        <v>1134</v>
      </c>
      <c r="K238" s="143">
        <v>45689</v>
      </c>
      <c r="L238" s="133" t="s">
        <v>1092</v>
      </c>
      <c r="M238" s="142">
        <v>289.2</v>
      </c>
      <c r="N238" s="142">
        <f>+F238-M238</f>
        <v>0</v>
      </c>
      <c r="O238" s="141"/>
      <c r="P238" s="140"/>
    </row>
    <row r="239" spans="1:16" x14ac:dyDescent="0.35">
      <c r="A239" s="146"/>
      <c r="B239" s="143"/>
      <c r="C239" s="133"/>
      <c r="D239" s="133"/>
      <c r="E239" s="145"/>
      <c r="F239" s="145"/>
      <c r="G239" s="133"/>
      <c r="H239" s="144"/>
      <c r="I239" s="133"/>
      <c r="J239" s="133"/>
      <c r="K239" s="143"/>
      <c r="L239" s="133"/>
      <c r="M239" s="142"/>
      <c r="N239" s="142"/>
      <c r="O239" s="141"/>
      <c r="P239" s="140"/>
    </row>
    <row r="240" spans="1:16" x14ac:dyDescent="0.35">
      <c r="A240" s="146">
        <v>79</v>
      </c>
      <c r="B240" s="143">
        <v>45597</v>
      </c>
      <c r="C240" s="133" t="s">
        <v>1162</v>
      </c>
      <c r="D240" s="133" t="s">
        <v>1161</v>
      </c>
      <c r="E240" s="145" t="s">
        <v>1112</v>
      </c>
      <c r="F240" s="145">
        <v>179.6</v>
      </c>
      <c r="G240" s="133" t="s">
        <v>1094</v>
      </c>
      <c r="H240" s="144" t="s">
        <v>1093</v>
      </c>
      <c r="I240" s="133" t="s">
        <v>1092</v>
      </c>
      <c r="J240" s="133" t="s">
        <v>1134</v>
      </c>
      <c r="K240" s="143">
        <v>45689</v>
      </c>
      <c r="L240" s="133" t="s">
        <v>1092</v>
      </c>
      <c r="M240" s="142">
        <v>179.6</v>
      </c>
      <c r="N240" s="142">
        <f>+F240-M240</f>
        <v>0</v>
      </c>
      <c r="O240" s="141"/>
      <c r="P240" s="140"/>
    </row>
    <row r="241" spans="1:16" x14ac:dyDescent="0.35">
      <c r="A241" s="146"/>
      <c r="B241" s="143"/>
      <c r="C241" s="133"/>
      <c r="D241" s="133"/>
      <c r="E241" s="145"/>
      <c r="F241" s="145"/>
      <c r="G241" s="133"/>
      <c r="H241" s="144"/>
      <c r="I241" s="133"/>
      <c r="J241" s="133"/>
      <c r="K241" s="143"/>
      <c r="L241" s="133"/>
      <c r="M241" s="142"/>
      <c r="N241" s="142"/>
      <c r="O241" s="141"/>
      <c r="P241" s="140"/>
    </row>
    <row r="242" spans="1:16" x14ac:dyDescent="0.35">
      <c r="A242" s="146">
        <v>80</v>
      </c>
      <c r="B242" s="143">
        <v>45597</v>
      </c>
      <c r="C242" s="133" t="s">
        <v>1160</v>
      </c>
      <c r="D242" s="133" t="s">
        <v>1158</v>
      </c>
      <c r="E242" s="145" t="s">
        <v>1112</v>
      </c>
      <c r="F242" s="145">
        <v>399.1</v>
      </c>
      <c r="G242" s="133" t="s">
        <v>1094</v>
      </c>
      <c r="H242" s="144" t="s">
        <v>1093</v>
      </c>
      <c r="I242" s="133" t="s">
        <v>1092</v>
      </c>
      <c r="J242" s="133" t="s">
        <v>1134</v>
      </c>
      <c r="K242" s="143">
        <v>45689</v>
      </c>
      <c r="L242" s="133" t="s">
        <v>1092</v>
      </c>
      <c r="M242" s="142">
        <v>399.1</v>
      </c>
      <c r="N242" s="142">
        <f>+F242-M242</f>
        <v>0</v>
      </c>
      <c r="O242" s="141"/>
      <c r="P242" s="140"/>
    </row>
    <row r="243" spans="1:16" x14ac:dyDescent="0.35">
      <c r="A243" s="146"/>
      <c r="B243" s="143"/>
      <c r="C243" s="133"/>
      <c r="D243" s="133"/>
      <c r="E243" s="145"/>
      <c r="F243" s="145"/>
      <c r="G243" s="133"/>
      <c r="H243" s="144"/>
      <c r="I243" s="133"/>
      <c r="J243" s="133"/>
      <c r="K243" s="143"/>
      <c r="L243" s="133"/>
      <c r="M243" s="142"/>
      <c r="N243" s="142"/>
      <c r="O243" s="141"/>
      <c r="P243" s="140"/>
    </row>
    <row r="244" spans="1:16" x14ac:dyDescent="0.35">
      <c r="A244" s="146">
        <v>81</v>
      </c>
      <c r="B244" s="143">
        <v>45597</v>
      </c>
      <c r="C244" s="133" t="s">
        <v>1159</v>
      </c>
      <c r="D244" s="133" t="s">
        <v>1158</v>
      </c>
      <c r="E244" s="145" t="s">
        <v>1071</v>
      </c>
      <c r="F244" s="145">
        <v>22.9</v>
      </c>
      <c r="G244" s="133" t="s">
        <v>1094</v>
      </c>
      <c r="H244" s="144" t="s">
        <v>1093</v>
      </c>
      <c r="I244" s="133" t="s">
        <v>1092</v>
      </c>
      <c r="J244" s="133" t="s">
        <v>1134</v>
      </c>
      <c r="K244" s="143">
        <v>45689</v>
      </c>
      <c r="L244" s="133" t="s">
        <v>1092</v>
      </c>
      <c r="M244" s="142">
        <v>22.9</v>
      </c>
      <c r="N244" s="142">
        <f>+F244-M244</f>
        <v>0</v>
      </c>
      <c r="O244" s="141"/>
      <c r="P244" s="140"/>
    </row>
    <row r="245" spans="1:16" x14ac:dyDescent="0.35">
      <c r="A245" s="146"/>
      <c r="B245" s="143"/>
      <c r="C245" s="133"/>
      <c r="D245" s="133"/>
      <c r="E245" s="145"/>
      <c r="F245" s="145"/>
      <c r="G245" s="133"/>
      <c r="H245" s="144"/>
      <c r="I245" s="133"/>
      <c r="J245" s="133"/>
      <c r="K245" s="143"/>
      <c r="L245" s="133"/>
      <c r="M245" s="142"/>
      <c r="N245" s="142"/>
      <c r="O245" s="141"/>
      <c r="P245" s="140"/>
    </row>
    <row r="246" spans="1:16" x14ac:dyDescent="0.35">
      <c r="A246" s="156"/>
      <c r="B246" s="152"/>
      <c r="C246" s="151"/>
      <c r="D246" s="151"/>
      <c r="E246" s="154"/>
      <c r="F246" s="154"/>
      <c r="G246" s="151"/>
      <c r="H246" s="153"/>
      <c r="I246" s="151"/>
      <c r="J246" s="151"/>
      <c r="K246" s="152"/>
      <c r="L246" s="151"/>
      <c r="M246" s="150"/>
      <c r="N246" s="150"/>
      <c r="O246" s="141"/>
      <c r="P246" s="140"/>
    </row>
    <row r="247" spans="1:16" x14ac:dyDescent="0.35">
      <c r="A247" s="146"/>
      <c r="B247" s="143"/>
      <c r="C247" s="133"/>
      <c r="D247" s="133"/>
      <c r="E247" s="145"/>
      <c r="F247" s="145"/>
      <c r="G247" s="133"/>
      <c r="H247" s="144"/>
      <c r="I247" s="133"/>
      <c r="J247" s="133"/>
      <c r="K247" s="143"/>
      <c r="L247" s="133"/>
      <c r="M247" s="142"/>
      <c r="N247" s="142"/>
      <c r="O247" s="141"/>
      <c r="P247" s="140"/>
    </row>
    <row r="248" spans="1:16" x14ac:dyDescent="0.35">
      <c r="A248" s="146">
        <v>82</v>
      </c>
      <c r="B248" s="143">
        <v>45627</v>
      </c>
      <c r="C248" s="133" t="s">
        <v>1157</v>
      </c>
      <c r="D248" s="133" t="s">
        <v>1156</v>
      </c>
      <c r="E248" s="145" t="s">
        <v>1112</v>
      </c>
      <c r="F248" s="145">
        <v>2106.5</v>
      </c>
      <c r="G248" s="133" t="s">
        <v>1094</v>
      </c>
      <c r="H248" s="144" t="s">
        <v>1093</v>
      </c>
      <c r="I248" s="133" t="s">
        <v>1092</v>
      </c>
      <c r="J248" s="133" t="s">
        <v>1134</v>
      </c>
      <c r="K248" s="143">
        <v>45689</v>
      </c>
      <c r="L248" s="133" t="s">
        <v>1092</v>
      </c>
      <c r="M248" s="142">
        <v>2106.5</v>
      </c>
      <c r="N248" s="142">
        <f>+F248-M248</f>
        <v>0</v>
      </c>
      <c r="O248" s="141"/>
      <c r="P248" s="140"/>
    </row>
    <row r="249" spans="1:16" x14ac:dyDescent="0.35">
      <c r="A249" s="146"/>
      <c r="B249" s="143"/>
      <c r="C249" s="133"/>
      <c r="D249" s="133"/>
      <c r="E249" s="145"/>
      <c r="F249" s="145"/>
      <c r="G249" s="133"/>
      <c r="H249" s="144"/>
      <c r="I249" s="133"/>
      <c r="J249" s="133"/>
      <c r="K249" s="143"/>
      <c r="L249" s="133"/>
      <c r="M249" s="142"/>
      <c r="N249" s="142"/>
      <c r="O249" s="141"/>
      <c r="P249" s="140"/>
    </row>
    <row r="250" spans="1:16" x14ac:dyDescent="0.35">
      <c r="A250" s="146">
        <v>83</v>
      </c>
      <c r="B250" s="143">
        <v>45627</v>
      </c>
      <c r="C250" s="133" t="s">
        <v>1155</v>
      </c>
      <c r="D250" s="133" t="s">
        <v>1154</v>
      </c>
      <c r="E250" s="145" t="s">
        <v>1112</v>
      </c>
      <c r="F250" s="145">
        <v>459.5</v>
      </c>
      <c r="G250" s="133" t="s">
        <v>1094</v>
      </c>
      <c r="H250" s="144" t="s">
        <v>1093</v>
      </c>
      <c r="I250" s="133" t="s">
        <v>1092</v>
      </c>
      <c r="J250" s="133" t="s">
        <v>1134</v>
      </c>
      <c r="K250" s="143">
        <v>45689</v>
      </c>
      <c r="L250" s="133" t="s">
        <v>1092</v>
      </c>
      <c r="M250" s="142">
        <v>459.5</v>
      </c>
      <c r="N250" s="142">
        <f>+F250-M250</f>
        <v>0</v>
      </c>
      <c r="O250" s="141"/>
      <c r="P250" s="140"/>
    </row>
    <row r="251" spans="1:16" x14ac:dyDescent="0.35">
      <c r="A251" s="146"/>
      <c r="B251" s="143"/>
      <c r="C251" s="133"/>
      <c r="D251" s="133"/>
      <c r="E251" s="145"/>
      <c r="F251" s="145"/>
      <c r="G251" s="133"/>
      <c r="H251" s="144"/>
      <c r="I251" s="133"/>
      <c r="J251" s="133"/>
      <c r="K251" s="143"/>
      <c r="L251" s="133"/>
      <c r="M251" s="142"/>
      <c r="N251" s="142"/>
      <c r="O251" s="141"/>
      <c r="P251" s="140"/>
    </row>
    <row r="252" spans="1:16" x14ac:dyDescent="0.35">
      <c r="A252" s="146">
        <v>84</v>
      </c>
      <c r="B252" s="143">
        <v>45627</v>
      </c>
      <c r="C252" s="133" t="s">
        <v>1153</v>
      </c>
      <c r="D252" s="133" t="s">
        <v>1152</v>
      </c>
      <c r="E252" s="145" t="s">
        <v>1112</v>
      </c>
      <c r="F252" s="145">
        <v>1921</v>
      </c>
      <c r="G252" s="133" t="s">
        <v>1094</v>
      </c>
      <c r="H252" s="144" t="s">
        <v>1093</v>
      </c>
      <c r="I252" s="133" t="s">
        <v>1092</v>
      </c>
      <c r="J252" s="133" t="s">
        <v>1134</v>
      </c>
      <c r="K252" s="143">
        <v>45689</v>
      </c>
      <c r="L252" s="133" t="s">
        <v>1092</v>
      </c>
      <c r="M252" s="142">
        <v>2921</v>
      </c>
      <c r="N252" s="142">
        <f>+F252+F253-M252</f>
        <v>0</v>
      </c>
      <c r="O252" s="141"/>
      <c r="P252" s="140"/>
    </row>
    <row r="253" spans="1:16" x14ac:dyDescent="0.35">
      <c r="A253" s="146"/>
      <c r="B253" s="143"/>
      <c r="C253" s="133"/>
      <c r="D253" s="133"/>
      <c r="E253" s="145" t="s">
        <v>46</v>
      </c>
      <c r="F253" s="145">
        <v>1000</v>
      </c>
      <c r="G253" s="133"/>
      <c r="H253" s="144"/>
      <c r="I253" s="133"/>
      <c r="J253" s="133"/>
      <c r="K253" s="143"/>
      <c r="L253" s="133"/>
      <c r="M253" s="142"/>
      <c r="N253" s="142"/>
      <c r="O253" s="141"/>
      <c r="P253" s="140"/>
    </row>
    <row r="254" spans="1:16" x14ac:dyDescent="0.35">
      <c r="A254" s="146"/>
      <c r="B254" s="143"/>
      <c r="C254" s="133"/>
      <c r="D254" s="133"/>
      <c r="E254" s="145"/>
      <c r="F254" s="145"/>
      <c r="G254" s="133"/>
      <c r="H254" s="144"/>
      <c r="I254" s="133"/>
      <c r="J254" s="133"/>
      <c r="K254" s="143"/>
      <c r="L254" s="133"/>
      <c r="M254" s="142"/>
      <c r="N254" s="142"/>
      <c r="O254" s="141"/>
      <c r="P254" s="140"/>
    </row>
    <row r="255" spans="1:16" x14ac:dyDescent="0.35">
      <c r="A255" s="146">
        <v>85</v>
      </c>
      <c r="B255" s="143">
        <v>45627</v>
      </c>
      <c r="C255" s="133" t="s">
        <v>1151</v>
      </c>
      <c r="D255" s="133" t="s">
        <v>1150</v>
      </c>
      <c r="E255" s="145" t="s">
        <v>1071</v>
      </c>
      <c r="F255" s="145">
        <v>257</v>
      </c>
      <c r="G255" s="133" t="s">
        <v>1094</v>
      </c>
      <c r="H255" s="144" t="s">
        <v>1093</v>
      </c>
      <c r="I255" s="133" t="s">
        <v>1092</v>
      </c>
      <c r="J255" s="133" t="s">
        <v>1134</v>
      </c>
      <c r="K255" s="143">
        <v>45689</v>
      </c>
      <c r="L255" s="133" t="s">
        <v>1092</v>
      </c>
      <c r="M255" s="142">
        <v>257</v>
      </c>
      <c r="N255" s="142">
        <f>+F255-M255</f>
        <v>0</v>
      </c>
      <c r="O255" s="141"/>
      <c r="P255" s="140"/>
    </row>
    <row r="256" spans="1:16" x14ac:dyDescent="0.35">
      <c r="A256" s="146"/>
      <c r="B256" s="143"/>
      <c r="C256" s="133"/>
      <c r="D256" s="133"/>
      <c r="E256" s="145"/>
      <c r="F256" s="145"/>
      <c r="G256" s="133"/>
      <c r="H256" s="144"/>
      <c r="I256" s="133"/>
      <c r="J256" s="133"/>
      <c r="K256" s="143"/>
      <c r="L256" s="133"/>
      <c r="M256" s="142"/>
      <c r="N256" s="142"/>
      <c r="O256" s="141"/>
      <c r="P256" s="140"/>
    </row>
    <row r="257" spans="1:16" x14ac:dyDescent="0.35">
      <c r="A257" s="146">
        <v>86</v>
      </c>
      <c r="B257" s="143">
        <v>45627</v>
      </c>
      <c r="C257" s="133" t="s">
        <v>1149</v>
      </c>
      <c r="D257" s="133" t="s">
        <v>1148</v>
      </c>
      <c r="E257" s="145" t="s">
        <v>1112</v>
      </c>
      <c r="F257" s="145">
        <v>729.5</v>
      </c>
      <c r="G257" s="133" t="s">
        <v>1094</v>
      </c>
      <c r="H257" s="144" t="s">
        <v>1093</v>
      </c>
      <c r="I257" s="133" t="s">
        <v>1092</v>
      </c>
      <c r="J257" s="133" t="s">
        <v>1134</v>
      </c>
      <c r="K257" s="143">
        <v>45689</v>
      </c>
      <c r="L257" s="133" t="s">
        <v>1092</v>
      </c>
      <c r="M257" s="142">
        <v>729.5</v>
      </c>
      <c r="N257" s="142">
        <f>+F257-M257</f>
        <v>0</v>
      </c>
      <c r="O257" s="141"/>
      <c r="P257" s="140"/>
    </row>
    <row r="258" spans="1:16" x14ac:dyDescent="0.35">
      <c r="A258" s="146"/>
      <c r="B258" s="143"/>
      <c r="C258" s="133"/>
      <c r="D258" s="133"/>
      <c r="E258" s="145"/>
      <c r="F258" s="145"/>
      <c r="G258" s="133"/>
      <c r="H258" s="144"/>
      <c r="I258" s="133"/>
      <c r="J258" s="133"/>
      <c r="K258" s="143"/>
      <c r="L258" s="133"/>
      <c r="M258" s="142"/>
      <c r="N258" s="142"/>
      <c r="O258" s="141"/>
      <c r="P258" s="140"/>
    </row>
    <row r="259" spans="1:16" x14ac:dyDescent="0.35">
      <c r="A259" s="146">
        <v>87</v>
      </c>
      <c r="B259" s="143">
        <v>45627</v>
      </c>
      <c r="C259" s="133" t="s">
        <v>1147</v>
      </c>
      <c r="D259" s="133" t="s">
        <v>1146</v>
      </c>
      <c r="E259" s="145" t="s">
        <v>1112</v>
      </c>
      <c r="F259" s="145">
        <v>3727</v>
      </c>
      <c r="G259" s="133" t="s">
        <v>1094</v>
      </c>
      <c r="H259" s="144" t="s">
        <v>1093</v>
      </c>
      <c r="I259" s="133" t="s">
        <v>1092</v>
      </c>
      <c r="J259" s="133" t="s">
        <v>1134</v>
      </c>
      <c r="K259" s="143">
        <v>45689</v>
      </c>
      <c r="L259" s="133" t="s">
        <v>1092</v>
      </c>
      <c r="M259" s="142">
        <v>3727</v>
      </c>
      <c r="N259" s="142">
        <f>+F259-M259</f>
        <v>0</v>
      </c>
      <c r="O259" s="141"/>
      <c r="P259" s="140"/>
    </row>
    <row r="260" spans="1:16" x14ac:dyDescent="0.35">
      <c r="A260" s="146"/>
      <c r="B260" s="143"/>
      <c r="C260" s="133"/>
      <c r="D260" s="133"/>
      <c r="E260" s="145"/>
      <c r="F260" s="145"/>
      <c r="G260" s="133"/>
      <c r="H260" s="144"/>
      <c r="I260" s="133"/>
      <c r="J260" s="133"/>
      <c r="K260" s="143"/>
      <c r="L260" s="133"/>
      <c r="M260" s="142"/>
      <c r="N260" s="142"/>
      <c r="O260" s="141"/>
      <c r="P260" s="140"/>
    </row>
    <row r="261" spans="1:16" x14ac:dyDescent="0.35">
      <c r="A261" s="146">
        <v>88</v>
      </c>
      <c r="B261" s="143">
        <v>45627</v>
      </c>
      <c r="C261" s="133" t="s">
        <v>1145</v>
      </c>
      <c r="D261" s="133" t="s">
        <v>1144</v>
      </c>
      <c r="E261" s="145" t="s">
        <v>1071</v>
      </c>
      <c r="F261" s="145">
        <v>50</v>
      </c>
      <c r="G261" s="133" t="s">
        <v>1094</v>
      </c>
      <c r="H261" s="144" t="s">
        <v>1093</v>
      </c>
      <c r="I261" s="133" t="s">
        <v>1092</v>
      </c>
      <c r="J261" s="133" t="s">
        <v>1134</v>
      </c>
      <c r="K261" s="143">
        <v>45689</v>
      </c>
      <c r="L261" s="133" t="s">
        <v>1092</v>
      </c>
      <c r="M261" s="142">
        <v>50</v>
      </c>
      <c r="N261" s="142">
        <f>+F261-M261</f>
        <v>0</v>
      </c>
      <c r="O261" s="141"/>
      <c r="P261" s="140"/>
    </row>
    <row r="262" spans="1:16" x14ac:dyDescent="0.35">
      <c r="A262" s="146"/>
      <c r="B262" s="143"/>
      <c r="C262" s="133"/>
      <c r="D262" s="133"/>
      <c r="E262" s="145"/>
      <c r="F262" s="145"/>
      <c r="G262" s="133"/>
      <c r="H262" s="144"/>
      <c r="I262" s="133"/>
      <c r="J262" s="133"/>
      <c r="K262" s="143"/>
      <c r="L262" s="133"/>
      <c r="M262" s="142"/>
      <c r="N262" s="142"/>
      <c r="O262" s="141"/>
      <c r="P262" s="140"/>
    </row>
    <row r="263" spans="1:16" x14ac:dyDescent="0.35">
      <c r="A263" s="146">
        <v>89</v>
      </c>
      <c r="B263" s="143">
        <v>45627</v>
      </c>
      <c r="C263" s="133" t="s">
        <v>1143</v>
      </c>
      <c r="D263" s="133" t="s">
        <v>1142</v>
      </c>
      <c r="E263" s="145" t="s">
        <v>1109</v>
      </c>
      <c r="F263" s="145">
        <v>7000</v>
      </c>
      <c r="G263" s="133" t="s">
        <v>1094</v>
      </c>
      <c r="H263" s="144" t="s">
        <v>1093</v>
      </c>
      <c r="I263" s="133" t="s">
        <v>1092</v>
      </c>
      <c r="J263" s="133" t="s">
        <v>1134</v>
      </c>
      <c r="K263" s="143">
        <v>45689</v>
      </c>
      <c r="L263" s="133" t="s">
        <v>1092</v>
      </c>
      <c r="M263" s="142">
        <v>1957.77</v>
      </c>
      <c r="N263" s="147">
        <f>+F263-M263-M264-M265</f>
        <v>0</v>
      </c>
      <c r="O263" s="141"/>
      <c r="P263" s="140"/>
    </row>
    <row r="264" spans="1:16" x14ac:dyDescent="0.35">
      <c r="A264" s="146"/>
      <c r="B264" s="143"/>
      <c r="C264" s="133"/>
      <c r="D264" s="133"/>
      <c r="E264" s="145"/>
      <c r="F264" s="145"/>
      <c r="G264" s="133" t="s">
        <v>1094</v>
      </c>
      <c r="H264" s="144" t="s">
        <v>1093</v>
      </c>
      <c r="I264" s="133" t="s">
        <v>1092</v>
      </c>
      <c r="J264" s="133" t="s">
        <v>1141</v>
      </c>
      <c r="K264" s="143">
        <v>45689</v>
      </c>
      <c r="L264" s="133" t="s">
        <v>1092</v>
      </c>
      <c r="M264" s="142">
        <v>225</v>
      </c>
      <c r="N264" s="142"/>
      <c r="O264" s="141"/>
      <c r="P264" s="140"/>
    </row>
    <row r="265" spans="1:16" x14ac:dyDescent="0.35">
      <c r="A265" s="146"/>
      <c r="B265" s="143"/>
      <c r="C265" s="133"/>
      <c r="D265" s="133"/>
      <c r="E265" s="145"/>
      <c r="F265" s="145"/>
      <c r="G265" s="133" t="s">
        <v>1094</v>
      </c>
      <c r="H265" s="144" t="s">
        <v>1093</v>
      </c>
      <c r="I265" s="133" t="s">
        <v>1092</v>
      </c>
      <c r="J265" s="133" t="s">
        <v>1115</v>
      </c>
      <c r="K265" s="143">
        <v>45748</v>
      </c>
      <c r="L265" s="133" t="s">
        <v>1092</v>
      </c>
      <c r="M265" s="142">
        <v>4817.2299999999996</v>
      </c>
      <c r="N265" s="142"/>
      <c r="O265" s="141"/>
      <c r="P265" s="140"/>
    </row>
    <row r="266" spans="1:16" x14ac:dyDescent="0.35">
      <c r="A266" s="146"/>
      <c r="B266" s="143"/>
      <c r="C266" s="133"/>
      <c r="D266" s="133"/>
      <c r="E266" s="145"/>
      <c r="F266" s="145"/>
      <c r="G266" s="133"/>
      <c r="H266" s="144"/>
      <c r="I266" s="133"/>
      <c r="J266" s="133"/>
      <c r="K266" s="143"/>
      <c r="L266" s="133"/>
      <c r="M266" s="142"/>
      <c r="N266" s="142"/>
      <c r="O266" s="141"/>
      <c r="P266" s="140"/>
    </row>
    <row r="267" spans="1:16" x14ac:dyDescent="0.35">
      <c r="A267" s="146">
        <v>90</v>
      </c>
      <c r="B267" s="143">
        <v>45627</v>
      </c>
      <c r="C267" s="133" t="s">
        <v>1140</v>
      </c>
      <c r="D267" s="133" t="s">
        <v>1139</v>
      </c>
      <c r="E267" s="145" t="s">
        <v>1071</v>
      </c>
      <c r="F267" s="145">
        <v>61.3</v>
      </c>
      <c r="G267" s="133" t="s">
        <v>1094</v>
      </c>
      <c r="H267" s="144" t="s">
        <v>1093</v>
      </c>
      <c r="I267" s="133" t="s">
        <v>1092</v>
      </c>
      <c r="J267" s="133" t="s">
        <v>1134</v>
      </c>
      <c r="K267" s="143">
        <v>45689</v>
      </c>
      <c r="L267" s="133" t="s">
        <v>1092</v>
      </c>
      <c r="M267" s="142">
        <v>61.3</v>
      </c>
      <c r="N267" s="142">
        <f>+F267-M267</f>
        <v>0</v>
      </c>
      <c r="O267" s="141"/>
      <c r="P267" s="140"/>
    </row>
    <row r="268" spans="1:16" x14ac:dyDescent="0.35">
      <c r="A268" s="146"/>
      <c r="B268" s="143"/>
      <c r="C268" s="133"/>
      <c r="D268" s="133"/>
      <c r="E268" s="145"/>
      <c r="F268" s="145"/>
      <c r="G268" s="133"/>
      <c r="H268" s="144"/>
      <c r="I268" s="133"/>
      <c r="J268" s="133"/>
      <c r="K268" s="143"/>
      <c r="L268" s="133"/>
      <c r="M268" s="142"/>
      <c r="N268" s="142"/>
      <c r="O268" s="141"/>
      <c r="P268" s="140"/>
    </row>
    <row r="269" spans="1:16" x14ac:dyDescent="0.35">
      <c r="A269" s="146">
        <v>91</v>
      </c>
      <c r="B269" s="143">
        <v>45627</v>
      </c>
      <c r="C269" s="133" t="s">
        <v>1138</v>
      </c>
      <c r="D269" s="133" t="s">
        <v>1137</v>
      </c>
      <c r="E269" s="145" t="s">
        <v>1112</v>
      </c>
      <c r="F269" s="145">
        <v>1429</v>
      </c>
      <c r="G269" s="133" t="s">
        <v>1094</v>
      </c>
      <c r="H269" s="144" t="s">
        <v>1093</v>
      </c>
      <c r="I269" s="133" t="s">
        <v>1092</v>
      </c>
      <c r="J269" s="133" t="s">
        <v>1134</v>
      </c>
      <c r="K269" s="143">
        <v>45689</v>
      </c>
      <c r="L269" s="133" t="s">
        <v>1092</v>
      </c>
      <c r="M269" s="142">
        <v>1429</v>
      </c>
      <c r="N269" s="142">
        <f>+F269-M269</f>
        <v>0</v>
      </c>
      <c r="O269" s="141"/>
      <c r="P269" s="140"/>
    </row>
    <row r="270" spans="1:16" x14ac:dyDescent="0.35">
      <c r="A270" s="146"/>
      <c r="B270" s="143"/>
      <c r="C270" s="133"/>
      <c r="D270" s="133"/>
      <c r="E270" s="145"/>
      <c r="F270" s="145"/>
      <c r="G270" s="133"/>
      <c r="H270" s="144"/>
      <c r="I270" s="133"/>
      <c r="J270" s="133"/>
      <c r="K270" s="143"/>
      <c r="L270" s="133"/>
      <c r="M270" s="142"/>
      <c r="N270" s="142"/>
      <c r="O270" s="141"/>
      <c r="P270" s="140"/>
    </row>
    <row r="271" spans="1:16" x14ac:dyDescent="0.35">
      <c r="A271" s="146">
        <v>92</v>
      </c>
      <c r="B271" s="143">
        <v>45627</v>
      </c>
      <c r="C271" s="133" t="s">
        <v>1136</v>
      </c>
      <c r="D271" s="133" t="s">
        <v>1135</v>
      </c>
      <c r="E271" s="145" t="s">
        <v>1118</v>
      </c>
      <c r="F271" s="145">
        <v>728.6</v>
      </c>
      <c r="G271" s="133" t="s">
        <v>1094</v>
      </c>
      <c r="H271" s="144" t="s">
        <v>1093</v>
      </c>
      <c r="I271" s="133" t="s">
        <v>1092</v>
      </c>
      <c r="J271" s="133" t="s">
        <v>1134</v>
      </c>
      <c r="K271" s="143">
        <v>45689</v>
      </c>
      <c r="L271" s="133" t="s">
        <v>1092</v>
      </c>
      <c r="M271" s="142">
        <v>728.6</v>
      </c>
      <c r="N271" s="142">
        <f>+F271-M271</f>
        <v>0</v>
      </c>
      <c r="O271" s="141"/>
      <c r="P271" s="140"/>
    </row>
    <row r="272" spans="1:16" x14ac:dyDescent="0.35">
      <c r="A272" s="146"/>
      <c r="B272" s="143"/>
      <c r="C272" s="133"/>
      <c r="D272" s="133"/>
      <c r="E272" s="145"/>
      <c r="F272" s="145"/>
      <c r="G272" s="133"/>
      <c r="H272" s="144"/>
      <c r="I272" s="133"/>
      <c r="J272" s="133"/>
      <c r="K272" s="143"/>
      <c r="L272" s="133"/>
      <c r="M272" s="142"/>
      <c r="N272" s="142"/>
      <c r="O272" s="141"/>
      <c r="P272" s="140"/>
    </row>
    <row r="273" spans="1:16" x14ac:dyDescent="0.35">
      <c r="A273" s="156"/>
      <c r="B273" s="152"/>
      <c r="C273" s="151"/>
      <c r="D273" s="151"/>
      <c r="E273" s="154"/>
      <c r="F273" s="154"/>
      <c r="G273" s="151"/>
      <c r="H273" s="153"/>
      <c r="I273" s="151"/>
      <c r="J273" s="151"/>
      <c r="K273" s="152"/>
      <c r="L273" s="151"/>
      <c r="M273" s="150"/>
      <c r="N273" s="150"/>
      <c r="O273" s="141"/>
      <c r="P273" s="140"/>
    </row>
    <row r="274" spans="1:16" x14ac:dyDescent="0.35">
      <c r="A274" s="146"/>
      <c r="B274" s="143"/>
      <c r="C274" s="133"/>
      <c r="D274" s="133"/>
      <c r="E274" s="145"/>
      <c r="F274" s="145"/>
      <c r="G274" s="133"/>
      <c r="H274" s="144"/>
      <c r="I274" s="133"/>
      <c r="J274" s="133"/>
      <c r="K274" s="143"/>
      <c r="L274" s="133"/>
      <c r="M274" s="142"/>
      <c r="N274" s="142"/>
      <c r="O274" s="141"/>
      <c r="P274" s="140"/>
    </row>
    <row r="275" spans="1:16" x14ac:dyDescent="0.35">
      <c r="A275" s="146">
        <v>93</v>
      </c>
      <c r="B275" s="143">
        <v>45658</v>
      </c>
      <c r="C275" s="133" t="s">
        <v>1133</v>
      </c>
      <c r="D275" s="133" t="s">
        <v>1131</v>
      </c>
      <c r="E275" s="145" t="s">
        <v>1064</v>
      </c>
      <c r="F275" s="145">
        <v>4094</v>
      </c>
      <c r="G275" s="133" t="s">
        <v>1094</v>
      </c>
      <c r="H275" s="144" t="s">
        <v>1093</v>
      </c>
      <c r="I275" s="133" t="s">
        <v>1092</v>
      </c>
      <c r="J275" s="133" t="s">
        <v>1115</v>
      </c>
      <c r="K275" s="143">
        <v>45748</v>
      </c>
      <c r="L275" s="133" t="s">
        <v>1092</v>
      </c>
      <c r="M275" s="142">
        <v>3896</v>
      </c>
      <c r="N275" s="147">
        <f>+F275-M275-M276</f>
        <v>0</v>
      </c>
      <c r="O275" s="237"/>
      <c r="P275" s="191"/>
    </row>
    <row r="276" spans="1:16" x14ac:dyDescent="0.35">
      <c r="A276" s="146"/>
      <c r="B276" s="143"/>
      <c r="C276" s="133"/>
      <c r="D276" s="133"/>
      <c r="E276" s="145"/>
      <c r="F276" s="145"/>
      <c r="G276" s="133" t="s">
        <v>1094</v>
      </c>
      <c r="H276" s="144" t="s">
        <v>1093</v>
      </c>
      <c r="I276" s="133" t="s">
        <v>1092</v>
      </c>
      <c r="J276" s="133" t="s">
        <v>2373</v>
      </c>
      <c r="K276" s="143">
        <v>45748</v>
      </c>
      <c r="L276" s="133" t="s">
        <v>1241</v>
      </c>
      <c r="M276" s="142">
        <v>198</v>
      </c>
      <c r="N276" s="147"/>
      <c r="O276" s="237"/>
      <c r="P276" s="191"/>
    </row>
    <row r="277" spans="1:16" x14ac:dyDescent="0.35">
      <c r="A277" s="146"/>
      <c r="B277" s="143"/>
      <c r="C277" s="133"/>
      <c r="D277" s="133"/>
      <c r="E277" s="145"/>
      <c r="F277" s="145"/>
      <c r="G277" s="133"/>
      <c r="H277" s="144"/>
      <c r="I277" s="133"/>
      <c r="J277" s="133"/>
      <c r="K277" s="143"/>
      <c r="L277" s="133"/>
      <c r="M277" s="142"/>
      <c r="N277" s="147"/>
      <c r="O277" s="237"/>
      <c r="P277" s="191"/>
    </row>
    <row r="278" spans="1:16" x14ac:dyDescent="0.35">
      <c r="A278" s="146">
        <v>94</v>
      </c>
      <c r="B278" s="143">
        <v>45658</v>
      </c>
      <c r="C278" s="133" t="s">
        <v>1132</v>
      </c>
      <c r="D278" s="133" t="s">
        <v>1131</v>
      </c>
      <c r="E278" s="145" t="s">
        <v>1064</v>
      </c>
      <c r="F278" s="145">
        <v>5626.3</v>
      </c>
      <c r="G278" s="133" t="s">
        <v>1094</v>
      </c>
      <c r="H278" s="144" t="s">
        <v>1093</v>
      </c>
      <c r="I278" s="133" t="s">
        <v>1092</v>
      </c>
      <c r="J278" s="133" t="s">
        <v>1115</v>
      </c>
      <c r="K278" s="143">
        <v>45748</v>
      </c>
      <c r="L278" s="133" t="s">
        <v>1092</v>
      </c>
      <c r="M278" s="142">
        <v>5375.3</v>
      </c>
      <c r="N278" s="147">
        <f>+F278-M278-M279</f>
        <v>0</v>
      </c>
      <c r="O278" s="237"/>
      <c r="P278" s="191"/>
    </row>
    <row r="279" spans="1:16" x14ac:dyDescent="0.35">
      <c r="A279" s="146"/>
      <c r="B279" s="143"/>
      <c r="C279" s="133"/>
      <c r="D279" s="133"/>
      <c r="E279" s="145"/>
      <c r="F279" s="145"/>
      <c r="G279" s="133"/>
      <c r="H279" s="144"/>
      <c r="I279" s="133"/>
      <c r="J279" s="133" t="s">
        <v>2373</v>
      </c>
      <c r="K279" s="143">
        <v>45748</v>
      </c>
      <c r="L279" s="133" t="s">
        <v>1241</v>
      </c>
      <c r="M279" s="142">
        <v>251</v>
      </c>
      <c r="N279" s="147"/>
      <c r="O279" s="237"/>
      <c r="P279" s="191"/>
    </row>
    <row r="280" spans="1:16" x14ac:dyDescent="0.35">
      <c r="A280" s="146"/>
      <c r="B280" s="143"/>
      <c r="C280" s="133"/>
      <c r="D280" s="133"/>
      <c r="E280" s="145"/>
      <c r="F280" s="145"/>
      <c r="G280" s="133"/>
      <c r="H280" s="144"/>
      <c r="I280" s="133"/>
      <c r="J280" s="133"/>
      <c r="K280" s="143"/>
      <c r="L280" s="133"/>
      <c r="M280" s="142"/>
      <c r="N280" s="147"/>
      <c r="O280" s="237"/>
      <c r="P280" s="191"/>
    </row>
    <row r="281" spans="1:16" x14ac:dyDescent="0.35">
      <c r="A281" s="146">
        <v>95</v>
      </c>
      <c r="B281" s="143">
        <v>45658</v>
      </c>
      <c r="C281" s="133" t="s">
        <v>1130</v>
      </c>
      <c r="D281" s="133" t="s">
        <v>1129</v>
      </c>
      <c r="E281" s="145" t="s">
        <v>1118</v>
      </c>
      <c r="F281" s="145">
        <v>43.4</v>
      </c>
      <c r="G281" s="133" t="s">
        <v>1094</v>
      </c>
      <c r="H281" s="144" t="s">
        <v>1093</v>
      </c>
      <c r="I281" s="133" t="s">
        <v>1092</v>
      </c>
      <c r="J281" s="133" t="s">
        <v>1115</v>
      </c>
      <c r="K281" s="143">
        <v>45748</v>
      </c>
      <c r="L281" s="133" t="s">
        <v>1092</v>
      </c>
      <c r="M281" s="142">
        <v>43.4</v>
      </c>
      <c r="N281" s="147">
        <f>+F281-M281</f>
        <v>0</v>
      </c>
      <c r="O281" s="141"/>
      <c r="P281" s="140"/>
    </row>
    <row r="282" spans="1:16" x14ac:dyDescent="0.35">
      <c r="A282" s="146"/>
      <c r="B282" s="143"/>
      <c r="C282" s="133"/>
      <c r="D282" s="133"/>
      <c r="E282" s="145"/>
      <c r="F282" s="145"/>
      <c r="G282" s="133"/>
      <c r="H282" s="144"/>
      <c r="I282" s="133"/>
      <c r="J282" s="133"/>
      <c r="K282" s="143"/>
      <c r="L282" s="133"/>
      <c r="M282" s="142"/>
      <c r="N282" s="142"/>
      <c r="O282" s="141"/>
      <c r="P282" s="140"/>
    </row>
    <row r="283" spans="1:16" x14ac:dyDescent="0.35">
      <c r="A283" s="146">
        <v>96</v>
      </c>
      <c r="B283" s="143">
        <v>45658</v>
      </c>
      <c r="C283" s="133" t="s">
        <v>1128</v>
      </c>
      <c r="D283" s="133" t="s">
        <v>1127</v>
      </c>
      <c r="E283" s="145" t="s">
        <v>1078</v>
      </c>
      <c r="F283" s="145">
        <v>4250.68</v>
      </c>
      <c r="G283" s="133" t="s">
        <v>1094</v>
      </c>
      <c r="H283" s="144" t="s">
        <v>1093</v>
      </c>
      <c r="I283" s="133" t="s">
        <v>1092</v>
      </c>
      <c r="J283" s="133" t="s">
        <v>1115</v>
      </c>
      <c r="K283" s="143">
        <v>45748</v>
      </c>
      <c r="L283" s="133" t="s">
        <v>1092</v>
      </c>
      <c r="M283" s="142">
        <v>250.68</v>
      </c>
      <c r="N283" s="147">
        <f>+F283-M283-M284-M285-M286</f>
        <v>0</v>
      </c>
      <c r="O283" s="141"/>
      <c r="P283" s="140"/>
    </row>
    <row r="284" spans="1:16" x14ac:dyDescent="0.35">
      <c r="A284" s="146"/>
      <c r="B284" s="143"/>
      <c r="C284" s="133"/>
      <c r="D284" s="133"/>
      <c r="E284" s="145"/>
      <c r="F284" s="145"/>
      <c r="G284" s="133" t="s">
        <v>1094</v>
      </c>
      <c r="H284" s="144" t="s">
        <v>1093</v>
      </c>
      <c r="I284" s="133" t="s">
        <v>1092</v>
      </c>
      <c r="J284" s="133" t="s">
        <v>2372</v>
      </c>
      <c r="K284" s="143">
        <v>45748</v>
      </c>
      <c r="L284" s="133" t="s">
        <v>1092</v>
      </c>
      <c r="M284" s="142">
        <v>1000</v>
      </c>
      <c r="N284" s="142"/>
      <c r="O284" s="141"/>
      <c r="P284" s="140"/>
    </row>
    <row r="285" spans="1:16" x14ac:dyDescent="0.35">
      <c r="A285" s="146"/>
      <c r="B285" s="143"/>
      <c r="C285" s="133"/>
      <c r="D285" s="133"/>
      <c r="E285" s="145"/>
      <c r="F285" s="145"/>
      <c r="G285" s="133" t="s">
        <v>1094</v>
      </c>
      <c r="H285" s="144" t="s">
        <v>1093</v>
      </c>
      <c r="I285" s="133" t="s">
        <v>1092</v>
      </c>
      <c r="J285" s="133" t="s">
        <v>2393</v>
      </c>
      <c r="K285" s="143">
        <v>45778</v>
      </c>
      <c r="L285" s="133" t="s">
        <v>1092</v>
      </c>
      <c r="M285" s="142">
        <v>1500</v>
      </c>
      <c r="N285" s="142"/>
      <c r="O285" s="141"/>
      <c r="P285" s="140"/>
    </row>
    <row r="286" spans="1:16" x14ac:dyDescent="0.35">
      <c r="A286" s="146"/>
      <c r="B286" s="143"/>
      <c r="C286" s="133"/>
      <c r="D286" s="133"/>
      <c r="E286" s="145"/>
      <c r="F286" s="145"/>
      <c r="G286" s="133"/>
      <c r="H286" s="144" t="s">
        <v>1093</v>
      </c>
      <c r="I286" s="133" t="s">
        <v>1092</v>
      </c>
      <c r="J286" s="133" t="s">
        <v>2405</v>
      </c>
      <c r="K286" s="143">
        <v>45778</v>
      </c>
      <c r="L286" s="133" t="s">
        <v>1092</v>
      </c>
      <c r="M286" s="142">
        <v>1500</v>
      </c>
      <c r="N286" s="142"/>
      <c r="O286" s="141"/>
      <c r="P286" s="140"/>
    </row>
    <row r="287" spans="1:16" x14ac:dyDescent="0.35">
      <c r="A287" s="146"/>
      <c r="B287" s="143"/>
      <c r="C287" s="133"/>
      <c r="D287" s="133"/>
      <c r="E287" s="145"/>
      <c r="F287" s="145"/>
      <c r="G287" s="133"/>
      <c r="H287" s="144"/>
      <c r="I287" s="133"/>
      <c r="J287" s="133"/>
      <c r="K287" s="143"/>
      <c r="L287" s="133"/>
      <c r="M287" s="142"/>
      <c r="N287" s="142"/>
      <c r="O287" s="141"/>
      <c r="P287" s="140"/>
    </row>
    <row r="288" spans="1:16" x14ac:dyDescent="0.35">
      <c r="A288" s="146">
        <v>97</v>
      </c>
      <c r="B288" s="143">
        <v>45658</v>
      </c>
      <c r="C288" s="133" t="s">
        <v>1126</v>
      </c>
      <c r="D288" s="133" t="s">
        <v>1125</v>
      </c>
      <c r="E288" s="145" t="s">
        <v>1112</v>
      </c>
      <c r="F288" s="145">
        <v>321</v>
      </c>
      <c r="G288" s="133" t="s">
        <v>1094</v>
      </c>
      <c r="H288" s="144" t="s">
        <v>1093</v>
      </c>
      <c r="I288" s="133" t="s">
        <v>1092</v>
      </c>
      <c r="J288" s="133" t="s">
        <v>1115</v>
      </c>
      <c r="K288" s="143">
        <v>45748</v>
      </c>
      <c r="L288" s="133" t="s">
        <v>1092</v>
      </c>
      <c r="M288" s="142">
        <v>321</v>
      </c>
      <c r="N288" s="147">
        <f>+F288-M288</f>
        <v>0</v>
      </c>
      <c r="O288" s="141"/>
      <c r="P288" s="140"/>
    </row>
    <row r="289" spans="1:16" x14ac:dyDescent="0.35">
      <c r="A289" s="146"/>
      <c r="B289" s="143"/>
      <c r="C289" s="133"/>
      <c r="D289" s="133"/>
      <c r="E289" s="145"/>
      <c r="F289" s="145"/>
      <c r="G289" s="133"/>
      <c r="H289" s="144"/>
      <c r="I289" s="133"/>
      <c r="J289" s="133"/>
      <c r="K289" s="143"/>
      <c r="L289" s="133"/>
      <c r="M289" s="142"/>
      <c r="N289" s="142"/>
      <c r="O289" s="141"/>
      <c r="P289" s="140"/>
    </row>
    <row r="290" spans="1:16" x14ac:dyDescent="0.35">
      <c r="A290" s="146">
        <v>98</v>
      </c>
      <c r="B290" s="143">
        <v>45658</v>
      </c>
      <c r="C290" s="133" t="s">
        <v>1124</v>
      </c>
      <c r="D290" s="133" t="s">
        <v>1123</v>
      </c>
      <c r="E290" s="145" t="s">
        <v>1118</v>
      </c>
      <c r="F290" s="145">
        <v>1667.2</v>
      </c>
      <c r="G290" s="133" t="s">
        <v>1094</v>
      </c>
      <c r="H290" s="144" t="s">
        <v>1093</v>
      </c>
      <c r="I290" s="133" t="s">
        <v>1092</v>
      </c>
      <c r="J290" s="133" t="s">
        <v>2372</v>
      </c>
      <c r="K290" s="143">
        <v>45748</v>
      </c>
      <c r="L290" s="133" t="s">
        <v>1092</v>
      </c>
      <c r="M290" s="142">
        <v>667.2</v>
      </c>
      <c r="N290" s="147">
        <f>+F290-M290-M291</f>
        <v>0</v>
      </c>
      <c r="O290" s="141"/>
      <c r="P290" s="140"/>
    </row>
    <row r="291" spans="1:16" x14ac:dyDescent="0.35">
      <c r="A291" s="146"/>
      <c r="B291" s="143"/>
      <c r="C291" s="133"/>
      <c r="D291" s="133"/>
      <c r="E291" s="145"/>
      <c r="F291" s="145"/>
      <c r="G291" s="133" t="s">
        <v>1094</v>
      </c>
      <c r="H291" s="144" t="s">
        <v>1093</v>
      </c>
      <c r="I291" s="133" t="s">
        <v>1092</v>
      </c>
      <c r="J291" s="133" t="s">
        <v>2405</v>
      </c>
      <c r="K291" s="143">
        <v>45778</v>
      </c>
      <c r="L291" s="133" t="s">
        <v>1092</v>
      </c>
      <c r="M291" s="142">
        <v>1000</v>
      </c>
      <c r="N291" s="147"/>
      <c r="O291" s="141"/>
      <c r="P291" s="140"/>
    </row>
    <row r="292" spans="1:16" x14ac:dyDescent="0.35">
      <c r="A292" s="146"/>
      <c r="B292" s="143"/>
      <c r="C292" s="133"/>
      <c r="D292" s="133"/>
      <c r="E292" s="145"/>
      <c r="F292" s="145"/>
      <c r="G292" s="133"/>
      <c r="H292" s="144"/>
      <c r="I292" s="133"/>
      <c r="J292" s="133"/>
      <c r="K292" s="143"/>
      <c r="L292" s="133"/>
      <c r="M292" s="142"/>
      <c r="N292" s="142"/>
      <c r="O292" s="141"/>
      <c r="P292" s="140"/>
    </row>
    <row r="293" spans="1:16" x14ac:dyDescent="0.35">
      <c r="A293" s="146">
        <v>99</v>
      </c>
      <c r="B293" s="143">
        <v>45658</v>
      </c>
      <c r="C293" s="133" t="s">
        <v>1122</v>
      </c>
      <c r="D293" s="133" t="s">
        <v>1121</v>
      </c>
      <c r="E293" s="145" t="s">
        <v>46</v>
      </c>
      <c r="F293" s="145">
        <v>4000</v>
      </c>
      <c r="G293" s="133" t="s">
        <v>1094</v>
      </c>
      <c r="H293" s="144" t="s">
        <v>1093</v>
      </c>
      <c r="I293" s="133" t="s">
        <v>1092</v>
      </c>
      <c r="J293" s="133" t="s">
        <v>1115</v>
      </c>
      <c r="K293" s="143">
        <v>45748</v>
      </c>
      <c r="L293" s="133" t="s">
        <v>1092</v>
      </c>
      <c r="M293" s="142">
        <v>4000</v>
      </c>
      <c r="N293" s="147">
        <f>+F293-M293</f>
        <v>0</v>
      </c>
      <c r="O293" s="141"/>
      <c r="P293" s="140"/>
    </row>
    <row r="294" spans="1:16" x14ac:dyDescent="0.35">
      <c r="A294" s="146"/>
      <c r="B294" s="143"/>
      <c r="C294" s="133"/>
      <c r="D294" s="133"/>
      <c r="E294" s="145"/>
      <c r="F294" s="145"/>
      <c r="G294" s="133"/>
      <c r="H294" s="144"/>
      <c r="I294" s="133"/>
      <c r="J294" s="133"/>
      <c r="K294" s="143"/>
      <c r="L294" s="133"/>
      <c r="M294" s="142"/>
      <c r="N294" s="142"/>
      <c r="O294" s="141"/>
      <c r="P294" s="140"/>
    </row>
    <row r="295" spans="1:16" x14ac:dyDescent="0.35">
      <c r="A295" s="156"/>
      <c r="B295" s="152"/>
      <c r="C295" s="151"/>
      <c r="D295" s="151"/>
      <c r="E295" s="154"/>
      <c r="F295" s="154"/>
      <c r="G295" s="151"/>
      <c r="H295" s="153"/>
      <c r="I295" s="151"/>
      <c r="J295" s="151"/>
      <c r="K295" s="152"/>
      <c r="L295" s="151"/>
      <c r="M295" s="150"/>
      <c r="N295" s="150"/>
      <c r="O295" s="141"/>
      <c r="P295" s="140"/>
    </row>
    <row r="296" spans="1:16" x14ac:dyDescent="0.35">
      <c r="A296" s="146"/>
      <c r="B296" s="143"/>
      <c r="C296" s="133"/>
      <c r="D296" s="133"/>
      <c r="E296" s="145"/>
      <c r="F296" s="145"/>
      <c r="G296" s="133"/>
      <c r="H296" s="144"/>
      <c r="I296" s="133"/>
      <c r="J296" s="133"/>
      <c r="K296" s="143"/>
      <c r="L296" s="133"/>
      <c r="M296" s="142"/>
      <c r="N296" s="142"/>
      <c r="O296" s="141"/>
      <c r="P296" s="140"/>
    </row>
    <row r="297" spans="1:16" x14ac:dyDescent="0.35">
      <c r="A297" s="146">
        <v>100</v>
      </c>
      <c r="B297" s="143">
        <v>45689</v>
      </c>
      <c r="C297" s="133" t="s">
        <v>1120</v>
      </c>
      <c r="D297" s="133" t="s">
        <v>1119</v>
      </c>
      <c r="E297" s="145" t="s">
        <v>1118</v>
      </c>
      <c r="F297" s="145">
        <v>879.8</v>
      </c>
      <c r="G297" s="133" t="s">
        <v>1094</v>
      </c>
      <c r="H297" s="144" t="s">
        <v>1093</v>
      </c>
      <c r="I297" s="133" t="s">
        <v>1092</v>
      </c>
      <c r="J297" s="133" t="s">
        <v>2405</v>
      </c>
      <c r="K297" s="143">
        <v>45778</v>
      </c>
      <c r="L297" s="133" t="s">
        <v>1092</v>
      </c>
      <c r="M297" s="142">
        <v>879.8</v>
      </c>
      <c r="N297" s="147">
        <f>+F297-M297</f>
        <v>0</v>
      </c>
      <c r="O297" s="141"/>
      <c r="P297" s="140"/>
    </row>
    <row r="298" spans="1:16" x14ac:dyDescent="0.35">
      <c r="A298" s="146"/>
      <c r="B298" s="143"/>
      <c r="C298" s="133"/>
      <c r="D298" s="133"/>
      <c r="E298" s="145"/>
      <c r="F298" s="145"/>
      <c r="G298" s="133"/>
      <c r="H298" s="144"/>
      <c r="I298" s="133"/>
      <c r="J298" s="133"/>
      <c r="K298" s="143"/>
      <c r="L298" s="133"/>
      <c r="M298" s="142"/>
      <c r="N298" s="142"/>
      <c r="O298" s="141"/>
      <c r="P298" s="140"/>
    </row>
    <row r="299" spans="1:16" x14ac:dyDescent="0.35">
      <c r="A299" s="156"/>
      <c r="B299" s="152"/>
      <c r="C299" s="151"/>
      <c r="D299" s="151"/>
      <c r="E299" s="154"/>
      <c r="F299" s="154"/>
      <c r="G299" s="151"/>
      <c r="H299" s="153"/>
      <c r="I299" s="151"/>
      <c r="J299" s="151"/>
      <c r="K299" s="152"/>
      <c r="L299" s="151"/>
      <c r="M299" s="150"/>
      <c r="N299" s="150"/>
      <c r="O299" s="141"/>
      <c r="P299" s="140"/>
    </row>
    <row r="300" spans="1:16" x14ac:dyDescent="0.35">
      <c r="A300" s="146"/>
      <c r="B300" s="143"/>
      <c r="C300" s="133"/>
      <c r="D300" s="133"/>
      <c r="E300" s="145"/>
      <c r="F300" s="145"/>
      <c r="G300" s="133"/>
      <c r="H300" s="144"/>
      <c r="I300" s="133"/>
      <c r="J300" s="133"/>
      <c r="K300" s="143"/>
      <c r="L300" s="133"/>
      <c r="M300" s="142"/>
      <c r="N300" s="142"/>
      <c r="O300" s="141"/>
      <c r="P300" s="140"/>
    </row>
    <row r="301" spans="1:16" x14ac:dyDescent="0.35">
      <c r="A301" s="146">
        <v>101</v>
      </c>
      <c r="B301" s="143">
        <v>45717</v>
      </c>
      <c r="C301" s="133" t="s">
        <v>1079</v>
      </c>
      <c r="D301" s="133" t="s">
        <v>1117</v>
      </c>
      <c r="E301" s="148" t="s">
        <v>1059</v>
      </c>
      <c r="F301" s="145">
        <v>10000</v>
      </c>
      <c r="G301" s="133" t="s">
        <v>1094</v>
      </c>
      <c r="H301" s="144" t="s">
        <v>1093</v>
      </c>
      <c r="I301" s="133" t="s">
        <v>1092</v>
      </c>
      <c r="J301" s="133" t="s">
        <v>1115</v>
      </c>
      <c r="K301" s="143">
        <v>45748</v>
      </c>
      <c r="L301" s="133" t="s">
        <v>1092</v>
      </c>
      <c r="M301" s="142">
        <v>9530</v>
      </c>
      <c r="N301" s="147">
        <f>+F301-M301-M302</f>
        <v>0</v>
      </c>
      <c r="O301" s="141"/>
      <c r="P301" s="140"/>
    </row>
    <row r="302" spans="1:16" x14ac:dyDescent="0.35">
      <c r="A302" s="146"/>
      <c r="B302" s="143"/>
      <c r="C302" s="133"/>
      <c r="D302" s="133"/>
      <c r="E302" s="145"/>
      <c r="F302" s="145"/>
      <c r="G302" s="133" t="s">
        <v>1094</v>
      </c>
      <c r="H302" s="144" t="s">
        <v>1093</v>
      </c>
      <c r="I302" s="133" t="s">
        <v>1092</v>
      </c>
      <c r="J302" s="133" t="s">
        <v>2373</v>
      </c>
      <c r="K302" s="143">
        <v>45748</v>
      </c>
      <c r="L302" s="133" t="s">
        <v>1241</v>
      </c>
      <c r="M302" s="142">
        <v>470</v>
      </c>
      <c r="N302" s="147"/>
      <c r="O302" s="141"/>
      <c r="P302" s="140"/>
    </row>
    <row r="303" spans="1:16" x14ac:dyDescent="0.35">
      <c r="A303" s="146"/>
      <c r="B303" s="143"/>
      <c r="C303" s="133"/>
      <c r="D303" s="133"/>
      <c r="E303" s="145"/>
      <c r="F303" s="145"/>
      <c r="G303" s="133"/>
      <c r="H303" s="144"/>
      <c r="I303" s="133"/>
      <c r="J303" s="133"/>
      <c r="K303" s="143"/>
      <c r="L303" s="133"/>
      <c r="M303" s="142"/>
      <c r="N303" s="147"/>
      <c r="O303" s="141"/>
      <c r="P303" s="140"/>
    </row>
    <row r="304" spans="1:16" x14ac:dyDescent="0.35">
      <c r="A304" s="146">
        <v>102</v>
      </c>
      <c r="B304" s="143">
        <v>45717</v>
      </c>
      <c r="C304" s="133" t="s">
        <v>1080</v>
      </c>
      <c r="D304" s="133" t="s">
        <v>1116</v>
      </c>
      <c r="E304" s="145" t="s">
        <v>1112</v>
      </c>
      <c r="F304" s="145">
        <v>3556</v>
      </c>
      <c r="G304" s="133" t="s">
        <v>1094</v>
      </c>
      <c r="H304" s="144" t="s">
        <v>1093</v>
      </c>
      <c r="I304" s="133" t="s">
        <v>1092</v>
      </c>
      <c r="J304" s="133" t="s">
        <v>2372</v>
      </c>
      <c r="K304" s="143">
        <v>45748</v>
      </c>
      <c r="L304" s="133" t="s">
        <v>1092</v>
      </c>
      <c r="M304" s="142">
        <v>3556</v>
      </c>
      <c r="N304" s="147">
        <f>+F304-M304</f>
        <v>0</v>
      </c>
      <c r="O304" s="141"/>
      <c r="P304" s="140"/>
    </row>
    <row r="305" spans="1:16" x14ac:dyDescent="0.35">
      <c r="A305" s="146"/>
      <c r="B305" s="143"/>
      <c r="C305" s="133"/>
      <c r="D305" s="133"/>
      <c r="E305" s="145"/>
      <c r="F305" s="145"/>
      <c r="G305" s="133"/>
      <c r="H305" s="144"/>
      <c r="I305" s="133"/>
      <c r="J305" s="133"/>
      <c r="K305" s="143"/>
      <c r="L305" s="133"/>
      <c r="M305" s="142"/>
      <c r="N305" s="147"/>
      <c r="O305" s="141"/>
      <c r="P305" s="140"/>
    </row>
    <row r="306" spans="1:16" x14ac:dyDescent="0.35">
      <c r="A306" s="146">
        <v>103</v>
      </c>
      <c r="B306" s="143">
        <v>45717</v>
      </c>
      <c r="C306" s="133" t="s">
        <v>1081</v>
      </c>
      <c r="D306" s="133" t="s">
        <v>1113</v>
      </c>
      <c r="E306" s="148" t="s">
        <v>1059</v>
      </c>
      <c r="F306" s="145">
        <v>12000</v>
      </c>
      <c r="G306" s="133" t="s">
        <v>1094</v>
      </c>
      <c r="H306" s="144" t="s">
        <v>1093</v>
      </c>
      <c r="I306" s="133" t="s">
        <v>1092</v>
      </c>
      <c r="J306" s="133" t="s">
        <v>1115</v>
      </c>
      <c r="K306" s="143">
        <v>45748</v>
      </c>
      <c r="L306" s="133" t="s">
        <v>1092</v>
      </c>
      <c r="M306" s="142">
        <v>9597.39</v>
      </c>
      <c r="N306" s="147">
        <f>+F306-M306-M307-M308</f>
        <v>0</v>
      </c>
      <c r="O306" s="141"/>
      <c r="P306" s="140"/>
    </row>
    <row r="307" spans="1:16" x14ac:dyDescent="0.35">
      <c r="A307" s="146"/>
      <c r="B307" s="143"/>
      <c r="C307" s="133"/>
      <c r="D307" s="133"/>
      <c r="E307" s="145"/>
      <c r="F307" s="145"/>
      <c r="G307" s="133" t="s">
        <v>1094</v>
      </c>
      <c r="H307" s="144" t="s">
        <v>1093</v>
      </c>
      <c r="I307" s="133" t="s">
        <v>1092</v>
      </c>
      <c r="J307" s="133" t="s">
        <v>2372</v>
      </c>
      <c r="K307" s="143">
        <v>45748</v>
      </c>
      <c r="L307" s="133" t="s">
        <v>1092</v>
      </c>
      <c r="M307" s="142">
        <v>1800.61</v>
      </c>
      <c r="N307" s="142"/>
      <c r="O307" s="141"/>
      <c r="P307" s="140"/>
    </row>
    <row r="308" spans="1:16" x14ac:dyDescent="0.35">
      <c r="A308" s="146"/>
      <c r="B308" s="143"/>
      <c r="C308" s="133"/>
      <c r="D308" s="133"/>
      <c r="E308" s="145"/>
      <c r="F308" s="145"/>
      <c r="G308" s="133" t="s">
        <v>1094</v>
      </c>
      <c r="H308" s="144" t="s">
        <v>1093</v>
      </c>
      <c r="I308" s="133" t="s">
        <v>1092</v>
      </c>
      <c r="J308" s="133" t="s">
        <v>2373</v>
      </c>
      <c r="K308" s="143">
        <v>45748</v>
      </c>
      <c r="L308" s="133" t="s">
        <v>1241</v>
      </c>
      <c r="M308" s="142">
        <v>602</v>
      </c>
      <c r="N308" s="142"/>
      <c r="O308" s="141"/>
      <c r="P308" s="140"/>
    </row>
    <row r="309" spans="1:16" x14ac:dyDescent="0.35">
      <c r="A309" s="146"/>
      <c r="B309" s="143"/>
      <c r="C309" s="133"/>
      <c r="D309" s="133"/>
      <c r="E309" s="145"/>
      <c r="F309" s="145"/>
      <c r="G309" s="133"/>
      <c r="H309" s="144"/>
      <c r="I309" s="133"/>
      <c r="J309" s="133"/>
      <c r="K309" s="143"/>
      <c r="L309" s="133"/>
      <c r="M309" s="142"/>
      <c r="N309" s="142"/>
      <c r="O309" s="141"/>
      <c r="P309" s="140"/>
    </row>
    <row r="310" spans="1:16" x14ac:dyDescent="0.35">
      <c r="A310" s="146">
        <v>104</v>
      </c>
      <c r="B310" s="143">
        <v>45717</v>
      </c>
      <c r="C310" s="133" t="s">
        <v>1114</v>
      </c>
      <c r="D310" s="133" t="s">
        <v>1113</v>
      </c>
      <c r="E310" s="145" t="s">
        <v>1112</v>
      </c>
      <c r="F310" s="145">
        <v>385</v>
      </c>
      <c r="G310" s="133" t="s">
        <v>1094</v>
      </c>
      <c r="H310" s="144" t="s">
        <v>1093</v>
      </c>
      <c r="I310" s="133" t="s">
        <v>1092</v>
      </c>
      <c r="J310" s="133" t="s">
        <v>2372</v>
      </c>
      <c r="K310" s="143">
        <v>45748</v>
      </c>
      <c r="L310" s="133" t="s">
        <v>1092</v>
      </c>
      <c r="M310" s="142">
        <v>385</v>
      </c>
      <c r="N310" s="147">
        <f>+F310-M310</f>
        <v>0</v>
      </c>
      <c r="O310" s="141"/>
      <c r="P310" s="140"/>
    </row>
    <row r="311" spans="1:16" x14ac:dyDescent="0.35">
      <c r="A311" s="146"/>
      <c r="B311" s="143"/>
      <c r="C311" s="133"/>
      <c r="D311" s="133"/>
      <c r="E311" s="145"/>
      <c r="F311" s="145"/>
      <c r="G311" s="133"/>
      <c r="H311" s="144"/>
      <c r="I311" s="133"/>
      <c r="J311" s="133"/>
      <c r="K311" s="143"/>
      <c r="L311" s="133"/>
      <c r="M311" s="142"/>
      <c r="N311" s="142"/>
      <c r="O311" s="141"/>
      <c r="P311" s="140"/>
    </row>
    <row r="312" spans="1:16" x14ac:dyDescent="0.35">
      <c r="A312" s="146">
        <v>105</v>
      </c>
      <c r="B312" s="143">
        <v>45717</v>
      </c>
      <c r="C312" s="133" t="s">
        <v>1082</v>
      </c>
      <c r="D312" s="133" t="s">
        <v>1111</v>
      </c>
      <c r="E312" s="148" t="s">
        <v>1059</v>
      </c>
      <c r="F312" s="145">
        <v>16000</v>
      </c>
      <c r="G312" s="133" t="s">
        <v>1094</v>
      </c>
      <c r="H312" s="144" t="s">
        <v>1093</v>
      </c>
      <c r="I312" s="133" t="s">
        <v>1092</v>
      </c>
      <c r="J312" s="133" t="s">
        <v>2372</v>
      </c>
      <c r="K312" s="143">
        <v>45748</v>
      </c>
      <c r="L312" s="133" t="s">
        <v>1092</v>
      </c>
      <c r="M312" s="142">
        <v>11914.29</v>
      </c>
      <c r="N312" s="147">
        <f>+F312-M312-M313-M314</f>
        <v>0</v>
      </c>
      <c r="O312" s="141"/>
      <c r="P312" s="140"/>
    </row>
    <row r="313" spans="1:16" x14ac:dyDescent="0.35">
      <c r="A313" s="146"/>
      <c r="B313" s="143"/>
      <c r="C313" s="133"/>
      <c r="D313" s="133"/>
      <c r="E313" s="145"/>
      <c r="F313" s="145"/>
      <c r="G313" s="133" t="s">
        <v>1094</v>
      </c>
      <c r="H313" s="144" t="s">
        <v>1093</v>
      </c>
      <c r="I313" s="133" t="s">
        <v>1092</v>
      </c>
      <c r="J313" s="133" t="s">
        <v>2373</v>
      </c>
      <c r="K313" s="143">
        <v>45748</v>
      </c>
      <c r="L313" s="133" t="s">
        <v>1241</v>
      </c>
      <c r="M313" s="142">
        <v>798</v>
      </c>
      <c r="N313" s="142"/>
      <c r="O313" s="141"/>
      <c r="P313" s="140"/>
    </row>
    <row r="314" spans="1:16" x14ac:dyDescent="0.35">
      <c r="A314" s="146"/>
      <c r="B314" s="143"/>
      <c r="C314" s="133"/>
      <c r="D314" s="133"/>
      <c r="E314" s="145"/>
      <c r="F314" s="145"/>
      <c r="G314" s="133" t="s">
        <v>1094</v>
      </c>
      <c r="H314" s="144" t="s">
        <v>1093</v>
      </c>
      <c r="I314" s="133" t="s">
        <v>1092</v>
      </c>
      <c r="J314" s="133" t="s">
        <v>2393</v>
      </c>
      <c r="K314" s="143">
        <v>45778</v>
      </c>
      <c r="L314" s="133" t="s">
        <v>1092</v>
      </c>
      <c r="M314" s="142">
        <v>3287.71</v>
      </c>
      <c r="N314" s="142"/>
      <c r="O314" s="141"/>
      <c r="P314" s="140"/>
    </row>
    <row r="315" spans="1:16" x14ac:dyDescent="0.35">
      <c r="A315" s="146"/>
      <c r="B315" s="143"/>
      <c r="C315" s="133"/>
      <c r="D315" s="133"/>
      <c r="E315" s="145"/>
      <c r="F315" s="145"/>
      <c r="G315" s="133"/>
      <c r="H315" s="144"/>
      <c r="I315" s="133"/>
      <c r="J315" s="133"/>
      <c r="K315" s="143"/>
      <c r="L315" s="133"/>
      <c r="M315" s="142"/>
      <c r="N315" s="142"/>
      <c r="O315" s="141"/>
      <c r="P315" s="140"/>
    </row>
    <row r="316" spans="1:16" x14ac:dyDescent="0.35">
      <c r="A316" s="146">
        <v>106</v>
      </c>
      <c r="B316" s="143">
        <v>45717</v>
      </c>
      <c r="C316" s="133" t="s">
        <v>1083</v>
      </c>
      <c r="D316" s="133" t="s">
        <v>1110</v>
      </c>
      <c r="E316" s="145" t="s">
        <v>46</v>
      </c>
      <c r="F316" s="145">
        <v>7000</v>
      </c>
      <c r="G316" s="133" t="s">
        <v>1094</v>
      </c>
      <c r="H316" s="144" t="s">
        <v>1093</v>
      </c>
      <c r="I316" s="133" t="s">
        <v>1092</v>
      </c>
      <c r="J316" s="133" t="s">
        <v>2393</v>
      </c>
      <c r="K316" s="143">
        <v>45778</v>
      </c>
      <c r="L316" s="133" t="s">
        <v>1092</v>
      </c>
      <c r="M316" s="142">
        <v>10000</v>
      </c>
      <c r="N316" s="147">
        <f>+F316+F317-M316</f>
        <v>0</v>
      </c>
      <c r="O316" s="141"/>
      <c r="P316" s="140"/>
    </row>
    <row r="317" spans="1:16" x14ac:dyDescent="0.35">
      <c r="A317" s="146"/>
      <c r="B317" s="143"/>
      <c r="C317" s="133"/>
      <c r="D317" s="133"/>
      <c r="E317" s="145" t="s">
        <v>1109</v>
      </c>
      <c r="F317" s="145">
        <v>3000</v>
      </c>
      <c r="G317" s="133"/>
      <c r="H317" s="144"/>
      <c r="I317" s="133"/>
      <c r="J317" s="133"/>
      <c r="K317" s="143"/>
      <c r="L317" s="133"/>
      <c r="M317" s="142"/>
      <c r="N317" s="142"/>
      <c r="O317" s="141"/>
      <c r="P317" s="140"/>
    </row>
    <row r="318" spans="1:16" x14ac:dyDescent="0.35">
      <c r="A318" s="146"/>
      <c r="B318" s="143"/>
      <c r="C318" s="133"/>
      <c r="D318" s="133"/>
      <c r="E318" s="145"/>
      <c r="F318" s="145"/>
      <c r="G318" s="133"/>
      <c r="H318" s="144"/>
      <c r="I318" s="133"/>
      <c r="J318" s="133"/>
      <c r="K318" s="143"/>
      <c r="L318" s="133"/>
      <c r="M318" s="142"/>
      <c r="N318" s="142"/>
      <c r="O318" s="141"/>
      <c r="P318" s="140"/>
    </row>
    <row r="319" spans="1:16" x14ac:dyDescent="0.35">
      <c r="A319" s="146">
        <v>107</v>
      </c>
      <c r="B319" s="143">
        <v>45717</v>
      </c>
      <c r="C319" s="133" t="s">
        <v>1108</v>
      </c>
      <c r="D319" s="133" t="s">
        <v>1107</v>
      </c>
      <c r="E319" s="148" t="s">
        <v>1059</v>
      </c>
      <c r="F319" s="145">
        <v>16000</v>
      </c>
      <c r="G319" s="133" t="s">
        <v>1094</v>
      </c>
      <c r="H319" s="144" t="s">
        <v>1093</v>
      </c>
      <c r="I319" s="133" t="s">
        <v>1092</v>
      </c>
      <c r="J319" s="133" t="s">
        <v>2393</v>
      </c>
      <c r="K319" s="143">
        <v>45778</v>
      </c>
      <c r="L319" s="133" t="s">
        <v>1092</v>
      </c>
      <c r="M319" s="142">
        <v>5405.29</v>
      </c>
      <c r="N319" s="147">
        <f>+F319-M319-M320-M321</f>
        <v>0</v>
      </c>
      <c r="O319" s="141"/>
      <c r="P319" s="140"/>
    </row>
    <row r="320" spans="1:16" x14ac:dyDescent="0.35">
      <c r="A320" s="146"/>
      <c r="B320" s="143"/>
      <c r="C320" s="133"/>
      <c r="D320" s="133"/>
      <c r="E320" s="145"/>
      <c r="F320" s="145"/>
      <c r="G320" s="133" t="s">
        <v>1094</v>
      </c>
      <c r="H320" s="144" t="s">
        <v>1093</v>
      </c>
      <c r="I320" s="133" t="s">
        <v>1092</v>
      </c>
      <c r="J320" s="133" t="s">
        <v>2405</v>
      </c>
      <c r="K320" s="143">
        <v>45778</v>
      </c>
      <c r="L320" s="133" t="s">
        <v>1092</v>
      </c>
      <c r="M320" s="142">
        <v>9992.7099999999991</v>
      </c>
      <c r="N320" s="147"/>
      <c r="O320" s="141"/>
      <c r="P320" s="140"/>
    </row>
    <row r="321" spans="1:16" x14ac:dyDescent="0.35">
      <c r="A321" s="146"/>
      <c r="B321" s="143"/>
      <c r="C321" s="133"/>
      <c r="D321" s="133"/>
      <c r="E321" s="145"/>
      <c r="F321" s="145"/>
      <c r="G321" s="133" t="s">
        <v>1094</v>
      </c>
      <c r="H321" s="144" t="s">
        <v>1093</v>
      </c>
      <c r="I321" s="133" t="s">
        <v>1092</v>
      </c>
      <c r="J321" s="133" t="s">
        <v>2565</v>
      </c>
      <c r="K321" s="143">
        <v>45901</v>
      </c>
      <c r="L321" s="133" t="s">
        <v>1241</v>
      </c>
      <c r="M321" s="142">
        <v>602</v>
      </c>
      <c r="N321" s="147"/>
      <c r="O321" s="141"/>
      <c r="P321" s="140"/>
    </row>
    <row r="322" spans="1:16" x14ac:dyDescent="0.35">
      <c r="A322" s="146"/>
      <c r="B322" s="143"/>
      <c r="C322" s="133"/>
      <c r="D322" s="133"/>
      <c r="E322" s="145"/>
      <c r="F322" s="145"/>
      <c r="G322" s="133"/>
      <c r="H322" s="144"/>
      <c r="I322" s="133"/>
      <c r="J322" s="133"/>
      <c r="K322" s="143"/>
      <c r="L322" s="133"/>
      <c r="M322" s="142"/>
      <c r="N322" s="147"/>
      <c r="O322" s="141"/>
      <c r="P322" s="140"/>
    </row>
    <row r="323" spans="1:16" x14ac:dyDescent="0.35">
      <c r="A323" s="146">
        <v>108</v>
      </c>
      <c r="B323" s="143">
        <v>45717</v>
      </c>
      <c r="C323" s="133" t="s">
        <v>1085</v>
      </c>
      <c r="D323" s="133" t="s">
        <v>1106</v>
      </c>
      <c r="E323" s="148" t="s">
        <v>1059</v>
      </c>
      <c r="F323" s="145">
        <v>16000</v>
      </c>
      <c r="G323" s="133" t="s">
        <v>1094</v>
      </c>
      <c r="H323" s="144" t="s">
        <v>1093</v>
      </c>
      <c r="I323" s="133" t="s">
        <v>1092</v>
      </c>
      <c r="J323" s="133" t="s">
        <v>2405</v>
      </c>
      <c r="K323" s="143">
        <v>45778</v>
      </c>
      <c r="L323" s="133" t="s">
        <v>1092</v>
      </c>
      <c r="M323" s="142">
        <v>5947.49</v>
      </c>
      <c r="N323" s="147">
        <f>+F323-M323-M324-M325</f>
        <v>0</v>
      </c>
      <c r="O323" s="141"/>
      <c r="P323" s="140"/>
    </row>
    <row r="324" spans="1:16" x14ac:dyDescent="0.35">
      <c r="A324" s="146"/>
      <c r="B324" s="143"/>
      <c r="C324" s="133"/>
      <c r="D324" s="133"/>
      <c r="E324" s="145"/>
      <c r="F324" s="145"/>
      <c r="G324" s="133" t="s">
        <v>1094</v>
      </c>
      <c r="H324" s="144" t="s">
        <v>1093</v>
      </c>
      <c r="I324" s="133" t="s">
        <v>1092</v>
      </c>
      <c r="J324" s="133" t="s">
        <v>2456</v>
      </c>
      <c r="K324" s="143">
        <v>45839</v>
      </c>
      <c r="L324" s="133" t="s">
        <v>1092</v>
      </c>
      <c r="M324" s="142">
        <v>9462.51</v>
      </c>
      <c r="N324" s="147"/>
      <c r="O324" s="141"/>
      <c r="P324" s="140"/>
    </row>
    <row r="325" spans="1:16" x14ac:dyDescent="0.35">
      <c r="A325" s="146"/>
      <c r="B325" s="143"/>
      <c r="C325" s="133"/>
      <c r="D325" s="133"/>
      <c r="E325" s="145"/>
      <c r="F325" s="145"/>
      <c r="G325" s="133" t="s">
        <v>1094</v>
      </c>
      <c r="H325" s="144" t="s">
        <v>1093</v>
      </c>
      <c r="I325" s="133" t="s">
        <v>1092</v>
      </c>
      <c r="J325" s="133" t="s">
        <v>2565</v>
      </c>
      <c r="K325" s="143">
        <v>45901</v>
      </c>
      <c r="L325" s="133" t="s">
        <v>1241</v>
      </c>
      <c r="M325" s="142">
        <v>590</v>
      </c>
      <c r="N325" s="147"/>
      <c r="O325" s="141"/>
      <c r="P325" s="140"/>
    </row>
    <row r="326" spans="1:16" x14ac:dyDescent="0.35">
      <c r="A326" s="146"/>
      <c r="B326" s="143"/>
      <c r="C326" s="133"/>
      <c r="D326" s="133"/>
      <c r="E326" s="145"/>
      <c r="F326" s="145"/>
      <c r="G326" s="133"/>
      <c r="H326" s="144"/>
      <c r="I326" s="133"/>
      <c r="J326" s="133"/>
      <c r="K326" s="143"/>
      <c r="L326" s="133"/>
      <c r="M326" s="142"/>
      <c r="N326" s="147"/>
      <c r="O326" s="141"/>
      <c r="P326" s="140"/>
    </row>
    <row r="327" spans="1:16" x14ac:dyDescent="0.35">
      <c r="A327" s="146">
        <v>109</v>
      </c>
      <c r="B327" s="143">
        <v>45717</v>
      </c>
      <c r="C327" s="133" t="s">
        <v>1084</v>
      </c>
      <c r="D327" s="133" t="s">
        <v>1105</v>
      </c>
      <c r="E327" s="148" t="s">
        <v>1059</v>
      </c>
      <c r="F327" s="145">
        <v>20000</v>
      </c>
      <c r="G327" s="133" t="s">
        <v>1094</v>
      </c>
      <c r="H327" s="144" t="s">
        <v>1093</v>
      </c>
      <c r="I327" s="133" t="s">
        <v>1092</v>
      </c>
      <c r="J327" s="133" t="s">
        <v>2456</v>
      </c>
      <c r="K327" s="143">
        <v>45839</v>
      </c>
      <c r="L327" s="133" t="s">
        <v>1092</v>
      </c>
      <c r="M327" s="142">
        <v>10566.49</v>
      </c>
      <c r="N327" s="147">
        <f>+F327-M327-M328-M329</f>
        <v>0</v>
      </c>
      <c r="O327" s="141"/>
      <c r="P327" s="140"/>
    </row>
    <row r="328" spans="1:16" x14ac:dyDescent="0.35">
      <c r="A328" s="146"/>
      <c r="B328" s="143"/>
      <c r="C328" s="133"/>
      <c r="D328" s="133"/>
      <c r="E328" s="148"/>
      <c r="F328" s="145"/>
      <c r="G328" s="133" t="s">
        <v>1094</v>
      </c>
      <c r="H328" s="144" t="s">
        <v>1093</v>
      </c>
      <c r="I328" s="133" t="s">
        <v>1092</v>
      </c>
      <c r="J328" s="133" t="s">
        <v>2512</v>
      </c>
      <c r="K328" s="143">
        <v>45870</v>
      </c>
      <c r="L328" s="133" t="s">
        <v>1092</v>
      </c>
      <c r="M328" s="142">
        <v>8483.51</v>
      </c>
      <c r="N328" s="147"/>
      <c r="O328" s="141"/>
      <c r="P328" s="140"/>
    </row>
    <row r="329" spans="1:16" x14ac:dyDescent="0.35">
      <c r="A329" s="146"/>
      <c r="B329" s="143"/>
      <c r="C329" s="133"/>
      <c r="D329" s="133"/>
      <c r="E329" s="148"/>
      <c r="F329" s="145"/>
      <c r="G329" s="133" t="s">
        <v>1094</v>
      </c>
      <c r="H329" s="144" t="s">
        <v>1093</v>
      </c>
      <c r="I329" s="133" t="s">
        <v>1092</v>
      </c>
      <c r="J329" s="133" t="s">
        <v>2565</v>
      </c>
      <c r="K329" s="143">
        <v>45901</v>
      </c>
      <c r="L329" s="133" t="s">
        <v>1241</v>
      </c>
      <c r="M329" s="142">
        <v>950</v>
      </c>
      <c r="N329" s="147"/>
      <c r="O329" s="141"/>
      <c r="P329" s="140"/>
    </row>
    <row r="330" spans="1:16" x14ac:dyDescent="0.35">
      <c r="A330" s="146"/>
      <c r="B330" s="143"/>
      <c r="C330" s="133"/>
      <c r="D330" s="133"/>
      <c r="E330" s="148"/>
      <c r="F330" s="145"/>
      <c r="G330" s="133"/>
      <c r="H330" s="144"/>
      <c r="I330" s="133"/>
      <c r="J330" s="133"/>
      <c r="K330" s="143"/>
      <c r="L330" s="133"/>
      <c r="M330" s="142"/>
      <c r="N330" s="147"/>
      <c r="O330" s="141"/>
      <c r="P330" s="140"/>
    </row>
    <row r="331" spans="1:16" x14ac:dyDescent="0.35">
      <c r="A331" s="146">
        <v>110</v>
      </c>
      <c r="B331" s="143">
        <v>45717</v>
      </c>
      <c r="C331" s="133" t="s">
        <v>1086</v>
      </c>
      <c r="D331" s="133" t="s">
        <v>1104</v>
      </c>
      <c r="E331" s="148" t="s">
        <v>1059</v>
      </c>
      <c r="F331" s="145">
        <v>28000</v>
      </c>
      <c r="G331" s="133" t="s">
        <v>1094</v>
      </c>
      <c r="H331" s="144" t="s">
        <v>1093</v>
      </c>
      <c r="I331" s="133" t="s">
        <v>1092</v>
      </c>
      <c r="J331" s="133" t="s">
        <v>2512</v>
      </c>
      <c r="K331" s="143">
        <v>45870</v>
      </c>
      <c r="L331" s="133" t="s">
        <v>1092</v>
      </c>
      <c r="M331" s="142">
        <v>8775.49</v>
      </c>
      <c r="N331" s="147">
        <f>+F331-M331-M332-M333</f>
        <v>1.1368683772161603E-12</v>
      </c>
      <c r="O331" s="141"/>
      <c r="P331" s="140"/>
    </row>
    <row r="332" spans="1:16" x14ac:dyDescent="0.35">
      <c r="A332" s="146"/>
      <c r="B332" s="143"/>
      <c r="C332" s="133"/>
      <c r="D332" s="133"/>
      <c r="E332" s="148"/>
      <c r="F332" s="145"/>
      <c r="G332" s="133" t="s">
        <v>1094</v>
      </c>
      <c r="H332" s="144" t="s">
        <v>1093</v>
      </c>
      <c r="I332" s="133" t="s">
        <v>1092</v>
      </c>
      <c r="J332" s="133" t="s">
        <v>2526</v>
      </c>
      <c r="K332" s="143">
        <v>45870</v>
      </c>
      <c r="L332" s="133" t="s">
        <v>1092</v>
      </c>
      <c r="M332" s="142">
        <v>18654.54</v>
      </c>
      <c r="N332" s="147"/>
      <c r="O332" s="141"/>
      <c r="P332" s="140"/>
    </row>
    <row r="333" spans="1:16" x14ac:dyDescent="0.35">
      <c r="A333" s="146"/>
      <c r="B333" s="143"/>
      <c r="C333" s="133"/>
      <c r="D333" s="133"/>
      <c r="E333" s="148"/>
      <c r="F333" s="145"/>
      <c r="G333" s="133" t="s">
        <v>1094</v>
      </c>
      <c r="H333" s="144" t="s">
        <v>1093</v>
      </c>
      <c r="I333" s="133" t="s">
        <v>1092</v>
      </c>
      <c r="J333" s="133" t="s">
        <v>2565</v>
      </c>
      <c r="K333" s="143">
        <v>45901</v>
      </c>
      <c r="L333" s="133" t="s">
        <v>1241</v>
      </c>
      <c r="M333" s="142">
        <v>569.97</v>
      </c>
      <c r="N333" s="147"/>
      <c r="O333" s="141"/>
      <c r="P333" s="140"/>
    </row>
    <row r="334" spans="1:16" x14ac:dyDescent="0.35">
      <c r="A334" s="146"/>
      <c r="B334" s="143"/>
      <c r="C334" s="133"/>
      <c r="D334" s="133"/>
      <c r="E334" s="145"/>
      <c r="F334" s="145"/>
      <c r="G334" s="133"/>
      <c r="H334" s="144"/>
      <c r="I334" s="133"/>
      <c r="J334" s="133"/>
      <c r="K334" s="143"/>
      <c r="L334" s="133"/>
      <c r="M334" s="142"/>
      <c r="N334" s="147"/>
      <c r="O334" s="141"/>
      <c r="P334" s="140"/>
    </row>
    <row r="335" spans="1:16" x14ac:dyDescent="0.35">
      <c r="A335" s="146">
        <v>111</v>
      </c>
      <c r="B335" s="143">
        <v>45717</v>
      </c>
      <c r="C335" s="133" t="s">
        <v>1087</v>
      </c>
      <c r="D335" s="133" t="s">
        <v>1104</v>
      </c>
      <c r="E335" s="148" t="s">
        <v>1059</v>
      </c>
      <c r="F335" s="145">
        <v>28000</v>
      </c>
      <c r="G335" s="133" t="s">
        <v>1094</v>
      </c>
      <c r="H335" s="144" t="s">
        <v>1093</v>
      </c>
      <c r="I335" s="133" t="s">
        <v>1092</v>
      </c>
      <c r="J335" s="133" t="s">
        <v>2526</v>
      </c>
      <c r="K335" s="143">
        <v>45870</v>
      </c>
      <c r="L335" s="133" t="s">
        <v>1092</v>
      </c>
      <c r="M335" s="142">
        <v>1297.46</v>
      </c>
      <c r="N335" s="147">
        <f>+F335-M335-M336-M337-M338</f>
        <v>0</v>
      </c>
      <c r="O335" s="141"/>
      <c r="P335" s="140"/>
    </row>
    <row r="336" spans="1:16" x14ac:dyDescent="0.35">
      <c r="A336" s="146"/>
      <c r="B336" s="143"/>
      <c r="C336" s="133"/>
      <c r="D336" s="133"/>
      <c r="E336" s="148"/>
      <c r="F336" s="145"/>
      <c r="G336" s="133" t="s">
        <v>1094</v>
      </c>
      <c r="H336" s="144" t="s">
        <v>1093</v>
      </c>
      <c r="I336" s="133" t="s">
        <v>1092</v>
      </c>
      <c r="J336" s="133" t="s">
        <v>2534</v>
      </c>
      <c r="K336" s="143">
        <v>45901</v>
      </c>
      <c r="L336" s="133" t="s">
        <v>1092</v>
      </c>
      <c r="M336" s="142">
        <v>17257</v>
      </c>
      <c r="N336" s="147"/>
      <c r="O336" s="141"/>
      <c r="P336" s="140"/>
    </row>
    <row r="337" spans="1:16" x14ac:dyDescent="0.35">
      <c r="A337" s="146"/>
      <c r="B337" s="143"/>
      <c r="C337" s="133"/>
      <c r="D337" s="133"/>
      <c r="E337" s="148"/>
      <c r="F337" s="145"/>
      <c r="G337" s="133" t="s">
        <v>1094</v>
      </c>
      <c r="H337" s="144" t="s">
        <v>1093</v>
      </c>
      <c r="I337" s="133" t="s">
        <v>1092</v>
      </c>
      <c r="J337" s="133" t="s">
        <v>2542</v>
      </c>
      <c r="K337" s="143">
        <v>45901</v>
      </c>
      <c r="L337" s="133" t="s">
        <v>1092</v>
      </c>
      <c r="M337" s="142">
        <v>8615.5400000000009</v>
      </c>
      <c r="N337" s="147"/>
      <c r="O337" s="141"/>
      <c r="P337" s="140"/>
    </row>
    <row r="338" spans="1:16" x14ac:dyDescent="0.35">
      <c r="A338" s="146"/>
      <c r="B338" s="143"/>
      <c r="C338" s="133"/>
      <c r="D338" s="133"/>
      <c r="E338" s="148"/>
      <c r="F338" s="145"/>
      <c r="G338" s="133" t="s">
        <v>1094</v>
      </c>
      <c r="H338" s="144" t="s">
        <v>1093</v>
      </c>
      <c r="I338" s="133" t="s">
        <v>1092</v>
      </c>
      <c r="J338" s="133" t="s">
        <v>2565</v>
      </c>
      <c r="K338" s="143">
        <v>45901</v>
      </c>
      <c r="L338" s="133" t="s">
        <v>1241</v>
      </c>
      <c r="M338" s="142">
        <v>830</v>
      </c>
      <c r="N338" s="147"/>
      <c r="O338" s="141"/>
      <c r="P338" s="140"/>
    </row>
    <row r="339" spans="1:16" x14ac:dyDescent="0.35">
      <c r="A339" s="146"/>
      <c r="B339" s="143"/>
      <c r="C339" s="133"/>
      <c r="D339" s="133"/>
      <c r="E339" s="145"/>
      <c r="F339" s="145"/>
      <c r="G339" s="133"/>
      <c r="H339" s="144"/>
      <c r="I339" s="133"/>
      <c r="J339" s="133"/>
      <c r="K339" s="143"/>
      <c r="L339" s="133"/>
      <c r="M339" s="142"/>
      <c r="N339" s="147"/>
      <c r="O339" s="141"/>
      <c r="P339" s="140"/>
    </row>
    <row r="340" spans="1:16" x14ac:dyDescent="0.35">
      <c r="A340" s="146">
        <v>112</v>
      </c>
      <c r="B340" s="143">
        <v>45717</v>
      </c>
      <c r="C340" s="133" t="s">
        <v>1088</v>
      </c>
      <c r="D340" s="133" t="s">
        <v>1103</v>
      </c>
      <c r="E340" s="148" t="s">
        <v>1059</v>
      </c>
      <c r="F340" s="145">
        <v>16000</v>
      </c>
      <c r="G340" s="133" t="s">
        <v>1094</v>
      </c>
      <c r="H340" s="144" t="s">
        <v>1093</v>
      </c>
      <c r="I340" s="133" t="s">
        <v>1092</v>
      </c>
      <c r="J340" s="133" t="s">
        <v>2542</v>
      </c>
      <c r="K340" s="143">
        <v>45901</v>
      </c>
      <c r="L340" s="133" t="s">
        <v>1092</v>
      </c>
      <c r="M340" s="142">
        <v>7403.66</v>
      </c>
      <c r="N340" s="147">
        <f>+F340-M340-M341-M342</f>
        <v>0</v>
      </c>
      <c r="O340" s="141"/>
      <c r="P340" s="140"/>
    </row>
    <row r="341" spans="1:16" x14ac:dyDescent="0.35">
      <c r="A341" s="146"/>
      <c r="B341" s="143"/>
      <c r="C341" s="133"/>
      <c r="D341" s="133"/>
      <c r="E341" s="148"/>
      <c r="F341" s="145"/>
      <c r="G341" s="133" t="s">
        <v>1094</v>
      </c>
      <c r="H341" s="144" t="s">
        <v>1093</v>
      </c>
      <c r="I341" s="133" t="s">
        <v>1092</v>
      </c>
      <c r="J341" s="133" t="s">
        <v>2554</v>
      </c>
      <c r="K341" s="143">
        <v>45901</v>
      </c>
      <c r="L341" s="133" t="s">
        <v>1092</v>
      </c>
      <c r="M341" s="142">
        <v>8146.34</v>
      </c>
      <c r="N341" s="147"/>
      <c r="O341" s="141"/>
      <c r="P341" s="140"/>
    </row>
    <row r="342" spans="1:16" x14ac:dyDescent="0.35">
      <c r="A342" s="146"/>
      <c r="B342" s="143"/>
      <c r="C342" s="133"/>
      <c r="D342" s="133"/>
      <c r="E342" s="148"/>
      <c r="F342" s="145"/>
      <c r="G342" s="133" t="s">
        <v>1094</v>
      </c>
      <c r="H342" s="144" t="s">
        <v>1093</v>
      </c>
      <c r="I342" s="133" t="s">
        <v>1092</v>
      </c>
      <c r="J342" s="133" t="s">
        <v>2565</v>
      </c>
      <c r="K342" s="143">
        <v>45901</v>
      </c>
      <c r="L342" s="133" t="s">
        <v>1241</v>
      </c>
      <c r="M342" s="142">
        <v>450</v>
      </c>
      <c r="N342" s="147"/>
      <c r="O342" s="141"/>
      <c r="P342" s="140"/>
    </row>
    <row r="343" spans="1:16" x14ac:dyDescent="0.35">
      <c r="A343" s="146"/>
      <c r="B343" s="143"/>
      <c r="C343" s="133"/>
      <c r="D343" s="133"/>
      <c r="E343" s="148"/>
      <c r="F343" s="145"/>
      <c r="G343" s="133"/>
      <c r="H343" s="144"/>
      <c r="I343" s="133"/>
      <c r="J343" s="133"/>
      <c r="K343" s="143"/>
      <c r="L343" s="133"/>
      <c r="M343" s="142"/>
      <c r="N343" s="147"/>
      <c r="O343" s="141"/>
      <c r="P343" s="140"/>
    </row>
    <row r="344" spans="1:16" x14ac:dyDescent="0.35">
      <c r="A344" s="156"/>
      <c r="B344" s="152"/>
      <c r="C344" s="151"/>
      <c r="D344" s="151"/>
      <c r="E344" s="155"/>
      <c r="F344" s="154"/>
      <c r="G344" s="151"/>
      <c r="H344" s="153"/>
      <c r="I344" s="151"/>
      <c r="J344" s="151"/>
      <c r="K344" s="152"/>
      <c r="L344" s="151"/>
      <c r="M344" s="150"/>
      <c r="N344" s="150"/>
      <c r="O344" s="141"/>
      <c r="P344" s="140"/>
    </row>
    <row r="345" spans="1:16" x14ac:dyDescent="0.35">
      <c r="A345" s="146"/>
      <c r="B345" s="143"/>
      <c r="C345" s="133"/>
      <c r="D345" s="133"/>
      <c r="E345" s="148"/>
      <c r="F345" s="145"/>
      <c r="G345" s="133"/>
      <c r="H345" s="144"/>
      <c r="I345" s="133"/>
      <c r="J345" s="133"/>
      <c r="K345" s="143"/>
      <c r="L345" s="133"/>
      <c r="M345" s="142"/>
      <c r="N345" s="147"/>
      <c r="O345" s="141"/>
      <c r="P345" s="140"/>
    </row>
    <row r="346" spans="1:16" x14ac:dyDescent="0.35">
      <c r="A346" s="149" t="s">
        <v>1102</v>
      </c>
      <c r="B346" s="143">
        <v>45748</v>
      </c>
      <c r="C346" s="133" t="s">
        <v>1101</v>
      </c>
      <c r="D346" s="133" t="s">
        <v>1100</v>
      </c>
      <c r="E346" s="148" t="s">
        <v>1059</v>
      </c>
      <c r="F346" s="145">
        <v>10000</v>
      </c>
      <c r="G346" s="133" t="s">
        <v>1094</v>
      </c>
      <c r="H346" s="144" t="s">
        <v>1093</v>
      </c>
      <c r="I346" s="133" t="s">
        <v>1092</v>
      </c>
      <c r="J346" s="133" t="s">
        <v>2554</v>
      </c>
      <c r="K346" s="143">
        <v>45901</v>
      </c>
      <c r="L346" s="133" t="s">
        <v>1092</v>
      </c>
      <c r="M346" s="142">
        <v>9795.66</v>
      </c>
      <c r="N346" s="147">
        <f>+F346-M346-M347</f>
        <v>0</v>
      </c>
      <c r="O346" s="141"/>
      <c r="P346" s="140"/>
    </row>
    <row r="347" spans="1:16" x14ac:dyDescent="0.35">
      <c r="A347" s="149"/>
      <c r="B347" s="143"/>
      <c r="C347" s="133"/>
      <c r="D347" s="133"/>
      <c r="E347" s="148"/>
      <c r="F347" s="145"/>
      <c r="G347" s="133" t="s">
        <v>1094</v>
      </c>
      <c r="H347" s="144" t="s">
        <v>1093</v>
      </c>
      <c r="I347" s="133" t="s">
        <v>1092</v>
      </c>
      <c r="J347" s="133" t="s">
        <v>2565</v>
      </c>
      <c r="K347" s="143">
        <v>45901</v>
      </c>
      <c r="L347" s="133" t="s">
        <v>1241</v>
      </c>
      <c r="M347" s="142">
        <v>204.34</v>
      </c>
      <c r="N347" s="147"/>
      <c r="O347" s="141"/>
      <c r="P347" s="140"/>
    </row>
    <row r="348" spans="1:16" x14ac:dyDescent="0.35">
      <c r="A348" s="146"/>
      <c r="B348" s="143"/>
      <c r="C348" s="133"/>
      <c r="D348" s="133"/>
      <c r="E348" s="148"/>
      <c r="F348" s="145"/>
      <c r="G348" s="133"/>
      <c r="H348" s="144"/>
      <c r="I348" s="133"/>
      <c r="J348" s="133"/>
      <c r="K348" s="143"/>
      <c r="L348" s="133"/>
      <c r="M348" s="142"/>
      <c r="N348" s="147"/>
      <c r="O348" s="141"/>
      <c r="P348" s="140"/>
    </row>
    <row r="349" spans="1:16" x14ac:dyDescent="0.35">
      <c r="A349" s="149" t="s">
        <v>1099</v>
      </c>
      <c r="B349" s="143">
        <v>45748</v>
      </c>
      <c r="C349" s="133" t="s">
        <v>1098</v>
      </c>
      <c r="D349" s="133" t="s">
        <v>1095</v>
      </c>
      <c r="E349" s="148" t="s">
        <v>1059</v>
      </c>
      <c r="F349" s="145">
        <v>20000</v>
      </c>
      <c r="G349" s="133" t="s">
        <v>1094</v>
      </c>
      <c r="H349" s="144" t="s">
        <v>1093</v>
      </c>
      <c r="I349" s="133" t="s">
        <v>1092</v>
      </c>
      <c r="J349" s="133" t="s">
        <v>2564</v>
      </c>
      <c r="K349" s="143">
        <v>45901</v>
      </c>
      <c r="L349" s="133" t="s">
        <v>1092</v>
      </c>
      <c r="M349" s="142">
        <v>18927</v>
      </c>
      <c r="N349" s="147">
        <f>+F349-M349-M350</f>
        <v>0</v>
      </c>
      <c r="O349" s="141"/>
      <c r="P349" s="140"/>
    </row>
    <row r="350" spans="1:16" x14ac:dyDescent="0.35">
      <c r="A350" s="149"/>
      <c r="B350" s="143"/>
      <c r="C350" s="133"/>
      <c r="D350" s="133"/>
      <c r="E350" s="148"/>
      <c r="F350" s="145"/>
      <c r="G350" s="133" t="s">
        <v>1094</v>
      </c>
      <c r="H350" s="144" t="s">
        <v>1093</v>
      </c>
      <c r="I350" s="133" t="s">
        <v>1092</v>
      </c>
      <c r="J350" s="133" t="s">
        <v>2565</v>
      </c>
      <c r="K350" s="143">
        <v>45901</v>
      </c>
      <c r="L350" s="133" t="s">
        <v>1241</v>
      </c>
      <c r="M350" s="142">
        <v>1073</v>
      </c>
      <c r="N350" s="147"/>
      <c r="O350" s="141"/>
      <c r="P350" s="140"/>
    </row>
    <row r="351" spans="1:16" x14ac:dyDescent="0.35">
      <c r="A351" s="146"/>
      <c r="B351" s="143"/>
      <c r="C351" s="133"/>
      <c r="D351" s="133"/>
      <c r="E351" s="148"/>
      <c r="F351" s="145"/>
      <c r="G351" s="133"/>
      <c r="H351" s="144"/>
      <c r="I351" s="133"/>
      <c r="J351" s="133"/>
      <c r="K351" s="143"/>
      <c r="L351" s="133"/>
      <c r="M351" s="142"/>
      <c r="N351" s="147"/>
      <c r="O351" s="141"/>
      <c r="P351" s="140"/>
    </row>
    <row r="352" spans="1:16" x14ac:dyDescent="0.35">
      <c r="A352" s="149" t="s">
        <v>1097</v>
      </c>
      <c r="B352" s="143">
        <v>45748</v>
      </c>
      <c r="C352" s="133" t="s">
        <v>1096</v>
      </c>
      <c r="D352" s="133" t="s">
        <v>1095</v>
      </c>
      <c r="E352" s="148" t="s">
        <v>55</v>
      </c>
      <c r="F352" s="145">
        <v>1500</v>
      </c>
      <c r="G352" s="133" t="s">
        <v>1094</v>
      </c>
      <c r="H352" s="144" t="s">
        <v>1093</v>
      </c>
      <c r="I352" s="133" t="s">
        <v>1092</v>
      </c>
      <c r="J352" s="133" t="s">
        <v>2534</v>
      </c>
      <c r="K352" s="143">
        <v>45901</v>
      </c>
      <c r="L352" s="133" t="s">
        <v>1092</v>
      </c>
      <c r="M352" s="142">
        <v>1500</v>
      </c>
      <c r="N352" s="147">
        <f>+F352-M352</f>
        <v>0</v>
      </c>
      <c r="O352" s="141"/>
      <c r="P352" s="140"/>
    </row>
    <row r="353" spans="1:16" x14ac:dyDescent="0.35">
      <c r="A353" s="146"/>
      <c r="B353" s="143"/>
      <c r="C353" s="133"/>
      <c r="D353" s="133"/>
      <c r="E353" s="148"/>
      <c r="F353" s="145"/>
      <c r="G353" s="133"/>
      <c r="H353" s="144"/>
      <c r="I353" s="133"/>
      <c r="J353" s="133"/>
      <c r="K353" s="143"/>
      <c r="L353" s="133"/>
      <c r="M353" s="142"/>
      <c r="N353" s="147"/>
      <c r="O353" s="141"/>
      <c r="P353" s="140"/>
    </row>
    <row r="354" spans="1:16" x14ac:dyDescent="0.35">
      <c r="A354" s="149" t="s">
        <v>1369</v>
      </c>
      <c r="B354" s="143">
        <v>45748</v>
      </c>
      <c r="C354" s="133" t="s">
        <v>2369</v>
      </c>
      <c r="D354" s="133" t="s">
        <v>2370</v>
      </c>
      <c r="E354" s="145" t="s">
        <v>1112</v>
      </c>
      <c r="F354" s="145">
        <v>305</v>
      </c>
      <c r="G354" s="133" t="s">
        <v>1094</v>
      </c>
      <c r="H354" s="144" t="s">
        <v>1093</v>
      </c>
      <c r="I354" s="133" t="s">
        <v>1092</v>
      </c>
      <c r="J354" s="133" t="s">
        <v>2534</v>
      </c>
      <c r="K354" s="143">
        <v>45901</v>
      </c>
      <c r="L354" s="133" t="s">
        <v>1092</v>
      </c>
      <c r="M354" s="142">
        <v>305</v>
      </c>
      <c r="N354" s="147">
        <f>+F354-M354</f>
        <v>0</v>
      </c>
      <c r="O354" s="141"/>
      <c r="P354" s="140"/>
    </row>
    <row r="355" spans="1:16" x14ac:dyDescent="0.35">
      <c r="A355" s="146"/>
      <c r="B355" s="143"/>
      <c r="C355" s="133"/>
      <c r="D355" s="133"/>
      <c r="E355" s="148"/>
      <c r="F355" s="145"/>
      <c r="G355" s="133"/>
      <c r="H355" s="144"/>
      <c r="I355" s="133"/>
      <c r="J355" s="133"/>
      <c r="K355" s="143"/>
      <c r="L355" s="133"/>
      <c r="M355" s="142"/>
      <c r="N355" s="147"/>
      <c r="O355" s="141"/>
      <c r="P355" s="140"/>
    </row>
    <row r="356" spans="1:16" x14ac:dyDescent="0.35">
      <c r="A356" s="149" t="s">
        <v>1366</v>
      </c>
      <c r="B356" s="143">
        <v>45748</v>
      </c>
      <c r="C356" s="133" t="s">
        <v>2377</v>
      </c>
      <c r="D356" s="133" t="s">
        <v>2378</v>
      </c>
      <c r="E356" s="148" t="s">
        <v>55</v>
      </c>
      <c r="F356" s="145">
        <v>6000</v>
      </c>
      <c r="G356" s="133" t="s">
        <v>1094</v>
      </c>
      <c r="H356" s="144" t="s">
        <v>1093</v>
      </c>
      <c r="I356" s="133" t="s">
        <v>1092</v>
      </c>
      <c r="J356" s="133" t="s">
        <v>2542</v>
      </c>
      <c r="K356" s="143">
        <v>45901</v>
      </c>
      <c r="L356" s="133" t="s">
        <v>1092</v>
      </c>
      <c r="M356" s="142">
        <v>3500</v>
      </c>
      <c r="N356" s="147">
        <f>+F356-M356-M357</f>
        <v>0</v>
      </c>
      <c r="O356" s="141"/>
      <c r="P356" s="140"/>
    </row>
    <row r="357" spans="1:16" x14ac:dyDescent="0.35">
      <c r="A357" s="149"/>
      <c r="B357" s="143"/>
      <c r="C357" s="133"/>
      <c r="D357" s="133"/>
      <c r="E357" s="148"/>
      <c r="F357" s="145"/>
      <c r="G357" s="133" t="s">
        <v>1094</v>
      </c>
      <c r="H357" s="144" t="s">
        <v>1093</v>
      </c>
      <c r="I357" s="133" t="s">
        <v>1092</v>
      </c>
      <c r="J357" s="133" t="s">
        <v>2554</v>
      </c>
      <c r="K357" s="143">
        <v>45901</v>
      </c>
      <c r="L357" s="133" t="s">
        <v>1092</v>
      </c>
      <c r="M357" s="142">
        <v>2500</v>
      </c>
      <c r="N357" s="147"/>
      <c r="O357" s="141"/>
      <c r="P357" s="140"/>
    </row>
    <row r="358" spans="1:16" x14ac:dyDescent="0.35">
      <c r="A358" s="149"/>
      <c r="B358" s="143"/>
      <c r="C358" s="133"/>
      <c r="D358" s="133"/>
      <c r="E358" s="148"/>
      <c r="F358" s="145"/>
      <c r="G358" s="133"/>
      <c r="H358" s="144"/>
      <c r="I358" s="133"/>
      <c r="J358" s="133"/>
      <c r="K358" s="143"/>
      <c r="L358" s="133"/>
      <c r="M358" s="142"/>
      <c r="N358" s="147"/>
      <c r="O358" s="141"/>
      <c r="P358" s="140"/>
    </row>
    <row r="359" spans="1:16" x14ac:dyDescent="0.35">
      <c r="A359" s="146"/>
      <c r="B359" s="143"/>
      <c r="C359" s="133"/>
      <c r="D359" s="133"/>
      <c r="E359" s="145"/>
      <c r="F359" s="145"/>
      <c r="G359" s="133"/>
      <c r="H359" s="144"/>
      <c r="I359" s="133"/>
      <c r="J359" s="133"/>
      <c r="K359" s="143"/>
      <c r="L359" s="133"/>
      <c r="M359" s="142"/>
      <c r="N359" s="142"/>
      <c r="O359" s="141"/>
      <c r="P359" s="140"/>
    </row>
    <row r="360" spans="1:16" x14ac:dyDescent="0.35">
      <c r="A360" s="139"/>
      <c r="B360" s="138"/>
      <c r="C360" s="138"/>
      <c r="D360" s="138"/>
      <c r="E360" s="138" t="s">
        <v>1091</v>
      </c>
      <c r="F360" s="134">
        <f>SUM(F3:F359)</f>
        <v>784943.50999999966</v>
      </c>
      <c r="G360" s="138"/>
      <c r="H360" s="138"/>
      <c r="I360" s="138" t="s">
        <v>1090</v>
      </c>
      <c r="J360" s="138"/>
      <c r="K360" s="138"/>
      <c r="L360" s="138"/>
      <c r="M360" s="134">
        <f>SUM(M3:M359)</f>
        <v>784943.50999999954</v>
      </c>
      <c r="N360" s="134">
        <f>SUM(N3:N359)</f>
        <v>1.1368683772161603E-12</v>
      </c>
    </row>
    <row r="361" spans="1:16" x14ac:dyDescent="0.35">
      <c r="A361" s="136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7"/>
    </row>
    <row r="362" spans="1:16" x14ac:dyDescent="0.35">
      <c r="A362" s="136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7"/>
      <c r="M362" s="137"/>
      <c r="N362" s="134">
        <f>+F360-M360</f>
        <v>0</v>
      </c>
    </row>
    <row r="363" spans="1:16" x14ac:dyDescent="0.35">
      <c r="A363" s="136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7"/>
      <c r="M363" s="135"/>
      <c r="N363" s="137"/>
    </row>
    <row r="364" spans="1:16" x14ac:dyDescent="0.35">
      <c r="A364" s="136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4">
        <f>+N360-N362</f>
        <v>1.1368683772161603E-12</v>
      </c>
    </row>
    <row r="365" spans="1:16" x14ac:dyDescent="0.3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</row>
    <row r="366" spans="1:16" x14ac:dyDescent="0.35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</row>
  </sheetData>
  <autoFilter ref="A2:N366"/>
  <mergeCells count="2">
    <mergeCell ref="A1:N1"/>
    <mergeCell ref="O2:U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5"/>
  <sheetViews>
    <sheetView zoomScaleNormal="100" workbookViewId="0">
      <pane xSplit="3" ySplit="2" topLeftCell="D308" activePane="bottomRight" state="frozen"/>
      <selection pane="topRight" activeCell="D1" sqref="D1"/>
      <selection pane="bottomLeft" activeCell="A3" sqref="A3"/>
      <selection pane="bottomRight" activeCell="A320" sqref="A320"/>
    </sheetView>
  </sheetViews>
  <sheetFormatPr defaultRowHeight="12.5" x14ac:dyDescent="0.25"/>
  <cols>
    <col min="1" max="1" width="7.1796875" bestFit="1" customWidth="1"/>
    <col min="2" max="2" width="7.08984375" bestFit="1" customWidth="1"/>
    <col min="3" max="3" width="18.36328125" customWidth="1"/>
    <col min="4" max="4" width="9.90625" bestFit="1" customWidth="1"/>
    <col min="5" max="5" width="18.36328125" customWidth="1"/>
    <col min="6" max="6" width="9.36328125" bestFit="1" customWidth="1"/>
    <col min="7" max="7" width="11.54296875" bestFit="1" customWidth="1"/>
    <col min="8" max="8" width="9.90625" bestFit="1" customWidth="1"/>
    <col min="9" max="9" width="18.7265625" bestFit="1" customWidth="1"/>
    <col min="10" max="10" width="11.7265625" bestFit="1" customWidth="1"/>
    <col min="11" max="11" width="7.08984375" bestFit="1" customWidth="1"/>
    <col min="12" max="12" width="18.7265625" bestFit="1" customWidth="1"/>
    <col min="13" max="14" width="9.36328125" bestFit="1" customWidth="1"/>
    <col min="15" max="15" width="10.6328125" customWidth="1"/>
    <col min="16" max="16" width="8.36328125" bestFit="1" customWidth="1"/>
  </cols>
  <sheetData>
    <row r="1" spans="1:21" ht="18.5" x14ac:dyDescent="0.45">
      <c r="A1" s="562" t="s">
        <v>2410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132" t="s">
        <v>2409</v>
      </c>
      <c r="P1" s="132"/>
      <c r="Q1" s="132"/>
      <c r="R1" s="132"/>
      <c r="S1" s="132"/>
      <c r="T1" s="132"/>
      <c r="U1" s="132"/>
    </row>
    <row r="2" spans="1:21" ht="28" x14ac:dyDescent="0.35">
      <c r="A2" s="175" t="s">
        <v>1338</v>
      </c>
      <c r="B2" s="175" t="s">
        <v>1329</v>
      </c>
      <c r="C2" s="172" t="s">
        <v>1337</v>
      </c>
      <c r="D2" s="172" t="s">
        <v>1336</v>
      </c>
      <c r="E2" s="172" t="s">
        <v>1335</v>
      </c>
      <c r="F2" s="172" t="s">
        <v>1334</v>
      </c>
      <c r="G2" s="174" t="s">
        <v>1333</v>
      </c>
      <c r="H2" s="174" t="s">
        <v>1332</v>
      </c>
      <c r="I2" s="173" t="s">
        <v>1331</v>
      </c>
      <c r="J2" s="170" t="s">
        <v>1330</v>
      </c>
      <c r="K2" s="172" t="s">
        <v>1329</v>
      </c>
      <c r="L2" s="171" t="s">
        <v>1328</v>
      </c>
      <c r="M2" s="170" t="s">
        <v>1327</v>
      </c>
      <c r="N2" s="169" t="s">
        <v>1326</v>
      </c>
      <c r="O2" s="563" t="s">
        <v>1325</v>
      </c>
      <c r="P2" s="564"/>
      <c r="Q2" s="564"/>
      <c r="R2" s="564"/>
      <c r="S2" s="564"/>
      <c r="T2" s="564"/>
      <c r="U2" s="564"/>
    </row>
    <row r="3" spans="1:21" ht="14.5" x14ac:dyDescent="0.35">
      <c r="A3" s="175"/>
      <c r="B3" s="175"/>
      <c r="C3" s="172"/>
      <c r="D3" s="172"/>
      <c r="E3" s="172"/>
      <c r="F3" s="172"/>
      <c r="G3" s="174"/>
      <c r="H3" s="174"/>
      <c r="I3" s="173"/>
      <c r="J3" s="170"/>
      <c r="K3" s="172"/>
      <c r="L3" s="171"/>
      <c r="M3" s="170"/>
      <c r="N3" s="169"/>
      <c r="O3" s="239"/>
      <c r="P3" s="239"/>
      <c r="Q3" s="239"/>
      <c r="R3" s="239"/>
      <c r="S3" s="239"/>
      <c r="T3" s="239"/>
      <c r="U3" s="239"/>
    </row>
    <row r="4" spans="1:21" ht="14.5" x14ac:dyDescent="0.35">
      <c r="A4" s="146">
        <v>1</v>
      </c>
      <c r="B4" s="143">
        <v>45778</v>
      </c>
      <c r="C4" s="133" t="s">
        <v>2411</v>
      </c>
      <c r="D4" s="133" t="s">
        <v>2412</v>
      </c>
      <c r="E4" s="145" t="s">
        <v>1118</v>
      </c>
      <c r="F4" s="145">
        <v>1935.6</v>
      </c>
      <c r="G4" s="133" t="s">
        <v>1094</v>
      </c>
      <c r="H4" s="144" t="s">
        <v>1093</v>
      </c>
      <c r="I4" s="133" t="s">
        <v>1092</v>
      </c>
      <c r="J4" s="133" t="s">
        <v>2567</v>
      </c>
      <c r="K4" s="143">
        <v>45901</v>
      </c>
      <c r="L4" s="133" t="s">
        <v>1092</v>
      </c>
      <c r="M4" s="142">
        <v>1935.6</v>
      </c>
      <c r="N4" s="147">
        <f>F4+F5-M4-M5</f>
        <v>0</v>
      </c>
      <c r="O4" s="141"/>
      <c r="P4" s="140"/>
      <c r="Q4" s="132"/>
      <c r="R4" s="132"/>
      <c r="S4" s="132"/>
      <c r="T4" s="132"/>
      <c r="U4" s="132"/>
    </row>
    <row r="5" spans="1:21" ht="14.5" x14ac:dyDescent="0.35">
      <c r="A5" s="146"/>
      <c r="B5" s="143"/>
      <c r="C5" s="133"/>
      <c r="D5" s="133"/>
      <c r="E5" s="145" t="s">
        <v>1118</v>
      </c>
      <c r="F5" s="145">
        <v>2732.5</v>
      </c>
      <c r="G5" s="133" t="s">
        <v>1094</v>
      </c>
      <c r="H5" s="144" t="s">
        <v>1093</v>
      </c>
      <c r="I5" s="133" t="s">
        <v>1092</v>
      </c>
      <c r="J5" s="133" t="s">
        <v>2588</v>
      </c>
      <c r="K5" s="143">
        <v>45931</v>
      </c>
      <c r="L5" s="133" t="s">
        <v>1092</v>
      </c>
      <c r="M5" s="142">
        <v>2732.5</v>
      </c>
      <c r="N5" s="147"/>
      <c r="O5" s="141"/>
      <c r="P5" s="140"/>
      <c r="Q5" s="132"/>
      <c r="R5" s="132"/>
      <c r="S5" s="132"/>
      <c r="T5" s="132"/>
      <c r="U5" s="132"/>
    </row>
    <row r="6" spans="1:21" ht="14.5" x14ac:dyDescent="0.35">
      <c r="A6" s="146"/>
      <c r="B6" s="143"/>
      <c r="C6" s="133"/>
      <c r="D6" s="133"/>
      <c r="E6" s="145"/>
      <c r="F6" s="145"/>
      <c r="G6" s="133"/>
      <c r="H6" s="144"/>
      <c r="I6" s="133"/>
      <c r="J6" s="133"/>
      <c r="K6" s="143"/>
      <c r="L6" s="133"/>
      <c r="M6" s="142"/>
      <c r="N6" s="147"/>
      <c r="O6" s="141"/>
      <c r="P6" s="140"/>
      <c r="Q6" s="132"/>
      <c r="R6" s="132"/>
      <c r="S6" s="132"/>
      <c r="T6" s="132"/>
      <c r="U6" s="132"/>
    </row>
    <row r="7" spans="1:21" ht="14.5" x14ac:dyDescent="0.35">
      <c r="A7" s="146">
        <v>2</v>
      </c>
      <c r="B7" s="143">
        <v>45778</v>
      </c>
      <c r="C7" s="133" t="s">
        <v>2417</v>
      </c>
      <c r="D7" s="133" t="s">
        <v>2416</v>
      </c>
      <c r="E7" s="145" t="s">
        <v>46</v>
      </c>
      <c r="F7" s="145">
        <v>4000</v>
      </c>
      <c r="G7" s="133" t="s">
        <v>1094</v>
      </c>
      <c r="H7" s="144" t="s">
        <v>1093</v>
      </c>
      <c r="I7" s="133" t="s">
        <v>1092</v>
      </c>
      <c r="J7" s="133" t="s">
        <v>2567</v>
      </c>
      <c r="K7" s="143">
        <v>45901</v>
      </c>
      <c r="L7" s="133" t="s">
        <v>1092</v>
      </c>
      <c r="M7" s="142">
        <f>2000+233.4+5478</f>
        <v>7711.4</v>
      </c>
      <c r="N7" s="147">
        <f>+F7+F8+F9-M7-M8</f>
        <v>0</v>
      </c>
      <c r="O7" s="141"/>
      <c r="P7" s="140"/>
      <c r="Q7" s="132"/>
      <c r="R7" s="132"/>
      <c r="S7" s="132"/>
      <c r="T7" s="132"/>
      <c r="U7" s="132"/>
    </row>
    <row r="8" spans="1:21" ht="14.5" x14ac:dyDescent="0.35">
      <c r="A8" s="146"/>
      <c r="B8" s="143"/>
      <c r="C8" s="133"/>
      <c r="D8" s="133"/>
      <c r="E8" s="145" t="s">
        <v>1109</v>
      </c>
      <c r="F8" s="145">
        <v>10000</v>
      </c>
      <c r="G8" s="133" t="s">
        <v>1094</v>
      </c>
      <c r="H8" s="144" t="s">
        <v>1093</v>
      </c>
      <c r="I8" s="133" t="s">
        <v>1092</v>
      </c>
      <c r="J8" s="133" t="s">
        <v>2588</v>
      </c>
      <c r="K8" s="143">
        <v>45931</v>
      </c>
      <c r="L8" s="133" t="s">
        <v>1092</v>
      </c>
      <c r="M8" s="142">
        <v>6522</v>
      </c>
      <c r="N8" s="147"/>
      <c r="O8" s="141"/>
      <c r="P8" s="140"/>
      <c r="Q8" s="132"/>
      <c r="R8" s="132"/>
      <c r="S8" s="132"/>
      <c r="T8" s="132"/>
      <c r="U8" s="132"/>
    </row>
    <row r="9" spans="1:21" ht="14.5" x14ac:dyDescent="0.35">
      <c r="A9" s="146"/>
      <c r="B9" s="143"/>
      <c r="C9" s="133"/>
      <c r="D9" s="133"/>
      <c r="E9" s="145" t="s">
        <v>1112</v>
      </c>
      <c r="F9" s="145">
        <v>233.4</v>
      </c>
      <c r="G9" s="133"/>
      <c r="H9" s="144"/>
      <c r="I9" s="133"/>
      <c r="J9" s="133"/>
      <c r="K9" s="143"/>
      <c r="L9" s="133"/>
      <c r="M9" s="142"/>
      <c r="N9" s="142"/>
      <c r="O9" s="141"/>
      <c r="P9" s="140"/>
      <c r="Q9" s="132"/>
      <c r="R9" s="132"/>
      <c r="S9" s="132"/>
      <c r="T9" s="132"/>
      <c r="U9" s="132"/>
    </row>
    <row r="10" spans="1:21" ht="14.5" x14ac:dyDescent="0.35">
      <c r="A10" s="146"/>
      <c r="B10" s="143"/>
      <c r="C10" s="133"/>
      <c r="D10" s="133"/>
      <c r="E10" s="145"/>
      <c r="F10" s="145"/>
      <c r="G10" s="133"/>
      <c r="H10" s="144"/>
      <c r="I10" s="133"/>
      <c r="J10" s="133"/>
      <c r="K10" s="143"/>
      <c r="L10" s="133"/>
      <c r="M10" s="142"/>
      <c r="N10" s="142"/>
      <c r="O10" s="141"/>
      <c r="P10" s="140"/>
      <c r="Q10" s="132"/>
      <c r="R10" s="132"/>
      <c r="S10" s="132"/>
      <c r="T10" s="132"/>
      <c r="U10" s="132"/>
    </row>
    <row r="11" spans="1:21" ht="14.5" x14ac:dyDescent="0.35">
      <c r="A11" s="156"/>
      <c r="B11" s="152"/>
      <c r="C11" s="151"/>
      <c r="D11" s="151"/>
      <c r="E11" s="154"/>
      <c r="F11" s="154"/>
      <c r="G11" s="151"/>
      <c r="H11" s="153"/>
      <c r="I11" s="151"/>
      <c r="J11" s="151"/>
      <c r="K11" s="152"/>
      <c r="L11" s="151"/>
      <c r="M11" s="150"/>
      <c r="N11" s="150"/>
      <c r="O11" s="141"/>
      <c r="P11" s="140"/>
      <c r="Q11" s="132"/>
      <c r="R11" s="132"/>
      <c r="S11" s="132"/>
      <c r="T11" s="132"/>
      <c r="U11" s="132"/>
    </row>
    <row r="12" spans="1:21" ht="14.5" x14ac:dyDescent="0.35">
      <c r="A12" s="146"/>
      <c r="B12" s="143"/>
      <c r="C12" s="133"/>
      <c r="D12" s="133"/>
      <c r="E12" s="145"/>
      <c r="F12" s="145"/>
      <c r="G12" s="133"/>
      <c r="H12" s="144"/>
      <c r="I12" s="133"/>
      <c r="J12" s="133"/>
      <c r="K12" s="143"/>
      <c r="L12" s="133"/>
      <c r="M12" s="142"/>
      <c r="N12" s="142"/>
      <c r="O12" s="141"/>
      <c r="P12" s="140"/>
      <c r="Q12" s="132"/>
      <c r="R12" s="132"/>
      <c r="S12" s="132"/>
      <c r="T12" s="132"/>
      <c r="U12" s="132"/>
    </row>
    <row r="13" spans="1:21" ht="14.5" x14ac:dyDescent="0.35">
      <c r="A13" s="146">
        <v>3</v>
      </c>
      <c r="B13" s="143">
        <v>45809</v>
      </c>
      <c r="C13" s="133" t="s">
        <v>1318</v>
      </c>
      <c r="D13" s="133" t="s">
        <v>2446</v>
      </c>
      <c r="E13" s="148" t="s">
        <v>1059</v>
      </c>
      <c r="F13" s="145">
        <v>10300</v>
      </c>
      <c r="G13" s="133" t="s">
        <v>1094</v>
      </c>
      <c r="H13" s="144" t="s">
        <v>1093</v>
      </c>
      <c r="I13" s="133" t="s">
        <v>1092</v>
      </c>
      <c r="J13" s="133" t="s">
        <v>2567</v>
      </c>
      <c r="K13" s="143">
        <v>45901</v>
      </c>
      <c r="L13" s="133" t="s">
        <v>1092</v>
      </c>
      <c r="M13" s="142">
        <v>9991</v>
      </c>
      <c r="N13" s="147">
        <f>+F13-M13-M14</f>
        <v>0</v>
      </c>
      <c r="O13" s="141"/>
      <c r="P13" s="140"/>
      <c r="Q13" s="132"/>
      <c r="R13" s="132"/>
      <c r="S13" s="132"/>
      <c r="T13" s="132"/>
      <c r="U13" s="132"/>
    </row>
    <row r="14" spans="1:21" ht="14.5" x14ac:dyDescent="0.35">
      <c r="A14" s="146"/>
      <c r="B14" s="143"/>
      <c r="C14" s="133"/>
      <c r="D14" s="133"/>
      <c r="E14" s="148"/>
      <c r="F14" s="145"/>
      <c r="G14" s="133" t="s">
        <v>1094</v>
      </c>
      <c r="H14" s="144" t="s">
        <v>1093</v>
      </c>
      <c r="I14" s="133" t="s">
        <v>1092</v>
      </c>
      <c r="J14" s="133" t="s">
        <v>2636</v>
      </c>
      <c r="K14" s="143">
        <v>45962</v>
      </c>
      <c r="L14" s="133" t="s">
        <v>1241</v>
      </c>
      <c r="M14" s="142">
        <v>309</v>
      </c>
      <c r="N14" s="147"/>
      <c r="O14" s="141"/>
      <c r="P14" s="140"/>
      <c r="Q14" s="132"/>
      <c r="R14" s="132"/>
      <c r="S14" s="132"/>
      <c r="T14" s="132"/>
      <c r="U14" s="132"/>
    </row>
    <row r="15" spans="1:21" ht="14.5" x14ac:dyDescent="0.35">
      <c r="A15" s="146"/>
      <c r="B15" s="143"/>
      <c r="C15" s="133"/>
      <c r="D15" s="133"/>
      <c r="E15" s="145"/>
      <c r="F15" s="145"/>
      <c r="G15" s="133"/>
      <c r="H15" s="144"/>
      <c r="I15" s="133"/>
      <c r="J15" s="133"/>
      <c r="K15" s="143"/>
      <c r="L15" s="133"/>
      <c r="M15" s="142"/>
      <c r="N15" s="147"/>
      <c r="O15" s="141"/>
      <c r="P15" s="140"/>
      <c r="Q15" s="132"/>
      <c r="R15" s="132"/>
      <c r="S15" s="132"/>
      <c r="T15" s="132"/>
      <c r="U15" s="132"/>
    </row>
    <row r="16" spans="1:21" ht="14.5" x14ac:dyDescent="0.35">
      <c r="A16" s="146">
        <v>4</v>
      </c>
      <c r="B16" s="143">
        <v>45809</v>
      </c>
      <c r="C16" s="133" t="s">
        <v>2451</v>
      </c>
      <c r="D16" s="133" t="s">
        <v>2450</v>
      </c>
      <c r="E16" s="145" t="s">
        <v>1071</v>
      </c>
      <c r="F16" s="145">
        <v>1426.8</v>
      </c>
      <c r="G16" s="133" t="s">
        <v>1094</v>
      </c>
      <c r="H16" s="144" t="s">
        <v>1093</v>
      </c>
      <c r="I16" s="133" t="s">
        <v>1092</v>
      </c>
      <c r="J16" s="133" t="s">
        <v>2588</v>
      </c>
      <c r="K16" s="143">
        <v>45931</v>
      </c>
      <c r="L16" s="133" t="s">
        <v>1092</v>
      </c>
      <c r="M16" s="142">
        <v>1426.8</v>
      </c>
      <c r="N16" s="142">
        <f>+F16-M16</f>
        <v>0</v>
      </c>
      <c r="O16" s="141"/>
      <c r="P16" s="140"/>
      <c r="Q16" s="132"/>
      <c r="R16" s="132"/>
      <c r="S16" s="132"/>
      <c r="T16" s="132"/>
      <c r="U16" s="132"/>
    </row>
    <row r="17" spans="1:21" ht="14.5" x14ac:dyDescent="0.35">
      <c r="A17" s="146"/>
      <c r="B17" s="143"/>
      <c r="C17" s="133"/>
      <c r="D17" s="133"/>
      <c r="E17" s="145"/>
      <c r="F17" s="145"/>
      <c r="G17" s="133"/>
      <c r="H17" s="144"/>
      <c r="I17" s="133"/>
      <c r="J17" s="133"/>
      <c r="K17" s="143"/>
      <c r="L17" s="133"/>
      <c r="M17" s="142"/>
      <c r="N17" s="142"/>
      <c r="O17" s="141"/>
      <c r="P17" s="140"/>
      <c r="Q17" s="132"/>
      <c r="R17" s="132"/>
      <c r="S17" s="132"/>
      <c r="T17" s="132"/>
      <c r="U17" s="132"/>
    </row>
    <row r="18" spans="1:21" ht="14.5" x14ac:dyDescent="0.35">
      <c r="A18" s="156"/>
      <c r="B18" s="152"/>
      <c r="C18" s="151"/>
      <c r="D18" s="151"/>
      <c r="E18" s="154"/>
      <c r="F18" s="154"/>
      <c r="G18" s="151"/>
      <c r="H18" s="153"/>
      <c r="I18" s="151"/>
      <c r="J18" s="151"/>
      <c r="K18" s="152"/>
      <c r="L18" s="151"/>
      <c r="M18" s="150"/>
      <c r="N18" s="150"/>
      <c r="O18" s="141"/>
      <c r="P18" s="140"/>
      <c r="Q18" s="132"/>
      <c r="R18" s="132"/>
      <c r="S18" s="132"/>
      <c r="T18" s="132"/>
      <c r="U18" s="132"/>
    </row>
    <row r="19" spans="1:21" ht="14.5" x14ac:dyDescent="0.35">
      <c r="A19" s="146"/>
      <c r="B19" s="143"/>
      <c r="C19" s="133"/>
      <c r="D19" s="133"/>
      <c r="E19" s="145"/>
      <c r="F19" s="145"/>
      <c r="G19" s="133"/>
      <c r="H19" s="144"/>
      <c r="I19" s="133"/>
      <c r="J19" s="133"/>
      <c r="K19" s="143"/>
      <c r="L19" s="133"/>
      <c r="M19" s="142"/>
      <c r="N19" s="142"/>
      <c r="O19" s="141"/>
      <c r="P19" s="140"/>
      <c r="Q19" s="132"/>
      <c r="R19" s="132"/>
      <c r="S19" s="132"/>
      <c r="T19" s="132"/>
      <c r="U19" s="132"/>
    </row>
    <row r="20" spans="1:21" ht="14.5" x14ac:dyDescent="0.35">
      <c r="A20" s="146">
        <v>5</v>
      </c>
      <c r="B20" s="143">
        <v>45839</v>
      </c>
      <c r="C20" s="133" t="s">
        <v>2458</v>
      </c>
      <c r="D20" s="133" t="s">
        <v>2459</v>
      </c>
      <c r="E20" s="145" t="s">
        <v>46</v>
      </c>
      <c r="F20" s="145">
        <v>4000</v>
      </c>
      <c r="G20" s="133" t="s">
        <v>1094</v>
      </c>
      <c r="H20" s="144" t="s">
        <v>1093</v>
      </c>
      <c r="I20" s="133" t="s">
        <v>1092</v>
      </c>
      <c r="J20" s="133" t="s">
        <v>2609</v>
      </c>
      <c r="K20" s="143">
        <v>45962</v>
      </c>
      <c r="L20" s="133" t="s">
        <v>1092</v>
      </c>
      <c r="M20" s="142">
        <v>10000</v>
      </c>
      <c r="N20" s="142">
        <f>+F20+F21+F22-M20</f>
        <v>0</v>
      </c>
      <c r="O20" s="141"/>
      <c r="P20" s="140"/>
      <c r="Q20" s="132"/>
      <c r="R20" s="132"/>
      <c r="S20" s="132"/>
      <c r="T20" s="132"/>
      <c r="U20" s="132"/>
    </row>
    <row r="21" spans="1:21" ht="14.5" x14ac:dyDescent="0.35">
      <c r="A21" s="146"/>
      <c r="B21" s="143"/>
      <c r="C21" s="133"/>
      <c r="D21" s="133"/>
      <c r="E21" s="145" t="s">
        <v>46</v>
      </c>
      <c r="F21" s="145">
        <v>1000</v>
      </c>
      <c r="G21" s="133"/>
      <c r="H21" s="144"/>
      <c r="I21" s="133"/>
      <c r="J21" s="133"/>
      <c r="K21" s="143"/>
      <c r="L21" s="133"/>
      <c r="M21" s="142"/>
      <c r="N21" s="142"/>
      <c r="O21" s="141"/>
      <c r="P21" s="140"/>
      <c r="Q21" s="132"/>
      <c r="R21" s="132"/>
      <c r="S21" s="132"/>
      <c r="T21" s="132"/>
      <c r="U21" s="132"/>
    </row>
    <row r="22" spans="1:21" ht="14.5" x14ac:dyDescent="0.35">
      <c r="A22" s="146"/>
      <c r="B22" s="143"/>
      <c r="C22" s="133"/>
      <c r="D22" s="133"/>
      <c r="E22" s="145" t="s">
        <v>46</v>
      </c>
      <c r="F22" s="145">
        <v>5000</v>
      </c>
      <c r="G22" s="133"/>
      <c r="H22" s="144"/>
      <c r="I22" s="133"/>
      <c r="J22" s="133"/>
      <c r="K22" s="143"/>
      <c r="L22" s="133"/>
      <c r="M22" s="142"/>
      <c r="N22" s="142"/>
      <c r="O22" s="141"/>
      <c r="P22" s="140"/>
      <c r="Q22" s="132"/>
      <c r="R22" s="132"/>
      <c r="S22" s="132"/>
      <c r="T22" s="132"/>
      <c r="U22" s="132"/>
    </row>
    <row r="23" spans="1:21" ht="14.5" x14ac:dyDescent="0.35">
      <c r="A23" s="146"/>
      <c r="B23" s="143"/>
      <c r="C23" s="133"/>
      <c r="D23" s="133"/>
      <c r="E23" s="145"/>
      <c r="F23" s="145"/>
      <c r="G23" s="133"/>
      <c r="H23" s="144"/>
      <c r="I23" s="133"/>
      <c r="J23" s="133"/>
      <c r="K23" s="143"/>
      <c r="L23" s="133"/>
      <c r="M23" s="142"/>
      <c r="N23" s="142"/>
      <c r="O23" s="141"/>
      <c r="P23" s="140"/>
      <c r="Q23" s="132"/>
      <c r="R23" s="132"/>
      <c r="S23" s="132"/>
      <c r="T23" s="132"/>
      <c r="U23" s="132"/>
    </row>
    <row r="24" spans="1:21" ht="14.5" x14ac:dyDescent="0.35">
      <c r="A24" s="146">
        <v>6</v>
      </c>
      <c r="B24" s="143">
        <v>45839</v>
      </c>
      <c r="C24" s="133" t="s">
        <v>2468</v>
      </c>
      <c r="D24" s="133" t="s">
        <v>2467</v>
      </c>
      <c r="E24" s="145" t="s">
        <v>1112</v>
      </c>
      <c r="F24" s="145">
        <v>287.2</v>
      </c>
      <c r="G24" s="133" t="s">
        <v>1094</v>
      </c>
      <c r="H24" s="144" t="s">
        <v>1093</v>
      </c>
      <c r="I24" s="133" t="s">
        <v>1092</v>
      </c>
      <c r="J24" s="133" t="s">
        <v>2609</v>
      </c>
      <c r="K24" s="143">
        <v>45962</v>
      </c>
      <c r="L24" s="133" t="s">
        <v>1092</v>
      </c>
      <c r="M24" s="142">
        <v>287.2</v>
      </c>
      <c r="N24" s="142">
        <f>+F24-M24</f>
        <v>0</v>
      </c>
      <c r="O24" s="141"/>
      <c r="P24" s="140"/>
      <c r="Q24" s="132"/>
      <c r="R24" s="132"/>
      <c r="S24" s="132"/>
      <c r="T24" s="132"/>
      <c r="U24" s="132"/>
    </row>
    <row r="25" spans="1:21" ht="14.5" x14ac:dyDescent="0.35">
      <c r="A25" s="146"/>
      <c r="B25" s="143"/>
      <c r="C25" s="133"/>
      <c r="D25" s="133"/>
      <c r="E25" s="145"/>
      <c r="F25" s="145"/>
      <c r="G25" s="133"/>
      <c r="H25" s="144"/>
      <c r="I25" s="133"/>
      <c r="J25" s="133"/>
      <c r="K25" s="143"/>
      <c r="L25" s="133"/>
      <c r="M25" s="142"/>
      <c r="N25" s="142"/>
      <c r="O25" s="141"/>
      <c r="P25" s="140"/>
      <c r="Q25" s="132"/>
      <c r="R25" s="132"/>
      <c r="S25" s="132"/>
      <c r="T25" s="132"/>
      <c r="U25" s="132"/>
    </row>
    <row r="26" spans="1:21" ht="14.5" x14ac:dyDescent="0.35">
      <c r="A26" s="146">
        <v>7</v>
      </c>
      <c r="B26" s="143">
        <v>45839</v>
      </c>
      <c r="C26" s="133" t="s">
        <v>2469</v>
      </c>
      <c r="D26" s="133" t="s">
        <v>2470</v>
      </c>
      <c r="E26" s="145" t="s">
        <v>1112</v>
      </c>
      <c r="F26" s="145">
        <v>109</v>
      </c>
      <c r="G26" s="133" t="s">
        <v>1094</v>
      </c>
      <c r="H26" s="144" t="s">
        <v>1093</v>
      </c>
      <c r="I26" s="133" t="s">
        <v>1092</v>
      </c>
      <c r="J26" s="133" t="s">
        <v>2609</v>
      </c>
      <c r="K26" s="143">
        <v>45962</v>
      </c>
      <c r="L26" s="133" t="s">
        <v>1092</v>
      </c>
      <c r="M26" s="142">
        <v>109</v>
      </c>
      <c r="N26" s="142">
        <f>+F26-M26</f>
        <v>0</v>
      </c>
      <c r="O26" s="141"/>
      <c r="P26" s="140"/>
      <c r="Q26" s="132"/>
      <c r="R26" s="132"/>
      <c r="S26" s="132"/>
      <c r="T26" s="132"/>
      <c r="U26" s="132"/>
    </row>
    <row r="27" spans="1:21" ht="14.5" x14ac:dyDescent="0.35">
      <c r="A27" s="146"/>
      <c r="B27" s="143"/>
      <c r="C27" s="133"/>
      <c r="D27" s="133"/>
      <c r="E27" s="145"/>
      <c r="F27" s="145"/>
      <c r="G27" s="133"/>
      <c r="H27" s="144"/>
      <c r="I27" s="133"/>
      <c r="J27" s="133"/>
      <c r="K27" s="143"/>
      <c r="L27" s="133"/>
      <c r="M27" s="142"/>
      <c r="N27" s="142"/>
      <c r="O27" s="141"/>
      <c r="P27" s="140"/>
      <c r="Q27" s="132"/>
      <c r="R27" s="132"/>
      <c r="S27" s="132"/>
      <c r="T27" s="132"/>
      <c r="U27" s="132"/>
    </row>
    <row r="28" spans="1:21" ht="14.5" x14ac:dyDescent="0.35">
      <c r="A28" s="146">
        <v>8</v>
      </c>
      <c r="B28" s="143">
        <v>45839</v>
      </c>
      <c r="C28" s="133" t="s">
        <v>1300</v>
      </c>
      <c r="D28" s="133" t="s">
        <v>2471</v>
      </c>
      <c r="E28" s="145" t="s">
        <v>1112</v>
      </c>
      <c r="F28" s="145">
        <v>323.10000000000002</v>
      </c>
      <c r="G28" s="133" t="s">
        <v>1094</v>
      </c>
      <c r="H28" s="144" t="s">
        <v>1093</v>
      </c>
      <c r="I28" s="133" t="s">
        <v>1092</v>
      </c>
      <c r="J28" s="133" t="s">
        <v>2609</v>
      </c>
      <c r="K28" s="143">
        <v>45962</v>
      </c>
      <c r="L28" s="133" t="s">
        <v>1092</v>
      </c>
      <c r="M28" s="142">
        <v>323.10000000000002</v>
      </c>
      <c r="N28" s="142">
        <f>+F28-M28</f>
        <v>0</v>
      </c>
      <c r="O28" s="141"/>
      <c r="P28" s="140"/>
      <c r="Q28" s="132"/>
      <c r="R28" s="132"/>
      <c r="S28" s="132"/>
      <c r="T28" s="132"/>
      <c r="U28" s="132"/>
    </row>
    <row r="29" spans="1:21" ht="14.5" x14ac:dyDescent="0.35">
      <c r="A29" s="146"/>
      <c r="B29" s="143"/>
      <c r="C29" s="133"/>
      <c r="D29" s="133"/>
      <c r="E29" s="145"/>
      <c r="F29" s="145"/>
      <c r="G29" s="133"/>
      <c r="H29" s="144"/>
      <c r="I29" s="133"/>
      <c r="J29" s="133"/>
      <c r="K29" s="143"/>
      <c r="L29" s="133"/>
      <c r="M29" s="142"/>
      <c r="N29" s="142"/>
      <c r="O29" s="141"/>
      <c r="P29" s="140"/>
      <c r="Q29" s="132"/>
      <c r="R29" s="132"/>
      <c r="S29" s="132"/>
      <c r="T29" s="132"/>
      <c r="U29" s="132"/>
    </row>
    <row r="30" spans="1:21" ht="14.5" x14ac:dyDescent="0.35">
      <c r="A30" s="146">
        <v>9</v>
      </c>
      <c r="B30" s="143">
        <v>45839</v>
      </c>
      <c r="C30" s="133" t="s">
        <v>2486</v>
      </c>
      <c r="D30" s="133" t="s">
        <v>2485</v>
      </c>
      <c r="E30" s="145" t="s">
        <v>1071</v>
      </c>
      <c r="F30" s="145">
        <v>384.5</v>
      </c>
      <c r="G30" s="133" t="s">
        <v>1094</v>
      </c>
      <c r="H30" s="144" t="s">
        <v>1093</v>
      </c>
      <c r="I30" s="133" t="s">
        <v>1092</v>
      </c>
      <c r="J30" s="133" t="s">
        <v>2609</v>
      </c>
      <c r="K30" s="143">
        <v>45962</v>
      </c>
      <c r="L30" s="133" t="s">
        <v>1092</v>
      </c>
      <c r="M30" s="142">
        <v>384.5</v>
      </c>
      <c r="N30" s="142">
        <f>+F30-M30</f>
        <v>0</v>
      </c>
      <c r="O30" s="141"/>
      <c r="P30" s="140"/>
      <c r="Q30" s="132"/>
      <c r="R30" s="132"/>
      <c r="S30" s="132"/>
      <c r="T30" s="132"/>
      <c r="U30" s="132"/>
    </row>
    <row r="31" spans="1:21" ht="14.5" x14ac:dyDescent="0.35">
      <c r="A31" s="146"/>
      <c r="B31" s="143"/>
      <c r="C31" s="133"/>
      <c r="D31" s="133"/>
      <c r="E31" s="145"/>
      <c r="F31" s="145"/>
      <c r="G31" s="133"/>
      <c r="H31" s="144"/>
      <c r="I31" s="133"/>
      <c r="J31" s="133"/>
      <c r="K31" s="143"/>
      <c r="L31" s="133"/>
      <c r="M31" s="142"/>
      <c r="N31" s="142"/>
      <c r="O31" s="141"/>
      <c r="P31" s="140"/>
      <c r="Q31" s="132"/>
      <c r="R31" s="132"/>
      <c r="S31" s="132"/>
      <c r="T31" s="132"/>
      <c r="U31" s="132"/>
    </row>
    <row r="32" spans="1:21" ht="14.5" x14ac:dyDescent="0.35">
      <c r="A32" s="156"/>
      <c r="B32" s="152"/>
      <c r="C32" s="151"/>
      <c r="D32" s="151"/>
      <c r="E32" s="154"/>
      <c r="F32" s="154"/>
      <c r="G32" s="151"/>
      <c r="H32" s="153"/>
      <c r="I32" s="151"/>
      <c r="J32" s="151"/>
      <c r="K32" s="152"/>
      <c r="L32" s="151"/>
      <c r="M32" s="150"/>
      <c r="N32" s="150"/>
      <c r="O32" s="141"/>
      <c r="P32" s="140"/>
      <c r="Q32" s="132"/>
      <c r="R32" s="132"/>
      <c r="S32" s="132"/>
      <c r="T32" s="132"/>
      <c r="U32" s="132"/>
    </row>
    <row r="33" spans="1:21" ht="14.5" x14ac:dyDescent="0.35">
      <c r="A33" s="146"/>
      <c r="B33" s="143"/>
      <c r="C33" s="133"/>
      <c r="D33" s="133"/>
      <c r="E33" s="145"/>
      <c r="F33" s="145"/>
      <c r="G33" s="133"/>
      <c r="H33" s="144"/>
      <c r="I33" s="133"/>
      <c r="J33" s="133"/>
      <c r="K33" s="143"/>
      <c r="L33" s="133"/>
      <c r="M33" s="142"/>
      <c r="N33" s="147"/>
      <c r="O33" s="141"/>
      <c r="P33" s="140"/>
      <c r="Q33" s="132"/>
      <c r="R33" s="132"/>
      <c r="S33" s="132"/>
      <c r="T33" s="132"/>
      <c r="U33" s="132"/>
    </row>
    <row r="34" spans="1:21" ht="14.5" x14ac:dyDescent="0.35">
      <c r="A34" s="146">
        <v>10</v>
      </c>
      <c r="B34" s="143">
        <v>45870</v>
      </c>
      <c r="C34" s="133" t="s">
        <v>1292</v>
      </c>
      <c r="D34" s="133" t="s">
        <v>2493</v>
      </c>
      <c r="E34" s="145" t="s">
        <v>1071</v>
      </c>
      <c r="F34" s="145">
        <v>264.60000000000002</v>
      </c>
      <c r="G34" s="133" t="s">
        <v>1094</v>
      </c>
      <c r="H34" s="144" t="s">
        <v>1093</v>
      </c>
      <c r="I34" s="133" t="s">
        <v>1092</v>
      </c>
      <c r="J34" s="133" t="s">
        <v>2618</v>
      </c>
      <c r="K34" s="143">
        <v>45962</v>
      </c>
      <c r="L34" s="133" t="s">
        <v>1092</v>
      </c>
      <c r="M34" s="142">
        <v>264.60000000000002</v>
      </c>
      <c r="N34" s="147">
        <f>+F34-M34</f>
        <v>0</v>
      </c>
      <c r="O34" s="141"/>
      <c r="P34" s="140"/>
      <c r="Q34" s="132"/>
      <c r="R34" s="132"/>
      <c r="S34" s="132"/>
      <c r="T34" s="132"/>
      <c r="U34" s="132"/>
    </row>
    <row r="35" spans="1:21" ht="14.5" x14ac:dyDescent="0.35">
      <c r="A35" s="146"/>
      <c r="B35" s="143"/>
      <c r="C35" s="133"/>
      <c r="D35" s="133"/>
      <c r="E35" s="145"/>
      <c r="F35" s="145"/>
      <c r="G35" s="133"/>
      <c r="H35" s="144"/>
      <c r="I35" s="133"/>
      <c r="J35" s="133"/>
      <c r="K35" s="143"/>
      <c r="L35" s="133"/>
      <c r="M35" s="142"/>
      <c r="N35" s="147"/>
      <c r="O35" s="141"/>
      <c r="P35" s="140"/>
      <c r="Q35" s="132"/>
      <c r="R35" s="132"/>
      <c r="S35" s="132"/>
      <c r="T35" s="132"/>
      <c r="U35" s="132"/>
    </row>
    <row r="36" spans="1:21" ht="14.5" x14ac:dyDescent="0.35">
      <c r="A36" s="146">
        <v>11</v>
      </c>
      <c r="B36" s="143">
        <v>45870</v>
      </c>
      <c r="C36" s="133" t="s">
        <v>1286</v>
      </c>
      <c r="D36" s="133" t="s">
        <v>2496</v>
      </c>
      <c r="E36" s="145" t="s">
        <v>46</v>
      </c>
      <c r="F36" s="145">
        <v>5000</v>
      </c>
      <c r="G36" s="133" t="s">
        <v>1094</v>
      </c>
      <c r="H36" s="144" t="s">
        <v>1093</v>
      </c>
      <c r="I36" s="133" t="s">
        <v>1092</v>
      </c>
      <c r="J36" s="133" t="s">
        <v>2588</v>
      </c>
      <c r="K36" s="143">
        <v>45931</v>
      </c>
      <c r="L36" s="133" t="s">
        <v>1092</v>
      </c>
      <c r="M36" s="142">
        <v>7653.7</v>
      </c>
      <c r="N36" s="147">
        <f>+F36+F37+F38-M36-M37-M38-M39</f>
        <v>-9.0949470177292824E-13</v>
      </c>
      <c r="O36" s="141"/>
      <c r="P36" s="140"/>
      <c r="Q36" s="132"/>
      <c r="R36" s="132"/>
      <c r="S36" s="132"/>
      <c r="T36" s="132"/>
      <c r="U36" s="132"/>
    </row>
    <row r="37" spans="1:21" ht="14.5" x14ac:dyDescent="0.35">
      <c r="A37" s="146"/>
      <c r="B37" s="143"/>
      <c r="C37" s="133"/>
      <c r="D37" s="133"/>
      <c r="E37" s="145" t="s">
        <v>1953</v>
      </c>
      <c r="F37" s="145">
        <v>450</v>
      </c>
      <c r="G37" s="133" t="s">
        <v>1094</v>
      </c>
      <c r="H37" s="144" t="s">
        <v>1093</v>
      </c>
      <c r="I37" s="133" t="s">
        <v>1092</v>
      </c>
      <c r="J37" s="133" t="s">
        <v>2609</v>
      </c>
      <c r="K37" s="143">
        <v>45962</v>
      </c>
      <c r="L37" s="133" t="s">
        <v>1092</v>
      </c>
      <c r="M37" s="142">
        <f>50+50+50+3016.3</f>
        <v>3166.3</v>
      </c>
      <c r="N37" s="147"/>
      <c r="O37" s="141"/>
      <c r="P37" s="140"/>
      <c r="Q37" s="132"/>
      <c r="R37" s="132"/>
      <c r="S37" s="132"/>
      <c r="T37" s="132"/>
      <c r="U37" s="132"/>
    </row>
    <row r="38" spans="1:21" ht="14.5" x14ac:dyDescent="0.35">
      <c r="A38" s="146"/>
      <c r="B38" s="143"/>
      <c r="C38" s="133"/>
      <c r="D38" s="133"/>
      <c r="E38" s="148" t="s">
        <v>1059</v>
      </c>
      <c r="F38" s="145">
        <v>11000</v>
      </c>
      <c r="G38" s="133" t="s">
        <v>1094</v>
      </c>
      <c r="H38" s="144" t="s">
        <v>1093</v>
      </c>
      <c r="I38" s="133" t="s">
        <v>1092</v>
      </c>
      <c r="J38" s="133" t="s">
        <v>2618</v>
      </c>
      <c r="K38" s="143">
        <v>45962</v>
      </c>
      <c r="L38" s="133" t="s">
        <v>1092</v>
      </c>
      <c r="M38" s="142">
        <v>5300</v>
      </c>
      <c r="N38" s="147"/>
      <c r="O38" s="141"/>
      <c r="P38" s="140"/>
      <c r="Q38" s="132"/>
      <c r="R38" s="132"/>
      <c r="S38" s="132"/>
      <c r="T38" s="132"/>
      <c r="U38" s="132"/>
    </row>
    <row r="39" spans="1:21" ht="14.5" x14ac:dyDescent="0.35">
      <c r="A39" s="146"/>
      <c r="B39" s="143"/>
      <c r="C39" s="133"/>
      <c r="D39" s="133"/>
      <c r="E39" s="148"/>
      <c r="F39" s="145"/>
      <c r="G39" s="133" t="s">
        <v>1094</v>
      </c>
      <c r="H39" s="144" t="s">
        <v>1093</v>
      </c>
      <c r="I39" s="133" t="s">
        <v>1092</v>
      </c>
      <c r="J39" s="133" t="s">
        <v>2636</v>
      </c>
      <c r="K39" s="143">
        <v>45962</v>
      </c>
      <c r="L39" s="133" t="s">
        <v>1241</v>
      </c>
      <c r="M39" s="142">
        <v>330</v>
      </c>
      <c r="N39" s="147"/>
      <c r="O39" s="141"/>
      <c r="P39" s="140"/>
      <c r="Q39" s="132"/>
      <c r="R39" s="132"/>
      <c r="S39" s="132"/>
      <c r="T39" s="132"/>
      <c r="U39" s="132"/>
    </row>
    <row r="40" spans="1:21" ht="14.5" x14ac:dyDescent="0.35">
      <c r="A40" s="146"/>
      <c r="B40" s="143"/>
      <c r="C40" s="133"/>
      <c r="D40" s="133"/>
      <c r="E40" s="145"/>
      <c r="F40" s="145"/>
      <c r="G40" s="133"/>
      <c r="H40" s="144"/>
      <c r="I40" s="133"/>
      <c r="J40" s="133"/>
      <c r="K40" s="143"/>
      <c r="L40" s="133"/>
      <c r="M40" s="142"/>
      <c r="N40" s="147"/>
      <c r="O40" s="141"/>
      <c r="P40" s="140"/>
      <c r="Q40" s="132"/>
      <c r="R40" s="132"/>
      <c r="S40" s="132"/>
      <c r="T40" s="132"/>
      <c r="U40" s="132"/>
    </row>
    <row r="41" spans="1:21" ht="14.5" x14ac:dyDescent="0.35">
      <c r="A41" s="146">
        <v>12</v>
      </c>
      <c r="B41" s="143">
        <v>45870</v>
      </c>
      <c r="C41" s="133" t="s">
        <v>2500</v>
      </c>
      <c r="D41" s="133" t="s">
        <v>2497</v>
      </c>
      <c r="E41" s="148" t="s">
        <v>1059</v>
      </c>
      <c r="F41" s="145">
        <v>4000</v>
      </c>
      <c r="G41" s="133" t="s">
        <v>1094</v>
      </c>
      <c r="H41" s="144" t="s">
        <v>1093</v>
      </c>
      <c r="I41" s="133" t="s">
        <v>1092</v>
      </c>
      <c r="J41" s="133" t="s">
        <v>2609</v>
      </c>
      <c r="K41" s="143">
        <v>45962</v>
      </c>
      <c r="L41" s="133" t="s">
        <v>1092</v>
      </c>
      <c r="M41" s="142">
        <v>3890</v>
      </c>
      <c r="N41" s="147">
        <f>+F41-M41-M42</f>
        <v>0</v>
      </c>
      <c r="O41" s="141"/>
      <c r="P41" s="140"/>
      <c r="Q41" s="132"/>
      <c r="R41" s="132"/>
      <c r="S41" s="132"/>
      <c r="T41" s="132"/>
      <c r="U41" s="132"/>
    </row>
    <row r="42" spans="1:21" ht="14.5" x14ac:dyDescent="0.35">
      <c r="A42" s="146"/>
      <c r="B42" s="143"/>
      <c r="C42" s="133"/>
      <c r="D42" s="133"/>
      <c r="E42" s="148"/>
      <c r="F42" s="145"/>
      <c r="G42" s="133" t="s">
        <v>1094</v>
      </c>
      <c r="H42" s="144" t="s">
        <v>1093</v>
      </c>
      <c r="I42" s="133" t="s">
        <v>1092</v>
      </c>
      <c r="J42" s="133" t="s">
        <v>2636</v>
      </c>
      <c r="K42" s="143">
        <v>45962</v>
      </c>
      <c r="L42" s="133" t="s">
        <v>1241</v>
      </c>
      <c r="M42" s="142">
        <v>110</v>
      </c>
      <c r="N42" s="147"/>
      <c r="O42" s="141"/>
      <c r="P42" s="140"/>
      <c r="Q42" s="132"/>
      <c r="R42" s="132"/>
      <c r="S42" s="132"/>
      <c r="T42" s="132"/>
      <c r="U42" s="132"/>
    </row>
    <row r="43" spans="1:21" ht="14.5" x14ac:dyDescent="0.35">
      <c r="A43" s="146"/>
      <c r="B43" s="143"/>
      <c r="C43" s="133"/>
      <c r="D43" s="133"/>
      <c r="E43" s="145"/>
      <c r="F43" s="145"/>
      <c r="G43" s="133"/>
      <c r="H43" s="144"/>
      <c r="I43" s="133"/>
      <c r="J43" s="133"/>
      <c r="K43" s="143"/>
      <c r="L43" s="133"/>
      <c r="M43" s="142"/>
      <c r="N43" s="147"/>
      <c r="O43" s="141"/>
      <c r="P43" s="140"/>
      <c r="Q43" s="132"/>
      <c r="R43" s="132"/>
      <c r="S43" s="132"/>
      <c r="T43" s="132"/>
      <c r="U43" s="132"/>
    </row>
    <row r="44" spans="1:21" ht="14.5" x14ac:dyDescent="0.35">
      <c r="A44" s="146">
        <v>13</v>
      </c>
      <c r="B44" s="143">
        <v>45870</v>
      </c>
      <c r="C44" s="133" t="s">
        <v>1284</v>
      </c>
      <c r="D44" s="133" t="s">
        <v>2498</v>
      </c>
      <c r="E44" s="148" t="s">
        <v>1059</v>
      </c>
      <c r="F44" s="145">
        <v>5000</v>
      </c>
      <c r="G44" s="133" t="s">
        <v>1094</v>
      </c>
      <c r="H44" s="144" t="s">
        <v>1093</v>
      </c>
      <c r="I44" s="133" t="s">
        <v>1092</v>
      </c>
      <c r="J44" s="133" t="s">
        <v>2609</v>
      </c>
      <c r="K44" s="143">
        <v>45962</v>
      </c>
      <c r="L44" s="133" t="s">
        <v>1092</v>
      </c>
      <c r="M44" s="142">
        <v>3894.9</v>
      </c>
      <c r="N44" s="147">
        <f>+F44-M44-M45-M46</f>
        <v>0</v>
      </c>
      <c r="O44" s="141"/>
      <c r="P44" s="140"/>
      <c r="Q44" s="132"/>
      <c r="R44" s="132"/>
      <c r="S44" s="132"/>
      <c r="T44" s="132"/>
      <c r="U44" s="132"/>
    </row>
    <row r="45" spans="1:21" ht="14.5" x14ac:dyDescent="0.35">
      <c r="A45" s="146"/>
      <c r="B45" s="143"/>
      <c r="C45" s="133"/>
      <c r="D45" s="133"/>
      <c r="E45" s="145"/>
      <c r="F45" s="145"/>
      <c r="G45" s="133" t="s">
        <v>1094</v>
      </c>
      <c r="H45" s="144" t="s">
        <v>1093</v>
      </c>
      <c r="I45" s="133" t="s">
        <v>1092</v>
      </c>
      <c r="J45" s="133" t="s">
        <v>2618</v>
      </c>
      <c r="K45" s="143">
        <v>45962</v>
      </c>
      <c r="L45" s="133" t="s">
        <v>1092</v>
      </c>
      <c r="M45" s="142">
        <v>970.1</v>
      </c>
      <c r="N45" s="147"/>
      <c r="O45" s="141"/>
      <c r="P45" s="140"/>
      <c r="Q45" s="132"/>
      <c r="R45" s="132"/>
      <c r="S45" s="132"/>
      <c r="T45" s="132"/>
      <c r="U45" s="132"/>
    </row>
    <row r="46" spans="1:21" ht="14.5" x14ac:dyDescent="0.35">
      <c r="A46" s="146"/>
      <c r="B46" s="143"/>
      <c r="C46" s="133"/>
      <c r="D46" s="133"/>
      <c r="E46" s="145"/>
      <c r="F46" s="145"/>
      <c r="G46" s="133" t="s">
        <v>1094</v>
      </c>
      <c r="H46" s="144" t="s">
        <v>1093</v>
      </c>
      <c r="I46" s="133" t="s">
        <v>1092</v>
      </c>
      <c r="J46" s="133" t="s">
        <v>2636</v>
      </c>
      <c r="K46" s="143">
        <v>45962</v>
      </c>
      <c r="L46" s="133" t="s">
        <v>1241</v>
      </c>
      <c r="M46" s="142">
        <v>135</v>
      </c>
      <c r="N46" s="147"/>
      <c r="O46" s="141"/>
      <c r="P46" s="140"/>
      <c r="Q46" s="132"/>
      <c r="R46" s="132"/>
      <c r="S46" s="132"/>
      <c r="T46" s="132"/>
      <c r="U46" s="132"/>
    </row>
    <row r="47" spans="1:21" ht="14.5" x14ac:dyDescent="0.35">
      <c r="A47" s="146"/>
      <c r="B47" s="143"/>
      <c r="C47" s="133"/>
      <c r="D47" s="133"/>
      <c r="E47" s="145"/>
      <c r="F47" s="145"/>
      <c r="G47" s="133"/>
      <c r="H47" s="144"/>
      <c r="I47" s="133"/>
      <c r="J47" s="133"/>
      <c r="K47" s="143"/>
      <c r="L47" s="133"/>
      <c r="M47" s="142"/>
      <c r="N47" s="147"/>
      <c r="O47" s="141"/>
      <c r="P47" s="140"/>
      <c r="Q47" s="132"/>
      <c r="R47" s="132"/>
      <c r="S47" s="132"/>
      <c r="T47" s="132"/>
      <c r="U47" s="132"/>
    </row>
    <row r="48" spans="1:21" ht="14.5" x14ac:dyDescent="0.35">
      <c r="A48" s="146">
        <v>14</v>
      </c>
      <c r="B48" s="143">
        <v>45870</v>
      </c>
      <c r="C48" s="133" t="s">
        <v>2504</v>
      </c>
      <c r="D48" s="133" t="s">
        <v>2503</v>
      </c>
      <c r="E48" s="148" t="s">
        <v>1059</v>
      </c>
      <c r="F48" s="145">
        <v>16250</v>
      </c>
      <c r="G48" s="133" t="s">
        <v>1094</v>
      </c>
      <c r="H48" s="144" t="s">
        <v>1093</v>
      </c>
      <c r="I48" s="133" t="s">
        <v>1092</v>
      </c>
      <c r="J48" s="133" t="s">
        <v>2618</v>
      </c>
      <c r="K48" s="143">
        <v>45962</v>
      </c>
      <c r="L48" s="133" t="s">
        <v>1092</v>
      </c>
      <c r="M48" s="142">
        <v>13720.3</v>
      </c>
      <c r="N48" s="147">
        <f>+F48-M48-M49-M50</f>
        <v>9.0949470177292824E-13</v>
      </c>
      <c r="O48" s="141"/>
      <c r="P48" s="140"/>
      <c r="Q48" s="132"/>
      <c r="R48" s="132"/>
      <c r="S48" s="132"/>
      <c r="T48" s="132"/>
      <c r="U48" s="132"/>
    </row>
    <row r="49" spans="1:21" ht="14.5" x14ac:dyDescent="0.35">
      <c r="A49" s="146"/>
      <c r="B49" s="143"/>
      <c r="C49" s="133"/>
      <c r="D49" s="133"/>
      <c r="E49" s="148"/>
      <c r="F49" s="145"/>
      <c r="G49" s="133" t="s">
        <v>1094</v>
      </c>
      <c r="H49" s="144" t="s">
        <v>1093</v>
      </c>
      <c r="I49" s="133" t="s">
        <v>1092</v>
      </c>
      <c r="J49" s="133" t="s">
        <v>2623</v>
      </c>
      <c r="K49" s="143">
        <v>45962</v>
      </c>
      <c r="L49" s="133" t="s">
        <v>1092</v>
      </c>
      <c r="M49" s="142">
        <v>2119.6999999999998</v>
      </c>
      <c r="N49" s="147"/>
      <c r="O49" s="141"/>
      <c r="P49" s="140"/>
      <c r="Q49" s="132"/>
      <c r="R49" s="132"/>
      <c r="S49" s="132"/>
      <c r="T49" s="132"/>
      <c r="U49" s="132"/>
    </row>
    <row r="50" spans="1:21" ht="14.5" x14ac:dyDescent="0.35">
      <c r="A50" s="146"/>
      <c r="B50" s="143"/>
      <c r="C50" s="133"/>
      <c r="D50" s="133"/>
      <c r="E50" s="148"/>
      <c r="F50" s="145"/>
      <c r="G50" s="133" t="s">
        <v>1094</v>
      </c>
      <c r="H50" s="144" t="s">
        <v>1093</v>
      </c>
      <c r="I50" s="133" t="s">
        <v>1092</v>
      </c>
      <c r="J50" s="133" t="s">
        <v>2636</v>
      </c>
      <c r="K50" s="143">
        <v>45962</v>
      </c>
      <c r="L50" s="133" t="s">
        <v>1241</v>
      </c>
      <c r="M50" s="142">
        <v>410</v>
      </c>
      <c r="N50" s="147"/>
      <c r="O50" s="141"/>
      <c r="P50" s="140"/>
      <c r="Q50" s="132"/>
      <c r="R50" s="132"/>
      <c r="S50" s="132"/>
      <c r="T50" s="132"/>
      <c r="U50" s="132"/>
    </row>
    <row r="51" spans="1:21" ht="14.5" x14ac:dyDescent="0.35">
      <c r="A51" s="146"/>
      <c r="B51" s="143"/>
      <c r="C51" s="133"/>
      <c r="D51" s="133"/>
      <c r="E51" s="145"/>
      <c r="F51" s="145"/>
      <c r="G51" s="133"/>
      <c r="H51" s="144"/>
      <c r="I51" s="133"/>
      <c r="J51" s="133"/>
      <c r="K51" s="143"/>
      <c r="L51" s="133"/>
      <c r="M51" s="142"/>
      <c r="N51" s="147"/>
      <c r="O51" s="141"/>
      <c r="P51" s="140"/>
      <c r="Q51" s="132"/>
      <c r="R51" s="132"/>
      <c r="S51" s="132"/>
      <c r="T51" s="132"/>
      <c r="U51" s="132"/>
    </row>
    <row r="52" spans="1:21" ht="14.5" x14ac:dyDescent="0.35">
      <c r="A52" s="146">
        <v>15</v>
      </c>
      <c r="B52" s="143">
        <v>45870</v>
      </c>
      <c r="C52" s="133" t="s">
        <v>2505</v>
      </c>
      <c r="D52" s="133" t="s">
        <v>2507</v>
      </c>
      <c r="E52" s="148" t="s">
        <v>1059</v>
      </c>
      <c r="F52" s="145">
        <v>16000</v>
      </c>
      <c r="G52" s="133" t="s">
        <v>1094</v>
      </c>
      <c r="H52" s="144" t="s">
        <v>1093</v>
      </c>
      <c r="I52" s="133" t="s">
        <v>1092</v>
      </c>
      <c r="J52" s="133" t="s">
        <v>2635</v>
      </c>
      <c r="K52" s="143">
        <v>45962</v>
      </c>
      <c r="L52" s="133" t="s">
        <v>1092</v>
      </c>
      <c r="M52" s="142">
        <v>15539</v>
      </c>
      <c r="N52" s="147">
        <f>+F52-M52-M53</f>
        <v>0</v>
      </c>
      <c r="O52" s="141"/>
      <c r="P52" s="140"/>
      <c r="Q52" s="132"/>
      <c r="R52" s="132"/>
      <c r="S52" s="132"/>
      <c r="T52" s="132"/>
      <c r="U52" s="132"/>
    </row>
    <row r="53" spans="1:21" ht="14.5" x14ac:dyDescent="0.35">
      <c r="A53" s="146"/>
      <c r="B53" s="143"/>
      <c r="C53" s="133"/>
      <c r="D53" s="133"/>
      <c r="E53" s="148"/>
      <c r="F53" s="145"/>
      <c r="G53" s="133" t="s">
        <v>1094</v>
      </c>
      <c r="H53" s="144" t="s">
        <v>1093</v>
      </c>
      <c r="I53" s="133" t="s">
        <v>1092</v>
      </c>
      <c r="J53" s="133" t="s">
        <v>2636</v>
      </c>
      <c r="K53" s="143">
        <v>45962</v>
      </c>
      <c r="L53" s="133" t="s">
        <v>1241</v>
      </c>
      <c r="M53" s="142">
        <v>461</v>
      </c>
      <c r="N53" s="147"/>
      <c r="O53" s="141"/>
      <c r="P53" s="140"/>
      <c r="Q53" s="132"/>
      <c r="R53" s="132"/>
      <c r="S53" s="132"/>
      <c r="T53" s="132"/>
      <c r="U53" s="132"/>
    </row>
    <row r="54" spans="1:21" ht="14.5" x14ac:dyDescent="0.35">
      <c r="A54" s="146"/>
      <c r="B54" s="143"/>
      <c r="C54" s="133"/>
      <c r="D54" s="133"/>
      <c r="E54" s="145"/>
      <c r="F54" s="145"/>
      <c r="G54" s="133"/>
      <c r="H54" s="144"/>
      <c r="I54" s="133"/>
      <c r="J54" s="133"/>
      <c r="K54" s="143"/>
      <c r="L54" s="133"/>
      <c r="M54" s="142"/>
      <c r="N54" s="147"/>
      <c r="O54" s="141"/>
      <c r="P54" s="140"/>
      <c r="Q54" s="132"/>
      <c r="R54" s="132"/>
      <c r="S54" s="132"/>
      <c r="T54" s="132"/>
      <c r="U54" s="132"/>
    </row>
    <row r="55" spans="1:21" ht="14.5" x14ac:dyDescent="0.35">
      <c r="A55" s="146">
        <v>14</v>
      </c>
      <c r="B55" s="143">
        <v>45870</v>
      </c>
      <c r="C55" s="133" t="s">
        <v>2506</v>
      </c>
      <c r="D55" s="133" t="s">
        <v>2508</v>
      </c>
      <c r="E55" s="148" t="s">
        <v>1059</v>
      </c>
      <c r="F55" s="145">
        <v>16500</v>
      </c>
      <c r="G55" s="133" t="s">
        <v>1094</v>
      </c>
      <c r="H55" s="144" t="s">
        <v>1093</v>
      </c>
      <c r="I55" s="133" t="s">
        <v>1092</v>
      </c>
      <c r="J55" s="133" t="s">
        <v>2623</v>
      </c>
      <c r="K55" s="143">
        <v>45962</v>
      </c>
      <c r="L55" s="133" t="s">
        <v>1092</v>
      </c>
      <c r="M55" s="142">
        <v>15564.6</v>
      </c>
      <c r="N55" s="147">
        <f>+F55-M55-M56-M57</f>
        <v>0</v>
      </c>
      <c r="O55" s="141"/>
      <c r="P55" s="140"/>
      <c r="Q55" s="132"/>
      <c r="R55" s="132"/>
      <c r="S55" s="132"/>
      <c r="T55" s="132"/>
      <c r="U55" s="132"/>
    </row>
    <row r="56" spans="1:21" ht="14.5" x14ac:dyDescent="0.35">
      <c r="A56" s="146"/>
      <c r="B56" s="143"/>
      <c r="C56" s="133"/>
      <c r="D56" s="133"/>
      <c r="E56" s="148"/>
      <c r="F56" s="145"/>
      <c r="G56" s="133" t="s">
        <v>1094</v>
      </c>
      <c r="H56" s="144" t="s">
        <v>1093</v>
      </c>
      <c r="I56" s="133" t="s">
        <v>1092</v>
      </c>
      <c r="J56" s="133" t="s">
        <v>2635</v>
      </c>
      <c r="K56" s="143">
        <v>45962</v>
      </c>
      <c r="L56" s="133" t="s">
        <v>1092</v>
      </c>
      <c r="M56" s="142">
        <v>440.4</v>
      </c>
      <c r="N56" s="147"/>
      <c r="O56" s="141"/>
      <c r="P56" s="140"/>
      <c r="Q56" s="132"/>
      <c r="R56" s="132"/>
      <c r="S56" s="132"/>
      <c r="T56" s="132"/>
      <c r="U56" s="132"/>
    </row>
    <row r="57" spans="1:21" ht="14.5" x14ac:dyDescent="0.35">
      <c r="A57" s="146"/>
      <c r="B57" s="143"/>
      <c r="C57" s="133"/>
      <c r="D57" s="133"/>
      <c r="E57" s="148"/>
      <c r="F57" s="145"/>
      <c r="G57" s="133" t="s">
        <v>1094</v>
      </c>
      <c r="H57" s="144" t="s">
        <v>1093</v>
      </c>
      <c r="I57" s="133" t="s">
        <v>1092</v>
      </c>
      <c r="J57" s="133" t="s">
        <v>2636</v>
      </c>
      <c r="K57" s="143">
        <v>45962</v>
      </c>
      <c r="L57" s="133" t="s">
        <v>1241</v>
      </c>
      <c r="M57" s="142">
        <v>495</v>
      </c>
      <c r="N57" s="147"/>
      <c r="O57" s="141"/>
      <c r="P57" s="140"/>
      <c r="Q57" s="132"/>
      <c r="R57" s="132"/>
      <c r="S57" s="132"/>
      <c r="T57" s="132"/>
      <c r="U57" s="132"/>
    </row>
    <row r="58" spans="1:21" ht="14.5" x14ac:dyDescent="0.35">
      <c r="A58" s="146"/>
      <c r="B58" s="143"/>
      <c r="C58" s="133"/>
      <c r="D58" s="133"/>
      <c r="E58" s="145"/>
      <c r="F58" s="145"/>
      <c r="G58" s="133"/>
      <c r="H58" s="144"/>
      <c r="I58" s="133"/>
      <c r="J58" s="133"/>
      <c r="K58" s="143"/>
      <c r="L58" s="133"/>
      <c r="M58" s="142"/>
      <c r="N58" s="147"/>
      <c r="O58" s="141"/>
      <c r="P58" s="140"/>
      <c r="Q58" s="132"/>
      <c r="R58" s="132"/>
      <c r="S58" s="132"/>
      <c r="T58" s="132"/>
      <c r="U58" s="132"/>
    </row>
    <row r="59" spans="1:21" ht="14.5" x14ac:dyDescent="0.35">
      <c r="A59" s="146">
        <v>15</v>
      </c>
      <c r="B59" s="143">
        <v>45870</v>
      </c>
      <c r="C59" s="133" t="s">
        <v>2511</v>
      </c>
      <c r="D59" s="133" t="s">
        <v>2510</v>
      </c>
      <c r="E59" s="145" t="s">
        <v>1071</v>
      </c>
      <c r="F59" s="145">
        <v>271</v>
      </c>
      <c r="G59" s="133" t="s">
        <v>1094</v>
      </c>
      <c r="H59" s="144" t="s">
        <v>1093</v>
      </c>
      <c r="I59" s="133" t="s">
        <v>1092</v>
      </c>
      <c r="J59" s="133" t="s">
        <v>2623</v>
      </c>
      <c r="K59" s="143">
        <v>45962</v>
      </c>
      <c r="L59" s="133" t="s">
        <v>1092</v>
      </c>
      <c r="M59" s="142">
        <v>271</v>
      </c>
      <c r="N59" s="147">
        <f>+F59-M59</f>
        <v>0</v>
      </c>
      <c r="O59" s="141"/>
      <c r="P59" s="140"/>
      <c r="Q59" s="132"/>
      <c r="R59" s="132"/>
      <c r="S59" s="132"/>
      <c r="T59" s="132"/>
      <c r="U59" s="132"/>
    </row>
    <row r="60" spans="1:21" ht="14.5" x14ac:dyDescent="0.35">
      <c r="A60" s="146"/>
      <c r="B60" s="143"/>
      <c r="C60" s="133"/>
      <c r="D60" s="133"/>
      <c r="E60" s="145"/>
      <c r="F60" s="145"/>
      <c r="G60" s="133"/>
      <c r="H60" s="144"/>
      <c r="I60" s="133"/>
      <c r="J60" s="133"/>
      <c r="K60" s="143"/>
      <c r="L60" s="133"/>
      <c r="M60" s="142"/>
      <c r="N60" s="147"/>
      <c r="O60" s="141"/>
      <c r="P60" s="140"/>
      <c r="Q60" s="132"/>
      <c r="R60" s="132"/>
      <c r="S60" s="132"/>
      <c r="T60" s="132"/>
      <c r="U60" s="132"/>
    </row>
    <row r="61" spans="1:21" ht="14.5" x14ac:dyDescent="0.35">
      <c r="A61" s="146">
        <v>16</v>
      </c>
      <c r="B61" s="143">
        <v>45870</v>
      </c>
      <c r="C61" s="133" t="s">
        <v>2513</v>
      </c>
      <c r="D61" s="133" t="s">
        <v>2514</v>
      </c>
      <c r="E61" s="145" t="s">
        <v>1953</v>
      </c>
      <c r="F61" s="145">
        <v>50</v>
      </c>
      <c r="G61" s="133" t="s">
        <v>1094</v>
      </c>
      <c r="H61" s="144" t="s">
        <v>1093</v>
      </c>
      <c r="I61" s="133" t="s">
        <v>1092</v>
      </c>
      <c r="J61" s="133" t="s">
        <v>2623</v>
      </c>
      <c r="K61" s="143">
        <v>45962</v>
      </c>
      <c r="L61" s="133" t="s">
        <v>1092</v>
      </c>
      <c r="M61" s="142">
        <v>1025</v>
      </c>
      <c r="N61" s="147">
        <f>+F61+F62-M61</f>
        <v>0</v>
      </c>
      <c r="O61" s="141"/>
      <c r="P61" s="140"/>
      <c r="Q61" s="132"/>
      <c r="R61" s="132"/>
      <c r="S61" s="132"/>
      <c r="T61" s="132"/>
      <c r="U61" s="132"/>
    </row>
    <row r="62" spans="1:21" ht="14.5" x14ac:dyDescent="0.35">
      <c r="A62" s="146"/>
      <c r="B62" s="143"/>
      <c r="C62" s="133"/>
      <c r="D62" s="133"/>
      <c r="E62" s="145" t="s">
        <v>1109</v>
      </c>
      <c r="F62" s="145">
        <v>975</v>
      </c>
      <c r="G62" s="133"/>
      <c r="H62" s="144"/>
      <c r="I62" s="133"/>
      <c r="J62" s="133"/>
      <c r="K62" s="143"/>
      <c r="L62" s="133"/>
      <c r="M62" s="142"/>
      <c r="N62" s="147"/>
      <c r="O62" s="141"/>
      <c r="P62" s="140"/>
      <c r="Q62" s="132"/>
      <c r="R62" s="132"/>
      <c r="S62" s="132"/>
      <c r="T62" s="132"/>
      <c r="U62" s="132"/>
    </row>
    <row r="63" spans="1:21" ht="14.5" x14ac:dyDescent="0.35">
      <c r="A63" s="146"/>
      <c r="B63" s="143"/>
      <c r="C63" s="133"/>
      <c r="D63" s="133"/>
      <c r="E63" s="145"/>
      <c r="F63" s="145"/>
      <c r="G63" s="133"/>
      <c r="H63" s="144"/>
      <c r="I63" s="133"/>
      <c r="J63" s="133"/>
      <c r="K63" s="143"/>
      <c r="L63" s="133"/>
      <c r="M63" s="142"/>
      <c r="N63" s="147"/>
      <c r="O63" s="141"/>
      <c r="P63" s="140"/>
      <c r="Q63" s="132"/>
      <c r="R63" s="132"/>
      <c r="S63" s="132"/>
      <c r="T63" s="132"/>
      <c r="U63" s="132"/>
    </row>
    <row r="64" spans="1:21" ht="14.5" x14ac:dyDescent="0.35">
      <c r="A64" s="146">
        <v>17</v>
      </c>
      <c r="B64" s="143">
        <v>45870</v>
      </c>
      <c r="C64" s="133" t="s">
        <v>2522</v>
      </c>
      <c r="D64" s="133" t="s">
        <v>2521</v>
      </c>
      <c r="E64" s="148" t="s">
        <v>1059</v>
      </c>
      <c r="F64" s="145">
        <v>9500</v>
      </c>
      <c r="G64" s="133" t="s">
        <v>1094</v>
      </c>
      <c r="H64" s="144" t="s">
        <v>1093</v>
      </c>
      <c r="I64" s="133" t="s">
        <v>1092</v>
      </c>
      <c r="J64" s="133" t="s">
        <v>2635</v>
      </c>
      <c r="K64" s="143">
        <v>45962</v>
      </c>
      <c r="L64" s="133" t="s">
        <v>1092</v>
      </c>
      <c r="M64" s="142">
        <f>500+3680.7</f>
        <v>4180.7</v>
      </c>
      <c r="N64" s="147">
        <f>+F64+F65-M64-M65-M66</f>
        <v>0</v>
      </c>
      <c r="O64" s="141"/>
      <c r="P64" s="140"/>
      <c r="Q64" s="132"/>
      <c r="R64" s="132"/>
      <c r="S64" s="132"/>
      <c r="T64" s="132"/>
      <c r="U64" s="132"/>
    </row>
    <row r="65" spans="1:21" ht="14.5" x14ac:dyDescent="0.35">
      <c r="A65" s="146"/>
      <c r="B65" s="143"/>
      <c r="C65" s="133"/>
      <c r="D65" s="133"/>
      <c r="E65" s="145" t="s">
        <v>1109</v>
      </c>
      <c r="F65" s="145">
        <v>500</v>
      </c>
      <c r="G65" s="133" t="s">
        <v>1094</v>
      </c>
      <c r="H65" s="144" t="s">
        <v>1093</v>
      </c>
      <c r="I65" s="133" t="s">
        <v>1092</v>
      </c>
      <c r="J65" s="133" t="s">
        <v>2636</v>
      </c>
      <c r="K65" s="143">
        <v>45962</v>
      </c>
      <c r="L65" s="133" t="s">
        <v>1241</v>
      </c>
      <c r="M65" s="142">
        <v>270</v>
      </c>
      <c r="N65" s="142"/>
      <c r="O65" s="141"/>
      <c r="P65" s="140"/>
      <c r="Q65" s="132"/>
      <c r="R65" s="132"/>
      <c r="S65" s="132"/>
      <c r="T65" s="132"/>
      <c r="U65" s="132"/>
    </row>
    <row r="66" spans="1:21" ht="14.5" x14ac:dyDescent="0.35">
      <c r="A66" s="146"/>
      <c r="B66" s="143"/>
      <c r="C66" s="133"/>
      <c r="D66" s="133"/>
      <c r="E66" s="145"/>
      <c r="F66" s="145"/>
      <c r="G66" s="133" t="s">
        <v>1094</v>
      </c>
      <c r="H66" s="144" t="s">
        <v>1093</v>
      </c>
      <c r="I66" s="133" t="s">
        <v>1092</v>
      </c>
      <c r="J66" s="258" t="s">
        <v>2640</v>
      </c>
      <c r="K66" s="143">
        <v>45962</v>
      </c>
      <c r="L66" s="133" t="s">
        <v>1092</v>
      </c>
      <c r="M66" s="142">
        <v>5549.3</v>
      </c>
      <c r="N66" s="147"/>
      <c r="O66" s="141"/>
      <c r="P66" s="140"/>
      <c r="Q66" s="132"/>
      <c r="R66" s="132"/>
      <c r="S66" s="132"/>
      <c r="T66" s="132"/>
      <c r="U66" s="132"/>
    </row>
    <row r="67" spans="1:21" ht="14.5" x14ac:dyDescent="0.35">
      <c r="A67" s="146"/>
      <c r="B67" s="143"/>
      <c r="C67" s="133"/>
      <c r="D67" s="133"/>
      <c r="E67" s="145"/>
      <c r="F67" s="145"/>
      <c r="G67" s="133"/>
      <c r="H67" s="144"/>
      <c r="I67" s="133"/>
      <c r="J67" s="133"/>
      <c r="K67" s="143"/>
      <c r="L67" s="133"/>
      <c r="M67" s="142"/>
      <c r="N67" s="147"/>
      <c r="O67" s="141"/>
      <c r="P67" s="140"/>
      <c r="Q67" s="132"/>
      <c r="R67" s="132"/>
      <c r="S67" s="132"/>
      <c r="T67" s="132"/>
      <c r="U67" s="132"/>
    </row>
    <row r="68" spans="1:21" ht="14.5" x14ac:dyDescent="0.35">
      <c r="A68" s="146">
        <v>18</v>
      </c>
      <c r="B68" s="143">
        <v>45870</v>
      </c>
      <c r="C68" s="133" t="s">
        <v>1274</v>
      </c>
      <c r="D68" s="133" t="s">
        <v>2521</v>
      </c>
      <c r="E68" s="148" t="s">
        <v>1059</v>
      </c>
      <c r="F68" s="145">
        <v>24750</v>
      </c>
      <c r="G68" s="133" t="s">
        <v>1094</v>
      </c>
      <c r="H68" s="144" t="s">
        <v>1093</v>
      </c>
      <c r="I68" s="133" t="s">
        <v>1092</v>
      </c>
      <c r="J68" s="258" t="s">
        <v>2640</v>
      </c>
      <c r="K68" s="143">
        <v>45962</v>
      </c>
      <c r="L68" s="133" t="s">
        <v>1092</v>
      </c>
      <c r="M68" s="142">
        <v>20046.5</v>
      </c>
      <c r="N68" s="147">
        <f>+F68-M68-M69-M70</f>
        <v>0</v>
      </c>
      <c r="O68" s="141"/>
      <c r="P68" s="140"/>
      <c r="Q68" s="132"/>
      <c r="R68" s="132"/>
      <c r="S68" s="132"/>
      <c r="T68" s="132"/>
      <c r="U68" s="132"/>
    </row>
    <row r="69" spans="1:21" ht="14.5" x14ac:dyDescent="0.35">
      <c r="A69" s="146"/>
      <c r="B69" s="143"/>
      <c r="C69" s="133"/>
      <c r="D69" s="133"/>
      <c r="E69" s="148"/>
      <c r="F69" s="145"/>
      <c r="G69" s="133" t="s">
        <v>1094</v>
      </c>
      <c r="H69" s="144" t="s">
        <v>1093</v>
      </c>
      <c r="I69" s="133" t="s">
        <v>1092</v>
      </c>
      <c r="J69" s="263" t="s">
        <v>2651</v>
      </c>
      <c r="K69" s="143">
        <v>45992</v>
      </c>
      <c r="L69" s="133" t="s">
        <v>1092</v>
      </c>
      <c r="M69" s="142">
        <v>3963.5</v>
      </c>
      <c r="N69" s="147"/>
      <c r="O69" s="141"/>
      <c r="P69" s="140"/>
      <c r="Q69" s="132"/>
      <c r="R69" s="132"/>
      <c r="S69" s="132"/>
      <c r="T69" s="132"/>
      <c r="U69" s="132"/>
    </row>
    <row r="70" spans="1:21" ht="14.5" x14ac:dyDescent="0.35">
      <c r="A70" s="146"/>
      <c r="B70" s="143"/>
      <c r="C70" s="133"/>
      <c r="D70" s="133"/>
      <c r="E70" s="148"/>
      <c r="F70" s="145"/>
      <c r="G70" s="133" t="s">
        <v>1094</v>
      </c>
      <c r="H70" s="144" t="s">
        <v>1093</v>
      </c>
      <c r="I70" s="133" t="s">
        <v>1092</v>
      </c>
      <c r="J70" s="276" t="s">
        <v>2680</v>
      </c>
      <c r="K70" s="143">
        <v>45992</v>
      </c>
      <c r="L70" s="133" t="s">
        <v>1241</v>
      </c>
      <c r="M70" s="142">
        <v>740</v>
      </c>
      <c r="N70" s="147"/>
      <c r="O70" s="141"/>
      <c r="P70" s="140"/>
      <c r="Q70" s="132"/>
      <c r="R70" s="132"/>
      <c r="S70" s="132"/>
      <c r="T70" s="132"/>
      <c r="U70" s="132"/>
    </row>
    <row r="71" spans="1:21" ht="14.5" x14ac:dyDescent="0.35">
      <c r="A71" s="146"/>
      <c r="B71" s="143"/>
      <c r="C71" s="133"/>
      <c r="D71" s="133"/>
      <c r="E71" s="145"/>
      <c r="F71" s="145"/>
      <c r="G71" s="133"/>
      <c r="H71" s="144"/>
      <c r="I71" s="133"/>
      <c r="J71" s="133"/>
      <c r="K71" s="143"/>
      <c r="L71" s="133"/>
      <c r="M71" s="142"/>
      <c r="N71" s="147"/>
      <c r="O71" s="141"/>
      <c r="P71" s="140"/>
      <c r="Q71" s="132"/>
      <c r="R71" s="132"/>
      <c r="S71" s="132"/>
      <c r="T71" s="132"/>
      <c r="U71" s="132"/>
    </row>
    <row r="72" spans="1:21" ht="14.5" x14ac:dyDescent="0.35">
      <c r="A72" s="146">
        <v>19</v>
      </c>
      <c r="B72" s="143">
        <v>45870</v>
      </c>
      <c r="C72" s="133" t="s">
        <v>1272</v>
      </c>
      <c r="D72" s="133" t="s">
        <v>2523</v>
      </c>
      <c r="E72" s="148" t="s">
        <v>1059</v>
      </c>
      <c r="F72" s="145">
        <v>49500</v>
      </c>
      <c r="G72" s="133" t="s">
        <v>1094</v>
      </c>
      <c r="H72" s="144" t="s">
        <v>1093</v>
      </c>
      <c r="I72" s="133" t="s">
        <v>1092</v>
      </c>
      <c r="J72" s="263" t="s">
        <v>2651</v>
      </c>
      <c r="K72" s="143">
        <v>45992</v>
      </c>
      <c r="L72" s="133" t="s">
        <v>1092</v>
      </c>
      <c r="M72" s="142">
        <v>17473.5</v>
      </c>
      <c r="N72" s="147">
        <f>+F72-M72-M73-M74-M75</f>
        <v>0</v>
      </c>
      <c r="O72" s="141"/>
      <c r="P72" s="140"/>
      <c r="Q72" s="132"/>
      <c r="R72" s="132"/>
      <c r="S72" s="132"/>
      <c r="T72" s="132"/>
      <c r="U72" s="132"/>
    </row>
    <row r="73" spans="1:21" ht="14.5" x14ac:dyDescent="0.35">
      <c r="A73" s="146"/>
      <c r="B73" s="143"/>
      <c r="C73" s="133"/>
      <c r="D73" s="133"/>
      <c r="E73" s="148"/>
      <c r="F73" s="145"/>
      <c r="G73" s="133" t="s">
        <v>1094</v>
      </c>
      <c r="H73" s="144" t="s">
        <v>1093</v>
      </c>
      <c r="I73" s="133" t="s">
        <v>1092</v>
      </c>
      <c r="J73" s="264" t="s">
        <v>2654</v>
      </c>
      <c r="K73" s="143">
        <v>45992</v>
      </c>
      <c r="L73" s="133" t="s">
        <v>1092</v>
      </c>
      <c r="M73" s="142">
        <v>18951.5</v>
      </c>
      <c r="N73" s="147"/>
      <c r="O73" s="141"/>
      <c r="P73" s="140"/>
      <c r="Q73" s="132"/>
      <c r="R73" s="132"/>
      <c r="S73" s="132"/>
      <c r="T73" s="132"/>
      <c r="U73" s="132"/>
    </row>
    <row r="74" spans="1:21" ht="14.5" x14ac:dyDescent="0.35">
      <c r="A74" s="146"/>
      <c r="B74" s="143"/>
      <c r="C74" s="133"/>
      <c r="D74" s="133"/>
      <c r="E74" s="148"/>
      <c r="F74" s="145"/>
      <c r="G74" s="133" t="s">
        <v>1094</v>
      </c>
      <c r="H74" s="144" t="s">
        <v>1093</v>
      </c>
      <c r="I74" s="133" t="s">
        <v>1092</v>
      </c>
      <c r="J74" s="272" t="s">
        <v>2669</v>
      </c>
      <c r="K74" s="143">
        <v>45992</v>
      </c>
      <c r="L74" s="133" t="s">
        <v>1092</v>
      </c>
      <c r="M74" s="142">
        <v>11645</v>
      </c>
      <c r="N74" s="142"/>
      <c r="O74" s="141"/>
      <c r="P74" s="140"/>
      <c r="Q74" s="132"/>
      <c r="R74" s="132"/>
      <c r="S74" s="132"/>
      <c r="T74" s="132"/>
      <c r="U74" s="132"/>
    </row>
    <row r="75" spans="1:21" ht="14.5" x14ac:dyDescent="0.35">
      <c r="A75" s="146"/>
      <c r="B75" s="143"/>
      <c r="C75" s="133"/>
      <c r="D75" s="133"/>
      <c r="E75" s="148"/>
      <c r="F75" s="145"/>
      <c r="G75" s="133" t="s">
        <v>1094</v>
      </c>
      <c r="H75" s="144" t="s">
        <v>1093</v>
      </c>
      <c r="I75" s="133" t="s">
        <v>1092</v>
      </c>
      <c r="J75" s="276" t="s">
        <v>2680</v>
      </c>
      <c r="K75" s="143">
        <v>45992</v>
      </c>
      <c r="L75" s="133" t="s">
        <v>1241</v>
      </c>
      <c r="M75" s="142">
        <v>1430</v>
      </c>
      <c r="N75" s="142"/>
      <c r="O75" s="141"/>
      <c r="P75" s="140"/>
      <c r="Q75" s="132"/>
      <c r="R75" s="132"/>
      <c r="S75" s="132"/>
      <c r="T75" s="132"/>
      <c r="U75" s="132"/>
    </row>
    <row r="76" spans="1:21" ht="14.5" x14ac:dyDescent="0.35">
      <c r="A76" s="146"/>
      <c r="B76" s="143"/>
      <c r="C76" s="133"/>
      <c r="D76" s="133"/>
      <c r="E76" s="145"/>
      <c r="F76" s="145"/>
      <c r="G76" s="133"/>
      <c r="H76" s="144"/>
      <c r="I76" s="133"/>
      <c r="J76" s="133"/>
      <c r="K76" s="143"/>
      <c r="L76" s="133"/>
      <c r="M76" s="142"/>
      <c r="N76" s="142"/>
      <c r="O76" s="141"/>
      <c r="P76" s="140"/>
      <c r="Q76" s="132"/>
      <c r="R76" s="132"/>
      <c r="S76" s="132"/>
      <c r="T76" s="132"/>
      <c r="U76" s="132"/>
    </row>
    <row r="77" spans="1:21" ht="14.5" x14ac:dyDescent="0.35">
      <c r="A77" s="146">
        <v>20</v>
      </c>
      <c r="B77" s="143">
        <v>45870</v>
      </c>
      <c r="C77" s="133" t="s">
        <v>1269</v>
      </c>
      <c r="D77" s="133" t="s">
        <v>2523</v>
      </c>
      <c r="E77" s="148" t="s">
        <v>1059</v>
      </c>
      <c r="F77" s="145">
        <v>24750</v>
      </c>
      <c r="G77" s="133" t="s">
        <v>1094</v>
      </c>
      <c r="H77" s="144" t="s">
        <v>1093</v>
      </c>
      <c r="I77" s="133" t="s">
        <v>1092</v>
      </c>
      <c r="J77" s="272" t="s">
        <v>2669</v>
      </c>
      <c r="K77" s="143">
        <v>45992</v>
      </c>
      <c r="L77" s="133" t="s">
        <v>1092</v>
      </c>
      <c r="M77" s="142">
        <v>1442.5</v>
      </c>
      <c r="N77" s="147">
        <f>+F77-M77-M78-M79-M80</f>
        <v>0</v>
      </c>
      <c r="O77" s="141"/>
      <c r="P77" s="140"/>
      <c r="Q77" s="132"/>
      <c r="R77" s="132"/>
      <c r="S77" s="132"/>
      <c r="T77" s="132"/>
      <c r="U77" s="132"/>
    </row>
    <row r="78" spans="1:21" ht="14.5" x14ac:dyDescent="0.35">
      <c r="A78" s="146"/>
      <c r="B78" s="143"/>
      <c r="C78" s="133"/>
      <c r="D78" s="133"/>
      <c r="E78" s="148"/>
      <c r="F78" s="145"/>
      <c r="G78" s="133" t="s">
        <v>1094</v>
      </c>
      <c r="H78" s="144" t="s">
        <v>1093</v>
      </c>
      <c r="I78" s="133" t="s">
        <v>1092</v>
      </c>
      <c r="J78" s="276" t="s">
        <v>2679</v>
      </c>
      <c r="K78" s="143">
        <v>45992</v>
      </c>
      <c r="L78" s="133" t="s">
        <v>1092</v>
      </c>
      <c r="M78" s="142">
        <v>18883</v>
      </c>
      <c r="N78" s="142"/>
      <c r="O78" s="141"/>
      <c r="P78" s="140"/>
      <c r="Q78" s="132"/>
      <c r="R78" s="132"/>
      <c r="S78" s="132"/>
      <c r="T78" s="132"/>
      <c r="U78" s="132"/>
    </row>
    <row r="79" spans="1:21" ht="14.5" x14ac:dyDescent="0.35">
      <c r="A79" s="146"/>
      <c r="B79" s="143"/>
      <c r="C79" s="133"/>
      <c r="D79" s="133"/>
      <c r="E79" s="148"/>
      <c r="F79" s="145"/>
      <c r="G79" s="133" t="s">
        <v>1094</v>
      </c>
      <c r="H79" s="144" t="s">
        <v>1093</v>
      </c>
      <c r="I79" s="133" t="s">
        <v>1092</v>
      </c>
      <c r="J79" s="276" t="s">
        <v>2680</v>
      </c>
      <c r="K79" s="143">
        <v>45992</v>
      </c>
      <c r="L79" s="133" t="s">
        <v>1241</v>
      </c>
      <c r="M79" s="142">
        <v>732</v>
      </c>
      <c r="N79" s="142"/>
      <c r="O79" s="141"/>
      <c r="P79" s="140"/>
      <c r="Q79" s="132"/>
      <c r="R79" s="132"/>
      <c r="S79" s="132"/>
      <c r="T79" s="132"/>
      <c r="U79" s="132"/>
    </row>
    <row r="80" spans="1:21" ht="14.5" x14ac:dyDescent="0.35">
      <c r="A80" s="146"/>
      <c r="B80" s="143"/>
      <c r="C80" s="133"/>
      <c r="D80" s="133"/>
      <c r="E80" s="148"/>
      <c r="F80" s="145"/>
      <c r="G80" s="133" t="s">
        <v>1094</v>
      </c>
      <c r="H80" s="144" t="s">
        <v>1093</v>
      </c>
      <c r="I80" s="133" t="s">
        <v>1092</v>
      </c>
      <c r="J80" s="278" t="s">
        <v>2687</v>
      </c>
      <c r="K80" s="143">
        <v>45992</v>
      </c>
      <c r="L80" s="133" t="s">
        <v>1092</v>
      </c>
      <c r="M80" s="142">
        <v>3692.5</v>
      </c>
      <c r="N80" s="142"/>
      <c r="O80" s="141"/>
      <c r="P80" s="140"/>
      <c r="Q80" s="132"/>
      <c r="R80" s="132"/>
      <c r="S80" s="132"/>
      <c r="T80" s="132"/>
      <c r="U80" s="132"/>
    </row>
    <row r="81" spans="1:21" ht="14.5" x14ac:dyDescent="0.35">
      <c r="A81" s="146"/>
      <c r="B81" s="143"/>
      <c r="C81" s="133"/>
      <c r="D81" s="133"/>
      <c r="E81" s="145"/>
      <c r="F81" s="145"/>
      <c r="G81" s="133"/>
      <c r="H81" s="144"/>
      <c r="I81" s="133"/>
      <c r="J81" s="133"/>
      <c r="K81" s="143"/>
      <c r="L81" s="133"/>
      <c r="M81" s="142"/>
      <c r="N81" s="142"/>
      <c r="O81" s="141"/>
      <c r="P81" s="140"/>
      <c r="Q81" s="132"/>
      <c r="R81" s="132"/>
      <c r="S81" s="132"/>
      <c r="T81" s="132"/>
      <c r="U81" s="132"/>
    </row>
    <row r="82" spans="1:21" ht="14.5" x14ac:dyDescent="0.35">
      <c r="A82" s="146">
        <v>21</v>
      </c>
      <c r="B82" s="143">
        <v>45870</v>
      </c>
      <c r="C82" s="133" t="s">
        <v>1265</v>
      </c>
      <c r="D82" s="133" t="s">
        <v>2524</v>
      </c>
      <c r="E82" s="145" t="s">
        <v>1112</v>
      </c>
      <c r="F82" s="145">
        <v>5964</v>
      </c>
      <c r="G82" s="133" t="s">
        <v>1094</v>
      </c>
      <c r="H82" s="144" t="s">
        <v>1093</v>
      </c>
      <c r="I82" s="133" t="s">
        <v>1092</v>
      </c>
      <c r="J82" s="258" t="s">
        <v>2640</v>
      </c>
      <c r="K82" s="143">
        <v>45962</v>
      </c>
      <c r="L82" s="133" t="s">
        <v>1092</v>
      </c>
      <c r="M82" s="142">
        <v>5964</v>
      </c>
      <c r="N82" s="142">
        <f>+F82-M82</f>
        <v>0</v>
      </c>
      <c r="O82" s="141"/>
      <c r="P82" s="140"/>
      <c r="Q82" s="132"/>
      <c r="R82" s="132"/>
      <c r="S82" s="132"/>
      <c r="T82" s="132"/>
      <c r="U82" s="132"/>
    </row>
    <row r="83" spans="1:21" ht="14.5" x14ac:dyDescent="0.35">
      <c r="A83" s="146"/>
      <c r="B83" s="143"/>
      <c r="C83" s="133"/>
      <c r="D83" s="133"/>
      <c r="E83" s="145"/>
      <c r="F83" s="145"/>
      <c r="G83" s="133"/>
      <c r="H83" s="144"/>
      <c r="I83" s="133"/>
      <c r="J83" s="133"/>
      <c r="K83" s="143"/>
      <c r="L83" s="133"/>
      <c r="M83" s="142"/>
      <c r="N83" s="142"/>
      <c r="O83" s="141"/>
      <c r="P83" s="140"/>
      <c r="Q83" s="132"/>
      <c r="R83" s="132"/>
      <c r="S83" s="132"/>
      <c r="T83" s="132"/>
      <c r="U83" s="132"/>
    </row>
    <row r="84" spans="1:21" ht="14.5" x14ac:dyDescent="0.35">
      <c r="A84" s="146">
        <v>22</v>
      </c>
      <c r="B84" s="143">
        <v>45870</v>
      </c>
      <c r="C84" s="133" t="s">
        <v>1264</v>
      </c>
      <c r="D84" s="133" t="s">
        <v>2528</v>
      </c>
      <c r="E84" s="145" t="s">
        <v>1109</v>
      </c>
      <c r="F84" s="145">
        <v>8000</v>
      </c>
      <c r="G84" s="133" t="s">
        <v>1094</v>
      </c>
      <c r="H84" s="144" t="s">
        <v>1093</v>
      </c>
      <c r="I84" s="133" t="s">
        <v>1092</v>
      </c>
      <c r="J84" s="258" t="s">
        <v>2640</v>
      </c>
      <c r="K84" s="143">
        <v>45962</v>
      </c>
      <c r="L84" s="133" t="s">
        <v>1092</v>
      </c>
      <c r="M84" s="142">
        <v>8000</v>
      </c>
      <c r="N84" s="142">
        <f>+F84-M84</f>
        <v>0</v>
      </c>
      <c r="O84" s="141"/>
      <c r="P84" s="140"/>
      <c r="Q84" s="132"/>
      <c r="R84" s="132"/>
      <c r="S84" s="132"/>
      <c r="T84" s="132"/>
      <c r="U84" s="132"/>
    </row>
    <row r="85" spans="1:21" ht="14.5" x14ac:dyDescent="0.35">
      <c r="A85" s="146"/>
      <c r="B85" s="143"/>
      <c r="C85" s="133"/>
      <c r="D85" s="133"/>
      <c r="E85" s="145"/>
      <c r="F85" s="145"/>
      <c r="G85" s="133"/>
      <c r="H85" s="144"/>
      <c r="I85" s="133"/>
      <c r="J85" s="133"/>
      <c r="K85" s="143"/>
      <c r="L85" s="133"/>
      <c r="M85" s="142"/>
      <c r="N85" s="142"/>
      <c r="O85" s="141"/>
      <c r="P85" s="140"/>
      <c r="Q85" s="132"/>
      <c r="R85" s="132"/>
      <c r="S85" s="132"/>
      <c r="T85" s="132"/>
      <c r="U85" s="132"/>
    </row>
    <row r="86" spans="1:21" ht="14.5" x14ac:dyDescent="0.35">
      <c r="A86" s="156"/>
      <c r="B86" s="152"/>
      <c r="C86" s="151"/>
      <c r="D86" s="151"/>
      <c r="E86" s="154"/>
      <c r="F86" s="154"/>
      <c r="G86" s="151"/>
      <c r="H86" s="153"/>
      <c r="I86" s="151"/>
      <c r="J86" s="151"/>
      <c r="K86" s="152"/>
      <c r="L86" s="151"/>
      <c r="M86" s="150"/>
      <c r="N86" s="150"/>
      <c r="O86" s="141"/>
      <c r="P86" s="140"/>
      <c r="Q86" s="132"/>
      <c r="R86" s="132"/>
      <c r="S86" s="132"/>
      <c r="T86" s="132"/>
      <c r="U86" s="132"/>
    </row>
    <row r="87" spans="1:21" ht="14.5" x14ac:dyDescent="0.35">
      <c r="A87" s="146"/>
      <c r="B87" s="143"/>
      <c r="C87" s="133"/>
      <c r="D87" s="133"/>
      <c r="E87" s="145"/>
      <c r="F87" s="145"/>
      <c r="G87" s="133"/>
      <c r="H87" s="144"/>
      <c r="I87" s="133"/>
      <c r="J87" s="133"/>
      <c r="K87" s="143"/>
      <c r="L87" s="133"/>
      <c r="M87" s="142"/>
      <c r="N87" s="142"/>
      <c r="O87" s="141"/>
      <c r="P87" s="140"/>
      <c r="Q87" s="132"/>
      <c r="R87" s="132"/>
      <c r="S87" s="132"/>
      <c r="T87" s="132"/>
      <c r="U87" s="132"/>
    </row>
    <row r="88" spans="1:21" ht="14.5" x14ac:dyDescent="0.35">
      <c r="A88" s="146">
        <v>23</v>
      </c>
      <c r="B88" s="143">
        <v>45901</v>
      </c>
      <c r="C88" s="133" t="s">
        <v>1256</v>
      </c>
      <c r="D88" s="133" t="s">
        <v>2536</v>
      </c>
      <c r="E88" s="145" t="s">
        <v>1953</v>
      </c>
      <c r="F88" s="145">
        <v>50</v>
      </c>
      <c r="G88" s="133" t="s">
        <v>1094</v>
      </c>
      <c r="H88" s="144" t="s">
        <v>1093</v>
      </c>
      <c r="I88" s="133" t="s">
        <v>1092</v>
      </c>
      <c r="J88" s="272" t="s">
        <v>2669</v>
      </c>
      <c r="K88" s="143">
        <v>45992</v>
      </c>
      <c r="L88" s="133" t="s">
        <v>1092</v>
      </c>
      <c r="M88" s="142">
        <v>3150</v>
      </c>
      <c r="N88" s="142">
        <f>+F88+F89+F90-M88</f>
        <v>0</v>
      </c>
      <c r="O88" s="141"/>
      <c r="P88" s="140"/>
      <c r="Q88" s="132"/>
      <c r="R88" s="132"/>
      <c r="S88" s="132"/>
      <c r="T88" s="132"/>
      <c r="U88" s="132"/>
    </row>
    <row r="89" spans="1:21" ht="14.5" x14ac:dyDescent="0.35">
      <c r="A89" s="146"/>
      <c r="B89" s="143"/>
      <c r="C89" s="133"/>
      <c r="D89" s="133"/>
      <c r="E89" s="145" t="s">
        <v>1953</v>
      </c>
      <c r="F89" s="145">
        <v>100</v>
      </c>
      <c r="G89" s="133"/>
      <c r="H89" s="144"/>
      <c r="I89" s="133"/>
      <c r="J89" s="133"/>
      <c r="K89" s="143"/>
      <c r="L89" s="133"/>
      <c r="M89" s="142"/>
      <c r="N89" s="142"/>
      <c r="O89" s="141"/>
      <c r="P89" s="140"/>
      <c r="Q89" s="132"/>
      <c r="R89" s="132"/>
      <c r="S89" s="132"/>
      <c r="T89" s="132"/>
      <c r="U89" s="132"/>
    </row>
    <row r="90" spans="1:21" ht="14.5" x14ac:dyDescent="0.35">
      <c r="A90" s="146"/>
      <c r="B90" s="143"/>
      <c r="C90" s="133"/>
      <c r="D90" s="133"/>
      <c r="E90" s="145" t="s">
        <v>46</v>
      </c>
      <c r="F90" s="145">
        <v>3000</v>
      </c>
      <c r="G90" s="133"/>
      <c r="H90" s="144"/>
      <c r="I90" s="133"/>
      <c r="J90" s="133"/>
      <c r="K90" s="143"/>
      <c r="L90" s="133"/>
      <c r="M90" s="142"/>
      <c r="N90" s="142"/>
      <c r="O90" s="141"/>
      <c r="P90" s="140"/>
      <c r="Q90" s="132"/>
      <c r="R90" s="132"/>
      <c r="S90" s="132"/>
      <c r="T90" s="132"/>
      <c r="U90" s="132"/>
    </row>
    <row r="91" spans="1:21" ht="14.5" x14ac:dyDescent="0.35">
      <c r="A91" s="146"/>
      <c r="B91" s="143"/>
      <c r="C91" s="133"/>
      <c r="D91" s="133"/>
      <c r="E91" s="145"/>
      <c r="F91" s="145"/>
      <c r="G91" s="133"/>
      <c r="H91" s="144"/>
      <c r="I91" s="133"/>
      <c r="J91" s="133"/>
      <c r="K91" s="143"/>
      <c r="L91" s="133"/>
      <c r="M91" s="142"/>
      <c r="N91" s="142"/>
      <c r="O91" s="141"/>
      <c r="P91" s="140"/>
      <c r="Q91" s="132"/>
      <c r="R91" s="132"/>
      <c r="S91" s="132"/>
      <c r="T91" s="132"/>
      <c r="U91" s="132"/>
    </row>
    <row r="92" spans="1:21" ht="14.5" x14ac:dyDescent="0.35">
      <c r="A92" s="146">
        <v>24</v>
      </c>
      <c r="B92" s="143">
        <v>45901</v>
      </c>
      <c r="C92" s="133" t="s">
        <v>1254</v>
      </c>
      <c r="D92" s="133" t="s">
        <v>2537</v>
      </c>
      <c r="E92" s="145" t="s">
        <v>1112</v>
      </c>
      <c r="F92" s="145">
        <v>1360</v>
      </c>
      <c r="G92" s="133" t="s">
        <v>1094</v>
      </c>
      <c r="H92" s="144" t="s">
        <v>1093</v>
      </c>
      <c r="I92" s="133" t="s">
        <v>1092</v>
      </c>
      <c r="J92" s="272" t="s">
        <v>2669</v>
      </c>
      <c r="K92" s="143">
        <v>45992</v>
      </c>
      <c r="L92" s="133" t="s">
        <v>1092</v>
      </c>
      <c r="M92" s="142">
        <v>1360</v>
      </c>
      <c r="N92" s="142">
        <f>+F92-M92</f>
        <v>0</v>
      </c>
      <c r="O92" s="141"/>
      <c r="P92" s="140"/>
      <c r="Q92" s="132"/>
      <c r="R92" s="132"/>
      <c r="S92" s="132"/>
      <c r="T92" s="132"/>
      <c r="U92" s="132"/>
    </row>
    <row r="93" spans="1:21" ht="14.5" x14ac:dyDescent="0.35">
      <c r="A93" s="146"/>
      <c r="B93" s="143"/>
      <c r="C93" s="133"/>
      <c r="D93" s="133"/>
      <c r="E93" s="145"/>
      <c r="F93" s="145"/>
      <c r="G93" s="133"/>
      <c r="H93" s="144"/>
      <c r="I93" s="133"/>
      <c r="J93" s="133"/>
      <c r="K93" s="143"/>
      <c r="L93" s="133"/>
      <c r="M93" s="142"/>
      <c r="N93" s="142"/>
      <c r="O93" s="141"/>
      <c r="P93" s="140"/>
      <c r="Q93" s="132"/>
      <c r="R93" s="132"/>
      <c r="S93" s="132"/>
      <c r="T93" s="132"/>
      <c r="U93" s="132"/>
    </row>
    <row r="94" spans="1:21" ht="14.5" x14ac:dyDescent="0.35">
      <c r="A94" s="146">
        <v>25</v>
      </c>
      <c r="B94" s="143">
        <v>45901</v>
      </c>
      <c r="C94" s="133" t="s">
        <v>1251</v>
      </c>
      <c r="D94" s="133" t="s">
        <v>2544</v>
      </c>
      <c r="E94" s="145" t="s">
        <v>1112</v>
      </c>
      <c r="F94" s="145">
        <v>1298</v>
      </c>
      <c r="G94" s="133" t="s">
        <v>1094</v>
      </c>
      <c r="H94" s="144" t="s">
        <v>1093</v>
      </c>
      <c r="I94" s="133" t="s">
        <v>1092</v>
      </c>
      <c r="J94" s="272" t="s">
        <v>2669</v>
      </c>
      <c r="K94" s="143">
        <v>45992</v>
      </c>
      <c r="L94" s="133" t="s">
        <v>1092</v>
      </c>
      <c r="M94" s="142">
        <v>1298</v>
      </c>
      <c r="N94" s="142">
        <f>+F94-M94</f>
        <v>0</v>
      </c>
      <c r="O94" s="141"/>
      <c r="P94" s="140"/>
      <c r="Q94" s="132"/>
      <c r="R94" s="132"/>
      <c r="S94" s="132"/>
      <c r="T94" s="132"/>
      <c r="U94" s="132"/>
    </row>
    <row r="95" spans="1:21" ht="14.5" x14ac:dyDescent="0.35">
      <c r="A95" s="146"/>
      <c r="B95" s="143"/>
      <c r="C95" s="133"/>
      <c r="D95" s="133"/>
      <c r="E95" s="145"/>
      <c r="F95" s="145"/>
      <c r="G95" s="133"/>
      <c r="H95" s="144"/>
      <c r="I95" s="133"/>
      <c r="J95" s="272"/>
      <c r="K95" s="143"/>
      <c r="L95" s="133"/>
      <c r="M95" s="142"/>
      <c r="N95" s="142"/>
      <c r="O95" s="141"/>
      <c r="P95" s="140"/>
      <c r="Q95" s="132"/>
      <c r="R95" s="132"/>
      <c r="S95" s="132"/>
      <c r="T95" s="132"/>
      <c r="U95" s="132"/>
    </row>
    <row r="96" spans="1:21" ht="14.5" x14ac:dyDescent="0.35">
      <c r="A96" s="146">
        <v>26</v>
      </c>
      <c r="B96" s="143">
        <v>45901</v>
      </c>
      <c r="C96" s="133" t="s">
        <v>1249</v>
      </c>
      <c r="D96" s="133" t="s">
        <v>2545</v>
      </c>
      <c r="E96" s="145" t="s">
        <v>1071</v>
      </c>
      <c r="F96" s="145">
        <v>12.2</v>
      </c>
      <c r="G96" s="133" t="s">
        <v>1094</v>
      </c>
      <c r="H96" s="144" t="s">
        <v>1093</v>
      </c>
      <c r="I96" s="133" t="s">
        <v>1092</v>
      </c>
      <c r="J96" s="272" t="s">
        <v>2669</v>
      </c>
      <c r="K96" s="143">
        <v>45992</v>
      </c>
      <c r="L96" s="133" t="s">
        <v>1092</v>
      </c>
      <c r="M96" s="142">
        <v>12.2</v>
      </c>
      <c r="N96" s="142">
        <f>+F96-M96</f>
        <v>0</v>
      </c>
      <c r="O96" s="141"/>
      <c r="P96" s="140"/>
      <c r="Q96" s="132"/>
      <c r="R96" s="132"/>
      <c r="S96" s="132"/>
      <c r="T96" s="132"/>
      <c r="U96" s="132"/>
    </row>
    <row r="97" spans="1:21" ht="14.5" x14ac:dyDescent="0.35">
      <c r="A97" s="146"/>
      <c r="B97" s="143"/>
      <c r="C97" s="133"/>
      <c r="D97" s="133"/>
      <c r="E97" s="145"/>
      <c r="F97" s="145"/>
      <c r="G97" s="133"/>
      <c r="H97" s="144"/>
      <c r="I97" s="133"/>
      <c r="J97" s="133"/>
      <c r="K97" s="143"/>
      <c r="L97" s="133"/>
      <c r="M97" s="142"/>
      <c r="N97" s="142"/>
      <c r="O97" s="141"/>
      <c r="P97" s="140"/>
      <c r="Q97" s="132"/>
      <c r="R97" s="132"/>
      <c r="S97" s="132"/>
      <c r="T97" s="132"/>
      <c r="U97" s="132"/>
    </row>
    <row r="98" spans="1:21" ht="14.5" x14ac:dyDescent="0.35">
      <c r="A98" s="146">
        <v>27</v>
      </c>
      <c r="B98" s="143">
        <v>45901</v>
      </c>
      <c r="C98" s="133" t="s">
        <v>2546</v>
      </c>
      <c r="D98" s="133" t="s">
        <v>2547</v>
      </c>
      <c r="E98" s="145" t="s">
        <v>1067</v>
      </c>
      <c r="F98" s="145">
        <v>250.3</v>
      </c>
      <c r="G98" s="133" t="s">
        <v>1094</v>
      </c>
      <c r="H98" s="144" t="s">
        <v>1093</v>
      </c>
      <c r="I98" s="133" t="s">
        <v>1092</v>
      </c>
      <c r="J98" s="272" t="s">
        <v>2669</v>
      </c>
      <c r="K98" s="143">
        <v>45992</v>
      </c>
      <c r="L98" s="133" t="s">
        <v>1092</v>
      </c>
      <c r="M98" s="142">
        <v>250.3</v>
      </c>
      <c r="N98" s="142">
        <f>+F98-M98</f>
        <v>0</v>
      </c>
      <c r="O98" s="141"/>
      <c r="P98" s="140"/>
      <c r="Q98" s="132"/>
      <c r="R98" s="132"/>
      <c r="S98" s="132"/>
      <c r="T98" s="132"/>
      <c r="U98" s="132"/>
    </row>
    <row r="99" spans="1:21" ht="14.5" x14ac:dyDescent="0.35">
      <c r="A99" s="146"/>
      <c r="B99" s="143"/>
      <c r="C99" s="133"/>
      <c r="D99" s="133"/>
      <c r="E99" s="145"/>
      <c r="F99" s="145"/>
      <c r="G99" s="133"/>
      <c r="H99" s="144"/>
      <c r="I99" s="133"/>
      <c r="J99" s="133"/>
      <c r="K99" s="143"/>
      <c r="L99" s="133"/>
      <c r="M99" s="142"/>
      <c r="N99" s="142"/>
      <c r="O99" s="141"/>
      <c r="P99" s="140"/>
      <c r="Q99" s="132"/>
      <c r="R99" s="132"/>
      <c r="S99" s="132"/>
      <c r="T99" s="132"/>
      <c r="U99" s="132"/>
    </row>
    <row r="100" spans="1:21" ht="14.5" x14ac:dyDescent="0.35">
      <c r="A100" s="146">
        <v>28</v>
      </c>
      <c r="B100" s="143">
        <v>45901</v>
      </c>
      <c r="C100" s="133" t="s">
        <v>2548</v>
      </c>
      <c r="D100" s="133" t="s">
        <v>2547</v>
      </c>
      <c r="E100" s="148" t="s">
        <v>1059</v>
      </c>
      <c r="F100" s="145">
        <v>28000</v>
      </c>
      <c r="G100" s="133" t="s">
        <v>1094</v>
      </c>
      <c r="H100" s="144" t="s">
        <v>1093</v>
      </c>
      <c r="I100" s="133" t="s">
        <v>1092</v>
      </c>
      <c r="J100" s="278" t="s">
        <v>2687</v>
      </c>
      <c r="K100" s="143">
        <v>45992</v>
      </c>
      <c r="L100" s="133" t="s">
        <v>1092</v>
      </c>
      <c r="M100" s="142">
        <v>13688.2</v>
      </c>
      <c r="N100" s="142">
        <f>+F100-M100-M101-M102</f>
        <v>0</v>
      </c>
      <c r="O100" s="141"/>
      <c r="P100" s="140"/>
      <c r="Q100" s="132"/>
      <c r="R100" s="132"/>
      <c r="S100" s="132"/>
      <c r="T100" s="132"/>
      <c r="U100" s="132"/>
    </row>
    <row r="101" spans="1:21" ht="14.5" x14ac:dyDescent="0.35">
      <c r="A101" s="146"/>
      <c r="B101" s="143"/>
      <c r="C101" s="133"/>
      <c r="D101" s="133"/>
      <c r="E101" s="148"/>
      <c r="F101" s="145"/>
      <c r="G101" s="133" t="s">
        <v>1094</v>
      </c>
      <c r="H101" s="144" t="s">
        <v>1093</v>
      </c>
      <c r="I101" s="133" t="s">
        <v>1092</v>
      </c>
      <c r="J101" s="296" t="s">
        <v>2706</v>
      </c>
      <c r="K101" s="143">
        <v>46023</v>
      </c>
      <c r="L101" s="133" t="s">
        <v>1092</v>
      </c>
      <c r="M101" s="142">
        <v>13471.8</v>
      </c>
      <c r="N101" s="142"/>
      <c r="O101" s="141"/>
      <c r="P101" s="140"/>
      <c r="Q101" s="132"/>
      <c r="R101" s="132"/>
      <c r="S101" s="132"/>
      <c r="T101" s="132"/>
      <c r="U101" s="132"/>
    </row>
    <row r="102" spans="1:21" ht="14.5" x14ac:dyDescent="0.35">
      <c r="A102" s="146"/>
      <c r="B102" s="143"/>
      <c r="C102" s="133"/>
      <c r="D102" s="133"/>
      <c r="E102" s="148"/>
      <c r="F102" s="145"/>
      <c r="G102" s="133" t="s">
        <v>1094</v>
      </c>
      <c r="H102" s="144" t="s">
        <v>1093</v>
      </c>
      <c r="I102" s="133" t="s">
        <v>1092</v>
      </c>
      <c r="J102" s="322" t="s">
        <v>2758</v>
      </c>
      <c r="K102" s="143">
        <v>46054</v>
      </c>
      <c r="L102" s="133" t="s">
        <v>1241</v>
      </c>
      <c r="M102" s="142">
        <v>840</v>
      </c>
      <c r="N102" s="142"/>
      <c r="O102" s="141"/>
      <c r="P102" s="140"/>
      <c r="Q102" s="132"/>
      <c r="R102" s="132"/>
      <c r="S102" s="132"/>
      <c r="T102" s="132"/>
      <c r="U102" s="132"/>
    </row>
    <row r="103" spans="1:21" ht="14.5" x14ac:dyDescent="0.35">
      <c r="A103" s="146"/>
      <c r="B103" s="143"/>
      <c r="C103" s="133"/>
      <c r="D103" s="133"/>
      <c r="E103" s="145"/>
      <c r="F103" s="145"/>
      <c r="G103" s="133"/>
      <c r="H103" s="144"/>
      <c r="I103" s="133"/>
      <c r="J103" s="133"/>
      <c r="K103" s="143"/>
      <c r="L103" s="133"/>
      <c r="M103" s="142"/>
      <c r="N103" s="142"/>
      <c r="O103" s="141"/>
      <c r="P103" s="140"/>
      <c r="Q103" s="132"/>
      <c r="R103" s="132"/>
      <c r="S103" s="132"/>
      <c r="T103" s="132"/>
      <c r="U103" s="132"/>
    </row>
    <row r="104" spans="1:21" ht="14.5" x14ac:dyDescent="0.35">
      <c r="A104" s="146">
        <v>29</v>
      </c>
      <c r="B104" s="143">
        <v>45901</v>
      </c>
      <c r="C104" s="133" t="s">
        <v>2551</v>
      </c>
      <c r="D104" s="133" t="s">
        <v>2550</v>
      </c>
      <c r="E104" s="145" t="s">
        <v>1118</v>
      </c>
      <c r="F104" s="145">
        <v>482.3</v>
      </c>
      <c r="G104" s="133" t="s">
        <v>1094</v>
      </c>
      <c r="H104" s="144" t="s">
        <v>1093</v>
      </c>
      <c r="I104" s="133" t="s">
        <v>1092</v>
      </c>
      <c r="J104" s="278" t="s">
        <v>2687</v>
      </c>
      <c r="K104" s="143">
        <v>45992</v>
      </c>
      <c r="L104" s="133" t="s">
        <v>1092</v>
      </c>
      <c r="M104" s="142">
        <v>482.3</v>
      </c>
      <c r="N104" s="142">
        <f>+F104-M104</f>
        <v>0</v>
      </c>
      <c r="O104" s="141"/>
      <c r="P104" s="140"/>
      <c r="Q104" s="132"/>
      <c r="R104" s="132"/>
      <c r="S104" s="132"/>
      <c r="T104" s="132"/>
      <c r="U104" s="132"/>
    </row>
    <row r="105" spans="1:21" ht="14.5" x14ac:dyDescent="0.35">
      <c r="A105" s="146"/>
      <c r="B105" s="143"/>
      <c r="C105" s="133"/>
      <c r="D105" s="133"/>
      <c r="E105" s="145"/>
      <c r="F105" s="145"/>
      <c r="G105" s="133"/>
      <c r="H105" s="144"/>
      <c r="I105" s="133"/>
      <c r="J105" s="133"/>
      <c r="K105" s="143"/>
      <c r="L105" s="133"/>
      <c r="M105" s="142"/>
      <c r="N105" s="142"/>
      <c r="O105" s="141"/>
      <c r="P105" s="140"/>
      <c r="Q105" s="132"/>
      <c r="R105" s="132"/>
      <c r="S105" s="132"/>
      <c r="T105" s="132"/>
      <c r="U105" s="132"/>
    </row>
    <row r="106" spans="1:21" ht="14.5" x14ac:dyDescent="0.35">
      <c r="A106" s="146">
        <v>30</v>
      </c>
      <c r="B106" s="143">
        <v>45901</v>
      </c>
      <c r="C106" s="133" t="s">
        <v>1243</v>
      </c>
      <c r="D106" s="133" t="s">
        <v>2560</v>
      </c>
      <c r="E106" s="145" t="s">
        <v>1112</v>
      </c>
      <c r="F106" s="145">
        <v>124.2</v>
      </c>
      <c r="G106" s="133" t="s">
        <v>1094</v>
      </c>
      <c r="H106" s="144" t="s">
        <v>1093</v>
      </c>
      <c r="I106" s="133" t="s">
        <v>1092</v>
      </c>
      <c r="J106" s="278" t="s">
        <v>2687</v>
      </c>
      <c r="K106" s="143">
        <v>45992</v>
      </c>
      <c r="L106" s="133" t="s">
        <v>1092</v>
      </c>
      <c r="M106" s="142">
        <v>445</v>
      </c>
      <c r="N106" s="142">
        <f>+F106+F107-M106</f>
        <v>0</v>
      </c>
      <c r="O106" s="141"/>
      <c r="P106" s="140"/>
      <c r="Q106" s="132"/>
      <c r="R106" s="132"/>
      <c r="S106" s="132"/>
      <c r="T106" s="132"/>
      <c r="U106" s="132"/>
    </row>
    <row r="107" spans="1:21" ht="14.5" x14ac:dyDescent="0.35">
      <c r="A107" s="146"/>
      <c r="B107" s="143"/>
      <c r="C107" s="133"/>
      <c r="D107" s="133"/>
      <c r="E107" s="145" t="s">
        <v>1071</v>
      </c>
      <c r="F107" s="145">
        <v>320.8</v>
      </c>
      <c r="G107" s="133"/>
      <c r="H107" s="144"/>
      <c r="I107" s="133"/>
      <c r="J107" s="133"/>
      <c r="K107" s="143"/>
      <c r="L107" s="133"/>
      <c r="M107" s="142"/>
      <c r="N107" s="142"/>
      <c r="O107" s="141"/>
      <c r="P107" s="140"/>
      <c r="Q107" s="132"/>
      <c r="R107" s="132"/>
      <c r="S107" s="132"/>
      <c r="T107" s="132"/>
      <c r="U107" s="132"/>
    </row>
    <row r="108" spans="1:21" ht="14.5" x14ac:dyDescent="0.35">
      <c r="A108" s="146"/>
      <c r="B108" s="143"/>
      <c r="C108" s="133"/>
      <c r="D108" s="133"/>
      <c r="E108" s="145"/>
      <c r="F108" s="145"/>
      <c r="G108" s="133"/>
      <c r="H108" s="144"/>
      <c r="I108" s="133"/>
      <c r="J108" s="133"/>
      <c r="K108" s="143"/>
      <c r="L108" s="133"/>
      <c r="M108" s="142"/>
      <c r="N108" s="142"/>
      <c r="O108" s="141"/>
      <c r="P108" s="140"/>
      <c r="Q108" s="132"/>
      <c r="R108" s="132"/>
      <c r="S108" s="132"/>
      <c r="T108" s="132"/>
      <c r="U108" s="132"/>
    </row>
    <row r="109" spans="1:21" ht="14.5" x14ac:dyDescent="0.35">
      <c r="A109" s="146">
        <v>31</v>
      </c>
      <c r="B109" s="143">
        <v>45901</v>
      </c>
      <c r="C109" s="133" t="s">
        <v>1240</v>
      </c>
      <c r="D109" s="133" t="s">
        <v>2563</v>
      </c>
      <c r="E109" s="148" t="s">
        <v>1059</v>
      </c>
      <c r="F109" s="145">
        <v>56000</v>
      </c>
      <c r="G109" s="133" t="s">
        <v>1094</v>
      </c>
      <c r="H109" s="144" t="s">
        <v>1093</v>
      </c>
      <c r="I109" s="133" t="s">
        <v>1092</v>
      </c>
      <c r="J109" s="296" t="s">
        <v>2706</v>
      </c>
      <c r="K109" s="143">
        <v>46023</v>
      </c>
      <c r="L109" s="133" t="s">
        <v>1092</v>
      </c>
      <c r="M109" s="142">
        <v>5766.2</v>
      </c>
      <c r="N109" s="142">
        <f>+F109-M109-M110-M111-M112-M113</f>
        <v>3.637978807091713E-12</v>
      </c>
      <c r="O109" s="141"/>
      <c r="P109" s="140"/>
      <c r="Q109" s="132"/>
      <c r="R109" s="132"/>
      <c r="S109" s="132"/>
      <c r="T109" s="132"/>
      <c r="U109" s="132"/>
    </row>
    <row r="110" spans="1:21" ht="14.5" x14ac:dyDescent="0.35">
      <c r="A110" s="146"/>
      <c r="B110" s="143"/>
      <c r="C110" s="133"/>
      <c r="D110" s="133"/>
      <c r="E110" s="148"/>
      <c r="F110" s="145"/>
      <c r="G110" s="133" t="s">
        <v>1094</v>
      </c>
      <c r="H110" s="144" t="s">
        <v>1093</v>
      </c>
      <c r="I110" s="133" t="s">
        <v>1092</v>
      </c>
      <c r="J110" s="296" t="s">
        <v>2707</v>
      </c>
      <c r="K110" s="143">
        <v>46023</v>
      </c>
      <c r="L110" s="133" t="s">
        <v>1092</v>
      </c>
      <c r="M110" s="142">
        <v>18928</v>
      </c>
      <c r="N110" s="142"/>
      <c r="O110" s="141"/>
      <c r="P110" s="140"/>
      <c r="Q110" s="132"/>
      <c r="R110" s="132"/>
      <c r="S110" s="132"/>
      <c r="T110" s="132"/>
      <c r="U110" s="132"/>
    </row>
    <row r="111" spans="1:21" ht="14.5" x14ac:dyDescent="0.35">
      <c r="A111" s="146"/>
      <c r="B111" s="143"/>
      <c r="C111" s="133"/>
      <c r="D111" s="133"/>
      <c r="E111" s="148"/>
      <c r="F111" s="145"/>
      <c r="G111" s="133" t="s">
        <v>1094</v>
      </c>
      <c r="H111" s="144" t="s">
        <v>1093</v>
      </c>
      <c r="I111" s="133" t="s">
        <v>1092</v>
      </c>
      <c r="J111" s="300" t="s">
        <v>2711</v>
      </c>
      <c r="K111" s="143">
        <v>46023</v>
      </c>
      <c r="L111" s="133" t="s">
        <v>1092</v>
      </c>
      <c r="M111" s="142">
        <v>19154</v>
      </c>
      <c r="N111" s="142"/>
      <c r="O111" s="141"/>
      <c r="P111" s="140"/>
      <c r="Q111" s="132"/>
      <c r="R111" s="132"/>
      <c r="S111" s="132"/>
      <c r="T111" s="132"/>
      <c r="U111" s="132"/>
    </row>
    <row r="112" spans="1:21" ht="14.5" x14ac:dyDescent="0.35">
      <c r="A112" s="146"/>
      <c r="B112" s="143"/>
      <c r="C112" s="133"/>
      <c r="D112" s="133"/>
      <c r="E112" s="148"/>
      <c r="F112" s="145"/>
      <c r="G112" s="133" t="s">
        <v>1094</v>
      </c>
      <c r="H112" s="144" t="s">
        <v>1093</v>
      </c>
      <c r="I112" s="133" t="s">
        <v>1092</v>
      </c>
      <c r="J112" s="307" t="s">
        <v>2734</v>
      </c>
      <c r="K112" s="143">
        <v>46023</v>
      </c>
      <c r="L112" s="133" t="s">
        <v>1092</v>
      </c>
      <c r="M112" s="142">
        <v>10471.799999999999</v>
      </c>
      <c r="N112" s="142"/>
      <c r="O112" s="141"/>
      <c r="P112" s="140"/>
      <c r="Q112" s="132"/>
      <c r="R112" s="132"/>
      <c r="S112" s="132"/>
      <c r="T112" s="132"/>
      <c r="U112" s="132"/>
    </row>
    <row r="113" spans="1:21" ht="14.5" x14ac:dyDescent="0.35">
      <c r="A113" s="146"/>
      <c r="B113" s="143"/>
      <c r="C113" s="133"/>
      <c r="D113" s="133"/>
      <c r="E113" s="148"/>
      <c r="F113" s="145"/>
      <c r="G113" s="133" t="s">
        <v>1094</v>
      </c>
      <c r="H113" s="144" t="s">
        <v>1093</v>
      </c>
      <c r="I113" s="133" t="s">
        <v>1092</v>
      </c>
      <c r="J113" s="322" t="s">
        <v>2758</v>
      </c>
      <c r="K113" s="143">
        <v>46054</v>
      </c>
      <c r="L113" s="133" t="s">
        <v>1241</v>
      </c>
      <c r="M113" s="142">
        <v>1680</v>
      </c>
      <c r="N113" s="142"/>
      <c r="O113" s="141"/>
      <c r="P113" s="140"/>
      <c r="Q113" s="132"/>
      <c r="R113" s="132"/>
      <c r="S113" s="132"/>
      <c r="T113" s="132"/>
      <c r="U113" s="132"/>
    </row>
    <row r="114" spans="1:21" ht="14.5" x14ac:dyDescent="0.35">
      <c r="A114" s="146"/>
      <c r="B114" s="143"/>
      <c r="C114" s="133"/>
      <c r="D114" s="133"/>
      <c r="E114" s="145"/>
      <c r="F114" s="145"/>
      <c r="G114" s="133"/>
      <c r="H114" s="144"/>
      <c r="I114" s="133"/>
      <c r="J114" s="133"/>
      <c r="K114" s="143"/>
      <c r="L114" s="133"/>
      <c r="M114" s="142"/>
      <c r="N114" s="142"/>
      <c r="O114" s="141"/>
      <c r="P114" s="140"/>
      <c r="Q114" s="132"/>
      <c r="R114" s="132"/>
      <c r="S114" s="132"/>
      <c r="T114" s="132"/>
      <c r="U114" s="132"/>
    </row>
    <row r="115" spans="1:21" ht="14.5" x14ac:dyDescent="0.35">
      <c r="A115" s="146">
        <v>32</v>
      </c>
      <c r="B115" s="143">
        <v>45901</v>
      </c>
      <c r="C115" s="133" t="s">
        <v>1238</v>
      </c>
      <c r="D115" s="133" t="s">
        <v>2568</v>
      </c>
      <c r="E115" s="145" t="s">
        <v>1118</v>
      </c>
      <c r="F115" s="145">
        <v>458.6</v>
      </c>
      <c r="G115" s="133" t="s">
        <v>1094</v>
      </c>
      <c r="H115" s="144" t="s">
        <v>1093</v>
      </c>
      <c r="I115" s="133" t="s">
        <v>1092</v>
      </c>
      <c r="J115" s="278" t="s">
        <v>2687</v>
      </c>
      <c r="K115" s="143">
        <v>45992</v>
      </c>
      <c r="L115" s="133" t="s">
        <v>1092</v>
      </c>
      <c r="M115" s="142">
        <v>458.6</v>
      </c>
      <c r="N115" s="142">
        <f>+F115-M115</f>
        <v>0</v>
      </c>
      <c r="O115" s="141"/>
      <c r="P115" s="140"/>
      <c r="Q115" s="132"/>
      <c r="R115" s="132"/>
      <c r="S115" s="132"/>
      <c r="T115" s="132"/>
      <c r="U115" s="132"/>
    </row>
    <row r="116" spans="1:21" ht="14.5" x14ac:dyDescent="0.35">
      <c r="A116" s="146"/>
      <c r="B116" s="143"/>
      <c r="C116" s="133"/>
      <c r="D116" s="133"/>
      <c r="E116" s="145"/>
      <c r="F116" s="145"/>
      <c r="G116" s="133"/>
      <c r="H116" s="144"/>
      <c r="I116" s="133"/>
      <c r="J116" s="133"/>
      <c r="K116" s="143"/>
      <c r="L116" s="133"/>
      <c r="M116" s="142"/>
      <c r="N116" s="142"/>
      <c r="O116" s="141"/>
      <c r="P116" s="140"/>
      <c r="Q116" s="132"/>
      <c r="R116" s="132"/>
      <c r="S116" s="132"/>
      <c r="T116" s="132"/>
      <c r="U116" s="132"/>
    </row>
    <row r="117" spans="1:21" ht="14.5" x14ac:dyDescent="0.35">
      <c r="A117" s="156"/>
      <c r="B117" s="152"/>
      <c r="C117" s="151"/>
      <c r="D117" s="151"/>
      <c r="E117" s="154"/>
      <c r="F117" s="154"/>
      <c r="G117" s="151"/>
      <c r="H117" s="153"/>
      <c r="I117" s="151"/>
      <c r="J117" s="151"/>
      <c r="K117" s="152"/>
      <c r="L117" s="151"/>
      <c r="M117" s="150"/>
      <c r="N117" s="150"/>
      <c r="O117" s="141"/>
      <c r="P117" s="140"/>
      <c r="Q117" s="132"/>
      <c r="R117" s="132"/>
      <c r="S117" s="132"/>
      <c r="T117" s="132"/>
      <c r="U117" s="132"/>
    </row>
    <row r="118" spans="1:21" ht="14.5" x14ac:dyDescent="0.35">
      <c r="A118" s="146"/>
      <c r="B118" s="143"/>
      <c r="C118" s="133"/>
      <c r="D118" s="133"/>
      <c r="E118" s="145"/>
      <c r="F118" s="145"/>
      <c r="G118" s="133"/>
      <c r="H118" s="144"/>
      <c r="I118" s="133"/>
      <c r="J118" s="133"/>
      <c r="K118" s="143"/>
      <c r="L118" s="133"/>
      <c r="M118" s="142"/>
      <c r="N118" s="142"/>
      <c r="O118" s="141"/>
      <c r="P118" s="140"/>
      <c r="Q118" s="132"/>
      <c r="R118" s="132"/>
      <c r="S118" s="132"/>
      <c r="T118" s="132"/>
      <c r="U118" s="132"/>
    </row>
    <row r="119" spans="1:21" ht="14.5" x14ac:dyDescent="0.35">
      <c r="A119" s="146">
        <v>33</v>
      </c>
      <c r="B119" s="143">
        <v>45931</v>
      </c>
      <c r="C119" s="133" t="s">
        <v>2578</v>
      </c>
      <c r="D119" s="133" t="s">
        <v>2579</v>
      </c>
      <c r="E119" s="145" t="s">
        <v>1112</v>
      </c>
      <c r="F119" s="145">
        <v>558.1</v>
      </c>
      <c r="G119" s="133" t="s">
        <v>1094</v>
      </c>
      <c r="H119" s="144" t="s">
        <v>1093</v>
      </c>
      <c r="I119" s="133" t="s">
        <v>1092</v>
      </c>
      <c r="J119" s="307" t="s">
        <v>2734</v>
      </c>
      <c r="K119" s="143">
        <v>46023</v>
      </c>
      <c r="L119" s="133" t="s">
        <v>1092</v>
      </c>
      <c r="M119" s="142">
        <v>558.1</v>
      </c>
      <c r="N119" s="142">
        <f>+F119-M119</f>
        <v>0</v>
      </c>
      <c r="O119" s="141"/>
      <c r="P119" s="140"/>
      <c r="Q119" s="132"/>
      <c r="R119" s="132"/>
      <c r="S119" s="132"/>
      <c r="T119" s="132"/>
      <c r="U119" s="132"/>
    </row>
    <row r="120" spans="1:21" ht="14.5" x14ac:dyDescent="0.35">
      <c r="A120" s="146"/>
      <c r="B120" s="143"/>
      <c r="C120" s="133"/>
      <c r="D120" s="133"/>
      <c r="E120" s="145"/>
      <c r="F120" s="145"/>
      <c r="G120" s="133"/>
      <c r="H120" s="144"/>
      <c r="I120" s="133"/>
      <c r="J120" s="133"/>
      <c r="K120" s="143"/>
      <c r="L120" s="133"/>
      <c r="M120" s="142"/>
      <c r="N120" s="142"/>
      <c r="O120" s="141"/>
      <c r="P120" s="140"/>
      <c r="Q120" s="132"/>
      <c r="R120" s="132"/>
      <c r="S120" s="132"/>
      <c r="T120" s="132"/>
      <c r="U120" s="132"/>
    </row>
    <row r="121" spans="1:21" ht="14.5" x14ac:dyDescent="0.35">
      <c r="A121" s="146">
        <v>34</v>
      </c>
      <c r="B121" s="143">
        <v>45931</v>
      </c>
      <c r="C121" s="133" t="s">
        <v>2580</v>
      </c>
      <c r="D121" s="133" t="s">
        <v>2581</v>
      </c>
      <c r="E121" s="145" t="s">
        <v>1071</v>
      </c>
      <c r="F121" s="145">
        <v>284</v>
      </c>
      <c r="G121" s="133" t="s">
        <v>1094</v>
      </c>
      <c r="H121" s="144" t="s">
        <v>1093</v>
      </c>
      <c r="I121" s="133" t="s">
        <v>1092</v>
      </c>
      <c r="J121" s="307" t="s">
        <v>2734</v>
      </c>
      <c r="K121" s="143">
        <v>46023</v>
      </c>
      <c r="L121" s="133" t="s">
        <v>1092</v>
      </c>
      <c r="M121" s="142">
        <v>284</v>
      </c>
      <c r="N121" s="142">
        <f>+F121-M121</f>
        <v>0</v>
      </c>
      <c r="O121" s="141"/>
      <c r="P121" s="140"/>
      <c r="Q121" s="132"/>
      <c r="R121" s="132"/>
      <c r="S121" s="132"/>
      <c r="T121" s="132"/>
      <c r="U121" s="132"/>
    </row>
    <row r="122" spans="1:21" ht="14.5" x14ac:dyDescent="0.35">
      <c r="A122" s="146"/>
      <c r="B122" s="143"/>
      <c r="C122" s="133"/>
      <c r="D122" s="133"/>
      <c r="E122" s="145"/>
      <c r="F122" s="145"/>
      <c r="G122" s="133"/>
      <c r="H122" s="144"/>
      <c r="I122" s="133"/>
      <c r="J122" s="133"/>
      <c r="K122" s="143"/>
      <c r="L122" s="133"/>
      <c r="M122" s="142"/>
      <c r="N122" s="142"/>
      <c r="O122" s="141"/>
      <c r="P122" s="140"/>
      <c r="Q122" s="132"/>
      <c r="R122" s="132"/>
      <c r="S122" s="132"/>
      <c r="T122" s="132"/>
      <c r="U122" s="132"/>
    </row>
    <row r="123" spans="1:21" ht="14.5" x14ac:dyDescent="0.35">
      <c r="A123" s="146">
        <v>35</v>
      </c>
      <c r="B123" s="143">
        <v>45931</v>
      </c>
      <c r="C123" s="133" t="s">
        <v>2587</v>
      </c>
      <c r="D123" s="133" t="s">
        <v>2586</v>
      </c>
      <c r="E123" s="145" t="s">
        <v>46</v>
      </c>
      <c r="F123" s="145">
        <v>5000</v>
      </c>
      <c r="G123" s="133" t="s">
        <v>1094</v>
      </c>
      <c r="H123" s="144" t="s">
        <v>1093</v>
      </c>
      <c r="I123" s="133" t="s">
        <v>1092</v>
      </c>
      <c r="J123" s="307" t="s">
        <v>2734</v>
      </c>
      <c r="K123" s="143">
        <v>46023</v>
      </c>
      <c r="L123" s="133" t="s">
        <v>1092</v>
      </c>
      <c r="M123" s="142">
        <v>13000</v>
      </c>
      <c r="N123" s="142">
        <f>+F123+F124-M123</f>
        <v>0</v>
      </c>
      <c r="O123" s="141"/>
      <c r="P123" s="140"/>
      <c r="Q123" s="132"/>
      <c r="R123" s="132"/>
      <c r="S123" s="132"/>
      <c r="T123" s="132"/>
      <c r="U123" s="132"/>
    </row>
    <row r="124" spans="1:21" ht="14.5" x14ac:dyDescent="0.35">
      <c r="A124" s="146"/>
      <c r="B124" s="143"/>
      <c r="C124" s="133"/>
      <c r="D124" s="133"/>
      <c r="E124" s="145" t="s">
        <v>1109</v>
      </c>
      <c r="F124" s="145">
        <v>8000</v>
      </c>
      <c r="G124" s="133"/>
      <c r="H124" s="144"/>
      <c r="I124" s="133"/>
      <c r="J124" s="133"/>
      <c r="K124" s="143"/>
      <c r="L124" s="133"/>
      <c r="M124" s="142"/>
      <c r="N124" s="142"/>
      <c r="O124" s="141"/>
      <c r="P124" s="140"/>
      <c r="Q124" s="132"/>
      <c r="R124" s="132"/>
      <c r="S124" s="132"/>
      <c r="T124" s="132"/>
      <c r="U124" s="132"/>
    </row>
    <row r="125" spans="1:21" ht="14.5" x14ac:dyDescent="0.35">
      <c r="A125" s="146"/>
      <c r="B125" s="143"/>
      <c r="C125" s="133"/>
      <c r="D125" s="133"/>
      <c r="E125" s="145"/>
      <c r="F125" s="145"/>
      <c r="G125" s="133"/>
      <c r="H125" s="144"/>
      <c r="I125" s="133"/>
      <c r="J125" s="133"/>
      <c r="K125" s="143"/>
      <c r="L125" s="133"/>
      <c r="M125" s="142"/>
      <c r="N125" s="142"/>
      <c r="O125" s="141"/>
      <c r="P125" s="140"/>
      <c r="Q125" s="132"/>
      <c r="R125" s="132"/>
      <c r="S125" s="132"/>
      <c r="T125" s="132"/>
      <c r="U125" s="132"/>
    </row>
    <row r="126" spans="1:21" ht="14.5" x14ac:dyDescent="0.35">
      <c r="A126" s="156"/>
      <c r="B126" s="152"/>
      <c r="C126" s="151"/>
      <c r="D126" s="151"/>
      <c r="E126" s="154"/>
      <c r="F126" s="154"/>
      <c r="G126" s="151"/>
      <c r="H126" s="153"/>
      <c r="I126" s="151"/>
      <c r="J126" s="151"/>
      <c r="K126" s="152"/>
      <c r="L126" s="151"/>
      <c r="M126" s="150"/>
      <c r="N126" s="150"/>
      <c r="O126" s="141"/>
      <c r="P126" s="140"/>
      <c r="Q126" s="132"/>
      <c r="R126" s="132"/>
      <c r="S126" s="132"/>
      <c r="T126" s="132"/>
      <c r="U126" s="132"/>
    </row>
    <row r="127" spans="1:21" ht="14.5" x14ac:dyDescent="0.35">
      <c r="A127" s="146"/>
      <c r="B127" s="143"/>
      <c r="C127" s="133"/>
      <c r="D127" s="133"/>
      <c r="E127" s="145"/>
      <c r="F127" s="145"/>
      <c r="G127" s="133"/>
      <c r="H127" s="144"/>
      <c r="I127" s="133"/>
      <c r="J127" s="133"/>
      <c r="K127" s="143"/>
      <c r="L127" s="133"/>
      <c r="M127" s="142"/>
      <c r="N127" s="142"/>
      <c r="O127" s="141"/>
      <c r="P127" s="140"/>
      <c r="Q127" s="132"/>
      <c r="R127" s="132"/>
      <c r="S127" s="132"/>
      <c r="T127" s="132"/>
      <c r="U127" s="132"/>
    </row>
    <row r="128" spans="1:21" ht="14.5" x14ac:dyDescent="0.35">
      <c r="A128" s="146">
        <v>36</v>
      </c>
      <c r="B128" s="143">
        <v>45962</v>
      </c>
      <c r="C128" s="133" t="s">
        <v>1216</v>
      </c>
      <c r="D128" s="133" t="s">
        <v>2602</v>
      </c>
      <c r="E128" s="145" t="s">
        <v>1071</v>
      </c>
      <c r="F128" s="145">
        <v>362</v>
      </c>
      <c r="G128" s="133" t="s">
        <v>1094</v>
      </c>
      <c r="H128" s="144" t="s">
        <v>1093</v>
      </c>
      <c r="I128" s="133" t="s">
        <v>1092</v>
      </c>
      <c r="J128" s="307" t="s">
        <v>2734</v>
      </c>
      <c r="K128" s="143">
        <v>46023</v>
      </c>
      <c r="L128" s="133" t="s">
        <v>1092</v>
      </c>
      <c r="M128" s="142">
        <v>362</v>
      </c>
      <c r="N128" s="142">
        <f>+F128-M128</f>
        <v>0</v>
      </c>
      <c r="O128" s="141"/>
      <c r="P128" s="140"/>
      <c r="Q128" s="132"/>
      <c r="R128" s="132"/>
      <c r="S128" s="132"/>
      <c r="T128" s="132"/>
      <c r="U128" s="132"/>
    </row>
    <row r="129" spans="1:21" ht="14.5" x14ac:dyDescent="0.35">
      <c r="A129" s="146"/>
      <c r="B129" s="143"/>
      <c r="C129" s="133"/>
      <c r="D129" s="133"/>
      <c r="E129" s="145"/>
      <c r="F129" s="145"/>
      <c r="G129" s="133"/>
      <c r="H129" s="144"/>
      <c r="I129" s="133"/>
      <c r="J129" s="133"/>
      <c r="K129" s="143"/>
      <c r="L129" s="133"/>
      <c r="M129" s="142"/>
      <c r="N129" s="142"/>
      <c r="O129" s="141"/>
      <c r="P129" s="140"/>
      <c r="Q129" s="132"/>
      <c r="R129" s="132"/>
      <c r="S129" s="132"/>
      <c r="T129" s="132"/>
      <c r="U129" s="132"/>
    </row>
    <row r="130" spans="1:21" ht="14.5" x14ac:dyDescent="0.35">
      <c r="A130" s="146">
        <v>37</v>
      </c>
      <c r="B130" s="143">
        <v>45962</v>
      </c>
      <c r="C130" s="133" t="s">
        <v>2622</v>
      </c>
      <c r="D130" s="133" t="s">
        <v>2620</v>
      </c>
      <c r="E130" s="145" t="s">
        <v>1118</v>
      </c>
      <c r="F130" s="145">
        <v>665.9</v>
      </c>
      <c r="G130" s="133" t="s">
        <v>1094</v>
      </c>
      <c r="H130" s="144" t="s">
        <v>1093</v>
      </c>
      <c r="I130" s="133" t="s">
        <v>1092</v>
      </c>
      <c r="J130" s="307" t="s">
        <v>2734</v>
      </c>
      <c r="K130" s="143">
        <v>46023</v>
      </c>
      <c r="L130" s="133" t="s">
        <v>1092</v>
      </c>
      <c r="M130" s="142">
        <v>665.9</v>
      </c>
      <c r="N130" s="142">
        <f>+F130-M130</f>
        <v>0</v>
      </c>
      <c r="O130" s="141"/>
      <c r="P130" s="140"/>
      <c r="Q130" s="132"/>
      <c r="R130" s="132"/>
      <c r="S130" s="132"/>
      <c r="T130" s="132"/>
      <c r="U130" s="132"/>
    </row>
    <row r="131" spans="1:21" ht="14.5" x14ac:dyDescent="0.35">
      <c r="A131" s="146"/>
      <c r="B131" s="143"/>
      <c r="C131" s="133"/>
      <c r="D131" s="133"/>
      <c r="E131" s="145"/>
      <c r="F131" s="145"/>
      <c r="G131" s="133"/>
      <c r="H131" s="144"/>
      <c r="I131" s="133"/>
      <c r="J131" s="133"/>
      <c r="K131" s="143"/>
      <c r="L131" s="133"/>
      <c r="M131" s="142"/>
      <c r="N131" s="142"/>
      <c r="O131" s="141"/>
      <c r="P131" s="140"/>
      <c r="Q131" s="132"/>
      <c r="R131" s="132"/>
      <c r="S131" s="132"/>
      <c r="T131" s="132"/>
      <c r="U131" s="132"/>
    </row>
    <row r="132" spans="1:21" ht="14.5" x14ac:dyDescent="0.35">
      <c r="A132" s="146">
        <v>38</v>
      </c>
      <c r="B132" s="143">
        <v>45962</v>
      </c>
      <c r="C132" s="133" t="s">
        <v>2624</v>
      </c>
      <c r="D132" s="133" t="s">
        <v>2625</v>
      </c>
      <c r="E132" s="145" t="s">
        <v>1118</v>
      </c>
      <c r="F132" s="145">
        <v>471.1</v>
      </c>
      <c r="G132" s="133" t="s">
        <v>1094</v>
      </c>
      <c r="H132" s="144" t="s">
        <v>1093</v>
      </c>
      <c r="I132" s="133" t="s">
        <v>1092</v>
      </c>
      <c r="J132" s="307" t="s">
        <v>2734</v>
      </c>
      <c r="K132" s="143">
        <v>46023</v>
      </c>
      <c r="L132" s="133" t="s">
        <v>1092</v>
      </c>
      <c r="M132" s="142">
        <v>538.5</v>
      </c>
      <c r="N132" s="142">
        <f>+F132+F133-M132</f>
        <v>0</v>
      </c>
      <c r="O132" s="141"/>
      <c r="P132" s="140"/>
      <c r="Q132" s="132"/>
      <c r="R132" s="132"/>
      <c r="S132" s="132"/>
      <c r="T132" s="132"/>
      <c r="U132" s="132"/>
    </row>
    <row r="133" spans="1:21" ht="14.5" x14ac:dyDescent="0.35">
      <c r="A133" s="146"/>
      <c r="B133" s="143"/>
      <c r="C133" s="133"/>
      <c r="D133" s="133"/>
      <c r="E133" s="145" t="s">
        <v>2626</v>
      </c>
      <c r="F133" s="145">
        <v>67.400000000000006</v>
      </c>
      <c r="G133" s="133"/>
      <c r="H133" s="144"/>
      <c r="I133" s="133"/>
      <c r="J133" s="133"/>
      <c r="K133" s="143"/>
      <c r="L133" s="133"/>
      <c r="M133" s="142"/>
      <c r="N133" s="142"/>
      <c r="O133" s="141"/>
      <c r="P133" s="140"/>
      <c r="Q133" s="132"/>
      <c r="R133" s="132"/>
      <c r="S133" s="132"/>
      <c r="T133" s="132"/>
      <c r="U133" s="132"/>
    </row>
    <row r="134" spans="1:21" ht="14.5" x14ac:dyDescent="0.35">
      <c r="A134" s="146"/>
      <c r="B134" s="143"/>
      <c r="C134" s="133"/>
      <c r="D134" s="133"/>
      <c r="E134" s="145"/>
      <c r="F134" s="145"/>
      <c r="G134" s="133"/>
      <c r="H134" s="144"/>
      <c r="I134" s="133"/>
      <c r="J134" s="133"/>
      <c r="K134" s="143"/>
      <c r="L134" s="133"/>
      <c r="M134" s="142"/>
      <c r="N134" s="142"/>
      <c r="O134" s="141"/>
      <c r="P134" s="140"/>
      <c r="Q134" s="132"/>
      <c r="R134" s="132"/>
      <c r="S134" s="132"/>
      <c r="T134" s="132"/>
      <c r="U134" s="132"/>
    </row>
    <row r="135" spans="1:21" ht="14.5" x14ac:dyDescent="0.35">
      <c r="A135" s="146">
        <v>39</v>
      </c>
      <c r="B135" s="143">
        <v>45962</v>
      </c>
      <c r="C135" s="133" t="s">
        <v>2627</v>
      </c>
      <c r="D135" s="133" t="s">
        <v>2628</v>
      </c>
      <c r="E135" s="145" t="s">
        <v>892</v>
      </c>
      <c r="F135" s="145">
        <v>76</v>
      </c>
      <c r="G135" s="133" t="s">
        <v>1094</v>
      </c>
      <c r="H135" s="144" t="s">
        <v>1093</v>
      </c>
      <c r="I135" s="133" t="s">
        <v>1092</v>
      </c>
      <c r="J135" s="322" t="s">
        <v>2757</v>
      </c>
      <c r="K135" s="143">
        <v>46054</v>
      </c>
      <c r="L135" s="133" t="s">
        <v>1092</v>
      </c>
      <c r="M135" s="142">
        <v>217.7</v>
      </c>
      <c r="N135" s="142">
        <f>+F135+F136-M135</f>
        <v>0</v>
      </c>
      <c r="O135" s="141"/>
      <c r="P135" s="140"/>
      <c r="Q135" s="132"/>
      <c r="R135" s="132"/>
      <c r="S135" s="132"/>
      <c r="T135" s="132"/>
      <c r="U135" s="132"/>
    </row>
    <row r="136" spans="1:21" ht="14.5" x14ac:dyDescent="0.35">
      <c r="A136" s="146"/>
      <c r="B136" s="143"/>
      <c r="C136" s="133"/>
      <c r="D136" s="133"/>
      <c r="E136" s="145" t="s">
        <v>1071</v>
      </c>
      <c r="F136" s="145">
        <v>141.69999999999999</v>
      </c>
      <c r="G136" s="133"/>
      <c r="H136" s="144"/>
      <c r="I136" s="133"/>
      <c r="J136" s="133"/>
      <c r="K136" s="143"/>
      <c r="L136" s="133"/>
      <c r="M136" s="142"/>
      <c r="N136" s="142"/>
      <c r="O136" s="141"/>
      <c r="P136" s="140"/>
      <c r="Q136" s="132"/>
      <c r="R136" s="132"/>
      <c r="S136" s="132"/>
      <c r="T136" s="132"/>
      <c r="U136" s="132"/>
    </row>
    <row r="137" spans="1:21" ht="14.5" x14ac:dyDescent="0.35">
      <c r="A137" s="146"/>
      <c r="B137" s="143"/>
      <c r="C137" s="133"/>
      <c r="D137" s="133"/>
      <c r="E137" s="145"/>
      <c r="F137" s="145"/>
      <c r="G137" s="133"/>
      <c r="H137" s="144"/>
      <c r="I137" s="133"/>
      <c r="J137" s="133"/>
      <c r="K137" s="143"/>
      <c r="L137" s="133"/>
      <c r="M137" s="142"/>
      <c r="N137" s="142"/>
      <c r="O137" s="141"/>
      <c r="P137" s="140"/>
      <c r="Q137" s="132"/>
      <c r="R137" s="132"/>
      <c r="S137" s="132"/>
      <c r="T137" s="132"/>
      <c r="U137" s="132"/>
    </row>
    <row r="138" spans="1:21" ht="14.5" x14ac:dyDescent="0.35">
      <c r="A138" s="146">
        <v>40</v>
      </c>
      <c r="B138" s="143">
        <v>45962</v>
      </c>
      <c r="C138" s="133" t="s">
        <v>1203</v>
      </c>
      <c r="D138" s="133" t="s">
        <v>2632</v>
      </c>
      <c r="E138" s="145" t="s">
        <v>1109</v>
      </c>
      <c r="F138" s="145">
        <v>10000</v>
      </c>
      <c r="G138" s="133" t="s">
        <v>1094</v>
      </c>
      <c r="H138" s="144" t="s">
        <v>1093</v>
      </c>
      <c r="I138" s="133" t="s">
        <v>1092</v>
      </c>
      <c r="J138" s="322" t="s">
        <v>2757</v>
      </c>
      <c r="K138" s="143">
        <v>46054</v>
      </c>
      <c r="L138" s="133" t="s">
        <v>1092</v>
      </c>
      <c r="M138" s="142">
        <v>10000</v>
      </c>
      <c r="N138" s="142">
        <f>+F138-M138</f>
        <v>0</v>
      </c>
      <c r="O138" s="141"/>
      <c r="P138" s="140"/>
      <c r="Q138" s="132"/>
      <c r="R138" s="132"/>
      <c r="S138" s="132"/>
      <c r="T138" s="132"/>
      <c r="U138" s="132"/>
    </row>
    <row r="139" spans="1:21" ht="14.5" x14ac:dyDescent="0.35">
      <c r="A139" s="146"/>
      <c r="B139" s="143"/>
      <c r="C139" s="133"/>
      <c r="D139" s="133"/>
      <c r="E139" s="145"/>
      <c r="F139" s="145"/>
      <c r="G139" s="133"/>
      <c r="H139" s="144"/>
      <c r="I139" s="133"/>
      <c r="J139" s="133"/>
      <c r="K139" s="143"/>
      <c r="L139" s="133"/>
      <c r="M139" s="142"/>
      <c r="N139" s="142"/>
      <c r="O139" s="141"/>
      <c r="P139" s="140"/>
      <c r="Q139" s="132"/>
      <c r="R139" s="132"/>
      <c r="S139" s="132"/>
      <c r="T139" s="132"/>
      <c r="U139" s="132"/>
    </row>
    <row r="140" spans="1:21" ht="14.5" x14ac:dyDescent="0.35">
      <c r="A140" s="156"/>
      <c r="B140" s="152"/>
      <c r="C140" s="151"/>
      <c r="D140" s="151"/>
      <c r="E140" s="154"/>
      <c r="F140" s="154"/>
      <c r="G140" s="151"/>
      <c r="H140" s="153"/>
      <c r="I140" s="151"/>
      <c r="J140" s="151"/>
      <c r="K140" s="152"/>
      <c r="L140" s="151"/>
      <c r="M140" s="150"/>
      <c r="N140" s="150"/>
      <c r="O140" s="141"/>
      <c r="P140" s="140"/>
      <c r="Q140" s="132"/>
      <c r="R140" s="132"/>
      <c r="S140" s="132"/>
      <c r="T140" s="132"/>
      <c r="U140" s="132"/>
    </row>
    <row r="141" spans="1:21" ht="14.5" x14ac:dyDescent="0.35">
      <c r="A141" s="146"/>
      <c r="B141" s="143"/>
      <c r="C141" s="133"/>
      <c r="D141" s="133"/>
      <c r="E141" s="145"/>
      <c r="F141" s="145"/>
      <c r="G141" s="133"/>
      <c r="H141" s="144"/>
      <c r="I141" s="133"/>
      <c r="J141" s="133"/>
      <c r="K141" s="143"/>
      <c r="L141" s="133"/>
      <c r="M141" s="142"/>
      <c r="N141" s="142"/>
      <c r="O141" s="141"/>
      <c r="P141" s="140"/>
      <c r="Q141" s="132"/>
      <c r="R141" s="132"/>
      <c r="S141" s="132"/>
      <c r="T141" s="132"/>
      <c r="U141" s="132"/>
    </row>
    <row r="142" spans="1:21" ht="14.5" x14ac:dyDescent="0.35">
      <c r="A142" s="146">
        <v>41</v>
      </c>
      <c r="B142" s="143">
        <v>45992</v>
      </c>
      <c r="C142" s="266" t="s">
        <v>2658</v>
      </c>
      <c r="D142" s="266" t="s">
        <v>2656</v>
      </c>
      <c r="E142" s="148" t="s">
        <v>1059</v>
      </c>
      <c r="F142" s="145">
        <v>20000</v>
      </c>
      <c r="G142" s="133" t="s">
        <v>1094</v>
      </c>
      <c r="H142" s="144" t="s">
        <v>1093</v>
      </c>
      <c r="I142" s="133" t="s">
        <v>1092</v>
      </c>
      <c r="J142" s="307" t="s">
        <v>2734</v>
      </c>
      <c r="K142" s="143">
        <v>46023</v>
      </c>
      <c r="L142" s="133" t="s">
        <v>1092</v>
      </c>
      <c r="M142" s="142">
        <v>12152.7</v>
      </c>
      <c r="N142" s="147">
        <f>+F142-M142-M143-M144</f>
        <v>-9.0949470177292824E-13</v>
      </c>
      <c r="O142" s="141"/>
      <c r="P142" s="140"/>
      <c r="Q142" s="132"/>
      <c r="R142" s="132"/>
      <c r="S142" s="132"/>
      <c r="T142" s="132"/>
      <c r="U142" s="132"/>
    </row>
    <row r="143" spans="1:21" ht="14.5" x14ac:dyDescent="0.35">
      <c r="A143" s="146"/>
      <c r="B143" s="143"/>
      <c r="C143" s="133"/>
      <c r="D143" s="133"/>
      <c r="E143" s="145"/>
      <c r="F143" s="145"/>
      <c r="G143" s="133" t="s">
        <v>1094</v>
      </c>
      <c r="H143" s="144" t="s">
        <v>1093</v>
      </c>
      <c r="I143" s="133" t="s">
        <v>1092</v>
      </c>
      <c r="J143" s="322" t="s">
        <v>2757</v>
      </c>
      <c r="K143" s="143">
        <v>46054</v>
      </c>
      <c r="L143" s="133" t="s">
        <v>1092</v>
      </c>
      <c r="M143" s="142">
        <v>7047.3</v>
      </c>
      <c r="N143" s="147"/>
      <c r="O143" s="141"/>
      <c r="P143" s="140"/>
      <c r="Q143" s="132"/>
      <c r="R143" s="132"/>
      <c r="S143" s="132"/>
      <c r="T143" s="132"/>
      <c r="U143" s="132"/>
    </row>
    <row r="144" spans="1:21" ht="14.5" x14ac:dyDescent="0.35">
      <c r="A144" s="146"/>
      <c r="B144" s="143"/>
      <c r="C144" s="133"/>
      <c r="D144" s="133"/>
      <c r="E144" s="145"/>
      <c r="F144" s="145"/>
      <c r="G144" s="133" t="s">
        <v>1094</v>
      </c>
      <c r="H144" s="144" t="s">
        <v>1093</v>
      </c>
      <c r="I144" s="133" t="s">
        <v>1092</v>
      </c>
      <c r="J144" s="322" t="s">
        <v>2758</v>
      </c>
      <c r="K144" s="143">
        <v>46054</v>
      </c>
      <c r="L144" s="133" t="s">
        <v>1241</v>
      </c>
      <c r="M144" s="142">
        <v>800</v>
      </c>
      <c r="N144" s="147"/>
      <c r="O144" s="141"/>
      <c r="P144" s="140"/>
      <c r="Q144" s="132"/>
      <c r="R144" s="132"/>
      <c r="S144" s="132"/>
      <c r="T144" s="132"/>
      <c r="U144" s="132"/>
    </row>
    <row r="145" spans="1:21" ht="14.5" x14ac:dyDescent="0.35">
      <c r="A145" s="146"/>
      <c r="B145" s="143"/>
      <c r="C145" s="133"/>
      <c r="D145" s="133"/>
      <c r="E145" s="145"/>
      <c r="F145" s="145"/>
      <c r="G145" s="133"/>
      <c r="H145" s="144"/>
      <c r="I145" s="133"/>
      <c r="J145" s="322"/>
      <c r="K145" s="143"/>
      <c r="L145" s="133"/>
      <c r="M145" s="142"/>
      <c r="N145" s="147"/>
      <c r="O145" s="141"/>
      <c r="P145" s="140"/>
      <c r="Q145" s="132"/>
      <c r="R145" s="132"/>
      <c r="S145" s="132"/>
      <c r="T145" s="132"/>
      <c r="U145" s="132"/>
    </row>
    <row r="146" spans="1:21" ht="14.5" x14ac:dyDescent="0.35">
      <c r="A146" s="146">
        <v>42</v>
      </c>
      <c r="B146" s="143">
        <v>45992</v>
      </c>
      <c r="C146" s="266" t="s">
        <v>2659</v>
      </c>
      <c r="D146" s="266" t="s">
        <v>2657</v>
      </c>
      <c r="E146" s="148" t="s">
        <v>1059</v>
      </c>
      <c r="F146" s="145">
        <v>16000</v>
      </c>
      <c r="G146" s="133" t="s">
        <v>1094</v>
      </c>
      <c r="H146" s="144" t="s">
        <v>1093</v>
      </c>
      <c r="I146" s="133" t="s">
        <v>1092</v>
      </c>
      <c r="J146" s="322" t="s">
        <v>2757</v>
      </c>
      <c r="K146" s="143">
        <v>46054</v>
      </c>
      <c r="L146" s="133" t="s">
        <v>1092</v>
      </c>
      <c r="M146" s="142">
        <v>2122</v>
      </c>
      <c r="N146" s="147">
        <f>+F146-M146-M147-M148</f>
        <v>0</v>
      </c>
      <c r="O146" s="141"/>
      <c r="P146" s="140"/>
      <c r="Q146" s="132"/>
      <c r="R146" s="132"/>
      <c r="S146" s="132"/>
      <c r="T146" s="132"/>
      <c r="U146" s="132"/>
    </row>
    <row r="147" spans="1:21" ht="14.5" x14ac:dyDescent="0.35">
      <c r="A147" s="146"/>
      <c r="B147" s="143"/>
      <c r="C147" s="266"/>
      <c r="D147" s="266"/>
      <c r="E147" s="148"/>
      <c r="F147" s="145"/>
      <c r="G147" s="133" t="s">
        <v>1094</v>
      </c>
      <c r="H147" s="144" t="s">
        <v>1093</v>
      </c>
      <c r="I147" s="133" t="s">
        <v>1092</v>
      </c>
      <c r="J147" s="322" t="s">
        <v>2758</v>
      </c>
      <c r="K147" s="143">
        <v>46054</v>
      </c>
      <c r="L147" s="133" t="s">
        <v>1241</v>
      </c>
      <c r="M147" s="142">
        <v>610</v>
      </c>
      <c r="N147" s="147"/>
      <c r="O147" s="141"/>
      <c r="P147" s="140"/>
      <c r="Q147" s="132"/>
      <c r="R147" s="132"/>
      <c r="S147" s="132"/>
      <c r="T147" s="132"/>
      <c r="U147" s="132"/>
    </row>
    <row r="148" spans="1:21" ht="14.5" x14ac:dyDescent="0.35">
      <c r="A148" s="146"/>
      <c r="B148" s="143"/>
      <c r="C148" s="266"/>
      <c r="D148" s="266"/>
      <c r="E148" s="148"/>
      <c r="F148" s="145"/>
      <c r="G148" s="133" t="s">
        <v>1094</v>
      </c>
      <c r="H148" s="144" t="s">
        <v>1093</v>
      </c>
      <c r="I148" s="133" t="s">
        <v>1092</v>
      </c>
      <c r="J148" s="326" t="s">
        <v>2770</v>
      </c>
      <c r="K148" s="143">
        <v>46054</v>
      </c>
      <c r="L148" s="133" t="s">
        <v>1092</v>
      </c>
      <c r="M148" s="142">
        <v>13268</v>
      </c>
      <c r="N148" s="147"/>
      <c r="O148" s="141"/>
      <c r="P148" s="140"/>
      <c r="Q148" s="132"/>
      <c r="R148" s="132"/>
      <c r="S148" s="132"/>
      <c r="T148" s="132"/>
      <c r="U148" s="132"/>
    </row>
    <row r="149" spans="1:21" ht="14.5" x14ac:dyDescent="0.35">
      <c r="A149" s="146"/>
      <c r="B149" s="143"/>
      <c r="C149" s="133"/>
      <c r="D149" s="133"/>
      <c r="E149" s="145"/>
      <c r="F149" s="145"/>
      <c r="G149" s="133"/>
      <c r="H149" s="144"/>
      <c r="I149" s="133"/>
      <c r="J149" s="133"/>
      <c r="K149" s="143"/>
      <c r="L149" s="133"/>
      <c r="M149" s="142"/>
      <c r="N149" s="147"/>
      <c r="O149" s="141"/>
      <c r="P149" s="140"/>
      <c r="Q149" s="132"/>
      <c r="R149" s="132"/>
      <c r="S149" s="132"/>
      <c r="T149" s="132"/>
      <c r="U149" s="132"/>
    </row>
    <row r="150" spans="1:21" ht="14.5" x14ac:dyDescent="0.35">
      <c r="A150" s="146">
        <v>43</v>
      </c>
      <c r="B150" s="143">
        <v>45992</v>
      </c>
      <c r="C150" s="266" t="s">
        <v>2660</v>
      </c>
      <c r="D150" s="266" t="s">
        <v>2657</v>
      </c>
      <c r="E150" s="148" t="s">
        <v>1059</v>
      </c>
      <c r="F150" s="145">
        <v>5500</v>
      </c>
      <c r="G150" s="133" t="s">
        <v>1094</v>
      </c>
      <c r="H150" s="144" t="s">
        <v>1093</v>
      </c>
      <c r="I150" s="133" t="s">
        <v>1092</v>
      </c>
      <c r="J150" s="326" t="s">
        <v>2770</v>
      </c>
      <c r="K150" s="143">
        <v>46054</v>
      </c>
      <c r="L150" s="133" t="s">
        <v>1092</v>
      </c>
      <c r="M150" s="142">
        <v>5310</v>
      </c>
      <c r="N150" s="147">
        <f>+F150-M150-M151</f>
        <v>0</v>
      </c>
      <c r="O150" s="141"/>
      <c r="P150" s="140"/>
      <c r="Q150" s="132"/>
      <c r="R150" s="132"/>
      <c r="S150" s="132"/>
      <c r="T150" s="132"/>
      <c r="U150" s="132"/>
    </row>
    <row r="151" spans="1:21" ht="14.5" x14ac:dyDescent="0.35">
      <c r="A151" s="146"/>
      <c r="B151" s="143"/>
      <c r="C151" s="266"/>
      <c r="D151" s="266"/>
      <c r="E151" s="148"/>
      <c r="F151" s="145"/>
      <c r="G151" s="133" t="s">
        <v>1094</v>
      </c>
      <c r="H151" s="144" t="s">
        <v>1093</v>
      </c>
      <c r="I151" s="133" t="s">
        <v>1092</v>
      </c>
      <c r="J151" s="405" t="s">
        <v>2907</v>
      </c>
      <c r="K151" s="143">
        <v>46113</v>
      </c>
      <c r="L151" s="133" t="s">
        <v>1241</v>
      </c>
      <c r="M151" s="142">
        <v>190</v>
      </c>
      <c r="N151" s="147"/>
      <c r="O151" s="141"/>
      <c r="P151" s="140"/>
      <c r="Q151" s="132"/>
      <c r="R151" s="132"/>
      <c r="S151" s="132"/>
      <c r="T151" s="132"/>
      <c r="U151" s="132"/>
    </row>
    <row r="152" spans="1:21" ht="14.5" x14ac:dyDescent="0.35">
      <c r="A152" s="146"/>
      <c r="B152" s="143"/>
      <c r="C152" s="133"/>
      <c r="D152" s="133"/>
      <c r="E152" s="145"/>
      <c r="F152" s="145"/>
      <c r="G152" s="133"/>
      <c r="H152" s="144"/>
      <c r="I152" s="133"/>
      <c r="J152" s="133"/>
      <c r="K152" s="143"/>
      <c r="L152" s="133"/>
      <c r="M152" s="142"/>
      <c r="N152" s="147"/>
      <c r="O152" s="141"/>
      <c r="P152" s="140"/>
      <c r="Q152" s="132"/>
      <c r="R152" s="132"/>
      <c r="S152" s="132"/>
      <c r="T152" s="132"/>
      <c r="U152" s="132"/>
    </row>
    <row r="153" spans="1:21" ht="14.5" x14ac:dyDescent="0.35">
      <c r="A153" s="146">
        <v>44</v>
      </c>
      <c r="B153" s="143">
        <v>45992</v>
      </c>
      <c r="C153" s="270" t="s">
        <v>2665</v>
      </c>
      <c r="D153" s="270" t="s">
        <v>2664</v>
      </c>
      <c r="E153" s="148" t="s">
        <v>1059</v>
      </c>
      <c r="F153" s="145">
        <v>8000</v>
      </c>
      <c r="G153" s="133" t="s">
        <v>1094</v>
      </c>
      <c r="H153" s="144" t="s">
        <v>1093</v>
      </c>
      <c r="I153" s="133" t="s">
        <v>1092</v>
      </c>
      <c r="J153" s="326" t="s">
        <v>2770</v>
      </c>
      <c r="K153" s="143">
        <v>46054</v>
      </c>
      <c r="L153" s="133" t="s">
        <v>1092</v>
      </c>
      <c r="M153" s="142">
        <v>994.4</v>
      </c>
      <c r="N153" s="147">
        <f>+F153-M153-M154-M155</f>
        <v>0</v>
      </c>
      <c r="O153" s="141"/>
      <c r="P153" s="140"/>
      <c r="Q153" s="132"/>
      <c r="R153" s="132"/>
      <c r="S153" s="132"/>
      <c r="T153" s="132"/>
      <c r="U153" s="132"/>
    </row>
    <row r="154" spans="1:21" ht="14.5" x14ac:dyDescent="0.35">
      <c r="A154" s="146"/>
      <c r="B154" s="143"/>
      <c r="C154" s="270"/>
      <c r="D154" s="270"/>
      <c r="E154" s="148"/>
      <c r="F154" s="145"/>
      <c r="G154" s="133" t="s">
        <v>1094</v>
      </c>
      <c r="H154" s="144" t="s">
        <v>1093</v>
      </c>
      <c r="I154" s="133" t="s">
        <v>1092</v>
      </c>
      <c r="J154" s="328" t="s">
        <v>2777</v>
      </c>
      <c r="K154" s="143">
        <v>46054</v>
      </c>
      <c r="L154" s="133" t="s">
        <v>1092</v>
      </c>
      <c r="M154" s="142">
        <v>6780.6</v>
      </c>
      <c r="N154" s="147"/>
      <c r="O154" s="141"/>
      <c r="P154" s="140"/>
      <c r="Q154" s="132"/>
      <c r="R154" s="132"/>
      <c r="S154" s="132"/>
      <c r="T154" s="132"/>
      <c r="U154" s="132"/>
    </row>
    <row r="155" spans="1:21" ht="14.5" x14ac:dyDescent="0.35">
      <c r="A155" s="146"/>
      <c r="B155" s="143"/>
      <c r="C155" s="270"/>
      <c r="D155" s="270"/>
      <c r="E155" s="148"/>
      <c r="F155" s="145"/>
      <c r="G155" s="133" t="s">
        <v>1094</v>
      </c>
      <c r="H155" s="144" t="s">
        <v>1093</v>
      </c>
      <c r="I155" s="133" t="s">
        <v>1092</v>
      </c>
      <c r="J155" s="405" t="s">
        <v>2907</v>
      </c>
      <c r="K155" s="143">
        <v>46113</v>
      </c>
      <c r="L155" s="133" t="s">
        <v>1241</v>
      </c>
      <c r="M155" s="142">
        <v>225</v>
      </c>
      <c r="N155" s="147"/>
      <c r="O155" s="141"/>
      <c r="P155" s="140"/>
      <c r="Q155" s="132"/>
      <c r="R155" s="132"/>
      <c r="S155" s="132"/>
      <c r="T155" s="132"/>
      <c r="U155" s="132"/>
    </row>
    <row r="156" spans="1:21" ht="14.5" x14ac:dyDescent="0.35">
      <c r="A156" s="146"/>
      <c r="B156" s="143"/>
      <c r="C156" s="133"/>
      <c r="D156" s="133"/>
      <c r="E156" s="145"/>
      <c r="F156" s="145"/>
      <c r="G156" s="133"/>
      <c r="H156" s="144"/>
      <c r="I156" s="133"/>
      <c r="J156" s="133"/>
      <c r="K156" s="143"/>
      <c r="L156" s="133"/>
      <c r="M156" s="142"/>
      <c r="N156" s="147"/>
      <c r="O156" s="141"/>
      <c r="P156" s="140"/>
      <c r="Q156" s="132"/>
      <c r="R156" s="132"/>
      <c r="S156" s="132"/>
      <c r="T156" s="132"/>
      <c r="U156" s="132"/>
    </row>
    <row r="157" spans="1:21" ht="14.5" x14ac:dyDescent="0.35">
      <c r="A157" s="146">
        <v>45</v>
      </c>
      <c r="B157" s="143">
        <v>45992</v>
      </c>
      <c r="C157" s="271" t="s">
        <v>2668</v>
      </c>
      <c r="D157" s="271" t="s">
        <v>2667</v>
      </c>
      <c r="E157" s="148" t="s">
        <v>1059</v>
      </c>
      <c r="F157" s="145">
        <v>16000</v>
      </c>
      <c r="G157" s="133" t="s">
        <v>1094</v>
      </c>
      <c r="H157" s="144" t="s">
        <v>1093</v>
      </c>
      <c r="I157" s="133" t="s">
        <v>1092</v>
      </c>
      <c r="J157" s="328" t="s">
        <v>2777</v>
      </c>
      <c r="K157" s="143">
        <v>46054</v>
      </c>
      <c r="L157" s="133" t="s">
        <v>1092</v>
      </c>
      <c r="M157" s="142">
        <v>12981.5</v>
      </c>
      <c r="N157" s="147">
        <f>+F157-M157-M158-M159</f>
        <v>0</v>
      </c>
      <c r="O157" s="141"/>
      <c r="P157" s="140"/>
      <c r="Q157" s="132"/>
      <c r="R157" s="132"/>
      <c r="S157" s="132"/>
      <c r="T157" s="132"/>
      <c r="U157" s="132"/>
    </row>
    <row r="158" spans="1:21" ht="14.5" x14ac:dyDescent="0.35">
      <c r="A158" s="146"/>
      <c r="B158" s="143"/>
      <c r="C158" s="271"/>
      <c r="D158" s="271"/>
      <c r="E158" s="148"/>
      <c r="F158" s="145"/>
      <c r="G158" s="133" t="s">
        <v>1094</v>
      </c>
      <c r="H158" s="144" t="s">
        <v>1093</v>
      </c>
      <c r="I158" s="133" t="s">
        <v>1092</v>
      </c>
      <c r="J158" s="334" t="s">
        <v>2782</v>
      </c>
      <c r="K158" s="143">
        <v>46054</v>
      </c>
      <c r="L158" s="133" t="s">
        <v>1092</v>
      </c>
      <c r="M158" s="142">
        <v>2436.5</v>
      </c>
      <c r="N158" s="147"/>
      <c r="O158" s="141"/>
      <c r="P158" s="140"/>
      <c r="Q158" s="132"/>
      <c r="R158" s="132"/>
      <c r="S158" s="132"/>
      <c r="T158" s="132"/>
      <c r="U158" s="132"/>
    </row>
    <row r="159" spans="1:21" ht="14.5" x14ac:dyDescent="0.35">
      <c r="A159" s="146"/>
      <c r="B159" s="143"/>
      <c r="C159" s="271"/>
      <c r="D159" s="271"/>
      <c r="E159" s="148"/>
      <c r="F159" s="145"/>
      <c r="G159" s="133" t="s">
        <v>1094</v>
      </c>
      <c r="H159" s="144" t="s">
        <v>1093</v>
      </c>
      <c r="I159" s="133" t="s">
        <v>1092</v>
      </c>
      <c r="J159" s="405" t="s">
        <v>2907</v>
      </c>
      <c r="K159" s="143">
        <v>46113</v>
      </c>
      <c r="L159" s="133" t="s">
        <v>1241</v>
      </c>
      <c r="M159" s="142">
        <v>582</v>
      </c>
      <c r="N159" s="147"/>
      <c r="O159" s="141"/>
      <c r="P159" s="140"/>
      <c r="Q159" s="132"/>
      <c r="R159" s="132"/>
      <c r="S159" s="132"/>
      <c r="T159" s="132"/>
      <c r="U159" s="132"/>
    </row>
    <row r="160" spans="1:21" ht="14.5" x14ac:dyDescent="0.35">
      <c r="A160" s="146"/>
      <c r="B160" s="143"/>
      <c r="C160" s="133"/>
      <c r="D160" s="133"/>
      <c r="E160" s="145"/>
      <c r="F160" s="145"/>
      <c r="G160" s="133"/>
      <c r="H160" s="144"/>
      <c r="I160" s="133"/>
      <c r="J160" s="133"/>
      <c r="K160" s="143"/>
      <c r="L160" s="133"/>
      <c r="M160" s="142"/>
      <c r="N160" s="147"/>
      <c r="O160" s="141"/>
      <c r="P160" s="140"/>
      <c r="Q160" s="132"/>
      <c r="R160" s="132"/>
      <c r="S160" s="132"/>
      <c r="T160" s="132"/>
      <c r="U160" s="132"/>
    </row>
    <row r="161" spans="1:21" ht="14.5" x14ac:dyDescent="0.35">
      <c r="A161" s="146">
        <v>46</v>
      </c>
      <c r="B161" s="143">
        <v>45992</v>
      </c>
      <c r="C161" s="273" t="s">
        <v>1194</v>
      </c>
      <c r="D161" s="273" t="s">
        <v>2670</v>
      </c>
      <c r="E161" s="145" t="s">
        <v>46</v>
      </c>
      <c r="F161" s="145">
        <v>3000</v>
      </c>
      <c r="G161" s="133" t="s">
        <v>1094</v>
      </c>
      <c r="H161" s="144" t="s">
        <v>1093</v>
      </c>
      <c r="I161" s="133" t="s">
        <v>1092</v>
      </c>
      <c r="J161" s="334" t="s">
        <v>2782</v>
      </c>
      <c r="K161" s="143">
        <v>46054</v>
      </c>
      <c r="L161" s="133" t="s">
        <v>1092</v>
      </c>
      <c r="M161" s="142">
        <v>1500</v>
      </c>
      <c r="N161" s="147">
        <f>+F161-M161-M162</f>
        <v>0</v>
      </c>
      <c r="O161" s="141"/>
      <c r="P161" s="140"/>
      <c r="Q161" s="132"/>
      <c r="R161" s="132"/>
      <c r="S161" s="132"/>
      <c r="T161" s="132"/>
      <c r="U161" s="132"/>
    </row>
    <row r="162" spans="1:21" ht="14.5" x14ac:dyDescent="0.35">
      <c r="A162" s="146"/>
      <c r="B162" s="143"/>
      <c r="C162" s="273"/>
      <c r="D162" s="273"/>
      <c r="E162" s="145"/>
      <c r="F162" s="145"/>
      <c r="G162" s="133" t="s">
        <v>1094</v>
      </c>
      <c r="H162" s="144" t="s">
        <v>1093</v>
      </c>
      <c r="I162" s="133" t="s">
        <v>1092</v>
      </c>
      <c r="J162" s="347" t="s">
        <v>2816</v>
      </c>
      <c r="K162" s="143">
        <v>46082</v>
      </c>
      <c r="L162" s="133" t="s">
        <v>1092</v>
      </c>
      <c r="M162" s="142">
        <v>1500</v>
      </c>
      <c r="N162" s="147"/>
      <c r="O162" s="141"/>
      <c r="P162" s="140"/>
      <c r="Q162" s="132"/>
      <c r="R162" s="132"/>
      <c r="S162" s="132"/>
      <c r="T162" s="132"/>
      <c r="U162" s="132"/>
    </row>
    <row r="163" spans="1:21" ht="14.5" x14ac:dyDescent="0.35">
      <c r="A163" s="146"/>
      <c r="B163" s="143"/>
      <c r="C163" s="133"/>
      <c r="D163" s="133"/>
      <c r="E163" s="145"/>
      <c r="F163" s="145"/>
      <c r="G163" s="133"/>
      <c r="H163" s="144"/>
      <c r="I163" s="133"/>
      <c r="J163" s="133"/>
      <c r="K163" s="143"/>
      <c r="L163" s="133"/>
      <c r="M163" s="142"/>
      <c r="N163" s="147"/>
      <c r="O163" s="141"/>
      <c r="P163" s="140"/>
      <c r="Q163" s="132"/>
      <c r="R163" s="132"/>
      <c r="S163" s="132"/>
      <c r="T163" s="132"/>
      <c r="U163" s="132"/>
    </row>
    <row r="164" spans="1:21" ht="14.5" x14ac:dyDescent="0.35">
      <c r="A164" s="146">
        <v>47</v>
      </c>
      <c r="B164" s="143">
        <v>45992</v>
      </c>
      <c r="C164" s="273" t="s">
        <v>2673</v>
      </c>
      <c r="D164" s="273" t="s">
        <v>2671</v>
      </c>
      <c r="E164" s="148" t="s">
        <v>1059</v>
      </c>
      <c r="F164" s="145">
        <v>13000</v>
      </c>
      <c r="G164" s="133" t="s">
        <v>1094</v>
      </c>
      <c r="H164" s="144" t="s">
        <v>1093</v>
      </c>
      <c r="I164" s="133" t="s">
        <v>1092</v>
      </c>
      <c r="J164" s="334" t="s">
        <v>2782</v>
      </c>
      <c r="K164" s="143">
        <v>46054</v>
      </c>
      <c r="L164" s="133" t="s">
        <v>1092</v>
      </c>
      <c r="M164" s="142">
        <v>12531</v>
      </c>
      <c r="N164" s="147">
        <f>+F164-M164-M165</f>
        <v>0</v>
      </c>
      <c r="O164" s="141"/>
      <c r="P164" s="140"/>
      <c r="Q164" s="132"/>
      <c r="R164" s="132"/>
      <c r="S164" s="132"/>
      <c r="T164" s="132"/>
      <c r="U164" s="132"/>
    </row>
    <row r="165" spans="1:21" ht="14.5" x14ac:dyDescent="0.35">
      <c r="A165" s="146"/>
      <c r="B165" s="143"/>
      <c r="C165" s="273"/>
      <c r="D165" s="273"/>
      <c r="E165" s="148"/>
      <c r="F165" s="145"/>
      <c r="G165" s="133" t="s">
        <v>1094</v>
      </c>
      <c r="H165" s="144" t="s">
        <v>1093</v>
      </c>
      <c r="I165" s="133" t="s">
        <v>1092</v>
      </c>
      <c r="J165" s="405" t="s">
        <v>2907</v>
      </c>
      <c r="K165" s="143">
        <v>46113</v>
      </c>
      <c r="L165" s="133" t="s">
        <v>1241</v>
      </c>
      <c r="M165" s="142">
        <v>469</v>
      </c>
      <c r="N165" s="147"/>
      <c r="O165" s="141"/>
      <c r="P165" s="140"/>
      <c r="Q165" s="132"/>
      <c r="R165" s="132"/>
      <c r="S165" s="132"/>
      <c r="T165" s="132"/>
      <c r="U165" s="132"/>
    </row>
    <row r="166" spans="1:21" ht="14.5" x14ac:dyDescent="0.35">
      <c r="A166" s="146"/>
      <c r="B166" s="143"/>
      <c r="C166" s="133"/>
      <c r="D166" s="133"/>
      <c r="E166" s="145"/>
      <c r="F166" s="145"/>
      <c r="G166" s="133"/>
      <c r="H166" s="144"/>
      <c r="I166" s="133"/>
      <c r="J166" s="133"/>
      <c r="K166" s="143"/>
      <c r="L166" s="133"/>
      <c r="M166" s="142"/>
      <c r="N166" s="147"/>
      <c r="O166" s="141"/>
      <c r="P166" s="140"/>
      <c r="Q166" s="132"/>
      <c r="R166" s="132"/>
      <c r="S166" s="132"/>
      <c r="T166" s="132"/>
      <c r="U166" s="132"/>
    </row>
    <row r="167" spans="1:21" ht="14.5" x14ac:dyDescent="0.35">
      <c r="A167" s="146">
        <v>48</v>
      </c>
      <c r="B167" s="143">
        <v>45992</v>
      </c>
      <c r="C167" s="273" t="s">
        <v>2674</v>
      </c>
      <c r="D167" s="273" t="s">
        <v>2671</v>
      </c>
      <c r="E167" s="148" t="s">
        <v>1059</v>
      </c>
      <c r="F167" s="145">
        <v>24750</v>
      </c>
      <c r="G167" s="133" t="s">
        <v>1094</v>
      </c>
      <c r="H167" s="144" t="s">
        <v>1093</v>
      </c>
      <c r="I167" s="133" t="s">
        <v>1092</v>
      </c>
      <c r="J167" s="334" t="s">
        <v>2782</v>
      </c>
      <c r="K167" s="143">
        <v>46054</v>
      </c>
      <c r="L167" s="133" t="s">
        <v>1092</v>
      </c>
      <c r="M167" s="142">
        <v>1566.5</v>
      </c>
      <c r="N167" s="147">
        <f>+F167-M167-M168-M169-M170</f>
        <v>9.0949470177292824E-13</v>
      </c>
      <c r="O167" s="141"/>
      <c r="P167" s="140"/>
      <c r="Q167" s="132"/>
      <c r="R167" s="132"/>
      <c r="S167" s="132"/>
      <c r="T167" s="132"/>
      <c r="U167" s="132"/>
    </row>
    <row r="168" spans="1:21" ht="14.5" x14ac:dyDescent="0.35">
      <c r="A168" s="146"/>
      <c r="B168" s="143"/>
      <c r="C168" s="273"/>
      <c r="D168" s="273"/>
      <c r="E168" s="148"/>
      <c r="F168" s="145"/>
      <c r="G168" s="133" t="s">
        <v>1094</v>
      </c>
      <c r="H168" s="144" t="s">
        <v>1093</v>
      </c>
      <c r="I168" s="133" t="s">
        <v>1092</v>
      </c>
      <c r="J168" s="347" t="s">
        <v>2816</v>
      </c>
      <c r="K168" s="143">
        <v>46082</v>
      </c>
      <c r="L168" s="133" t="s">
        <v>1092</v>
      </c>
      <c r="M168" s="142">
        <v>16473.8</v>
      </c>
      <c r="N168" s="147"/>
      <c r="O168" s="141"/>
      <c r="P168" s="140"/>
      <c r="Q168" s="132"/>
      <c r="R168" s="132"/>
      <c r="S168" s="132"/>
      <c r="T168" s="132"/>
      <c r="U168" s="132"/>
    </row>
    <row r="169" spans="1:21" ht="14.5" x14ac:dyDescent="0.35">
      <c r="A169" s="146"/>
      <c r="B169" s="143"/>
      <c r="C169" s="273"/>
      <c r="D169" s="273"/>
      <c r="E169" s="148"/>
      <c r="F169" s="145"/>
      <c r="G169" s="133" t="s">
        <v>1094</v>
      </c>
      <c r="H169" s="144" t="s">
        <v>1093</v>
      </c>
      <c r="I169" s="133" t="s">
        <v>1092</v>
      </c>
      <c r="J169" s="370" t="s">
        <v>2837</v>
      </c>
      <c r="K169" s="143">
        <v>46082</v>
      </c>
      <c r="L169" s="133" t="s">
        <v>1092</v>
      </c>
      <c r="M169" s="142">
        <v>5820.7</v>
      </c>
      <c r="N169" s="147"/>
      <c r="O169" s="141"/>
      <c r="P169" s="140"/>
      <c r="Q169" s="132"/>
      <c r="R169" s="132"/>
      <c r="S169" s="132"/>
      <c r="T169" s="132"/>
      <c r="U169" s="132"/>
    </row>
    <row r="170" spans="1:21" ht="14.5" x14ac:dyDescent="0.35">
      <c r="A170" s="146"/>
      <c r="B170" s="143"/>
      <c r="C170" s="273"/>
      <c r="D170" s="273"/>
      <c r="E170" s="148"/>
      <c r="F170" s="145"/>
      <c r="G170" s="133" t="s">
        <v>1094</v>
      </c>
      <c r="H170" s="144" t="s">
        <v>1093</v>
      </c>
      <c r="I170" s="133" t="s">
        <v>1092</v>
      </c>
      <c r="J170" s="405" t="s">
        <v>2907</v>
      </c>
      <c r="K170" s="143">
        <v>46113</v>
      </c>
      <c r="L170" s="133" t="s">
        <v>1241</v>
      </c>
      <c r="M170" s="142">
        <v>889</v>
      </c>
      <c r="N170" s="147"/>
      <c r="O170" s="141"/>
      <c r="P170" s="140"/>
      <c r="Q170" s="132"/>
      <c r="R170" s="132"/>
      <c r="S170" s="132"/>
      <c r="T170" s="132"/>
      <c r="U170" s="132"/>
    </row>
    <row r="171" spans="1:21" ht="14.5" x14ac:dyDescent="0.35">
      <c r="A171" s="146"/>
      <c r="B171" s="143"/>
      <c r="C171" s="133"/>
      <c r="D171" s="133"/>
      <c r="E171" s="145"/>
      <c r="F171" s="145"/>
      <c r="G171" s="133"/>
      <c r="H171" s="144"/>
      <c r="I171" s="133"/>
      <c r="J171" s="133"/>
      <c r="K171" s="143"/>
      <c r="L171" s="133"/>
      <c r="M171" s="142"/>
      <c r="N171" s="147"/>
      <c r="O171" s="141"/>
      <c r="P171" s="140"/>
      <c r="Q171" s="132"/>
      <c r="R171" s="132"/>
      <c r="S171" s="132"/>
      <c r="T171" s="132"/>
      <c r="U171" s="132"/>
    </row>
    <row r="172" spans="1:21" ht="14.5" x14ac:dyDescent="0.35">
      <c r="A172" s="146">
        <v>49</v>
      </c>
      <c r="B172" s="143">
        <v>45992</v>
      </c>
      <c r="C172" s="273" t="s">
        <v>2675</v>
      </c>
      <c r="D172" s="273" t="s">
        <v>2671</v>
      </c>
      <c r="E172" s="148" t="s">
        <v>1059</v>
      </c>
      <c r="F172" s="145">
        <v>24750</v>
      </c>
      <c r="G172" s="133" t="s">
        <v>1094</v>
      </c>
      <c r="H172" s="144" t="s">
        <v>1093</v>
      </c>
      <c r="I172" s="133" t="s">
        <v>1092</v>
      </c>
      <c r="J172" s="370" t="s">
        <v>2837</v>
      </c>
      <c r="K172" s="143">
        <v>46082</v>
      </c>
      <c r="L172" s="133" t="s">
        <v>1092</v>
      </c>
      <c r="M172" s="142">
        <v>13365.3</v>
      </c>
      <c r="N172" s="147">
        <f>+F172-M172-M173-M174</f>
        <v>0</v>
      </c>
      <c r="O172" s="141"/>
      <c r="P172" s="140"/>
      <c r="Q172" s="132"/>
      <c r="R172" s="132"/>
      <c r="S172" s="132"/>
      <c r="T172" s="132"/>
      <c r="U172" s="132"/>
    </row>
    <row r="173" spans="1:21" ht="14.5" x14ac:dyDescent="0.35">
      <c r="A173" s="146"/>
      <c r="B173" s="143"/>
      <c r="C173" s="273"/>
      <c r="D173" s="273"/>
      <c r="E173" s="148"/>
      <c r="F173" s="145"/>
      <c r="G173" s="133" t="s">
        <v>1094</v>
      </c>
      <c r="H173" s="144" t="s">
        <v>1093</v>
      </c>
      <c r="I173" s="133" t="s">
        <v>1092</v>
      </c>
      <c r="J173" s="370" t="s">
        <v>2838</v>
      </c>
      <c r="K173" s="143">
        <v>46082</v>
      </c>
      <c r="L173" s="133" t="s">
        <v>1092</v>
      </c>
      <c r="M173" s="371">
        <v>10674.7</v>
      </c>
      <c r="N173" s="147"/>
      <c r="O173" s="141"/>
      <c r="P173" s="140"/>
      <c r="Q173" s="132"/>
      <c r="R173" s="132"/>
      <c r="S173" s="132"/>
      <c r="T173" s="132"/>
      <c r="U173" s="132"/>
    </row>
    <row r="174" spans="1:21" ht="14.5" x14ac:dyDescent="0.35">
      <c r="A174" s="146"/>
      <c r="B174" s="143"/>
      <c r="C174" s="273"/>
      <c r="D174" s="273"/>
      <c r="E174" s="148"/>
      <c r="F174" s="145"/>
      <c r="G174" s="133" t="s">
        <v>1094</v>
      </c>
      <c r="H174" s="144" t="s">
        <v>1093</v>
      </c>
      <c r="I174" s="133" t="s">
        <v>1092</v>
      </c>
      <c r="J174" s="405" t="s">
        <v>2907</v>
      </c>
      <c r="K174" s="143">
        <v>46113</v>
      </c>
      <c r="L174" s="133" t="s">
        <v>1241</v>
      </c>
      <c r="M174" s="142">
        <v>710</v>
      </c>
      <c r="N174" s="147"/>
      <c r="O174" s="141"/>
      <c r="P174" s="140"/>
      <c r="Q174" s="132"/>
      <c r="R174" s="132"/>
      <c r="S174" s="132"/>
      <c r="T174" s="132"/>
      <c r="U174" s="132"/>
    </row>
    <row r="175" spans="1:21" ht="14.5" x14ac:dyDescent="0.35">
      <c r="A175" s="146"/>
      <c r="B175" s="143"/>
      <c r="C175" s="133"/>
      <c r="D175" s="133"/>
      <c r="E175" s="145"/>
      <c r="F175" s="145"/>
      <c r="G175" s="133"/>
      <c r="H175" s="144"/>
      <c r="I175" s="133"/>
      <c r="J175" s="133"/>
      <c r="K175" s="143"/>
      <c r="L175" s="133"/>
      <c r="M175" s="142"/>
      <c r="N175" s="147"/>
      <c r="O175" s="141"/>
      <c r="P175" s="140"/>
      <c r="Q175" s="132"/>
      <c r="R175" s="132"/>
      <c r="S175" s="132"/>
      <c r="T175" s="132"/>
      <c r="U175" s="132"/>
    </row>
    <row r="176" spans="1:21" ht="14.5" x14ac:dyDescent="0.35">
      <c r="A176" s="146">
        <v>50</v>
      </c>
      <c r="B176" s="143">
        <v>45992</v>
      </c>
      <c r="C176" s="277" t="s">
        <v>2683</v>
      </c>
      <c r="D176" s="277" t="s">
        <v>2682</v>
      </c>
      <c r="E176" s="148" t="s">
        <v>1059</v>
      </c>
      <c r="F176" s="145">
        <v>28000</v>
      </c>
      <c r="G176" s="133" t="s">
        <v>1094</v>
      </c>
      <c r="H176" s="144" t="s">
        <v>1093</v>
      </c>
      <c r="I176" s="133" t="s">
        <v>1092</v>
      </c>
      <c r="J176" s="370" t="s">
        <v>2838</v>
      </c>
      <c r="K176" s="143">
        <v>46082</v>
      </c>
      <c r="L176" s="133" t="s">
        <v>1092</v>
      </c>
      <c r="M176" s="142">
        <v>8435.9</v>
      </c>
      <c r="N176" s="147">
        <f>+F176-M176-M177-M178-M179</f>
        <v>-1.4779288903810084E-12</v>
      </c>
      <c r="O176" s="141"/>
      <c r="P176" s="140"/>
      <c r="Q176" s="132"/>
      <c r="R176" s="132"/>
      <c r="S176" s="132"/>
      <c r="T176" s="132"/>
      <c r="U176" s="132"/>
    </row>
    <row r="177" spans="1:21" ht="14.5" x14ac:dyDescent="0.35">
      <c r="A177" s="146"/>
      <c r="B177" s="143"/>
      <c r="C177" s="277"/>
      <c r="D177" s="277"/>
      <c r="E177" s="148"/>
      <c r="F177" s="145"/>
      <c r="G177" s="133" t="s">
        <v>1094</v>
      </c>
      <c r="H177" s="144" t="s">
        <v>1093</v>
      </c>
      <c r="I177" s="133" t="s">
        <v>1092</v>
      </c>
      <c r="J177" s="378" t="s">
        <v>2851</v>
      </c>
      <c r="K177" s="143">
        <v>46082</v>
      </c>
      <c r="L177" s="133" t="s">
        <v>1092</v>
      </c>
      <c r="M177" s="142">
        <v>17966.5</v>
      </c>
      <c r="N177" s="147"/>
      <c r="O177" s="141"/>
      <c r="P177" s="140"/>
      <c r="Q177" s="132"/>
      <c r="R177" s="132"/>
      <c r="S177" s="132"/>
      <c r="T177" s="132"/>
      <c r="U177" s="132"/>
    </row>
    <row r="178" spans="1:21" ht="14.5" x14ac:dyDescent="0.35">
      <c r="A178" s="146"/>
      <c r="B178" s="143"/>
      <c r="C178" s="277"/>
      <c r="D178" s="277"/>
      <c r="E178" s="148"/>
      <c r="F178" s="145"/>
      <c r="G178" s="133" t="s">
        <v>1094</v>
      </c>
      <c r="H178" s="144" t="s">
        <v>1093</v>
      </c>
      <c r="I178" s="133" t="s">
        <v>1092</v>
      </c>
      <c r="J178" s="380" t="s">
        <v>2853</v>
      </c>
      <c r="K178" s="143">
        <v>46082</v>
      </c>
      <c r="L178" s="133" t="s">
        <v>1092</v>
      </c>
      <c r="M178" s="142">
        <v>800.6</v>
      </c>
      <c r="N178" s="147"/>
      <c r="O178" s="141"/>
      <c r="P178" s="140"/>
      <c r="Q178" s="132"/>
      <c r="R178" s="132"/>
      <c r="S178" s="132"/>
      <c r="T178" s="132"/>
      <c r="U178" s="132"/>
    </row>
    <row r="179" spans="1:21" ht="14.5" x14ac:dyDescent="0.35">
      <c r="A179" s="146"/>
      <c r="B179" s="143"/>
      <c r="C179" s="277"/>
      <c r="D179" s="277"/>
      <c r="E179" s="148"/>
      <c r="F179" s="145"/>
      <c r="G179" s="133" t="s">
        <v>1094</v>
      </c>
      <c r="H179" s="144" t="s">
        <v>1093</v>
      </c>
      <c r="I179" s="133" t="s">
        <v>1092</v>
      </c>
      <c r="J179" s="405" t="s">
        <v>2907</v>
      </c>
      <c r="K179" s="143">
        <v>46113</v>
      </c>
      <c r="L179" s="133" t="s">
        <v>1241</v>
      </c>
      <c r="M179" s="142">
        <v>797</v>
      </c>
      <c r="N179" s="147"/>
      <c r="O179" s="141"/>
      <c r="P179" s="140"/>
      <c r="Q179" s="132"/>
      <c r="R179" s="132"/>
      <c r="S179" s="132"/>
      <c r="T179" s="132"/>
      <c r="U179" s="132"/>
    </row>
    <row r="180" spans="1:21" ht="14.5" x14ac:dyDescent="0.35">
      <c r="A180" s="146"/>
      <c r="B180" s="143"/>
      <c r="C180" s="133"/>
      <c r="D180" s="133"/>
      <c r="E180" s="145"/>
      <c r="F180" s="145"/>
      <c r="G180" s="133"/>
      <c r="H180" s="144"/>
      <c r="I180" s="133"/>
      <c r="J180" s="133"/>
      <c r="K180" s="143"/>
      <c r="L180" s="133"/>
      <c r="M180" s="142"/>
      <c r="N180" s="147"/>
      <c r="O180" s="141"/>
      <c r="P180" s="140"/>
      <c r="Q180" s="132"/>
      <c r="R180" s="132"/>
      <c r="S180" s="132"/>
      <c r="T180" s="132"/>
      <c r="U180" s="132"/>
    </row>
    <row r="181" spans="1:21" ht="14.5" x14ac:dyDescent="0.35">
      <c r="A181" s="146">
        <v>51</v>
      </c>
      <c r="B181" s="143">
        <v>45992</v>
      </c>
      <c r="C181" s="278" t="s">
        <v>2684</v>
      </c>
      <c r="D181" s="278" t="s">
        <v>2685</v>
      </c>
      <c r="E181" s="148" t="s">
        <v>1059</v>
      </c>
      <c r="F181" s="145">
        <v>56000</v>
      </c>
      <c r="G181" s="133" t="s">
        <v>1094</v>
      </c>
      <c r="H181" s="144" t="s">
        <v>1093</v>
      </c>
      <c r="I181" s="133" t="s">
        <v>1092</v>
      </c>
      <c r="J181" s="380" t="s">
        <v>2853</v>
      </c>
      <c r="K181" s="143">
        <v>46082</v>
      </c>
      <c r="L181" s="133" t="s">
        <v>1092</v>
      </c>
      <c r="M181" s="142">
        <v>18895.400000000001</v>
      </c>
      <c r="N181" s="147">
        <f>+F181-M181-M182-M183-M184</f>
        <v>0</v>
      </c>
      <c r="O181" s="141"/>
      <c r="P181" s="140"/>
      <c r="Q181" s="132"/>
      <c r="R181" s="132"/>
      <c r="S181" s="132"/>
      <c r="T181" s="132"/>
      <c r="U181" s="132"/>
    </row>
    <row r="182" spans="1:21" ht="14.5" x14ac:dyDescent="0.35">
      <c r="A182" s="146"/>
      <c r="B182" s="143"/>
      <c r="C182" s="278"/>
      <c r="D182" s="278"/>
      <c r="E182" s="148"/>
      <c r="F182" s="145"/>
      <c r="G182" s="133" t="s">
        <v>1094</v>
      </c>
      <c r="H182" s="144" t="s">
        <v>1093</v>
      </c>
      <c r="I182" s="133" t="s">
        <v>1092</v>
      </c>
      <c r="J182" s="383" t="s">
        <v>2857</v>
      </c>
      <c r="K182" s="143">
        <v>46082</v>
      </c>
      <c r="L182" s="133" t="s">
        <v>1092</v>
      </c>
      <c r="M182" s="142">
        <v>18559</v>
      </c>
      <c r="N182" s="147"/>
      <c r="O182" s="141"/>
      <c r="P182" s="140"/>
      <c r="Q182" s="132"/>
      <c r="R182" s="132"/>
      <c r="S182" s="132"/>
      <c r="T182" s="132"/>
      <c r="U182" s="132"/>
    </row>
    <row r="183" spans="1:21" ht="14.5" x14ac:dyDescent="0.35">
      <c r="A183" s="146"/>
      <c r="B183" s="143"/>
      <c r="C183" s="278"/>
      <c r="D183" s="278"/>
      <c r="E183" s="148"/>
      <c r="F183" s="145"/>
      <c r="G183" s="133" t="s">
        <v>1094</v>
      </c>
      <c r="H183" s="144" t="s">
        <v>1093</v>
      </c>
      <c r="I183" s="133" t="s">
        <v>1092</v>
      </c>
      <c r="J183" s="405" t="s">
        <v>2906</v>
      </c>
      <c r="K183" s="143">
        <v>46113</v>
      </c>
      <c r="L183" s="133" t="s">
        <v>1092</v>
      </c>
      <c r="M183" s="142">
        <v>16528.599999999999</v>
      </c>
      <c r="N183" s="147"/>
      <c r="O183" s="141"/>
      <c r="P183" s="140"/>
      <c r="Q183" s="132"/>
      <c r="R183" s="132"/>
      <c r="S183" s="132"/>
      <c r="T183" s="132"/>
      <c r="U183" s="132"/>
    </row>
    <row r="184" spans="1:21" ht="14.5" x14ac:dyDescent="0.35">
      <c r="A184" s="146"/>
      <c r="B184" s="143"/>
      <c r="C184" s="278"/>
      <c r="D184" s="278"/>
      <c r="E184" s="148"/>
      <c r="F184" s="145"/>
      <c r="G184" s="133" t="s">
        <v>1094</v>
      </c>
      <c r="H184" s="144" t="s">
        <v>1093</v>
      </c>
      <c r="I184" s="133" t="s">
        <v>1092</v>
      </c>
      <c r="J184" s="405" t="s">
        <v>2907</v>
      </c>
      <c r="K184" s="143">
        <v>46113</v>
      </c>
      <c r="L184" s="133" t="s">
        <v>1241</v>
      </c>
      <c r="M184" s="142">
        <v>2017</v>
      </c>
      <c r="N184" s="147"/>
      <c r="O184" s="141"/>
      <c r="P184" s="140"/>
      <c r="Q184" s="132"/>
      <c r="R184" s="132"/>
      <c r="S184" s="132"/>
      <c r="T184" s="132"/>
      <c r="U184" s="132"/>
    </row>
    <row r="185" spans="1:21" ht="14.5" x14ac:dyDescent="0.35">
      <c r="A185" s="146"/>
      <c r="B185" s="143"/>
      <c r="C185" s="133"/>
      <c r="D185" s="133"/>
      <c r="E185" s="145"/>
      <c r="F185" s="145"/>
      <c r="G185" s="133"/>
      <c r="H185" s="144"/>
      <c r="I185" s="133"/>
      <c r="J185" s="133"/>
      <c r="K185" s="143"/>
      <c r="L185" s="133"/>
      <c r="M185" s="142"/>
      <c r="N185" s="147"/>
      <c r="O185" s="141"/>
      <c r="P185" s="140"/>
      <c r="Q185" s="132"/>
      <c r="R185" s="132"/>
      <c r="S185" s="132"/>
      <c r="T185" s="132"/>
      <c r="U185" s="132"/>
    </row>
    <row r="186" spans="1:21" ht="14.5" x14ac:dyDescent="0.35">
      <c r="A186" s="146">
        <v>52</v>
      </c>
      <c r="B186" s="143">
        <v>45992</v>
      </c>
      <c r="C186" s="279" t="s">
        <v>2690</v>
      </c>
      <c r="D186" s="279" t="s">
        <v>2691</v>
      </c>
      <c r="E186" s="148" t="s">
        <v>1059</v>
      </c>
      <c r="F186" s="145">
        <v>56000</v>
      </c>
      <c r="G186" s="133" t="s">
        <v>1094</v>
      </c>
      <c r="H186" s="144" t="s">
        <v>1093</v>
      </c>
      <c r="I186" s="133" t="s">
        <v>1092</v>
      </c>
      <c r="J186" s="405" t="s">
        <v>2906</v>
      </c>
      <c r="K186" s="143">
        <v>46113</v>
      </c>
      <c r="L186" s="133" t="s">
        <v>1092</v>
      </c>
      <c r="M186" s="142">
        <v>2062.6999999999998</v>
      </c>
      <c r="N186" s="147">
        <f>+F186-M186-M187-M188-M189-M190</f>
        <v>0</v>
      </c>
      <c r="O186" s="141"/>
      <c r="P186" s="140"/>
      <c r="Q186" s="132"/>
      <c r="R186" s="132"/>
      <c r="S186" s="132"/>
      <c r="T186" s="132"/>
      <c r="U186" s="132"/>
    </row>
    <row r="187" spans="1:21" ht="14.5" x14ac:dyDescent="0.35">
      <c r="A187" s="146"/>
      <c r="B187" s="143"/>
      <c r="C187" s="279"/>
      <c r="D187" s="279"/>
      <c r="E187" s="148"/>
      <c r="F187" s="145"/>
      <c r="G187" s="133" t="s">
        <v>1094</v>
      </c>
      <c r="H187" s="144" t="s">
        <v>1093</v>
      </c>
      <c r="I187" s="133" t="s">
        <v>1092</v>
      </c>
      <c r="J187" s="405" t="s">
        <v>2907</v>
      </c>
      <c r="K187" s="143">
        <v>46113</v>
      </c>
      <c r="L187" s="133" t="s">
        <v>1241</v>
      </c>
      <c r="M187" s="142">
        <v>2080</v>
      </c>
      <c r="N187" s="147"/>
      <c r="O187" s="141"/>
      <c r="P187" s="140"/>
      <c r="Q187" s="132"/>
      <c r="R187" s="132"/>
      <c r="S187" s="132"/>
      <c r="T187" s="132"/>
      <c r="U187" s="132"/>
    </row>
    <row r="188" spans="1:21" ht="14.5" x14ac:dyDescent="0.35">
      <c r="A188" s="146"/>
      <c r="B188" s="143"/>
      <c r="C188" s="279"/>
      <c r="D188" s="279"/>
      <c r="E188" s="148"/>
      <c r="F188" s="145"/>
      <c r="G188" s="133" t="s">
        <v>1094</v>
      </c>
      <c r="H188" s="144" t="s">
        <v>1093</v>
      </c>
      <c r="I188" s="133" t="s">
        <v>1092</v>
      </c>
      <c r="J188" s="412" t="s">
        <v>2916</v>
      </c>
      <c r="K188" s="143">
        <v>46113</v>
      </c>
      <c r="L188" s="133" t="s">
        <v>1092</v>
      </c>
      <c r="M188" s="142">
        <v>21163</v>
      </c>
      <c r="N188" s="142"/>
      <c r="O188" s="141"/>
      <c r="P188" s="140"/>
      <c r="Q188" s="132"/>
      <c r="R188" s="132"/>
      <c r="S188" s="132"/>
      <c r="T188" s="132"/>
      <c r="U188" s="132"/>
    </row>
    <row r="189" spans="1:21" ht="14.5" x14ac:dyDescent="0.35">
      <c r="A189" s="146"/>
      <c r="B189" s="143"/>
      <c r="C189" s="279"/>
      <c r="D189" s="279"/>
      <c r="E189" s="148"/>
      <c r="F189" s="145"/>
      <c r="G189" s="133" t="s">
        <v>1094</v>
      </c>
      <c r="H189" s="144" t="s">
        <v>1093</v>
      </c>
      <c r="I189" s="133" t="s">
        <v>1092</v>
      </c>
      <c r="J189" s="416" t="s">
        <v>2923</v>
      </c>
      <c r="K189" s="143">
        <v>46143</v>
      </c>
      <c r="L189" s="133" t="s">
        <v>1092</v>
      </c>
      <c r="M189" s="142">
        <v>18669</v>
      </c>
      <c r="N189" s="142"/>
      <c r="O189" s="141"/>
      <c r="P189" s="140"/>
      <c r="Q189" s="132"/>
      <c r="R189" s="132"/>
      <c r="S189" s="132"/>
      <c r="T189" s="132"/>
      <c r="U189" s="132"/>
    </row>
    <row r="190" spans="1:21" ht="14.5" x14ac:dyDescent="0.35">
      <c r="A190" s="146"/>
      <c r="B190" s="143"/>
      <c r="C190" s="279"/>
      <c r="D190" s="279"/>
      <c r="E190" s="148"/>
      <c r="F190" s="145"/>
      <c r="G190" s="133" t="s">
        <v>1094</v>
      </c>
      <c r="H190" s="144" t="s">
        <v>1093</v>
      </c>
      <c r="I190" s="133" t="s">
        <v>1092</v>
      </c>
      <c r="J190" s="449" t="s">
        <v>2984</v>
      </c>
      <c r="K190" s="143">
        <v>46174</v>
      </c>
      <c r="L190" s="133" t="s">
        <v>1092</v>
      </c>
      <c r="M190" s="142">
        <v>12025.300000000003</v>
      </c>
      <c r="N190" s="142"/>
      <c r="O190" s="141"/>
      <c r="P190" s="140"/>
      <c r="Q190" s="132"/>
      <c r="R190" s="132"/>
      <c r="S190" s="132"/>
      <c r="T190" s="132"/>
      <c r="U190" s="132"/>
    </row>
    <row r="191" spans="1:21" ht="14.5" x14ac:dyDescent="0.35">
      <c r="A191" s="146"/>
      <c r="B191" s="143"/>
      <c r="C191" s="279"/>
      <c r="D191" s="279"/>
      <c r="E191" s="148"/>
      <c r="F191" s="145"/>
      <c r="G191" s="133"/>
      <c r="H191" s="144"/>
      <c r="I191" s="133"/>
      <c r="J191" s="449"/>
      <c r="K191" s="143"/>
      <c r="L191" s="133"/>
      <c r="M191" s="142"/>
      <c r="N191" s="142"/>
      <c r="O191" s="141"/>
      <c r="P191" s="140"/>
      <c r="Q191" s="132"/>
      <c r="R191" s="132"/>
      <c r="S191" s="132"/>
      <c r="T191" s="132"/>
      <c r="U191" s="132"/>
    </row>
    <row r="192" spans="1:21" ht="14.5" x14ac:dyDescent="0.35">
      <c r="A192" s="146"/>
      <c r="B192" s="143"/>
      <c r="C192" s="279"/>
      <c r="D192" s="279"/>
      <c r="E192" s="148"/>
      <c r="F192" s="145"/>
      <c r="G192" s="133"/>
      <c r="H192" s="144"/>
      <c r="I192" s="133"/>
      <c r="J192" s="449"/>
      <c r="K192" s="143"/>
      <c r="L192" s="133"/>
      <c r="M192" s="142"/>
      <c r="N192" s="142"/>
      <c r="O192" s="141"/>
      <c r="P192" s="140"/>
      <c r="Q192" s="132"/>
      <c r="R192" s="132"/>
      <c r="S192" s="132"/>
      <c r="T192" s="132"/>
      <c r="U192" s="132"/>
    </row>
    <row r="193" spans="1:21" ht="14.5" x14ac:dyDescent="0.35">
      <c r="A193" s="146"/>
      <c r="B193" s="143"/>
      <c r="C193" s="279"/>
      <c r="D193" s="279"/>
      <c r="E193" s="148"/>
      <c r="F193" s="145"/>
      <c r="G193" s="133"/>
      <c r="H193" s="144"/>
      <c r="I193" s="133"/>
      <c r="J193" s="449"/>
      <c r="K193" s="143"/>
      <c r="L193" s="133"/>
      <c r="M193" s="142"/>
      <c r="N193" s="142"/>
      <c r="O193" s="141"/>
      <c r="P193" s="140"/>
      <c r="Q193" s="132"/>
      <c r="R193" s="132"/>
      <c r="S193" s="132"/>
      <c r="T193" s="132"/>
      <c r="U193" s="132"/>
    </row>
    <row r="194" spans="1:21" ht="14.5" x14ac:dyDescent="0.35">
      <c r="A194" s="146"/>
      <c r="B194" s="143"/>
      <c r="C194" s="279"/>
      <c r="D194" s="279"/>
      <c r="E194" s="148"/>
      <c r="F194" s="145"/>
      <c r="G194" s="133"/>
      <c r="H194" s="144"/>
      <c r="I194" s="133"/>
      <c r="J194" s="133"/>
      <c r="K194" s="143"/>
      <c r="L194" s="133"/>
      <c r="M194" s="142"/>
      <c r="N194" s="142"/>
      <c r="O194" s="141"/>
      <c r="P194" s="140"/>
      <c r="Q194" s="132"/>
      <c r="R194" s="132"/>
      <c r="S194" s="132"/>
      <c r="T194" s="132"/>
      <c r="U194" s="132"/>
    </row>
    <row r="195" spans="1:21" ht="14.5" x14ac:dyDescent="0.35">
      <c r="A195" s="156"/>
      <c r="B195" s="152"/>
      <c r="C195" s="283"/>
      <c r="D195" s="283"/>
      <c r="E195" s="155"/>
      <c r="F195" s="154"/>
      <c r="G195" s="151"/>
      <c r="H195" s="153"/>
      <c r="I195" s="151"/>
      <c r="J195" s="151"/>
      <c r="K195" s="152"/>
      <c r="L195" s="151"/>
      <c r="M195" s="150"/>
      <c r="N195" s="150"/>
      <c r="O195" s="141"/>
      <c r="P195" s="140"/>
      <c r="Q195" s="132"/>
      <c r="R195" s="132"/>
      <c r="S195" s="132"/>
      <c r="T195" s="132"/>
      <c r="U195" s="132"/>
    </row>
    <row r="196" spans="1:21" ht="14.5" x14ac:dyDescent="0.35">
      <c r="A196" s="146"/>
      <c r="B196" s="143"/>
      <c r="C196" s="279"/>
      <c r="D196" s="279"/>
      <c r="E196" s="148"/>
      <c r="F196" s="145"/>
      <c r="G196" s="133"/>
      <c r="H196" s="144"/>
      <c r="I196" s="133"/>
      <c r="J196" s="133"/>
      <c r="K196" s="143"/>
      <c r="L196" s="133"/>
      <c r="M196" s="142"/>
      <c r="N196" s="142"/>
      <c r="O196" s="141"/>
      <c r="P196" s="140"/>
      <c r="Q196" s="132"/>
      <c r="R196" s="132"/>
      <c r="S196" s="132"/>
      <c r="T196" s="132"/>
      <c r="U196" s="132"/>
    </row>
    <row r="197" spans="1:21" ht="14.5" x14ac:dyDescent="0.35">
      <c r="A197" s="146">
        <v>53</v>
      </c>
      <c r="B197" s="143">
        <v>46023</v>
      </c>
      <c r="C197" s="286" t="s">
        <v>1186</v>
      </c>
      <c r="D197" s="286" t="s">
        <v>2700</v>
      </c>
      <c r="E197" s="288" t="s">
        <v>1112</v>
      </c>
      <c r="F197" s="145">
        <v>287.2</v>
      </c>
      <c r="G197" s="133" t="s">
        <v>1094</v>
      </c>
      <c r="H197" s="144" t="s">
        <v>1093</v>
      </c>
      <c r="I197" s="133" t="s">
        <v>1092</v>
      </c>
      <c r="J197" s="347" t="s">
        <v>2816</v>
      </c>
      <c r="K197" s="143">
        <v>46082</v>
      </c>
      <c r="L197" s="133" t="s">
        <v>1092</v>
      </c>
      <c r="M197" s="142">
        <v>287.2</v>
      </c>
      <c r="N197" s="142">
        <f>+F197-M197</f>
        <v>0</v>
      </c>
      <c r="O197" s="141"/>
      <c r="P197" s="140"/>
      <c r="Q197" s="132"/>
      <c r="R197" s="132"/>
      <c r="S197" s="132"/>
      <c r="T197" s="132"/>
      <c r="U197" s="132"/>
    </row>
    <row r="198" spans="1:21" ht="14.5" x14ac:dyDescent="0.35">
      <c r="A198" s="146"/>
      <c r="B198" s="143"/>
      <c r="C198" s="279"/>
      <c r="D198" s="279"/>
      <c r="E198" s="148"/>
      <c r="F198" s="145"/>
      <c r="G198" s="133"/>
      <c r="H198" s="144"/>
      <c r="I198" s="133"/>
      <c r="J198" s="133"/>
      <c r="K198" s="143"/>
      <c r="L198" s="133"/>
      <c r="M198" s="142"/>
      <c r="N198" s="142"/>
      <c r="O198" s="141"/>
      <c r="P198" s="140"/>
      <c r="Q198" s="132"/>
      <c r="R198" s="132"/>
      <c r="S198" s="132"/>
      <c r="T198" s="132"/>
      <c r="U198" s="132"/>
    </row>
    <row r="199" spans="1:21" ht="14.5" x14ac:dyDescent="0.35">
      <c r="A199" s="146">
        <v>53</v>
      </c>
      <c r="B199" s="143">
        <v>46023</v>
      </c>
      <c r="C199" s="291" t="s">
        <v>1177</v>
      </c>
      <c r="D199" s="291" t="s">
        <v>2702</v>
      </c>
      <c r="E199" s="145" t="s">
        <v>1109</v>
      </c>
      <c r="F199" s="145">
        <v>4000</v>
      </c>
      <c r="G199" s="133" t="s">
        <v>1094</v>
      </c>
      <c r="H199" s="144" t="s">
        <v>1093</v>
      </c>
      <c r="I199" s="133" t="s">
        <v>1092</v>
      </c>
      <c r="J199" s="449" t="s">
        <v>2984</v>
      </c>
      <c r="K199" s="143">
        <v>46174</v>
      </c>
      <c r="L199" s="133" t="s">
        <v>1092</v>
      </c>
      <c r="M199" s="142">
        <v>4000</v>
      </c>
      <c r="N199" s="142">
        <f>+F199-M199</f>
        <v>0</v>
      </c>
      <c r="O199" s="141"/>
      <c r="P199" s="140"/>
      <c r="Q199" s="132"/>
      <c r="R199" s="132"/>
      <c r="S199" s="132"/>
      <c r="T199" s="132"/>
      <c r="U199" s="132"/>
    </row>
    <row r="200" spans="1:21" ht="14.5" x14ac:dyDescent="0.35">
      <c r="A200" s="146"/>
      <c r="B200" s="143"/>
      <c r="C200" s="279"/>
      <c r="D200" s="279"/>
      <c r="E200" s="148"/>
      <c r="F200" s="145"/>
      <c r="G200" s="133"/>
      <c r="H200" s="144"/>
      <c r="I200" s="133"/>
      <c r="J200" s="133"/>
      <c r="K200" s="143"/>
      <c r="L200" s="133"/>
      <c r="M200" s="142"/>
      <c r="N200" s="142"/>
      <c r="O200" s="141"/>
      <c r="P200" s="140"/>
      <c r="Q200" s="132"/>
      <c r="R200" s="132"/>
      <c r="S200" s="132"/>
      <c r="T200" s="132"/>
      <c r="U200" s="132"/>
    </row>
    <row r="201" spans="1:21" ht="14.5" x14ac:dyDescent="0.35">
      <c r="A201" s="146">
        <v>54</v>
      </c>
      <c r="B201" s="143">
        <v>46023</v>
      </c>
      <c r="C201" s="297" t="s">
        <v>1176</v>
      </c>
      <c r="D201" s="297" t="s">
        <v>2708</v>
      </c>
      <c r="E201" s="145" t="s">
        <v>1109</v>
      </c>
      <c r="F201" s="145">
        <v>4000</v>
      </c>
      <c r="G201" s="133" t="s">
        <v>1094</v>
      </c>
      <c r="H201" s="144" t="s">
        <v>1093</v>
      </c>
      <c r="I201" s="133" t="s">
        <v>1092</v>
      </c>
      <c r="J201" s="449" t="s">
        <v>2984</v>
      </c>
      <c r="K201" s="143">
        <v>46174</v>
      </c>
      <c r="L201" s="133" t="s">
        <v>1092</v>
      </c>
      <c r="M201" s="142">
        <v>2629.3</v>
      </c>
      <c r="N201" s="147">
        <f>+F201-M201-M202</f>
        <v>0</v>
      </c>
      <c r="O201" s="141"/>
      <c r="P201" s="140"/>
      <c r="Q201" s="132"/>
      <c r="R201" s="132"/>
      <c r="S201" s="132"/>
      <c r="T201" s="132"/>
      <c r="U201" s="132"/>
    </row>
    <row r="202" spans="1:21" ht="14.5" x14ac:dyDescent="0.35">
      <c r="A202" s="146"/>
      <c r="B202" s="143"/>
      <c r="C202" s="297"/>
      <c r="D202" s="297"/>
      <c r="E202" s="145"/>
      <c r="F202" s="145"/>
      <c r="G202" s="133" t="s">
        <v>1094</v>
      </c>
      <c r="H202" s="144" t="s">
        <v>1093</v>
      </c>
      <c r="I202" s="133" t="s">
        <v>1092</v>
      </c>
      <c r="J202" s="517" t="s">
        <v>3363</v>
      </c>
      <c r="K202" s="143">
        <v>46204</v>
      </c>
      <c r="L202" s="133" t="s">
        <v>1092</v>
      </c>
      <c r="M202" s="142">
        <v>1370.7</v>
      </c>
      <c r="N202" s="147"/>
      <c r="O202" s="141"/>
      <c r="P202" s="140"/>
      <c r="Q202" s="132"/>
      <c r="R202" s="132"/>
      <c r="S202" s="132"/>
      <c r="T202" s="132"/>
      <c r="U202" s="132"/>
    </row>
    <row r="203" spans="1:21" ht="14.5" x14ac:dyDescent="0.35">
      <c r="A203" s="146"/>
      <c r="B203" s="143"/>
      <c r="C203" s="279"/>
      <c r="D203" s="279"/>
      <c r="E203" s="148"/>
      <c r="F203" s="145"/>
      <c r="G203" s="133"/>
      <c r="H203" s="144"/>
      <c r="I203" s="133"/>
      <c r="J203" s="133"/>
      <c r="K203" s="143"/>
      <c r="L203" s="133"/>
      <c r="M203" s="142"/>
      <c r="N203" s="142"/>
      <c r="O203" s="141"/>
      <c r="P203" s="140"/>
      <c r="Q203" s="132"/>
      <c r="R203" s="132"/>
      <c r="S203" s="132"/>
      <c r="T203" s="132"/>
      <c r="U203" s="132"/>
    </row>
    <row r="204" spans="1:21" ht="14.5" x14ac:dyDescent="0.35">
      <c r="A204" s="146">
        <v>55</v>
      </c>
      <c r="B204" s="143">
        <v>46023</v>
      </c>
      <c r="C204" s="307" t="s">
        <v>2722</v>
      </c>
      <c r="D204" s="307" t="s">
        <v>2729</v>
      </c>
      <c r="E204" s="309" t="s">
        <v>1953</v>
      </c>
      <c r="F204" s="145">
        <v>200</v>
      </c>
      <c r="G204" s="133" t="s">
        <v>1094</v>
      </c>
      <c r="H204" s="144" t="s">
        <v>1093</v>
      </c>
      <c r="I204" s="133" t="s">
        <v>1092</v>
      </c>
      <c r="J204" s="449" t="s">
        <v>2984</v>
      </c>
      <c r="K204" s="143">
        <v>46174</v>
      </c>
      <c r="L204" s="133" t="s">
        <v>1092</v>
      </c>
      <c r="M204" s="142">
        <v>250</v>
      </c>
      <c r="N204" s="157">
        <f>+F204+F205+F206-M204-M205</f>
        <v>400</v>
      </c>
      <c r="O204" s="141"/>
      <c r="P204" s="140">
        <f>+N204-O204</f>
        <v>400</v>
      </c>
      <c r="Q204" s="132"/>
      <c r="R204" s="132"/>
      <c r="S204" s="132"/>
      <c r="T204" s="132"/>
      <c r="U204" s="132"/>
    </row>
    <row r="205" spans="1:21" ht="14.5" x14ac:dyDescent="0.35">
      <c r="A205" s="146"/>
      <c r="B205" s="143"/>
      <c r="C205" s="279"/>
      <c r="D205" s="279"/>
      <c r="E205" s="310" t="s">
        <v>1953</v>
      </c>
      <c r="F205" s="145">
        <v>50</v>
      </c>
      <c r="G205" s="133" t="s">
        <v>1094</v>
      </c>
      <c r="H205" s="144" t="s">
        <v>1093</v>
      </c>
      <c r="I205" s="133" t="s">
        <v>1092</v>
      </c>
      <c r="J205" s="517" t="s">
        <v>3363</v>
      </c>
      <c r="K205" s="143">
        <v>46204</v>
      </c>
      <c r="L205" s="133" t="s">
        <v>1092</v>
      </c>
      <c r="M205" s="142">
        <v>9600</v>
      </c>
      <c r="N205" s="142"/>
      <c r="O205" s="141"/>
      <c r="P205" s="140"/>
      <c r="Q205" s="132"/>
      <c r="R205" s="132"/>
      <c r="S205" s="132"/>
      <c r="T205" s="132"/>
      <c r="U205" s="132"/>
    </row>
    <row r="206" spans="1:21" ht="14.5" x14ac:dyDescent="0.35">
      <c r="A206" s="146"/>
      <c r="B206" s="143"/>
      <c r="C206" s="279"/>
      <c r="D206" s="279"/>
      <c r="E206" s="148" t="s">
        <v>1059</v>
      </c>
      <c r="F206" s="145">
        <v>10000</v>
      </c>
      <c r="G206" s="133"/>
      <c r="H206" s="144"/>
      <c r="I206" s="133"/>
      <c r="J206" s="133"/>
      <c r="K206" s="143"/>
      <c r="L206" s="133"/>
      <c r="M206" s="142"/>
      <c r="N206" s="142"/>
      <c r="O206" s="141"/>
      <c r="P206" s="140"/>
      <c r="Q206" s="132"/>
      <c r="R206" s="132"/>
      <c r="S206" s="132"/>
      <c r="T206" s="132"/>
      <c r="U206" s="132"/>
    </row>
    <row r="207" spans="1:21" ht="14.5" x14ac:dyDescent="0.35">
      <c r="A207" s="146"/>
      <c r="B207" s="143"/>
      <c r="C207" s="279"/>
      <c r="D207" s="279"/>
      <c r="E207" s="148"/>
      <c r="F207" s="145"/>
      <c r="G207" s="133"/>
      <c r="H207" s="144"/>
      <c r="I207" s="133"/>
      <c r="J207" s="133"/>
      <c r="K207" s="143"/>
      <c r="L207" s="133"/>
      <c r="M207" s="142"/>
      <c r="N207" s="142"/>
      <c r="O207" s="141"/>
      <c r="P207" s="140"/>
      <c r="Q207" s="132"/>
      <c r="R207" s="132"/>
      <c r="S207" s="132"/>
      <c r="T207" s="132"/>
      <c r="U207" s="132"/>
    </row>
    <row r="208" spans="1:21" ht="14.5" x14ac:dyDescent="0.35">
      <c r="A208" s="146">
        <v>56</v>
      </c>
      <c r="B208" s="143">
        <v>46023</v>
      </c>
      <c r="C208" s="307" t="s">
        <v>2723</v>
      </c>
      <c r="D208" s="307" t="s">
        <v>2731</v>
      </c>
      <c r="E208" s="145" t="s">
        <v>1118</v>
      </c>
      <c r="F208" s="145">
        <v>1585.9</v>
      </c>
      <c r="G208" s="133" t="s">
        <v>1094</v>
      </c>
      <c r="H208" s="144" t="s">
        <v>1093</v>
      </c>
      <c r="I208" s="133" t="s">
        <v>1092</v>
      </c>
      <c r="J208" s="328" t="s">
        <v>2777</v>
      </c>
      <c r="K208" s="143">
        <v>46054</v>
      </c>
      <c r="L208" s="133" t="s">
        <v>1092</v>
      </c>
      <c r="M208" s="142">
        <v>85.9</v>
      </c>
      <c r="N208" s="147">
        <f>+F208+F209-M208-M209-M210-M211-M212-M213-M214-M215-M216-M217-M218</f>
        <v>0</v>
      </c>
      <c r="O208" s="141"/>
      <c r="P208" s="140"/>
      <c r="Q208" s="132"/>
      <c r="R208" s="132"/>
      <c r="S208" s="132"/>
      <c r="T208" s="132"/>
      <c r="U208" s="132"/>
    </row>
    <row r="209" spans="1:21" ht="14.5" x14ac:dyDescent="0.35">
      <c r="A209" s="146"/>
      <c r="B209" s="143"/>
      <c r="C209" s="279"/>
      <c r="D209" s="279"/>
      <c r="E209" s="145" t="s">
        <v>1118</v>
      </c>
      <c r="F209" s="145">
        <v>1425.7</v>
      </c>
      <c r="G209" s="133" t="s">
        <v>1094</v>
      </c>
      <c r="H209" s="144" t="s">
        <v>1093</v>
      </c>
      <c r="I209" s="133" t="s">
        <v>1092</v>
      </c>
      <c r="J209" s="334" t="s">
        <v>2782</v>
      </c>
      <c r="K209" s="143">
        <v>46054</v>
      </c>
      <c r="L209" s="133" t="s">
        <v>1092</v>
      </c>
      <c r="M209" s="142">
        <v>150</v>
      </c>
      <c r="N209" s="142"/>
      <c r="O209" s="141"/>
      <c r="P209" s="140"/>
      <c r="Q209" s="132"/>
      <c r="R209" s="132"/>
      <c r="S209" s="132"/>
      <c r="T209" s="132"/>
      <c r="U209" s="132"/>
    </row>
    <row r="210" spans="1:21" ht="14.5" x14ac:dyDescent="0.35">
      <c r="A210" s="146"/>
      <c r="B210" s="143"/>
      <c r="C210" s="279"/>
      <c r="D210" s="279"/>
      <c r="E210" s="145"/>
      <c r="F210" s="145"/>
      <c r="G210" s="133" t="s">
        <v>1094</v>
      </c>
      <c r="H210" s="144" t="s">
        <v>1093</v>
      </c>
      <c r="I210" s="133" t="s">
        <v>1092</v>
      </c>
      <c r="J210" s="347" t="s">
        <v>2816</v>
      </c>
      <c r="K210" s="143">
        <v>46082</v>
      </c>
      <c r="L210" s="133" t="s">
        <v>1092</v>
      </c>
      <c r="M210" s="142">
        <v>50</v>
      </c>
      <c r="N210" s="142"/>
      <c r="O210" s="141"/>
      <c r="P210" s="140"/>
      <c r="Q210" s="132"/>
      <c r="R210" s="132"/>
      <c r="S210" s="132"/>
      <c r="T210" s="132"/>
      <c r="U210" s="132"/>
    </row>
    <row r="211" spans="1:21" ht="14.5" x14ac:dyDescent="0.35">
      <c r="A211" s="146"/>
      <c r="B211" s="143"/>
      <c r="C211" s="279"/>
      <c r="D211" s="279"/>
      <c r="E211" s="145"/>
      <c r="F211" s="145"/>
      <c r="G211" s="133" t="s">
        <v>1094</v>
      </c>
      <c r="H211" s="144" t="s">
        <v>1093</v>
      </c>
      <c r="I211" s="133" t="s">
        <v>1092</v>
      </c>
      <c r="J211" s="370" t="s">
        <v>2837</v>
      </c>
      <c r="K211" s="143">
        <v>46082</v>
      </c>
      <c r="L211" s="133" t="s">
        <v>1092</v>
      </c>
      <c r="M211" s="142">
        <v>100</v>
      </c>
      <c r="N211" s="142"/>
      <c r="O211" s="141"/>
      <c r="P211" s="140"/>
      <c r="Q211" s="132"/>
      <c r="R211" s="132"/>
      <c r="S211" s="132"/>
      <c r="T211" s="132"/>
      <c r="U211" s="132"/>
    </row>
    <row r="212" spans="1:21" ht="14.5" x14ac:dyDescent="0.35">
      <c r="A212" s="146"/>
      <c r="B212" s="143"/>
      <c r="C212" s="279"/>
      <c r="D212" s="279"/>
      <c r="E212" s="145"/>
      <c r="F212" s="145"/>
      <c r="G212" s="133" t="s">
        <v>1094</v>
      </c>
      <c r="H212" s="144" t="s">
        <v>1093</v>
      </c>
      <c r="I212" s="133" t="s">
        <v>1092</v>
      </c>
      <c r="J212" s="370" t="s">
        <v>2838</v>
      </c>
      <c r="K212" s="143">
        <v>46082</v>
      </c>
      <c r="L212" s="133" t="s">
        <v>1092</v>
      </c>
      <c r="M212" s="142">
        <v>200</v>
      </c>
      <c r="N212" s="142"/>
      <c r="O212" s="141"/>
      <c r="P212" s="140"/>
      <c r="Q212" s="132"/>
      <c r="R212" s="132"/>
      <c r="S212" s="132"/>
      <c r="T212" s="132"/>
      <c r="U212" s="132"/>
    </row>
    <row r="213" spans="1:21" ht="14.5" x14ac:dyDescent="0.35">
      <c r="A213" s="146"/>
      <c r="B213" s="143"/>
      <c r="C213" s="279"/>
      <c r="D213" s="279"/>
      <c r="E213" s="145"/>
      <c r="F213" s="145"/>
      <c r="G213" s="133" t="s">
        <v>1094</v>
      </c>
      <c r="H213" s="144" t="s">
        <v>1093</v>
      </c>
      <c r="I213" s="133" t="s">
        <v>1092</v>
      </c>
      <c r="J213" s="378" t="s">
        <v>2851</v>
      </c>
      <c r="K213" s="143">
        <v>46082</v>
      </c>
      <c r="L213" s="133" t="s">
        <v>1092</v>
      </c>
      <c r="M213" s="142">
        <v>200</v>
      </c>
      <c r="N213" s="142"/>
      <c r="O213" s="141"/>
      <c r="P213" s="140"/>
      <c r="Q213" s="132"/>
      <c r="R213" s="132"/>
      <c r="S213" s="132"/>
      <c r="T213" s="132"/>
      <c r="U213" s="132"/>
    </row>
    <row r="214" spans="1:21" ht="14.5" x14ac:dyDescent="0.35">
      <c r="A214" s="146"/>
      <c r="B214" s="143"/>
      <c r="C214" s="279"/>
      <c r="D214" s="279"/>
      <c r="E214" s="145"/>
      <c r="F214" s="145"/>
      <c r="G214" s="133" t="s">
        <v>1094</v>
      </c>
      <c r="H214" s="144" t="s">
        <v>1093</v>
      </c>
      <c r="I214" s="133" t="s">
        <v>1092</v>
      </c>
      <c r="J214" s="380" t="s">
        <v>2853</v>
      </c>
      <c r="K214" s="143">
        <v>46082</v>
      </c>
      <c r="L214" s="133" t="s">
        <v>1092</v>
      </c>
      <c r="M214" s="142">
        <v>200</v>
      </c>
      <c r="N214" s="142"/>
      <c r="O214" s="141"/>
      <c r="P214" s="140"/>
      <c r="Q214" s="132"/>
      <c r="R214" s="132"/>
      <c r="S214" s="132"/>
      <c r="T214" s="132"/>
      <c r="U214" s="132"/>
    </row>
    <row r="215" spans="1:21" ht="14.5" x14ac:dyDescent="0.35">
      <c r="A215" s="146"/>
      <c r="B215" s="143"/>
      <c r="C215" s="279"/>
      <c r="D215" s="279"/>
      <c r="E215" s="145"/>
      <c r="F215" s="145"/>
      <c r="G215" s="133" t="s">
        <v>1094</v>
      </c>
      <c r="H215" s="144" t="s">
        <v>1093</v>
      </c>
      <c r="I215" s="133" t="s">
        <v>1092</v>
      </c>
      <c r="J215" s="380" t="s">
        <v>2853</v>
      </c>
      <c r="K215" s="143">
        <v>46082</v>
      </c>
      <c r="L215" s="133" t="s">
        <v>1092</v>
      </c>
      <c r="M215" s="142">
        <v>200</v>
      </c>
      <c r="N215" s="142"/>
      <c r="O215" s="141"/>
      <c r="P215" s="140"/>
      <c r="Q215" s="132"/>
      <c r="R215" s="132"/>
      <c r="S215" s="132"/>
      <c r="T215" s="132"/>
      <c r="U215" s="132"/>
    </row>
    <row r="216" spans="1:21" ht="14.5" x14ac:dyDescent="0.35">
      <c r="A216" s="146"/>
      <c r="B216" s="143"/>
      <c r="C216" s="279"/>
      <c r="D216" s="279"/>
      <c r="E216" s="145"/>
      <c r="F216" s="145"/>
      <c r="G216" s="133" t="s">
        <v>1094</v>
      </c>
      <c r="H216" s="144" t="s">
        <v>1093</v>
      </c>
      <c r="I216" s="133" t="s">
        <v>1092</v>
      </c>
      <c r="J216" s="416" t="s">
        <v>2923</v>
      </c>
      <c r="K216" s="143">
        <v>46143</v>
      </c>
      <c r="L216" s="133" t="s">
        <v>1092</v>
      </c>
      <c r="M216" s="142">
        <v>200</v>
      </c>
      <c r="N216" s="142"/>
      <c r="O216" s="141"/>
      <c r="P216" s="140"/>
      <c r="Q216" s="132"/>
      <c r="R216" s="132"/>
      <c r="S216" s="132"/>
      <c r="T216" s="132"/>
      <c r="U216" s="132"/>
    </row>
    <row r="217" spans="1:21" ht="14.5" x14ac:dyDescent="0.35">
      <c r="A217" s="146"/>
      <c r="B217" s="143"/>
      <c r="C217" s="279"/>
      <c r="D217" s="279"/>
      <c r="E217" s="145"/>
      <c r="F217" s="145"/>
      <c r="G217" s="133" t="s">
        <v>1094</v>
      </c>
      <c r="H217" s="144" t="s">
        <v>1093</v>
      </c>
      <c r="I217" s="133" t="s">
        <v>1092</v>
      </c>
      <c r="J217" s="449" t="s">
        <v>2984</v>
      </c>
      <c r="K217" s="143">
        <v>46174</v>
      </c>
      <c r="L217" s="133" t="s">
        <v>1092</v>
      </c>
      <c r="M217" s="142">
        <v>325.7</v>
      </c>
      <c r="N217" s="142"/>
      <c r="O217" s="141"/>
      <c r="P217" s="140"/>
      <c r="Q217" s="132"/>
      <c r="R217" s="132"/>
      <c r="S217" s="132"/>
      <c r="T217" s="132"/>
      <c r="U217" s="132"/>
    </row>
    <row r="218" spans="1:21" ht="14.5" x14ac:dyDescent="0.35">
      <c r="A218" s="146"/>
      <c r="B218" s="143"/>
      <c r="C218" s="279"/>
      <c r="D218" s="279"/>
      <c r="E218" s="145"/>
      <c r="F218" s="145"/>
      <c r="G218" s="133" t="s">
        <v>1094</v>
      </c>
      <c r="H218" s="144" t="s">
        <v>1093</v>
      </c>
      <c r="I218" s="133" t="s">
        <v>1092</v>
      </c>
      <c r="J218" s="517" t="s">
        <v>3363</v>
      </c>
      <c r="K218" s="143">
        <v>46204</v>
      </c>
      <c r="L218" s="133" t="s">
        <v>1092</v>
      </c>
      <c r="M218" s="142">
        <v>1300</v>
      </c>
      <c r="N218" s="142"/>
      <c r="O218" s="141"/>
      <c r="P218" s="140"/>
      <c r="Q218" s="132"/>
      <c r="R218" s="132"/>
      <c r="S218" s="132"/>
      <c r="T218" s="132"/>
      <c r="U218" s="132"/>
    </row>
    <row r="219" spans="1:21" ht="14.5" x14ac:dyDescent="0.35">
      <c r="A219" s="146"/>
      <c r="B219" s="143"/>
      <c r="C219" s="279"/>
      <c r="D219" s="279"/>
      <c r="E219" s="145"/>
      <c r="F219" s="145"/>
      <c r="G219" s="133"/>
      <c r="H219" s="144"/>
      <c r="I219" s="133"/>
      <c r="J219" s="416"/>
      <c r="K219" s="143"/>
      <c r="L219" s="133"/>
      <c r="M219" s="142"/>
      <c r="N219" s="142"/>
      <c r="O219" s="141"/>
      <c r="P219" s="140"/>
      <c r="Q219" s="132"/>
      <c r="R219" s="132"/>
      <c r="S219" s="132"/>
      <c r="T219" s="132"/>
      <c r="U219" s="132"/>
    </row>
    <row r="220" spans="1:21" ht="14.5" x14ac:dyDescent="0.35">
      <c r="A220" s="146"/>
      <c r="B220" s="143"/>
      <c r="C220" s="279"/>
      <c r="D220" s="279"/>
      <c r="E220" s="145"/>
      <c r="F220" s="145"/>
      <c r="G220" s="133"/>
      <c r="H220" s="144"/>
      <c r="I220" s="133"/>
      <c r="J220" s="416"/>
      <c r="K220" s="143"/>
      <c r="L220" s="133"/>
      <c r="M220" s="142"/>
      <c r="N220" s="142"/>
      <c r="O220" s="141"/>
      <c r="P220" s="140"/>
      <c r="Q220" s="132"/>
      <c r="R220" s="132"/>
      <c r="S220" s="132"/>
      <c r="T220" s="132"/>
      <c r="U220" s="132"/>
    </row>
    <row r="221" spans="1:21" ht="14.5" x14ac:dyDescent="0.35">
      <c r="A221" s="146"/>
      <c r="B221" s="143"/>
      <c r="C221" s="279"/>
      <c r="D221" s="279"/>
      <c r="E221" s="148"/>
      <c r="F221" s="145"/>
      <c r="G221" s="133"/>
      <c r="H221" s="144"/>
      <c r="I221" s="133"/>
      <c r="J221" s="133"/>
      <c r="K221" s="143"/>
      <c r="L221" s="133"/>
      <c r="M221" s="142"/>
      <c r="N221" s="142"/>
      <c r="O221" s="141"/>
      <c r="P221" s="140"/>
      <c r="Q221" s="132"/>
      <c r="R221" s="132"/>
      <c r="S221" s="132"/>
      <c r="T221" s="132"/>
      <c r="U221" s="132"/>
    </row>
    <row r="222" spans="1:21" ht="14.5" x14ac:dyDescent="0.35">
      <c r="A222" s="156"/>
      <c r="B222" s="152"/>
      <c r="C222" s="283"/>
      <c r="D222" s="283"/>
      <c r="E222" s="155"/>
      <c r="F222" s="154"/>
      <c r="G222" s="151"/>
      <c r="H222" s="153"/>
      <c r="I222" s="151"/>
      <c r="J222" s="151"/>
      <c r="K222" s="152"/>
      <c r="L222" s="151"/>
      <c r="M222" s="150"/>
      <c r="N222" s="150"/>
      <c r="O222" s="141"/>
      <c r="P222" s="140"/>
      <c r="Q222" s="132"/>
      <c r="R222" s="132"/>
      <c r="S222" s="132"/>
      <c r="T222" s="132"/>
      <c r="U222" s="132"/>
    </row>
    <row r="223" spans="1:21" ht="14.5" x14ac:dyDescent="0.35">
      <c r="A223" s="146"/>
      <c r="B223" s="143"/>
      <c r="C223" s="279"/>
      <c r="D223" s="279"/>
      <c r="E223" s="148"/>
      <c r="F223" s="145"/>
      <c r="G223" s="133"/>
      <c r="H223" s="144"/>
      <c r="I223" s="133"/>
      <c r="J223" s="133"/>
      <c r="K223" s="143"/>
      <c r="L223" s="133"/>
      <c r="M223" s="142"/>
      <c r="N223" s="142"/>
      <c r="O223" s="141"/>
      <c r="P223" s="140"/>
      <c r="Q223" s="132"/>
      <c r="R223" s="132"/>
      <c r="S223" s="132"/>
      <c r="T223" s="132"/>
      <c r="U223" s="132"/>
    </row>
    <row r="224" spans="1:21" ht="14.5" x14ac:dyDescent="0.35">
      <c r="A224" s="146">
        <v>57</v>
      </c>
      <c r="B224" s="143">
        <v>46054</v>
      </c>
      <c r="C224" s="314" t="s">
        <v>2738</v>
      </c>
      <c r="D224" s="314" t="s">
        <v>2744</v>
      </c>
      <c r="E224" s="148" t="s">
        <v>1059</v>
      </c>
      <c r="F224" s="145">
        <v>24750</v>
      </c>
      <c r="G224" s="133" t="s">
        <v>1094</v>
      </c>
      <c r="H224" s="144" t="s">
        <v>1093</v>
      </c>
      <c r="I224" s="133" t="s">
        <v>1092</v>
      </c>
      <c r="J224" s="517" t="s">
        <v>3363</v>
      </c>
      <c r="K224" s="143">
        <v>46204</v>
      </c>
      <c r="L224" s="133" t="s">
        <v>1092</v>
      </c>
      <c r="M224" s="142">
        <v>7539.3</v>
      </c>
      <c r="N224" s="157">
        <f>+F224-M224-M225</f>
        <v>918</v>
      </c>
      <c r="O224" s="141"/>
      <c r="P224" s="140">
        <f>+N224-O224</f>
        <v>918</v>
      </c>
      <c r="Q224" s="132"/>
      <c r="R224" s="132"/>
      <c r="S224" s="132"/>
      <c r="T224" s="132"/>
      <c r="U224" s="132"/>
    </row>
    <row r="225" spans="1:21" ht="14.5" x14ac:dyDescent="0.35">
      <c r="A225" s="146"/>
      <c r="B225" s="143"/>
      <c r="C225" s="314"/>
      <c r="D225" s="314"/>
      <c r="E225" s="148"/>
      <c r="F225" s="145"/>
      <c r="G225" s="133" t="s">
        <v>1094</v>
      </c>
      <c r="H225" s="144" t="s">
        <v>1093</v>
      </c>
      <c r="I225" s="133" t="s">
        <v>1092</v>
      </c>
      <c r="J225" s="520" t="s">
        <v>3371</v>
      </c>
      <c r="K225" s="143">
        <v>46204</v>
      </c>
      <c r="L225" s="133" t="s">
        <v>1092</v>
      </c>
      <c r="M225" s="142">
        <v>16292.7</v>
      </c>
      <c r="N225" s="142"/>
      <c r="O225" s="141"/>
      <c r="P225" s="140"/>
      <c r="Q225" s="132"/>
      <c r="R225" s="132"/>
      <c r="S225" s="132"/>
      <c r="T225" s="132"/>
      <c r="U225" s="132"/>
    </row>
    <row r="226" spans="1:21" ht="14.5" x14ac:dyDescent="0.35">
      <c r="A226" s="146"/>
      <c r="B226" s="143"/>
      <c r="C226" s="314"/>
      <c r="D226" s="314"/>
      <c r="E226" s="148"/>
      <c r="F226" s="145"/>
      <c r="G226" s="133"/>
      <c r="H226" s="144"/>
      <c r="I226" s="133"/>
      <c r="J226" s="517"/>
      <c r="K226" s="143"/>
      <c r="L226" s="133"/>
      <c r="M226" s="142"/>
      <c r="N226" s="142"/>
      <c r="O226" s="141"/>
      <c r="P226" s="140"/>
      <c r="Q226" s="132"/>
      <c r="R226" s="132"/>
      <c r="S226" s="132"/>
      <c r="T226" s="132"/>
      <c r="U226" s="132"/>
    </row>
    <row r="227" spans="1:21" ht="14.5" x14ac:dyDescent="0.35">
      <c r="A227" s="146"/>
      <c r="B227" s="143"/>
      <c r="C227" s="279"/>
      <c r="D227" s="279"/>
      <c r="E227" s="148"/>
      <c r="F227" s="145"/>
      <c r="G227" s="133"/>
      <c r="H227" s="144"/>
      <c r="I227" s="133"/>
      <c r="J227" s="133"/>
      <c r="K227" s="143"/>
      <c r="L227" s="133"/>
      <c r="M227" s="142"/>
      <c r="N227" s="142"/>
      <c r="O227" s="141"/>
      <c r="P227" s="140"/>
      <c r="Q227" s="132"/>
      <c r="R227" s="132"/>
      <c r="S227" s="132"/>
      <c r="T227" s="132"/>
      <c r="U227" s="132"/>
    </row>
    <row r="228" spans="1:21" ht="14.5" x14ac:dyDescent="0.35">
      <c r="A228" s="146">
        <v>58</v>
      </c>
      <c r="B228" s="143">
        <v>46054</v>
      </c>
      <c r="C228" s="314" t="s">
        <v>2739</v>
      </c>
      <c r="D228" s="314" t="s">
        <v>2744</v>
      </c>
      <c r="E228" s="148" t="s">
        <v>1059</v>
      </c>
      <c r="F228" s="145">
        <v>24750</v>
      </c>
      <c r="G228" s="133" t="s">
        <v>1094</v>
      </c>
      <c r="H228" s="144" t="s">
        <v>1093</v>
      </c>
      <c r="I228" s="133" t="s">
        <v>1092</v>
      </c>
      <c r="J228" s="520" t="s">
        <v>3371</v>
      </c>
      <c r="K228" s="143">
        <v>46204</v>
      </c>
      <c r="L228" s="133" t="s">
        <v>1092</v>
      </c>
      <c r="M228" s="142">
        <v>23518.3</v>
      </c>
      <c r="N228" s="157">
        <f>+F228-M228</f>
        <v>1231.7000000000007</v>
      </c>
      <c r="O228" s="141">
        <v>932</v>
      </c>
      <c r="P228" s="140">
        <f>+N228-O228</f>
        <v>299.70000000000073</v>
      </c>
      <c r="Q228" s="132"/>
      <c r="R228" s="132"/>
      <c r="S228" s="132"/>
      <c r="T228" s="132"/>
      <c r="U228" s="132"/>
    </row>
    <row r="229" spans="1:21" ht="14.5" x14ac:dyDescent="0.35">
      <c r="A229" s="146"/>
      <c r="B229" s="143"/>
      <c r="C229" s="314"/>
      <c r="D229" s="314"/>
      <c r="E229" s="148"/>
      <c r="F229" s="145"/>
      <c r="G229" s="133"/>
      <c r="H229" s="144"/>
      <c r="I229" s="133"/>
      <c r="J229" s="133"/>
      <c r="K229" s="143"/>
      <c r="L229" s="133"/>
      <c r="M229" s="142"/>
      <c r="N229" s="142"/>
      <c r="O229" s="141"/>
      <c r="P229" s="140"/>
      <c r="Q229" s="132"/>
      <c r="R229" s="132"/>
      <c r="S229" s="132"/>
      <c r="T229" s="132"/>
      <c r="U229" s="132"/>
    </row>
    <row r="230" spans="1:21" ht="14.5" x14ac:dyDescent="0.35">
      <c r="A230" s="146"/>
      <c r="B230" s="143"/>
      <c r="C230" s="279"/>
      <c r="D230" s="279"/>
      <c r="E230" s="148"/>
      <c r="F230" s="145"/>
      <c r="G230" s="133"/>
      <c r="H230" s="144"/>
      <c r="I230" s="133"/>
      <c r="J230" s="133"/>
      <c r="K230" s="143"/>
      <c r="L230" s="133"/>
      <c r="M230" s="142"/>
      <c r="N230" s="142"/>
      <c r="O230" s="141"/>
      <c r="P230" s="140"/>
      <c r="Q230" s="132"/>
      <c r="R230" s="132"/>
      <c r="S230" s="132"/>
      <c r="T230" s="132"/>
      <c r="U230" s="132"/>
    </row>
    <row r="231" spans="1:21" ht="14.5" x14ac:dyDescent="0.35">
      <c r="A231" s="146">
        <v>59</v>
      </c>
      <c r="B231" s="143">
        <v>46054</v>
      </c>
      <c r="C231" s="322" t="s">
        <v>2759</v>
      </c>
      <c r="D231" s="322" t="s">
        <v>2760</v>
      </c>
      <c r="E231" s="148" t="s">
        <v>1059</v>
      </c>
      <c r="F231" s="145">
        <v>9000</v>
      </c>
      <c r="G231" s="133" t="s">
        <v>1094</v>
      </c>
      <c r="H231" s="144" t="s">
        <v>1093</v>
      </c>
      <c r="I231" s="133" t="s">
        <v>1092</v>
      </c>
      <c r="J231" s="133"/>
      <c r="K231" s="143"/>
      <c r="L231" s="133"/>
      <c r="M231" s="142"/>
      <c r="N231" s="142">
        <f>+F231+F232</f>
        <v>16000</v>
      </c>
      <c r="O231" s="141">
        <v>313</v>
      </c>
      <c r="P231" s="140">
        <f>+N231-O231</f>
        <v>15687</v>
      </c>
      <c r="Q231" s="132"/>
      <c r="R231" s="132"/>
      <c r="S231" s="132"/>
      <c r="T231" s="132"/>
      <c r="U231" s="132"/>
    </row>
    <row r="232" spans="1:21" ht="14.5" x14ac:dyDescent="0.35">
      <c r="A232" s="146"/>
      <c r="B232" s="143"/>
      <c r="C232" s="279"/>
      <c r="D232" s="279"/>
      <c r="E232" s="323" t="s">
        <v>2761</v>
      </c>
      <c r="F232" s="145">
        <v>7000</v>
      </c>
      <c r="G232" s="133"/>
      <c r="H232" s="144"/>
      <c r="I232" s="133"/>
      <c r="J232" s="133"/>
      <c r="K232" s="143"/>
      <c r="L232" s="133"/>
      <c r="M232" s="142"/>
      <c r="N232" s="142"/>
      <c r="O232" s="141"/>
      <c r="P232" s="140"/>
      <c r="Q232" s="132"/>
      <c r="R232" s="132"/>
      <c r="S232" s="132"/>
      <c r="T232" s="132"/>
      <c r="U232" s="132"/>
    </row>
    <row r="233" spans="1:21" ht="14.5" x14ac:dyDescent="0.35">
      <c r="A233" s="146"/>
      <c r="B233" s="143"/>
      <c r="C233" s="279"/>
      <c r="D233" s="279"/>
      <c r="E233" s="148"/>
      <c r="F233" s="145"/>
      <c r="G233" s="133"/>
      <c r="H233" s="144"/>
      <c r="I233" s="133"/>
      <c r="J233" s="133"/>
      <c r="K233" s="143"/>
      <c r="L233" s="133"/>
      <c r="M233" s="142"/>
      <c r="N233" s="142"/>
      <c r="O233" s="141"/>
      <c r="P233" s="140"/>
      <c r="Q233" s="132"/>
      <c r="R233" s="132"/>
      <c r="S233" s="132"/>
      <c r="T233" s="132"/>
      <c r="U233" s="132"/>
    </row>
    <row r="234" spans="1:21" ht="14.5" x14ac:dyDescent="0.35">
      <c r="A234" s="146">
        <v>60</v>
      </c>
      <c r="B234" s="143">
        <v>46054</v>
      </c>
      <c r="C234" s="322" t="s">
        <v>2762</v>
      </c>
      <c r="D234" s="322" t="s">
        <v>2763</v>
      </c>
      <c r="E234" s="148" t="s">
        <v>1059</v>
      </c>
      <c r="F234" s="145">
        <v>6000</v>
      </c>
      <c r="G234" s="133" t="s">
        <v>1094</v>
      </c>
      <c r="H234" s="144" t="s">
        <v>1093</v>
      </c>
      <c r="I234" s="133" t="s">
        <v>1092</v>
      </c>
      <c r="J234" s="133"/>
      <c r="K234" s="143"/>
      <c r="L234" s="133"/>
      <c r="M234" s="142"/>
      <c r="N234" s="142">
        <f>+F234+F235</f>
        <v>6050</v>
      </c>
      <c r="O234" s="141">
        <v>224</v>
      </c>
      <c r="P234" s="140">
        <f>+N234-O234</f>
        <v>5826</v>
      </c>
      <c r="Q234" s="132"/>
      <c r="R234" s="132"/>
      <c r="S234" s="132"/>
      <c r="T234" s="132"/>
      <c r="U234" s="132"/>
    </row>
    <row r="235" spans="1:21" ht="14.5" x14ac:dyDescent="0.35">
      <c r="A235" s="146"/>
      <c r="B235" s="143"/>
      <c r="C235" s="279"/>
      <c r="D235" s="279"/>
      <c r="E235" s="323" t="s">
        <v>2764</v>
      </c>
      <c r="F235" s="145">
        <v>50</v>
      </c>
      <c r="G235" s="133"/>
      <c r="H235" s="144"/>
      <c r="I235" s="133"/>
      <c r="J235" s="133"/>
      <c r="K235" s="143"/>
      <c r="L235" s="133"/>
      <c r="M235" s="142"/>
      <c r="N235" s="142"/>
      <c r="O235" s="141"/>
      <c r="P235" s="140"/>
      <c r="Q235" s="132"/>
      <c r="R235" s="132"/>
      <c r="S235" s="132"/>
      <c r="T235" s="132"/>
      <c r="U235" s="132"/>
    </row>
    <row r="236" spans="1:21" ht="14.5" x14ac:dyDescent="0.35">
      <c r="A236" s="146"/>
      <c r="B236" s="143"/>
      <c r="C236" s="279"/>
      <c r="D236" s="279"/>
      <c r="E236" s="148"/>
      <c r="F236" s="145"/>
      <c r="G236" s="133"/>
      <c r="H236" s="144"/>
      <c r="I236" s="133"/>
      <c r="J236" s="133"/>
      <c r="K236" s="143"/>
      <c r="L236" s="133"/>
      <c r="M236" s="142"/>
      <c r="N236" s="142"/>
      <c r="O236" s="141"/>
      <c r="P236" s="140"/>
      <c r="Q236" s="132"/>
      <c r="R236" s="132"/>
      <c r="S236" s="132"/>
      <c r="T236" s="132"/>
      <c r="U236" s="132"/>
    </row>
    <row r="237" spans="1:21" ht="14.5" x14ac:dyDescent="0.35">
      <c r="A237" s="146">
        <v>61</v>
      </c>
      <c r="B237" s="143">
        <v>46054</v>
      </c>
      <c r="C237" s="328" t="s">
        <v>2771</v>
      </c>
      <c r="D237" s="328" t="s">
        <v>2774</v>
      </c>
      <c r="E237" s="145" t="s">
        <v>1118</v>
      </c>
      <c r="F237" s="145">
        <v>1707.9</v>
      </c>
      <c r="G237" s="133" t="s">
        <v>1094</v>
      </c>
      <c r="H237" s="144" t="s">
        <v>1093</v>
      </c>
      <c r="I237" s="133" t="s">
        <v>1092</v>
      </c>
      <c r="J237" s="133"/>
      <c r="K237" s="143"/>
      <c r="L237" s="133"/>
      <c r="M237" s="142"/>
      <c r="N237" s="142">
        <f>+F237</f>
        <v>1707.9</v>
      </c>
      <c r="O237" s="141"/>
      <c r="P237" s="140">
        <f>+N237-O237</f>
        <v>1707.9</v>
      </c>
      <c r="Q237" s="132"/>
      <c r="R237" s="132"/>
      <c r="S237" s="132"/>
      <c r="T237" s="132"/>
      <c r="U237" s="132"/>
    </row>
    <row r="238" spans="1:21" ht="14.5" x14ac:dyDescent="0.35">
      <c r="A238" s="146"/>
      <c r="B238" s="143"/>
      <c r="C238" s="328"/>
      <c r="D238" s="328"/>
      <c r="E238" s="145"/>
      <c r="F238" s="145"/>
      <c r="G238" s="133"/>
      <c r="H238" s="144"/>
      <c r="I238" s="133"/>
      <c r="J238" s="133"/>
      <c r="K238" s="143"/>
      <c r="L238" s="133"/>
      <c r="M238" s="142"/>
      <c r="N238" s="142"/>
      <c r="O238" s="141"/>
      <c r="P238" s="140"/>
      <c r="Q238" s="132"/>
      <c r="R238" s="132"/>
      <c r="S238" s="132"/>
      <c r="T238" s="132"/>
      <c r="U238" s="132"/>
    </row>
    <row r="239" spans="1:21" ht="14.5" x14ac:dyDescent="0.35">
      <c r="A239" s="146"/>
      <c r="B239" s="143"/>
      <c r="C239" s="279"/>
      <c r="D239" s="279"/>
      <c r="E239" s="323"/>
      <c r="F239" s="145"/>
      <c r="G239" s="133"/>
      <c r="H239" s="144"/>
      <c r="I239" s="133"/>
      <c r="J239" s="133"/>
      <c r="K239" s="143"/>
      <c r="L239" s="133"/>
      <c r="M239" s="142"/>
      <c r="N239" s="142"/>
      <c r="O239" s="141"/>
      <c r="P239" s="140"/>
      <c r="Q239" s="132"/>
      <c r="R239" s="132"/>
      <c r="S239" s="132"/>
      <c r="T239" s="132"/>
      <c r="U239" s="132"/>
    </row>
    <row r="240" spans="1:21" ht="14.5" x14ac:dyDescent="0.35">
      <c r="A240" s="146">
        <v>62</v>
      </c>
      <c r="B240" s="143">
        <v>46054</v>
      </c>
      <c r="C240" s="328" t="s">
        <v>2773</v>
      </c>
      <c r="D240" s="328" t="s">
        <v>2774</v>
      </c>
      <c r="E240" s="148" t="s">
        <v>1059</v>
      </c>
      <c r="F240" s="145">
        <v>16000</v>
      </c>
      <c r="G240" s="133" t="s">
        <v>1094</v>
      </c>
      <c r="H240" s="144" t="s">
        <v>1093</v>
      </c>
      <c r="I240" s="133" t="s">
        <v>1092</v>
      </c>
      <c r="J240" s="133"/>
      <c r="K240" s="143"/>
      <c r="L240" s="133"/>
      <c r="M240" s="142"/>
      <c r="N240" s="142">
        <f>+F240</f>
        <v>16000</v>
      </c>
      <c r="O240" s="141">
        <v>605</v>
      </c>
      <c r="P240" s="140">
        <f>+N240-O240</f>
        <v>15395</v>
      </c>
      <c r="Q240" s="132"/>
      <c r="R240" s="132"/>
      <c r="S240" s="132"/>
      <c r="T240" s="132"/>
      <c r="U240" s="132"/>
    </row>
    <row r="241" spans="1:21" ht="14.5" x14ac:dyDescent="0.35">
      <c r="A241" s="146"/>
      <c r="B241" s="143"/>
      <c r="C241" s="328"/>
      <c r="D241" s="328"/>
      <c r="E241" s="148"/>
      <c r="F241" s="145"/>
      <c r="G241" s="133"/>
      <c r="H241" s="144"/>
      <c r="I241" s="133"/>
      <c r="J241" s="133"/>
      <c r="K241" s="143"/>
      <c r="L241" s="133"/>
      <c r="M241" s="142"/>
      <c r="N241" s="142"/>
      <c r="O241" s="141"/>
      <c r="P241" s="140"/>
      <c r="Q241" s="132"/>
      <c r="R241" s="132"/>
      <c r="S241" s="132"/>
      <c r="T241" s="132"/>
      <c r="U241" s="132"/>
    </row>
    <row r="242" spans="1:21" ht="14.5" x14ac:dyDescent="0.35">
      <c r="A242" s="146"/>
      <c r="B242" s="143"/>
      <c r="C242" s="279"/>
      <c r="D242" s="279"/>
      <c r="E242" s="148"/>
      <c r="F242" s="145"/>
      <c r="G242" s="133"/>
      <c r="H242" s="144"/>
      <c r="I242" s="133"/>
      <c r="J242" s="133"/>
      <c r="K242" s="143"/>
      <c r="L242" s="133"/>
      <c r="M242" s="142"/>
      <c r="N242" s="142"/>
      <c r="O242" s="141"/>
      <c r="P242" s="140"/>
      <c r="Q242" s="132"/>
      <c r="R242" s="132"/>
      <c r="S242" s="132"/>
      <c r="T242" s="132"/>
      <c r="U242" s="132"/>
    </row>
    <row r="243" spans="1:21" ht="14.5" x14ac:dyDescent="0.35">
      <c r="A243" s="146">
        <v>63</v>
      </c>
      <c r="B243" s="143">
        <v>46054</v>
      </c>
      <c r="C243" s="331" t="s">
        <v>1162</v>
      </c>
      <c r="D243" s="331" t="s">
        <v>2778</v>
      </c>
      <c r="E243" s="148" t="s">
        <v>1059</v>
      </c>
      <c r="F243" s="145">
        <v>16000</v>
      </c>
      <c r="G243" s="133" t="s">
        <v>1094</v>
      </c>
      <c r="H243" s="144" t="s">
        <v>1093</v>
      </c>
      <c r="I243" s="133" t="s">
        <v>1092</v>
      </c>
      <c r="J243" s="133"/>
      <c r="K243" s="143"/>
      <c r="L243" s="133"/>
      <c r="M243" s="142"/>
      <c r="N243" s="142">
        <f>+F243</f>
        <v>16000</v>
      </c>
      <c r="O243" s="141">
        <v>616</v>
      </c>
      <c r="P243" s="140">
        <f>+N243-O243</f>
        <v>15384</v>
      </c>
      <c r="Q243" s="132"/>
      <c r="R243" s="132"/>
      <c r="S243" s="132"/>
      <c r="T243" s="132"/>
      <c r="U243" s="132"/>
    </row>
    <row r="244" spans="1:21" ht="14.5" x14ac:dyDescent="0.35">
      <c r="A244" s="146"/>
      <c r="B244" s="143"/>
      <c r="C244" s="331"/>
      <c r="D244" s="331"/>
      <c r="E244" s="148"/>
      <c r="F244" s="145"/>
      <c r="G244" s="133"/>
      <c r="H244" s="144"/>
      <c r="I244" s="133"/>
      <c r="J244" s="133"/>
      <c r="K244" s="143"/>
      <c r="L244" s="133"/>
      <c r="M244" s="142"/>
      <c r="N244" s="142"/>
      <c r="O244" s="141"/>
      <c r="P244" s="140"/>
      <c r="Q244" s="132"/>
      <c r="R244" s="132"/>
      <c r="S244" s="132"/>
      <c r="T244" s="132"/>
      <c r="U244" s="132"/>
    </row>
    <row r="245" spans="1:21" ht="14.5" x14ac:dyDescent="0.35">
      <c r="A245" s="146"/>
      <c r="B245" s="143"/>
      <c r="C245" s="279"/>
      <c r="D245" s="279"/>
      <c r="E245" s="148"/>
      <c r="F245" s="145"/>
      <c r="G245" s="133"/>
      <c r="H245" s="144"/>
      <c r="I245" s="133"/>
      <c r="J245" s="133"/>
      <c r="K245" s="143"/>
      <c r="L245" s="133"/>
      <c r="M245" s="142"/>
      <c r="N245" s="142"/>
      <c r="O245" s="141"/>
      <c r="P245" s="140"/>
      <c r="Q245" s="132"/>
      <c r="R245" s="132"/>
      <c r="S245" s="132"/>
      <c r="T245" s="132"/>
      <c r="U245" s="132"/>
    </row>
    <row r="246" spans="1:21" ht="14.5" x14ac:dyDescent="0.35">
      <c r="A246" s="146">
        <v>64</v>
      </c>
      <c r="B246" s="143">
        <v>46054</v>
      </c>
      <c r="C246" s="331" t="s">
        <v>1159</v>
      </c>
      <c r="D246" s="331" t="s">
        <v>2779</v>
      </c>
      <c r="E246" s="148" t="s">
        <v>1059</v>
      </c>
      <c r="F246" s="145">
        <v>16000</v>
      </c>
      <c r="G246" s="133" t="s">
        <v>1094</v>
      </c>
      <c r="H246" s="144" t="s">
        <v>1093</v>
      </c>
      <c r="I246" s="133" t="s">
        <v>1092</v>
      </c>
      <c r="J246" s="133"/>
      <c r="K246" s="143"/>
      <c r="L246" s="133"/>
      <c r="M246" s="142"/>
      <c r="N246" s="142">
        <f>+F246</f>
        <v>16000</v>
      </c>
      <c r="O246" s="141">
        <v>627</v>
      </c>
      <c r="P246" s="140">
        <f>+N246-O246</f>
        <v>15373</v>
      </c>
      <c r="Q246" s="132"/>
      <c r="R246" s="132"/>
      <c r="S246" s="132"/>
      <c r="T246" s="132"/>
      <c r="U246" s="132"/>
    </row>
    <row r="247" spans="1:21" ht="14.5" x14ac:dyDescent="0.35">
      <c r="A247" s="146"/>
      <c r="B247" s="143"/>
      <c r="C247" s="331"/>
      <c r="D247" s="331"/>
      <c r="E247" s="148"/>
      <c r="F247" s="145"/>
      <c r="G247" s="133"/>
      <c r="H247" s="144"/>
      <c r="I247" s="133"/>
      <c r="J247" s="133"/>
      <c r="K247" s="143"/>
      <c r="L247" s="133"/>
      <c r="M247" s="142"/>
      <c r="N247" s="142"/>
      <c r="O247" s="141"/>
      <c r="P247" s="140"/>
      <c r="Q247" s="132"/>
      <c r="R247" s="132"/>
      <c r="S247" s="132"/>
      <c r="T247" s="132"/>
      <c r="U247" s="132"/>
    </row>
    <row r="248" spans="1:21" ht="14.5" x14ac:dyDescent="0.35">
      <c r="A248" s="146"/>
      <c r="B248" s="143"/>
      <c r="C248" s="279"/>
      <c r="D248" s="279"/>
      <c r="E248" s="148"/>
      <c r="F248" s="145"/>
      <c r="G248" s="133"/>
      <c r="H248" s="144"/>
      <c r="I248" s="133"/>
      <c r="J248" s="133"/>
      <c r="K248" s="143"/>
      <c r="L248" s="133"/>
      <c r="M248" s="142"/>
      <c r="N248" s="142"/>
      <c r="O248" s="141"/>
      <c r="P248" s="140"/>
      <c r="Q248" s="132"/>
      <c r="R248" s="132"/>
      <c r="S248" s="132"/>
      <c r="T248" s="132"/>
      <c r="U248" s="132"/>
    </row>
    <row r="249" spans="1:21" ht="14.5" x14ac:dyDescent="0.35">
      <c r="A249" s="146">
        <v>65</v>
      </c>
      <c r="B249" s="143">
        <v>46054</v>
      </c>
      <c r="C249" s="335" t="s">
        <v>2785</v>
      </c>
      <c r="D249" s="335" t="s">
        <v>2784</v>
      </c>
      <c r="E249" s="148" t="s">
        <v>1059</v>
      </c>
      <c r="F249" s="145">
        <v>10000</v>
      </c>
      <c r="G249" s="133" t="s">
        <v>1094</v>
      </c>
      <c r="H249" s="144" t="s">
        <v>1093</v>
      </c>
      <c r="I249" s="133" t="s">
        <v>1092</v>
      </c>
      <c r="J249" s="133"/>
      <c r="K249" s="143"/>
      <c r="L249" s="133"/>
      <c r="M249" s="142"/>
      <c r="N249" s="142">
        <f>+F249</f>
        <v>10000</v>
      </c>
      <c r="O249" s="141">
        <v>378</v>
      </c>
      <c r="P249" s="140">
        <f>+N249-O249</f>
        <v>9622</v>
      </c>
      <c r="Q249" s="132"/>
      <c r="R249" s="132"/>
      <c r="S249" s="132"/>
      <c r="T249" s="132"/>
      <c r="U249" s="132"/>
    </row>
    <row r="250" spans="1:21" ht="14.5" x14ac:dyDescent="0.35">
      <c r="A250" s="146"/>
      <c r="B250" s="143"/>
      <c r="C250" s="335"/>
      <c r="D250" s="335"/>
      <c r="E250" s="148"/>
      <c r="F250" s="145"/>
      <c r="G250" s="133"/>
      <c r="H250" s="144"/>
      <c r="I250" s="133"/>
      <c r="J250" s="133"/>
      <c r="K250" s="143"/>
      <c r="L250" s="133"/>
      <c r="M250" s="142"/>
      <c r="N250" s="142"/>
      <c r="O250" s="141"/>
      <c r="P250" s="140"/>
      <c r="Q250" s="132"/>
      <c r="R250" s="132"/>
      <c r="S250" s="132"/>
      <c r="T250" s="132"/>
      <c r="U250" s="132"/>
    </row>
    <row r="251" spans="1:21" ht="14.5" x14ac:dyDescent="0.35">
      <c r="A251" s="146"/>
      <c r="B251" s="143"/>
      <c r="C251" s="279"/>
      <c r="D251" s="279"/>
      <c r="E251" s="148"/>
      <c r="F251" s="145"/>
      <c r="G251" s="133"/>
      <c r="H251" s="144"/>
      <c r="I251" s="133"/>
      <c r="J251" s="133"/>
      <c r="K251" s="143"/>
      <c r="L251" s="133"/>
      <c r="M251" s="142"/>
      <c r="N251" s="142"/>
      <c r="O251" s="141"/>
      <c r="P251" s="140"/>
      <c r="Q251" s="132"/>
      <c r="R251" s="132"/>
      <c r="S251" s="132"/>
      <c r="T251" s="132"/>
      <c r="U251" s="132"/>
    </row>
    <row r="252" spans="1:21" ht="14.5" x14ac:dyDescent="0.35">
      <c r="A252" s="146">
        <v>66</v>
      </c>
      <c r="B252" s="143">
        <v>46054</v>
      </c>
      <c r="C252" s="339" t="s">
        <v>2787</v>
      </c>
      <c r="D252" s="339" t="s">
        <v>2792</v>
      </c>
      <c r="E252" s="148" t="s">
        <v>1059</v>
      </c>
      <c r="F252" s="145">
        <v>24750</v>
      </c>
      <c r="G252" s="133" t="s">
        <v>1094</v>
      </c>
      <c r="H252" s="144" t="s">
        <v>1093</v>
      </c>
      <c r="I252" s="133" t="s">
        <v>1092</v>
      </c>
      <c r="J252" s="133"/>
      <c r="K252" s="143"/>
      <c r="L252" s="133"/>
      <c r="M252" s="142"/>
      <c r="N252" s="142">
        <f>+F252</f>
        <v>24750</v>
      </c>
      <c r="O252" s="141">
        <v>959</v>
      </c>
      <c r="P252" s="140">
        <f>+N252-O252</f>
        <v>23791</v>
      </c>
      <c r="Q252" s="132"/>
      <c r="R252" s="132"/>
      <c r="S252" s="132"/>
      <c r="T252" s="132"/>
      <c r="U252" s="132"/>
    </row>
    <row r="253" spans="1:21" ht="14.5" x14ac:dyDescent="0.35">
      <c r="A253" s="146"/>
      <c r="B253" s="143"/>
      <c r="C253" s="339"/>
      <c r="D253" s="339"/>
      <c r="E253" s="148"/>
      <c r="F253" s="145"/>
      <c r="G253" s="133"/>
      <c r="H253" s="144"/>
      <c r="I253" s="133"/>
      <c r="J253" s="133"/>
      <c r="K253" s="143"/>
      <c r="L253" s="133"/>
      <c r="M253" s="142"/>
      <c r="N253" s="142"/>
      <c r="O253" s="141"/>
      <c r="P253" s="140"/>
      <c r="Q253" s="132"/>
      <c r="R253" s="132"/>
      <c r="S253" s="132"/>
      <c r="T253" s="132"/>
      <c r="U253" s="132"/>
    </row>
    <row r="254" spans="1:21" ht="14.5" x14ac:dyDescent="0.35">
      <c r="A254" s="146"/>
      <c r="B254" s="143"/>
      <c r="C254" s="279"/>
      <c r="D254" s="279"/>
      <c r="E254" s="148"/>
      <c r="F254" s="145"/>
      <c r="G254" s="133"/>
      <c r="H254" s="144"/>
      <c r="I254" s="133"/>
      <c r="J254" s="133"/>
      <c r="K254" s="143"/>
      <c r="L254" s="133"/>
      <c r="M254" s="142"/>
      <c r="N254" s="142"/>
      <c r="O254" s="141"/>
      <c r="P254" s="140"/>
      <c r="Q254" s="132"/>
      <c r="R254" s="132"/>
      <c r="S254" s="132"/>
      <c r="T254" s="132"/>
      <c r="U254" s="132"/>
    </row>
    <row r="255" spans="1:21" ht="14.5" x14ac:dyDescent="0.35">
      <c r="A255" s="146">
        <v>67</v>
      </c>
      <c r="B255" s="143">
        <v>46054</v>
      </c>
      <c r="C255" s="339" t="s">
        <v>2789</v>
      </c>
      <c r="D255" s="339" t="s">
        <v>2793</v>
      </c>
      <c r="E255" s="148" t="s">
        <v>1059</v>
      </c>
      <c r="F255" s="145">
        <v>24750</v>
      </c>
      <c r="G255" s="133" t="s">
        <v>1094</v>
      </c>
      <c r="H255" s="144" t="s">
        <v>1093</v>
      </c>
      <c r="I255" s="133" t="s">
        <v>1092</v>
      </c>
      <c r="J255" s="133"/>
      <c r="K255" s="143"/>
      <c r="L255" s="133"/>
      <c r="M255" s="142"/>
      <c r="N255" s="142">
        <f>+F255</f>
        <v>24750</v>
      </c>
      <c r="O255" s="141">
        <v>940</v>
      </c>
      <c r="P255" s="140">
        <f>+N255-O255</f>
        <v>23810</v>
      </c>
      <c r="Q255" s="132"/>
      <c r="R255" s="132"/>
      <c r="S255" s="132"/>
      <c r="T255" s="132"/>
      <c r="U255" s="132"/>
    </row>
    <row r="256" spans="1:21" ht="14.5" x14ac:dyDescent="0.35">
      <c r="A256" s="146"/>
      <c r="B256" s="143"/>
      <c r="C256" s="339"/>
      <c r="D256" s="339"/>
      <c r="E256" s="148"/>
      <c r="F256" s="145"/>
      <c r="G256" s="133"/>
      <c r="H256" s="144"/>
      <c r="I256" s="133"/>
      <c r="J256" s="133"/>
      <c r="K256" s="143"/>
      <c r="L256" s="133"/>
      <c r="M256" s="142"/>
      <c r="N256" s="142"/>
      <c r="O256" s="141"/>
      <c r="P256" s="140"/>
      <c r="Q256" s="132"/>
      <c r="R256" s="132"/>
      <c r="S256" s="132"/>
      <c r="T256" s="132"/>
      <c r="U256" s="132"/>
    </row>
    <row r="257" spans="1:21" ht="14.5" x14ac:dyDescent="0.35">
      <c r="A257" s="146"/>
      <c r="B257" s="143"/>
      <c r="C257" s="279"/>
      <c r="D257" s="279"/>
      <c r="E257" s="148"/>
      <c r="F257" s="145"/>
      <c r="G257" s="133"/>
      <c r="H257" s="144"/>
      <c r="I257" s="133"/>
      <c r="J257" s="133"/>
      <c r="K257" s="143"/>
      <c r="L257" s="133"/>
      <c r="M257" s="142"/>
      <c r="N257" s="142"/>
      <c r="O257" s="141"/>
      <c r="P257" s="140"/>
      <c r="Q257" s="132"/>
      <c r="R257" s="132"/>
      <c r="S257" s="132"/>
      <c r="T257" s="132"/>
      <c r="U257" s="132"/>
    </row>
    <row r="258" spans="1:21" ht="14.5" x14ac:dyDescent="0.35">
      <c r="A258" s="146">
        <v>68</v>
      </c>
      <c r="B258" s="143">
        <v>46054</v>
      </c>
      <c r="C258" s="339" t="s">
        <v>1155</v>
      </c>
      <c r="D258" s="339" t="s">
        <v>2794</v>
      </c>
      <c r="E258" s="343" t="s">
        <v>2791</v>
      </c>
      <c r="F258" s="145">
        <v>9150</v>
      </c>
      <c r="G258" s="133" t="s">
        <v>1094</v>
      </c>
      <c r="H258" s="144" t="s">
        <v>1093</v>
      </c>
      <c r="I258" s="133" t="s">
        <v>1092</v>
      </c>
      <c r="J258" s="133"/>
      <c r="K258" s="143"/>
      <c r="L258" s="133"/>
      <c r="M258" s="142"/>
      <c r="N258" s="142">
        <f>+F258</f>
        <v>9150</v>
      </c>
      <c r="O258" s="141"/>
      <c r="P258" s="140">
        <f>+N258-O258</f>
        <v>9150</v>
      </c>
      <c r="Q258" s="132"/>
      <c r="R258" s="132"/>
      <c r="S258" s="132"/>
      <c r="T258" s="132"/>
      <c r="U258" s="132"/>
    </row>
    <row r="259" spans="1:21" ht="14.5" x14ac:dyDescent="0.35">
      <c r="A259" s="146"/>
      <c r="B259" s="143"/>
      <c r="C259" s="339"/>
      <c r="D259" s="339"/>
      <c r="E259" s="343"/>
      <c r="F259" s="145"/>
      <c r="G259" s="133"/>
      <c r="H259" s="144"/>
      <c r="I259" s="133"/>
      <c r="J259" s="133"/>
      <c r="K259" s="143"/>
      <c r="L259" s="133"/>
      <c r="M259" s="142"/>
      <c r="N259" s="142"/>
      <c r="O259" s="141"/>
      <c r="P259" s="140"/>
      <c r="Q259" s="132"/>
      <c r="R259" s="132"/>
      <c r="S259" s="132"/>
      <c r="T259" s="132"/>
      <c r="U259" s="132"/>
    </row>
    <row r="260" spans="1:21" ht="14.5" x14ac:dyDescent="0.35">
      <c r="A260" s="146"/>
      <c r="B260" s="143"/>
      <c r="C260" s="279"/>
      <c r="D260" s="279"/>
      <c r="E260" s="148"/>
      <c r="F260" s="145"/>
      <c r="G260" s="133"/>
      <c r="H260" s="144"/>
      <c r="I260" s="133"/>
      <c r="J260" s="133"/>
      <c r="K260" s="143"/>
      <c r="L260" s="133"/>
      <c r="M260" s="142"/>
      <c r="N260" s="142"/>
      <c r="O260" s="141"/>
      <c r="P260" s="140"/>
      <c r="Q260" s="132"/>
      <c r="R260" s="132"/>
      <c r="S260" s="132"/>
      <c r="T260" s="132"/>
      <c r="U260" s="132"/>
    </row>
    <row r="261" spans="1:21" ht="14.5" x14ac:dyDescent="0.35">
      <c r="A261" s="146">
        <v>69</v>
      </c>
      <c r="B261" s="143">
        <v>46054</v>
      </c>
      <c r="C261" s="344" t="s">
        <v>2799</v>
      </c>
      <c r="D261" s="344" t="s">
        <v>2800</v>
      </c>
      <c r="E261" s="343" t="s">
        <v>2791</v>
      </c>
      <c r="F261" s="145">
        <v>850</v>
      </c>
      <c r="G261" s="133" t="s">
        <v>1094</v>
      </c>
      <c r="H261" s="144" t="s">
        <v>1093</v>
      </c>
      <c r="I261" s="133" t="s">
        <v>1092</v>
      </c>
      <c r="J261" s="133"/>
      <c r="K261" s="143"/>
      <c r="L261" s="133"/>
      <c r="M261" s="142"/>
      <c r="N261" s="142">
        <f>+F261</f>
        <v>850</v>
      </c>
      <c r="O261" s="141"/>
      <c r="P261" s="140">
        <f>+N261-O261</f>
        <v>850</v>
      </c>
      <c r="Q261" s="132"/>
      <c r="R261" s="132"/>
      <c r="S261" s="132"/>
      <c r="T261" s="132"/>
      <c r="U261" s="132"/>
    </row>
    <row r="262" spans="1:21" ht="14.5" x14ac:dyDescent="0.35">
      <c r="A262" s="146"/>
      <c r="B262" s="143"/>
      <c r="C262" s="344"/>
      <c r="D262" s="344"/>
      <c r="E262" s="343"/>
      <c r="F262" s="145"/>
      <c r="G262" s="133"/>
      <c r="H262" s="144"/>
      <c r="I262" s="133"/>
      <c r="J262" s="133"/>
      <c r="K262" s="143"/>
      <c r="L262" s="133"/>
      <c r="M262" s="142"/>
      <c r="N262" s="142"/>
      <c r="O262" s="141"/>
      <c r="P262" s="140"/>
      <c r="Q262" s="132"/>
      <c r="R262" s="132"/>
      <c r="S262" s="132"/>
      <c r="T262" s="132"/>
      <c r="U262" s="132"/>
    </row>
    <row r="263" spans="1:21" ht="14.5" x14ac:dyDescent="0.35">
      <c r="A263" s="146"/>
      <c r="B263" s="143"/>
      <c r="C263" s="279"/>
      <c r="D263" s="279"/>
      <c r="E263" s="148"/>
      <c r="F263" s="145"/>
      <c r="G263" s="133"/>
      <c r="H263" s="144"/>
      <c r="I263" s="133"/>
      <c r="J263" s="133"/>
      <c r="K263" s="143"/>
      <c r="L263" s="133"/>
      <c r="M263" s="142"/>
      <c r="N263" s="142"/>
      <c r="O263" s="141"/>
      <c r="P263" s="140"/>
      <c r="Q263" s="132"/>
      <c r="R263" s="132"/>
      <c r="S263" s="132"/>
      <c r="T263" s="132"/>
      <c r="U263" s="132"/>
    </row>
    <row r="264" spans="1:21" ht="14.5" x14ac:dyDescent="0.35">
      <c r="A264" s="156"/>
      <c r="B264" s="152"/>
      <c r="C264" s="283"/>
      <c r="D264" s="283"/>
      <c r="E264" s="155"/>
      <c r="F264" s="154"/>
      <c r="G264" s="151"/>
      <c r="H264" s="153"/>
      <c r="I264" s="151"/>
      <c r="J264" s="151"/>
      <c r="K264" s="152"/>
      <c r="L264" s="151"/>
      <c r="M264" s="150"/>
      <c r="N264" s="150"/>
      <c r="O264" s="141"/>
      <c r="P264" s="140"/>
      <c r="Q264" s="132"/>
      <c r="R264" s="132"/>
      <c r="S264" s="132"/>
      <c r="T264" s="132"/>
      <c r="U264" s="132"/>
    </row>
    <row r="265" spans="1:21" ht="14.5" x14ac:dyDescent="0.35">
      <c r="A265" s="146"/>
      <c r="B265" s="143"/>
      <c r="C265" s="279"/>
      <c r="D265" s="279"/>
      <c r="E265" s="148"/>
      <c r="F265" s="145"/>
      <c r="G265" s="133"/>
      <c r="H265" s="144"/>
      <c r="I265" s="133"/>
      <c r="J265" s="133"/>
      <c r="K265" s="143"/>
      <c r="L265" s="133"/>
      <c r="M265" s="142"/>
      <c r="N265" s="142"/>
      <c r="O265" s="141"/>
      <c r="P265" s="140"/>
      <c r="Q265" s="132"/>
      <c r="R265" s="132"/>
      <c r="S265" s="132"/>
      <c r="T265" s="132"/>
      <c r="U265" s="132"/>
    </row>
    <row r="266" spans="1:21" ht="14.5" x14ac:dyDescent="0.35">
      <c r="A266" s="146">
        <v>70</v>
      </c>
      <c r="B266" s="143">
        <v>46082</v>
      </c>
      <c r="C266" s="347" t="s">
        <v>1149</v>
      </c>
      <c r="D266" s="347" t="s">
        <v>2808</v>
      </c>
      <c r="E266" s="148" t="s">
        <v>1059</v>
      </c>
      <c r="F266" s="145">
        <v>27000</v>
      </c>
      <c r="G266" s="133" t="s">
        <v>1094</v>
      </c>
      <c r="H266" s="144" t="s">
        <v>1093</v>
      </c>
      <c r="I266" s="133" t="s">
        <v>1092</v>
      </c>
      <c r="J266" s="133"/>
      <c r="K266" s="143"/>
      <c r="L266" s="133"/>
      <c r="M266" s="142"/>
      <c r="N266" s="142">
        <f>+F266</f>
        <v>27000</v>
      </c>
      <c r="O266" s="141">
        <f>+F266*4%</f>
        <v>1080</v>
      </c>
      <c r="P266" s="140">
        <f>+N266-O266</f>
        <v>25920</v>
      </c>
      <c r="Q266" s="132"/>
      <c r="R266" s="132"/>
      <c r="S266" s="132"/>
      <c r="T266" s="132"/>
      <c r="U266" s="132"/>
    </row>
    <row r="267" spans="1:21" ht="14.5" x14ac:dyDescent="0.35">
      <c r="A267" s="146"/>
      <c r="B267" s="143"/>
      <c r="C267" s="279"/>
      <c r="D267" s="279"/>
      <c r="E267" s="148"/>
      <c r="F267" s="145"/>
      <c r="G267" s="133"/>
      <c r="H267" s="144"/>
      <c r="I267" s="133"/>
      <c r="J267" s="133"/>
      <c r="K267" s="143"/>
      <c r="L267" s="133"/>
      <c r="M267" s="142"/>
      <c r="N267" s="142"/>
      <c r="O267" s="141"/>
      <c r="P267" s="140"/>
      <c r="Q267" s="132"/>
      <c r="R267" s="132"/>
      <c r="S267" s="132"/>
      <c r="T267" s="132"/>
      <c r="U267" s="132"/>
    </row>
    <row r="268" spans="1:21" ht="14.5" x14ac:dyDescent="0.35">
      <c r="A268" s="146">
        <v>71</v>
      </c>
      <c r="B268" s="143">
        <v>46082</v>
      </c>
      <c r="C268" s="347" t="s">
        <v>1145</v>
      </c>
      <c r="D268" s="347" t="s">
        <v>2810</v>
      </c>
      <c r="E268" s="148" t="s">
        <v>1059</v>
      </c>
      <c r="F268" s="145">
        <v>24750</v>
      </c>
      <c r="G268" s="133" t="s">
        <v>1094</v>
      </c>
      <c r="H268" s="144" t="s">
        <v>1093</v>
      </c>
      <c r="I268" s="133" t="s">
        <v>1092</v>
      </c>
      <c r="J268" s="133"/>
      <c r="K268" s="143"/>
      <c r="L268" s="133"/>
      <c r="M268" s="142"/>
      <c r="N268" s="142">
        <f>+F268</f>
        <v>24750</v>
      </c>
      <c r="O268" s="141">
        <f>+F268*4%</f>
        <v>990</v>
      </c>
      <c r="P268" s="140">
        <f>+N268-O268</f>
        <v>23760</v>
      </c>
      <c r="Q268" s="132"/>
      <c r="R268" s="132"/>
      <c r="S268" s="132"/>
      <c r="T268" s="132"/>
      <c r="U268" s="132"/>
    </row>
    <row r="269" spans="1:21" ht="14.5" x14ac:dyDescent="0.35">
      <c r="A269" s="146"/>
      <c r="B269" s="143"/>
      <c r="C269" s="279"/>
      <c r="D269" s="279"/>
      <c r="E269" s="148"/>
      <c r="F269" s="145"/>
      <c r="G269" s="133"/>
      <c r="H269" s="144"/>
      <c r="I269" s="133"/>
      <c r="J269" s="133"/>
      <c r="K269" s="143"/>
      <c r="L269" s="133"/>
      <c r="M269" s="142"/>
      <c r="N269" s="142"/>
      <c r="O269" s="141"/>
      <c r="P269" s="140"/>
      <c r="Q269" s="132"/>
      <c r="R269" s="132"/>
      <c r="S269" s="132"/>
      <c r="T269" s="132"/>
      <c r="U269" s="132"/>
    </row>
    <row r="270" spans="1:21" ht="14.5" x14ac:dyDescent="0.35">
      <c r="A270" s="146">
        <v>72</v>
      </c>
      <c r="B270" s="143">
        <v>46082</v>
      </c>
      <c r="C270" s="347" t="s">
        <v>2806</v>
      </c>
      <c r="D270" s="347" t="s">
        <v>2810</v>
      </c>
      <c r="E270" s="148" t="s">
        <v>1059</v>
      </c>
      <c r="F270" s="145">
        <v>24750</v>
      </c>
      <c r="G270" s="133" t="s">
        <v>1094</v>
      </c>
      <c r="H270" s="144" t="s">
        <v>1093</v>
      </c>
      <c r="I270" s="133" t="s">
        <v>1092</v>
      </c>
      <c r="J270" s="133"/>
      <c r="K270" s="143"/>
      <c r="L270" s="133"/>
      <c r="M270" s="142"/>
      <c r="N270" s="142">
        <f>+F270</f>
        <v>24750</v>
      </c>
      <c r="O270" s="141">
        <f>+F270*4%</f>
        <v>990</v>
      </c>
      <c r="P270" s="140">
        <f>+N270-O270</f>
        <v>23760</v>
      </c>
      <c r="Q270" s="132"/>
      <c r="R270" s="132"/>
      <c r="S270" s="132"/>
      <c r="T270" s="132"/>
      <c r="U270" s="132"/>
    </row>
    <row r="271" spans="1:21" ht="14.5" x14ac:dyDescent="0.35">
      <c r="A271" s="146"/>
      <c r="B271" s="143"/>
      <c r="C271" s="279"/>
      <c r="D271" s="279"/>
      <c r="E271" s="148"/>
      <c r="F271" s="145"/>
      <c r="G271" s="133"/>
      <c r="H271" s="144"/>
      <c r="I271" s="133"/>
      <c r="J271" s="133"/>
      <c r="K271" s="143"/>
      <c r="L271" s="133"/>
      <c r="M271" s="142"/>
      <c r="N271" s="142"/>
      <c r="O271" s="141"/>
      <c r="P271" s="140"/>
      <c r="Q271" s="132"/>
      <c r="R271" s="132"/>
      <c r="S271" s="132"/>
      <c r="T271" s="132"/>
      <c r="U271" s="132"/>
    </row>
    <row r="272" spans="1:21" ht="14.5" x14ac:dyDescent="0.35">
      <c r="A272" s="146">
        <v>73</v>
      </c>
      <c r="B272" s="143">
        <v>46082</v>
      </c>
      <c r="C272" s="347" t="s">
        <v>2805</v>
      </c>
      <c r="D272" s="347" t="s">
        <v>2810</v>
      </c>
      <c r="E272" s="148" t="s">
        <v>1059</v>
      </c>
      <c r="F272" s="145">
        <v>24750</v>
      </c>
      <c r="G272" s="133" t="s">
        <v>1094</v>
      </c>
      <c r="H272" s="144" t="s">
        <v>1093</v>
      </c>
      <c r="I272" s="133" t="s">
        <v>1092</v>
      </c>
      <c r="J272" s="133"/>
      <c r="K272" s="143"/>
      <c r="L272" s="133"/>
      <c r="M272" s="142"/>
      <c r="N272" s="142">
        <f>+F272</f>
        <v>24750</v>
      </c>
      <c r="O272" s="141">
        <f>+F272*4%</f>
        <v>990</v>
      </c>
      <c r="P272" s="140">
        <f>+N272-O272</f>
        <v>23760</v>
      </c>
      <c r="Q272" s="132"/>
      <c r="R272" s="132"/>
      <c r="S272" s="132"/>
      <c r="T272" s="132"/>
      <c r="U272" s="132"/>
    </row>
    <row r="273" spans="1:21" ht="14.5" x14ac:dyDescent="0.35">
      <c r="A273" s="146"/>
      <c r="B273" s="143"/>
      <c r="C273" s="279"/>
      <c r="D273" s="279"/>
      <c r="E273" s="148"/>
      <c r="F273" s="145"/>
      <c r="G273" s="133"/>
      <c r="H273" s="144"/>
      <c r="I273" s="133"/>
      <c r="J273" s="133"/>
      <c r="K273" s="143"/>
      <c r="L273" s="133"/>
      <c r="M273" s="142"/>
      <c r="N273" s="142"/>
      <c r="O273" s="141"/>
      <c r="P273" s="140"/>
      <c r="Q273" s="132"/>
      <c r="R273" s="132"/>
      <c r="S273" s="132"/>
      <c r="T273" s="132"/>
      <c r="U273" s="132"/>
    </row>
    <row r="274" spans="1:21" ht="14.5" x14ac:dyDescent="0.35">
      <c r="A274" s="146">
        <v>74</v>
      </c>
      <c r="B274" s="143">
        <v>46082</v>
      </c>
      <c r="C274" s="365" t="s">
        <v>2827</v>
      </c>
      <c r="D274" s="365" t="s">
        <v>2830</v>
      </c>
      <c r="E274" s="349" t="s">
        <v>1071</v>
      </c>
      <c r="F274" s="145">
        <v>525</v>
      </c>
      <c r="G274" s="133" t="s">
        <v>1094</v>
      </c>
      <c r="H274" s="144" t="s">
        <v>1093</v>
      </c>
      <c r="I274" s="133" t="s">
        <v>1092</v>
      </c>
      <c r="J274" s="133"/>
      <c r="K274" s="143"/>
      <c r="L274" s="133"/>
      <c r="M274" s="142"/>
      <c r="N274" s="142">
        <f>+F274</f>
        <v>525</v>
      </c>
      <c r="O274" s="141"/>
      <c r="P274" s="140">
        <f>+N274-O274</f>
        <v>525</v>
      </c>
      <c r="Q274" s="132"/>
      <c r="R274" s="132"/>
      <c r="S274" s="132"/>
      <c r="T274" s="132"/>
      <c r="U274" s="132"/>
    </row>
    <row r="275" spans="1:21" ht="14.5" x14ac:dyDescent="0.35">
      <c r="A275" s="146"/>
      <c r="B275" s="143"/>
      <c r="C275" s="279"/>
      <c r="D275" s="279"/>
      <c r="E275" s="148"/>
      <c r="F275" s="145"/>
      <c r="G275" s="133"/>
      <c r="H275" s="144"/>
      <c r="I275" s="133"/>
      <c r="J275" s="133"/>
      <c r="K275" s="143"/>
      <c r="L275" s="133"/>
      <c r="M275" s="142"/>
      <c r="N275" s="142"/>
      <c r="O275" s="141"/>
      <c r="P275" s="140"/>
      <c r="Q275" s="132"/>
      <c r="R275" s="132"/>
      <c r="S275" s="132"/>
      <c r="T275" s="132"/>
      <c r="U275" s="132"/>
    </row>
    <row r="276" spans="1:21" ht="14.5" x14ac:dyDescent="0.35">
      <c r="A276" s="146">
        <v>75</v>
      </c>
      <c r="B276" s="143">
        <v>46082</v>
      </c>
      <c r="C276" s="365" t="s">
        <v>2831</v>
      </c>
      <c r="D276" s="365" t="s">
        <v>2830</v>
      </c>
      <c r="E276" s="349" t="s">
        <v>1071</v>
      </c>
      <c r="F276" s="145">
        <v>932.8</v>
      </c>
      <c r="G276" s="133" t="s">
        <v>1094</v>
      </c>
      <c r="H276" s="144" t="s">
        <v>1093</v>
      </c>
      <c r="I276" s="133" t="s">
        <v>1092</v>
      </c>
      <c r="J276" s="133"/>
      <c r="K276" s="143"/>
      <c r="L276" s="133"/>
      <c r="M276" s="142"/>
      <c r="N276" s="142">
        <f>+F276</f>
        <v>932.8</v>
      </c>
      <c r="O276" s="141"/>
      <c r="P276" s="140">
        <f>+N276-O276</f>
        <v>932.8</v>
      </c>
      <c r="Q276" s="132"/>
      <c r="R276" s="132"/>
      <c r="S276" s="132"/>
      <c r="T276" s="132"/>
      <c r="U276" s="132"/>
    </row>
    <row r="277" spans="1:21" ht="14.5" x14ac:dyDescent="0.35">
      <c r="A277" s="146"/>
      <c r="B277" s="143"/>
      <c r="C277" s="279"/>
      <c r="D277" s="279"/>
      <c r="E277" s="148"/>
      <c r="F277" s="145"/>
      <c r="G277" s="133"/>
      <c r="H277" s="144"/>
      <c r="I277" s="133"/>
      <c r="J277" s="133"/>
      <c r="K277" s="143"/>
      <c r="L277" s="133"/>
      <c r="M277" s="142"/>
      <c r="N277" s="142"/>
      <c r="O277" s="141"/>
      <c r="P277" s="140"/>
      <c r="Q277" s="132"/>
      <c r="R277" s="132"/>
      <c r="S277" s="132"/>
      <c r="T277" s="132"/>
      <c r="U277" s="132"/>
    </row>
    <row r="278" spans="1:21" ht="14.5" x14ac:dyDescent="0.35">
      <c r="A278" s="146">
        <v>76</v>
      </c>
      <c r="B278" s="143">
        <v>46082</v>
      </c>
      <c r="C278" s="370" t="s">
        <v>2839</v>
      </c>
      <c r="D278" s="370" t="s">
        <v>2842</v>
      </c>
      <c r="E278" s="349" t="s">
        <v>1071</v>
      </c>
      <c r="F278" s="145">
        <v>198.3</v>
      </c>
      <c r="G278" s="133" t="s">
        <v>1094</v>
      </c>
      <c r="H278" s="144" t="s">
        <v>1093</v>
      </c>
      <c r="I278" s="133" t="s">
        <v>1092</v>
      </c>
      <c r="J278" s="133"/>
      <c r="K278" s="143"/>
      <c r="L278" s="133"/>
      <c r="M278" s="142"/>
      <c r="N278" s="142">
        <f>+F278</f>
        <v>198.3</v>
      </c>
      <c r="O278" s="141"/>
      <c r="P278" s="140">
        <f>+N278-O278</f>
        <v>198.3</v>
      </c>
      <c r="Q278" s="132"/>
      <c r="R278" s="132"/>
      <c r="S278" s="132"/>
      <c r="T278" s="132"/>
      <c r="U278" s="132"/>
    </row>
    <row r="279" spans="1:21" ht="14.5" x14ac:dyDescent="0.35">
      <c r="A279" s="146"/>
      <c r="B279" s="143"/>
      <c r="C279" s="365"/>
      <c r="D279" s="365"/>
      <c r="E279" s="349"/>
      <c r="F279" s="145"/>
      <c r="G279" s="133"/>
      <c r="H279" s="144"/>
      <c r="I279" s="133"/>
      <c r="J279" s="133"/>
      <c r="K279" s="143"/>
      <c r="L279" s="133"/>
      <c r="M279" s="142"/>
      <c r="N279" s="142"/>
      <c r="O279" s="141"/>
      <c r="P279" s="140"/>
      <c r="Q279" s="132"/>
      <c r="R279" s="132"/>
      <c r="S279" s="132"/>
      <c r="T279" s="132"/>
      <c r="U279" s="132"/>
    </row>
    <row r="280" spans="1:21" ht="14.5" x14ac:dyDescent="0.35">
      <c r="A280" s="146">
        <v>77</v>
      </c>
      <c r="B280" s="143">
        <v>46082</v>
      </c>
      <c r="C280" s="370" t="s">
        <v>2841</v>
      </c>
      <c r="D280" s="370" t="s">
        <v>2844</v>
      </c>
      <c r="E280" s="373" t="s">
        <v>46</v>
      </c>
      <c r="F280" s="145">
        <v>3000</v>
      </c>
      <c r="G280" s="133" t="s">
        <v>1094</v>
      </c>
      <c r="H280" s="144" t="s">
        <v>1093</v>
      </c>
      <c r="I280" s="133" t="s">
        <v>1092</v>
      </c>
      <c r="J280" s="133"/>
      <c r="K280" s="143"/>
      <c r="L280" s="133"/>
      <c r="M280" s="142"/>
      <c r="N280" s="142">
        <f>+F280</f>
        <v>3000</v>
      </c>
      <c r="O280" s="141"/>
      <c r="P280" s="140">
        <f>+N280-O280</f>
        <v>3000</v>
      </c>
      <c r="Q280" s="132"/>
      <c r="R280" s="132"/>
      <c r="S280" s="132"/>
      <c r="T280" s="132"/>
      <c r="U280" s="132"/>
    </row>
    <row r="281" spans="1:21" ht="14.5" x14ac:dyDescent="0.35">
      <c r="A281" s="146"/>
      <c r="B281" s="143"/>
      <c r="C281" s="365"/>
      <c r="D281" s="365"/>
      <c r="E281" s="349"/>
      <c r="F281" s="145"/>
      <c r="G281" s="133"/>
      <c r="H281" s="144"/>
      <c r="I281" s="133"/>
      <c r="J281" s="133"/>
      <c r="K281" s="143"/>
      <c r="L281" s="133"/>
      <c r="M281" s="142"/>
      <c r="N281" s="142"/>
      <c r="O281" s="141"/>
      <c r="P281" s="140"/>
      <c r="Q281" s="132"/>
      <c r="R281" s="132"/>
      <c r="S281" s="132"/>
      <c r="T281" s="132"/>
      <c r="U281" s="132"/>
    </row>
    <row r="282" spans="1:21" ht="14.5" x14ac:dyDescent="0.35">
      <c r="A282" s="156"/>
      <c r="B282" s="152"/>
      <c r="C282" s="283"/>
      <c r="D282" s="283"/>
      <c r="E282" s="155"/>
      <c r="F282" s="154"/>
      <c r="G282" s="151"/>
      <c r="H282" s="153"/>
      <c r="I282" s="151"/>
      <c r="J282" s="151"/>
      <c r="K282" s="152"/>
      <c r="L282" s="151"/>
      <c r="M282" s="150"/>
      <c r="N282" s="150"/>
      <c r="O282" s="141"/>
      <c r="P282" s="140"/>
      <c r="Q282" s="132"/>
      <c r="R282" s="132"/>
      <c r="S282" s="132"/>
      <c r="T282" s="132"/>
      <c r="U282" s="132"/>
    </row>
    <row r="283" spans="1:21" ht="14.5" x14ac:dyDescent="0.35">
      <c r="A283" s="146"/>
      <c r="B283" s="143"/>
      <c r="C283" s="279"/>
      <c r="D283" s="279"/>
      <c r="E283" s="148"/>
      <c r="F283" s="145"/>
      <c r="G283" s="133"/>
      <c r="H283" s="144"/>
      <c r="I283" s="133"/>
      <c r="J283" s="133"/>
      <c r="K283" s="143"/>
      <c r="L283" s="133"/>
      <c r="M283" s="142"/>
      <c r="N283" s="142"/>
      <c r="O283" s="141"/>
      <c r="P283" s="140"/>
      <c r="Q283" s="132"/>
      <c r="R283" s="132"/>
      <c r="S283" s="132"/>
      <c r="T283" s="132"/>
      <c r="U283" s="132"/>
    </row>
    <row r="284" spans="1:21" ht="14.5" x14ac:dyDescent="0.35">
      <c r="A284" s="146">
        <v>1</v>
      </c>
      <c r="B284" s="143">
        <v>46113</v>
      </c>
      <c r="C284" s="388" t="s">
        <v>2885</v>
      </c>
      <c r="D284" s="388" t="s">
        <v>2886</v>
      </c>
      <c r="E284" s="323" t="s">
        <v>2761</v>
      </c>
      <c r="F284" s="145">
        <v>6575</v>
      </c>
      <c r="G284" s="133" t="s">
        <v>1094</v>
      </c>
      <c r="H284" s="144" t="s">
        <v>1093</v>
      </c>
      <c r="I284" s="133" t="s">
        <v>1092</v>
      </c>
      <c r="J284" s="133"/>
      <c r="K284" s="143"/>
      <c r="L284" s="133"/>
      <c r="M284" s="142"/>
      <c r="N284" s="142">
        <f>+F284</f>
        <v>6575</v>
      </c>
      <c r="O284" s="141"/>
      <c r="P284" s="140">
        <f>+N284-O284</f>
        <v>6575</v>
      </c>
      <c r="Q284" s="132"/>
      <c r="R284" s="132"/>
      <c r="S284" s="132"/>
      <c r="T284" s="132"/>
      <c r="U284" s="132"/>
    </row>
    <row r="285" spans="1:21" ht="14.5" x14ac:dyDescent="0.35">
      <c r="A285" s="146"/>
      <c r="B285" s="143"/>
      <c r="C285" s="388"/>
      <c r="D285" s="388"/>
      <c r="E285" s="323"/>
      <c r="F285" s="145"/>
      <c r="G285" s="133"/>
      <c r="H285" s="144"/>
      <c r="I285" s="133"/>
      <c r="J285" s="133"/>
      <c r="K285" s="143"/>
      <c r="L285" s="133"/>
      <c r="M285" s="142"/>
      <c r="N285" s="142"/>
      <c r="O285" s="141"/>
      <c r="P285" s="140"/>
      <c r="Q285" s="132"/>
      <c r="R285" s="132"/>
      <c r="S285" s="132"/>
      <c r="T285" s="132"/>
      <c r="U285" s="132"/>
    </row>
    <row r="286" spans="1:21" ht="14.5" x14ac:dyDescent="0.35">
      <c r="A286" s="156"/>
      <c r="B286" s="152"/>
      <c r="C286" s="443"/>
      <c r="D286" s="443"/>
      <c r="E286" s="444"/>
      <c r="F286" s="154"/>
      <c r="G286" s="151"/>
      <c r="H286" s="153"/>
      <c r="I286" s="151"/>
      <c r="J286" s="151"/>
      <c r="K286" s="152"/>
      <c r="L286" s="151"/>
      <c r="M286" s="150"/>
      <c r="N286" s="150"/>
      <c r="O286" s="141"/>
      <c r="P286" s="140"/>
      <c r="Q286" s="132"/>
      <c r="R286" s="132"/>
      <c r="S286" s="132"/>
      <c r="T286" s="132"/>
      <c r="U286" s="132"/>
    </row>
    <row r="287" spans="1:21" ht="14.5" x14ac:dyDescent="0.35">
      <c r="A287" s="146"/>
      <c r="B287" s="143"/>
      <c r="C287" s="279"/>
      <c r="D287" s="279"/>
      <c r="E287" s="148"/>
      <c r="F287" s="145"/>
      <c r="G287" s="133"/>
      <c r="H287" s="144"/>
      <c r="I287" s="133"/>
      <c r="J287" s="133"/>
      <c r="K287" s="143"/>
      <c r="L287" s="133"/>
      <c r="M287" s="142"/>
      <c r="N287" s="142"/>
      <c r="O287" s="141"/>
      <c r="P287" s="140"/>
      <c r="Q287" s="132"/>
      <c r="R287" s="132"/>
      <c r="S287" s="132"/>
      <c r="T287" s="132"/>
      <c r="U287" s="132"/>
    </row>
    <row r="288" spans="1:21" ht="14.5" x14ac:dyDescent="0.35">
      <c r="A288" s="146">
        <v>2</v>
      </c>
      <c r="B288" s="143">
        <v>46174</v>
      </c>
      <c r="C288" s="442" t="s">
        <v>1324</v>
      </c>
      <c r="D288" s="442" t="s">
        <v>2979</v>
      </c>
      <c r="E288" s="323" t="s">
        <v>2761</v>
      </c>
      <c r="F288" s="145">
        <v>3000</v>
      </c>
      <c r="G288" s="133" t="s">
        <v>1094</v>
      </c>
      <c r="H288" s="144" t="s">
        <v>1093</v>
      </c>
      <c r="I288" s="133" t="s">
        <v>1092</v>
      </c>
      <c r="J288" s="133"/>
      <c r="K288" s="143"/>
      <c r="L288" s="133"/>
      <c r="M288" s="142"/>
      <c r="N288" s="142">
        <f>+F288</f>
        <v>3000</v>
      </c>
      <c r="O288" s="141"/>
      <c r="P288" s="140">
        <f>+N288-O288</f>
        <v>3000</v>
      </c>
      <c r="Q288" s="132"/>
      <c r="R288" s="132"/>
      <c r="S288" s="132"/>
      <c r="T288" s="132"/>
      <c r="U288" s="132"/>
    </row>
    <row r="289" spans="1:21" ht="14.5" x14ac:dyDescent="0.35">
      <c r="A289" s="146"/>
      <c r="B289" s="143"/>
      <c r="C289" s="442"/>
      <c r="D289" s="442"/>
      <c r="E289" s="323"/>
      <c r="F289" s="145"/>
      <c r="G289" s="133"/>
      <c r="H289" s="144"/>
      <c r="I289" s="133"/>
      <c r="J289" s="133"/>
      <c r="K289" s="143"/>
      <c r="L289" s="133"/>
      <c r="M289" s="142"/>
      <c r="N289" s="142"/>
      <c r="O289" s="141"/>
      <c r="P289" s="140"/>
      <c r="Q289" s="132"/>
      <c r="R289" s="132"/>
      <c r="S289" s="132"/>
      <c r="T289" s="132"/>
      <c r="U289" s="132"/>
    </row>
    <row r="290" spans="1:21" ht="14.5" x14ac:dyDescent="0.35">
      <c r="A290" s="146">
        <v>3</v>
      </c>
      <c r="B290" s="143">
        <v>46174</v>
      </c>
      <c r="C290" s="455" t="s">
        <v>2990</v>
      </c>
      <c r="D290" s="455" t="s">
        <v>2991</v>
      </c>
      <c r="E290" s="323" t="s">
        <v>2761</v>
      </c>
      <c r="F290" s="145">
        <v>3000</v>
      </c>
      <c r="G290" s="133" t="s">
        <v>1094</v>
      </c>
      <c r="H290" s="144" t="s">
        <v>1093</v>
      </c>
      <c r="I290" s="133" t="s">
        <v>1092</v>
      </c>
      <c r="J290" s="133"/>
      <c r="K290" s="143"/>
      <c r="L290" s="133"/>
      <c r="M290" s="142"/>
      <c r="N290" s="142">
        <f>+F290</f>
        <v>3000</v>
      </c>
      <c r="O290" s="141"/>
      <c r="P290" s="140">
        <f>+N290-O290</f>
        <v>3000</v>
      </c>
      <c r="Q290" s="132"/>
      <c r="R290" s="132"/>
      <c r="S290" s="132"/>
      <c r="T290" s="132"/>
      <c r="U290" s="132"/>
    </row>
    <row r="291" spans="1:21" ht="14.5" x14ac:dyDescent="0.35">
      <c r="A291" s="146"/>
      <c r="B291" s="143"/>
      <c r="C291" s="442"/>
      <c r="D291" s="442"/>
      <c r="E291" s="323"/>
      <c r="F291" s="145"/>
      <c r="G291" s="133"/>
      <c r="H291" s="144"/>
      <c r="I291" s="133"/>
      <c r="J291" s="133"/>
      <c r="K291" s="143"/>
      <c r="L291" s="133"/>
      <c r="M291" s="142"/>
      <c r="N291" s="142"/>
      <c r="O291" s="141"/>
      <c r="P291" s="140"/>
      <c r="Q291" s="132"/>
      <c r="R291" s="132"/>
      <c r="S291" s="132"/>
      <c r="T291" s="132"/>
      <c r="U291" s="132"/>
    </row>
    <row r="292" spans="1:21" ht="14.5" x14ac:dyDescent="0.35">
      <c r="A292" s="146">
        <v>4</v>
      </c>
      <c r="B292" s="143">
        <v>46174</v>
      </c>
      <c r="C292" s="459" t="s">
        <v>2997</v>
      </c>
      <c r="D292" s="459" t="s">
        <v>2998</v>
      </c>
      <c r="E292" s="323" t="s">
        <v>2761</v>
      </c>
      <c r="F292" s="145">
        <v>2000</v>
      </c>
      <c r="G292" s="133" t="s">
        <v>1094</v>
      </c>
      <c r="H292" s="144" t="s">
        <v>1093</v>
      </c>
      <c r="I292" s="133" t="s">
        <v>1092</v>
      </c>
      <c r="J292" s="133"/>
      <c r="K292" s="143"/>
      <c r="L292" s="133"/>
      <c r="M292" s="142"/>
      <c r="N292" s="142">
        <f>+F292</f>
        <v>2000</v>
      </c>
      <c r="O292" s="141"/>
      <c r="P292" s="140">
        <f>+N292-O292</f>
        <v>2000</v>
      </c>
      <c r="Q292" s="132"/>
      <c r="R292" s="132"/>
      <c r="S292" s="132"/>
      <c r="T292" s="132"/>
      <c r="U292" s="132"/>
    </row>
    <row r="293" spans="1:21" ht="14.5" x14ac:dyDescent="0.35">
      <c r="A293" s="146"/>
      <c r="B293" s="143"/>
      <c r="C293" s="459"/>
      <c r="D293" s="459"/>
      <c r="E293" s="323"/>
      <c r="F293" s="145"/>
      <c r="G293" s="133"/>
      <c r="H293" s="144"/>
      <c r="I293" s="133"/>
      <c r="J293" s="133"/>
      <c r="K293" s="143"/>
      <c r="L293" s="133"/>
      <c r="M293" s="142"/>
      <c r="N293" s="142"/>
      <c r="O293" s="141"/>
      <c r="P293" s="140"/>
      <c r="Q293" s="132"/>
      <c r="R293" s="132"/>
      <c r="S293" s="132"/>
      <c r="T293" s="132"/>
      <c r="U293" s="132"/>
    </row>
    <row r="294" spans="1:21" ht="14.5" x14ac:dyDescent="0.35">
      <c r="A294" s="146">
        <v>5</v>
      </c>
      <c r="B294" s="143">
        <v>46174</v>
      </c>
      <c r="C294" s="463" t="s">
        <v>3001</v>
      </c>
      <c r="D294" s="463" t="s">
        <v>3002</v>
      </c>
      <c r="E294" s="349" t="s">
        <v>1071</v>
      </c>
      <c r="F294" s="145">
        <v>115.7</v>
      </c>
      <c r="G294" s="133" t="s">
        <v>1094</v>
      </c>
      <c r="H294" s="144" t="s">
        <v>1093</v>
      </c>
      <c r="I294" s="133" t="s">
        <v>1092</v>
      </c>
      <c r="J294" s="133"/>
      <c r="K294" s="143"/>
      <c r="L294" s="133"/>
      <c r="M294" s="142"/>
      <c r="N294" s="142">
        <f>+F294</f>
        <v>115.7</v>
      </c>
      <c r="O294" s="141"/>
      <c r="P294" s="140">
        <f>+N294-O294</f>
        <v>115.7</v>
      </c>
      <c r="Q294" s="132"/>
      <c r="R294" s="132"/>
      <c r="S294" s="132"/>
      <c r="T294" s="132"/>
      <c r="U294" s="132"/>
    </row>
    <row r="295" spans="1:21" ht="14.5" x14ac:dyDescent="0.35">
      <c r="A295" s="146"/>
      <c r="B295" s="143"/>
      <c r="C295" s="463"/>
      <c r="D295" s="463"/>
      <c r="E295" s="349"/>
      <c r="F295" s="145"/>
      <c r="G295" s="133"/>
      <c r="H295" s="144"/>
      <c r="I295" s="133"/>
      <c r="J295" s="133"/>
      <c r="K295" s="143"/>
      <c r="L295" s="133"/>
      <c r="M295" s="142"/>
      <c r="N295" s="142"/>
      <c r="O295" s="141"/>
      <c r="P295" s="140"/>
      <c r="Q295" s="132"/>
      <c r="R295" s="132"/>
      <c r="S295" s="132"/>
      <c r="T295" s="132"/>
      <c r="U295" s="132"/>
    </row>
    <row r="296" spans="1:21" ht="14.5" x14ac:dyDescent="0.35">
      <c r="A296" s="156"/>
      <c r="B296" s="152"/>
      <c r="C296" s="479"/>
      <c r="D296" s="479"/>
      <c r="E296" s="480"/>
      <c r="F296" s="154"/>
      <c r="G296" s="151"/>
      <c r="H296" s="153"/>
      <c r="I296" s="151"/>
      <c r="J296" s="151"/>
      <c r="K296" s="152"/>
      <c r="L296" s="151"/>
      <c r="M296" s="150"/>
      <c r="N296" s="150"/>
      <c r="O296" s="141"/>
      <c r="P296" s="140"/>
      <c r="Q296" s="132"/>
      <c r="R296" s="132"/>
      <c r="S296" s="132"/>
      <c r="T296" s="132"/>
      <c r="U296" s="132"/>
    </row>
    <row r="297" spans="1:21" ht="14.5" x14ac:dyDescent="0.35">
      <c r="A297" s="146"/>
      <c r="B297" s="143"/>
      <c r="C297" s="463"/>
      <c r="D297" s="463"/>
      <c r="E297" s="349"/>
      <c r="F297" s="145"/>
      <c r="G297" s="133"/>
      <c r="H297" s="144"/>
      <c r="I297" s="133"/>
      <c r="J297" s="133"/>
      <c r="K297" s="143"/>
      <c r="L297" s="133"/>
      <c r="M297" s="142"/>
      <c r="N297" s="142"/>
      <c r="O297" s="141"/>
      <c r="P297" s="140"/>
      <c r="Q297" s="132"/>
      <c r="R297" s="132"/>
      <c r="S297" s="132"/>
      <c r="T297" s="132"/>
      <c r="U297" s="132"/>
    </row>
    <row r="298" spans="1:21" ht="14.5" x14ac:dyDescent="0.35">
      <c r="A298" s="146">
        <v>6</v>
      </c>
      <c r="B298" s="143">
        <v>46204</v>
      </c>
      <c r="C298" s="476" t="s">
        <v>1315</v>
      </c>
      <c r="D298" s="476" t="s">
        <v>3093</v>
      </c>
      <c r="E298" s="481" t="s">
        <v>1953</v>
      </c>
      <c r="F298" s="145">
        <v>150</v>
      </c>
      <c r="G298" s="133" t="s">
        <v>1094</v>
      </c>
      <c r="H298" s="144" t="s">
        <v>1093</v>
      </c>
      <c r="I298" s="133" t="s">
        <v>1092</v>
      </c>
      <c r="J298" s="133"/>
      <c r="K298" s="143"/>
      <c r="L298" s="133"/>
      <c r="M298" s="142"/>
      <c r="N298" s="142">
        <f>+F298+F299</f>
        <v>2150</v>
      </c>
      <c r="O298" s="141">
        <f>+F299*4%</f>
        <v>80</v>
      </c>
      <c r="P298" s="140">
        <f>+N298-O298</f>
        <v>2070</v>
      </c>
      <c r="Q298" s="132"/>
      <c r="R298" s="132"/>
      <c r="S298" s="132"/>
      <c r="T298" s="132"/>
      <c r="U298" s="132"/>
    </row>
    <row r="299" spans="1:21" ht="14.5" x14ac:dyDescent="0.35">
      <c r="A299" s="146"/>
      <c r="B299" s="143"/>
      <c r="C299" s="463"/>
      <c r="D299" s="463"/>
      <c r="E299" s="148" t="s">
        <v>1059</v>
      </c>
      <c r="F299" s="145">
        <v>2000</v>
      </c>
      <c r="G299" s="133"/>
      <c r="H299" s="144"/>
      <c r="I299" s="133"/>
      <c r="J299" s="133"/>
      <c r="K299" s="143"/>
      <c r="L299" s="133"/>
      <c r="M299" s="142"/>
      <c r="N299" s="142"/>
      <c r="O299" s="141"/>
      <c r="P299" s="140"/>
      <c r="Q299" s="132"/>
      <c r="R299" s="132"/>
      <c r="S299" s="132"/>
      <c r="T299" s="132"/>
      <c r="U299" s="132"/>
    </row>
    <row r="300" spans="1:21" ht="14.5" x14ac:dyDescent="0.35">
      <c r="A300" s="146"/>
      <c r="B300" s="143"/>
      <c r="C300" s="463"/>
      <c r="D300" s="463"/>
      <c r="E300" s="349"/>
      <c r="F300" s="145"/>
      <c r="G300" s="133"/>
      <c r="H300" s="144"/>
      <c r="I300" s="133"/>
      <c r="J300" s="133"/>
      <c r="K300" s="143"/>
      <c r="L300" s="133"/>
      <c r="M300" s="142"/>
      <c r="N300" s="142"/>
      <c r="O300" s="141"/>
      <c r="P300" s="140"/>
      <c r="Q300" s="132"/>
      <c r="R300" s="132"/>
      <c r="S300" s="132"/>
      <c r="T300" s="132"/>
      <c r="U300" s="132"/>
    </row>
    <row r="301" spans="1:21" ht="14.5" x14ac:dyDescent="0.35">
      <c r="A301" s="146">
        <v>7</v>
      </c>
      <c r="B301" s="143">
        <v>46204</v>
      </c>
      <c r="C301" s="498" t="s">
        <v>3229</v>
      </c>
      <c r="D301" s="498" t="s">
        <v>3227</v>
      </c>
      <c r="E301" s="323" t="s">
        <v>2761</v>
      </c>
      <c r="F301" s="145">
        <v>1500</v>
      </c>
      <c r="G301" s="133" t="s">
        <v>1094</v>
      </c>
      <c r="H301" s="144" t="s">
        <v>1093</v>
      </c>
      <c r="I301" s="133" t="s">
        <v>1092</v>
      </c>
      <c r="J301" s="133"/>
      <c r="K301" s="143"/>
      <c r="L301" s="133"/>
      <c r="M301" s="142"/>
      <c r="N301" s="142">
        <f>+F301+F302</f>
        <v>1500</v>
      </c>
      <c r="O301" s="141"/>
      <c r="P301" s="140">
        <f>+N301-O301</f>
        <v>1500</v>
      </c>
      <c r="Q301" s="132"/>
      <c r="R301" s="132"/>
      <c r="S301" s="132"/>
      <c r="T301" s="132"/>
      <c r="U301" s="132"/>
    </row>
    <row r="302" spans="1:21" ht="14.5" x14ac:dyDescent="0.35">
      <c r="A302" s="146"/>
      <c r="B302" s="143"/>
      <c r="C302" s="459"/>
      <c r="D302" s="459"/>
      <c r="E302" s="323"/>
      <c r="F302" s="145"/>
      <c r="G302" s="133"/>
      <c r="H302" s="144"/>
      <c r="I302" s="133"/>
      <c r="J302" s="133"/>
      <c r="K302" s="143"/>
      <c r="L302" s="133"/>
      <c r="M302" s="142"/>
      <c r="N302" s="142"/>
      <c r="O302" s="141"/>
      <c r="P302" s="140"/>
      <c r="Q302" s="132"/>
      <c r="R302" s="132"/>
      <c r="S302" s="132"/>
      <c r="T302" s="132"/>
      <c r="U302" s="132"/>
    </row>
    <row r="303" spans="1:21" ht="14.5" x14ac:dyDescent="0.35">
      <c r="A303" s="146">
        <v>8</v>
      </c>
      <c r="B303" s="143">
        <v>46204</v>
      </c>
      <c r="C303" s="513" t="s">
        <v>3333</v>
      </c>
      <c r="D303" s="513" t="s">
        <v>3329</v>
      </c>
      <c r="E303" s="323" t="s">
        <v>2761</v>
      </c>
      <c r="F303" s="145">
        <v>2475</v>
      </c>
      <c r="G303" s="133" t="s">
        <v>1094</v>
      </c>
      <c r="H303" s="144" t="s">
        <v>1093</v>
      </c>
      <c r="I303" s="133" t="s">
        <v>1092</v>
      </c>
      <c r="J303" s="133"/>
      <c r="K303" s="143"/>
      <c r="L303" s="133"/>
      <c r="M303" s="142"/>
      <c r="N303" s="142">
        <f>+F303+F304</f>
        <v>7475</v>
      </c>
      <c r="O303" s="141">
        <f>+F304*4%</f>
        <v>200</v>
      </c>
      <c r="P303" s="140">
        <f>+N303-O303</f>
        <v>7275</v>
      </c>
      <c r="Q303" s="132"/>
      <c r="R303" s="132"/>
      <c r="S303" s="132"/>
      <c r="T303" s="132"/>
      <c r="U303" s="132"/>
    </row>
    <row r="304" spans="1:21" ht="14.5" x14ac:dyDescent="0.35">
      <c r="A304" s="146"/>
      <c r="B304" s="143"/>
      <c r="C304" s="459"/>
      <c r="D304" s="459"/>
      <c r="E304" s="148" t="s">
        <v>1059</v>
      </c>
      <c r="F304" s="145">
        <v>5000</v>
      </c>
      <c r="G304" s="133"/>
      <c r="H304" s="144"/>
      <c r="I304" s="133"/>
      <c r="J304" s="133"/>
      <c r="K304" s="143"/>
      <c r="L304" s="133"/>
      <c r="M304" s="142"/>
      <c r="N304" s="142"/>
      <c r="O304" s="141"/>
      <c r="P304" s="140"/>
      <c r="Q304" s="132"/>
      <c r="R304" s="132"/>
      <c r="S304" s="132"/>
      <c r="T304" s="132"/>
      <c r="U304" s="132"/>
    </row>
    <row r="305" spans="1:21" ht="14.5" x14ac:dyDescent="0.35">
      <c r="A305" s="146"/>
      <c r="B305" s="143"/>
      <c r="C305" s="459"/>
      <c r="D305" s="459"/>
      <c r="E305" s="323"/>
      <c r="F305" s="145"/>
      <c r="G305" s="133"/>
      <c r="H305" s="144"/>
      <c r="I305" s="133"/>
      <c r="J305" s="133"/>
      <c r="K305" s="143"/>
      <c r="L305" s="133"/>
      <c r="M305" s="142"/>
      <c r="N305" s="142"/>
      <c r="O305" s="141"/>
      <c r="P305" s="140"/>
      <c r="Q305" s="132"/>
      <c r="R305" s="132"/>
      <c r="S305" s="132"/>
      <c r="T305" s="132"/>
      <c r="U305" s="132"/>
    </row>
    <row r="306" spans="1:21" ht="14.5" x14ac:dyDescent="0.35">
      <c r="A306" s="146">
        <v>9</v>
      </c>
      <c r="B306" s="143">
        <v>46204</v>
      </c>
      <c r="C306" s="517" t="s">
        <v>1288</v>
      </c>
      <c r="D306" s="517" t="s">
        <v>3361</v>
      </c>
      <c r="E306" s="518" t="s">
        <v>2791</v>
      </c>
      <c r="F306" s="145">
        <v>2000</v>
      </c>
      <c r="G306" s="133" t="s">
        <v>1094</v>
      </c>
      <c r="H306" s="144" t="s">
        <v>1093</v>
      </c>
      <c r="I306" s="133" t="s">
        <v>1092</v>
      </c>
      <c r="J306" s="133"/>
      <c r="K306" s="143"/>
      <c r="L306" s="133"/>
      <c r="M306" s="142"/>
      <c r="N306" s="142">
        <f>+F306+F307</f>
        <v>2000</v>
      </c>
      <c r="O306" s="141"/>
      <c r="P306" s="140">
        <f>+N306-O306</f>
        <v>2000</v>
      </c>
      <c r="Q306" s="132"/>
      <c r="R306" s="132"/>
      <c r="S306" s="132"/>
      <c r="T306" s="132"/>
      <c r="U306" s="132"/>
    </row>
    <row r="307" spans="1:21" ht="14.5" x14ac:dyDescent="0.35">
      <c r="A307" s="146"/>
      <c r="B307" s="143"/>
      <c r="C307" s="459"/>
      <c r="D307" s="459"/>
      <c r="E307" s="323"/>
      <c r="F307" s="145"/>
      <c r="G307" s="133"/>
      <c r="H307" s="144"/>
      <c r="I307" s="133"/>
      <c r="J307" s="133"/>
      <c r="K307" s="143"/>
      <c r="L307" s="133"/>
      <c r="M307" s="142"/>
      <c r="N307" s="142"/>
      <c r="O307" s="141"/>
      <c r="P307" s="140"/>
      <c r="Q307" s="132"/>
      <c r="R307" s="132"/>
      <c r="S307" s="132"/>
      <c r="T307" s="132"/>
      <c r="U307" s="132"/>
    </row>
    <row r="308" spans="1:21" ht="14.5" x14ac:dyDescent="0.35">
      <c r="A308" s="146"/>
      <c r="B308" s="143"/>
      <c r="C308" s="459"/>
      <c r="D308" s="459"/>
      <c r="E308" s="323"/>
      <c r="F308" s="145"/>
      <c r="G308" s="133"/>
      <c r="H308" s="144"/>
      <c r="I308" s="133"/>
      <c r="J308" s="133"/>
      <c r="K308" s="143"/>
      <c r="L308" s="133"/>
      <c r="M308" s="142"/>
      <c r="N308" s="142"/>
      <c r="O308" s="141"/>
      <c r="P308" s="140"/>
      <c r="Q308" s="132"/>
      <c r="R308" s="132"/>
      <c r="S308" s="132"/>
      <c r="T308" s="132"/>
      <c r="U308" s="132"/>
    </row>
    <row r="309" spans="1:21" ht="14.5" x14ac:dyDescent="0.35">
      <c r="A309" s="146"/>
      <c r="B309" s="143"/>
      <c r="C309" s="133"/>
      <c r="D309" s="133"/>
      <c r="E309" s="145"/>
      <c r="F309" s="145"/>
      <c r="G309" s="133"/>
      <c r="H309" s="144"/>
      <c r="I309" s="133"/>
      <c r="J309" s="133"/>
      <c r="K309" s="143"/>
      <c r="L309" s="133"/>
      <c r="M309" s="142"/>
      <c r="N309" s="142"/>
      <c r="O309" s="141"/>
      <c r="P309" s="140"/>
      <c r="Q309" s="132"/>
      <c r="R309" s="132"/>
      <c r="S309" s="132"/>
      <c r="T309" s="132"/>
      <c r="U309" s="132"/>
    </row>
    <row r="310" spans="1:21" ht="14.5" x14ac:dyDescent="0.35">
      <c r="A310" s="146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2"/>
      <c r="P310" s="132"/>
      <c r="Q310" s="132"/>
      <c r="R310" s="132"/>
      <c r="S310" s="132"/>
      <c r="T310" s="132"/>
      <c r="U310" s="132"/>
    </row>
    <row r="311" spans="1:21" ht="14.5" x14ac:dyDescent="0.35">
      <c r="A311" s="138"/>
      <c r="B311" s="138"/>
      <c r="C311" s="138"/>
      <c r="D311" s="138"/>
      <c r="E311" s="138" t="s">
        <v>1091</v>
      </c>
      <c r="F311" s="134">
        <f>SUM(F4:F310)</f>
        <v>974567.8</v>
      </c>
      <c r="G311" s="138"/>
      <c r="H311" s="138"/>
      <c r="I311" s="138" t="s">
        <v>1090</v>
      </c>
      <c r="J311" s="138"/>
      <c r="K311" s="138"/>
      <c r="L311" s="138"/>
      <c r="M311" s="134">
        <f>SUM(M4:M310)</f>
        <v>697038.39999999991</v>
      </c>
      <c r="N311" s="134">
        <f>SUM(N4:N310)</f>
        <v>277529.39999999997</v>
      </c>
      <c r="O311" s="140">
        <f>+'Received from PIL 1060'!N360</f>
        <v>1.1368683772161603E-12</v>
      </c>
      <c r="P311" s="132"/>
      <c r="Q311" s="132"/>
      <c r="R311" s="132"/>
      <c r="S311" s="132"/>
      <c r="T311" s="132"/>
      <c r="U311" s="132"/>
    </row>
    <row r="312" spans="1:21" ht="14.5" x14ac:dyDescent="0.35">
      <c r="A312" s="256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7"/>
      <c r="O312" s="132"/>
      <c r="P312" s="132"/>
      <c r="Q312" s="132"/>
      <c r="R312" s="132"/>
      <c r="S312" s="132"/>
      <c r="T312" s="132"/>
      <c r="U312" s="132"/>
    </row>
    <row r="313" spans="1:21" ht="14.5" x14ac:dyDescent="0.35">
      <c r="A313" s="256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7"/>
      <c r="M313" s="137"/>
      <c r="N313" s="134">
        <f>+F311-M311</f>
        <v>277529.40000000014</v>
      </c>
      <c r="O313" s="132"/>
      <c r="P313" s="132"/>
      <c r="Q313" s="132"/>
      <c r="R313" s="132"/>
      <c r="S313" s="132"/>
      <c r="T313" s="132"/>
      <c r="U313" s="132"/>
    </row>
    <row r="314" spans="1:21" ht="14.5" x14ac:dyDescent="0.35">
      <c r="A314" s="136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7"/>
      <c r="M314" s="135"/>
      <c r="N314" s="137"/>
      <c r="O314" s="132"/>
      <c r="P314" s="132"/>
      <c r="Q314" s="132"/>
      <c r="R314" s="132"/>
      <c r="S314" s="132"/>
      <c r="T314" s="132"/>
      <c r="U314" s="132"/>
    </row>
    <row r="315" spans="1:21" ht="14.5" x14ac:dyDescent="0.35">
      <c r="A315" s="136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4">
        <f>+N311-N313</f>
        <v>0</v>
      </c>
      <c r="O315" s="132"/>
      <c r="P315" s="132"/>
      <c r="Q315" s="132"/>
      <c r="R315" s="132"/>
      <c r="S315" s="132"/>
      <c r="T315" s="132"/>
      <c r="U315" s="132"/>
    </row>
  </sheetData>
  <autoFilter ref="A2:N315"/>
  <mergeCells count="2">
    <mergeCell ref="A1:N1"/>
    <mergeCell ref="O2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"/>
  <sheetViews>
    <sheetView workbookViewId="0">
      <selection activeCell="J17" sqref="J17"/>
    </sheetView>
  </sheetViews>
  <sheetFormatPr defaultRowHeight="14.5" x14ac:dyDescent="0.35"/>
  <cols>
    <col min="1" max="1" width="6.453125" style="132" bestFit="1" customWidth="1"/>
    <col min="2" max="2" width="10.1796875" style="132" customWidth="1"/>
    <col min="3" max="3" width="12.7265625" style="132" customWidth="1"/>
    <col min="4" max="4" width="15" style="132" customWidth="1"/>
    <col min="5" max="5" width="10.26953125" style="132" customWidth="1"/>
    <col min="6" max="6" width="9.81640625" style="132" bestFit="1" customWidth="1"/>
    <col min="7" max="7" width="5.7265625" style="132" customWidth="1"/>
    <col min="8" max="8" width="6.453125" style="132" bestFit="1" customWidth="1"/>
    <col min="9" max="9" width="10" style="132" bestFit="1" customWidth="1"/>
    <col min="10" max="10" width="12.7265625" style="132" customWidth="1"/>
    <col min="11" max="11" width="15" style="132" customWidth="1"/>
    <col min="12" max="12" width="9.7265625" style="132" bestFit="1" customWidth="1"/>
    <col min="13" max="13" width="9.81640625" style="132" bestFit="1" customWidth="1"/>
    <col min="14" max="16384" width="8.7265625" style="132"/>
  </cols>
  <sheetData>
    <row r="1" spans="1:13" x14ac:dyDescent="0.35">
      <c r="A1" s="565" t="s">
        <v>2348</v>
      </c>
      <c r="B1" s="565"/>
      <c r="C1" s="565"/>
      <c r="D1" s="565"/>
      <c r="H1" s="565" t="s">
        <v>2347</v>
      </c>
      <c r="I1" s="565"/>
      <c r="J1" s="565"/>
      <c r="K1" s="565"/>
    </row>
    <row r="2" spans="1:13" x14ac:dyDescent="0.35">
      <c r="A2" s="205" t="s">
        <v>2346</v>
      </c>
      <c r="B2" s="205" t="s">
        <v>2345</v>
      </c>
      <c r="C2" s="205" t="s">
        <v>1329</v>
      </c>
      <c r="D2" s="205" t="s">
        <v>2344</v>
      </c>
      <c r="E2" s="205" t="s">
        <v>2343</v>
      </c>
      <c r="F2" s="205" t="s">
        <v>2342</v>
      </c>
      <c r="G2" s="205"/>
      <c r="H2" s="205" t="s">
        <v>2346</v>
      </c>
      <c r="I2" s="205" t="s">
        <v>2345</v>
      </c>
      <c r="J2" s="205" t="s">
        <v>1329</v>
      </c>
      <c r="K2" s="205" t="s">
        <v>2344</v>
      </c>
      <c r="L2" s="205" t="s">
        <v>2343</v>
      </c>
      <c r="M2" s="205" t="s">
        <v>2342</v>
      </c>
    </row>
    <row r="3" spans="1:13" x14ac:dyDescent="0.35">
      <c r="A3" s="132">
        <v>1</v>
      </c>
      <c r="B3" s="280" t="s">
        <v>2692</v>
      </c>
      <c r="C3" s="202">
        <v>46022</v>
      </c>
      <c r="D3" s="202">
        <f t="shared" ref="D3:D32" si="0">+C3+120</f>
        <v>46142</v>
      </c>
      <c r="E3" s="202">
        <v>46234</v>
      </c>
      <c r="F3" s="204">
        <f t="shared" ref="F3:F23" si="1">+D3-E3</f>
        <v>-92</v>
      </c>
      <c r="G3" s="234"/>
      <c r="H3" s="132">
        <v>1</v>
      </c>
      <c r="I3" s="423" t="s">
        <v>2953</v>
      </c>
      <c r="J3" s="202">
        <v>46218</v>
      </c>
      <c r="K3" s="202">
        <f t="shared" ref="K3:K33" si="2">+J3+120</f>
        <v>46338</v>
      </c>
      <c r="L3" s="202">
        <f>+E3</f>
        <v>46234</v>
      </c>
      <c r="M3" s="204">
        <f t="shared" ref="M3:M66" si="3">+K3-L3</f>
        <v>104</v>
      </c>
    </row>
    <row r="4" spans="1:13" x14ac:dyDescent="0.35">
      <c r="A4" s="132">
        <f t="shared" ref="A4:A35" si="4">+A3+1</f>
        <v>2</v>
      </c>
      <c r="B4" s="293" t="s">
        <v>2703</v>
      </c>
      <c r="C4" s="202">
        <v>46031</v>
      </c>
      <c r="D4" s="202">
        <f t="shared" si="0"/>
        <v>46151</v>
      </c>
      <c r="E4" s="202">
        <f t="shared" ref="E4:E48" si="5">+E3</f>
        <v>46234</v>
      </c>
      <c r="F4" s="204">
        <f t="shared" si="1"/>
        <v>-83</v>
      </c>
      <c r="G4" s="234"/>
      <c r="H4" s="132">
        <f t="shared" ref="H4:H35" si="6">+H3+1</f>
        <v>2</v>
      </c>
      <c r="I4" s="423" t="s">
        <v>2954</v>
      </c>
      <c r="J4" s="202">
        <v>46219</v>
      </c>
      <c r="K4" s="202">
        <f t="shared" si="2"/>
        <v>46339</v>
      </c>
      <c r="L4" s="202">
        <f t="shared" ref="L4:L12" si="7">+L3</f>
        <v>46234</v>
      </c>
      <c r="M4" s="204">
        <f t="shared" si="3"/>
        <v>105</v>
      </c>
    </row>
    <row r="5" spans="1:13" x14ac:dyDescent="0.35">
      <c r="A5" s="132">
        <f t="shared" si="4"/>
        <v>3</v>
      </c>
      <c r="B5" s="299" t="s">
        <v>2710</v>
      </c>
      <c r="C5" s="202">
        <v>46035</v>
      </c>
      <c r="D5" s="202">
        <f t="shared" si="0"/>
        <v>46155</v>
      </c>
      <c r="E5" s="202">
        <f t="shared" si="5"/>
        <v>46234</v>
      </c>
      <c r="F5" s="204">
        <f t="shared" si="1"/>
        <v>-79</v>
      </c>
      <c r="G5" s="234"/>
      <c r="H5" s="132">
        <f t="shared" si="6"/>
        <v>3</v>
      </c>
      <c r="I5" s="423" t="s">
        <v>2955</v>
      </c>
      <c r="J5" s="202">
        <v>46220</v>
      </c>
      <c r="K5" s="202">
        <f t="shared" si="2"/>
        <v>46340</v>
      </c>
      <c r="L5" s="202">
        <f t="shared" si="7"/>
        <v>46234</v>
      </c>
      <c r="M5" s="204">
        <f t="shared" si="3"/>
        <v>106</v>
      </c>
    </row>
    <row r="6" spans="1:13" x14ac:dyDescent="0.35">
      <c r="A6" s="132">
        <f t="shared" si="4"/>
        <v>4</v>
      </c>
      <c r="B6" s="311" t="s">
        <v>2732</v>
      </c>
      <c r="C6" s="202">
        <v>46050</v>
      </c>
      <c r="D6" s="202">
        <f t="shared" si="0"/>
        <v>46170</v>
      </c>
      <c r="E6" s="202">
        <f t="shared" si="5"/>
        <v>46234</v>
      </c>
      <c r="F6" s="204">
        <f t="shared" si="1"/>
        <v>-64</v>
      </c>
      <c r="H6" s="132">
        <f t="shared" si="6"/>
        <v>4</v>
      </c>
      <c r="I6" s="423" t="s">
        <v>2956</v>
      </c>
      <c r="J6" s="202">
        <v>46221</v>
      </c>
      <c r="K6" s="202">
        <f t="shared" si="2"/>
        <v>46341</v>
      </c>
      <c r="L6" s="202">
        <f t="shared" si="7"/>
        <v>46234</v>
      </c>
      <c r="M6" s="204">
        <f t="shared" si="3"/>
        <v>107</v>
      </c>
    </row>
    <row r="7" spans="1:13" x14ac:dyDescent="0.35">
      <c r="A7" s="132">
        <f t="shared" si="4"/>
        <v>5</v>
      </c>
      <c r="B7" s="311" t="s">
        <v>2733</v>
      </c>
      <c r="C7" s="202">
        <v>46052</v>
      </c>
      <c r="D7" s="202">
        <f t="shared" si="0"/>
        <v>46172</v>
      </c>
      <c r="E7" s="202">
        <f t="shared" si="5"/>
        <v>46234</v>
      </c>
      <c r="F7" s="204">
        <f t="shared" si="1"/>
        <v>-62</v>
      </c>
      <c r="H7" s="132">
        <f t="shared" si="6"/>
        <v>5</v>
      </c>
      <c r="I7" s="423" t="s">
        <v>2957</v>
      </c>
      <c r="J7" s="202">
        <v>46223</v>
      </c>
      <c r="K7" s="202">
        <f t="shared" si="2"/>
        <v>46343</v>
      </c>
      <c r="L7" s="202">
        <f t="shared" si="7"/>
        <v>46234</v>
      </c>
      <c r="M7" s="204">
        <f t="shared" si="3"/>
        <v>109</v>
      </c>
    </row>
    <row r="8" spans="1:13" x14ac:dyDescent="0.35">
      <c r="A8" s="132">
        <f t="shared" si="4"/>
        <v>6</v>
      </c>
      <c r="B8" s="317" t="s">
        <v>2745</v>
      </c>
      <c r="C8" s="202">
        <v>46056</v>
      </c>
      <c r="D8" s="202">
        <f t="shared" si="0"/>
        <v>46176</v>
      </c>
      <c r="E8" s="202">
        <f t="shared" si="5"/>
        <v>46234</v>
      </c>
      <c r="F8" s="204">
        <f t="shared" si="1"/>
        <v>-58</v>
      </c>
      <c r="H8" s="132">
        <f t="shared" si="6"/>
        <v>6</v>
      </c>
      <c r="I8" s="423" t="s">
        <v>2958</v>
      </c>
      <c r="J8" s="202">
        <v>46224</v>
      </c>
      <c r="K8" s="202">
        <f t="shared" si="2"/>
        <v>46344</v>
      </c>
      <c r="L8" s="202">
        <f t="shared" si="7"/>
        <v>46234</v>
      </c>
      <c r="M8" s="204">
        <f t="shared" si="3"/>
        <v>110</v>
      </c>
    </row>
    <row r="9" spans="1:13" x14ac:dyDescent="0.35">
      <c r="A9" s="132">
        <f t="shared" si="4"/>
        <v>7</v>
      </c>
      <c r="B9" s="317" t="s">
        <v>2746</v>
      </c>
      <c r="C9" s="202">
        <v>46056</v>
      </c>
      <c r="D9" s="202">
        <f t="shared" si="0"/>
        <v>46176</v>
      </c>
      <c r="E9" s="202">
        <f t="shared" si="5"/>
        <v>46234</v>
      </c>
      <c r="F9" s="204">
        <f t="shared" si="1"/>
        <v>-58</v>
      </c>
      <c r="H9" s="132">
        <f t="shared" si="6"/>
        <v>7</v>
      </c>
      <c r="I9" s="423" t="s">
        <v>2959</v>
      </c>
      <c r="J9" s="202">
        <v>46225</v>
      </c>
      <c r="K9" s="202">
        <f t="shared" si="2"/>
        <v>46345</v>
      </c>
      <c r="L9" s="202">
        <f t="shared" si="7"/>
        <v>46234</v>
      </c>
      <c r="M9" s="204">
        <f t="shared" si="3"/>
        <v>111</v>
      </c>
    </row>
    <row r="10" spans="1:13" x14ac:dyDescent="0.35">
      <c r="A10" s="132">
        <f t="shared" si="4"/>
        <v>8</v>
      </c>
      <c r="B10" s="325" t="s">
        <v>2769</v>
      </c>
      <c r="C10" s="202">
        <v>46070</v>
      </c>
      <c r="D10" s="202">
        <f t="shared" si="0"/>
        <v>46190</v>
      </c>
      <c r="E10" s="202">
        <f t="shared" si="5"/>
        <v>46234</v>
      </c>
      <c r="F10" s="204">
        <f t="shared" si="1"/>
        <v>-44</v>
      </c>
      <c r="H10" s="132">
        <f t="shared" si="6"/>
        <v>8</v>
      </c>
      <c r="I10" s="423" t="s">
        <v>2960</v>
      </c>
      <c r="J10" s="202">
        <v>46227</v>
      </c>
      <c r="K10" s="202">
        <f t="shared" si="2"/>
        <v>46347</v>
      </c>
      <c r="L10" s="202">
        <f t="shared" si="7"/>
        <v>46234</v>
      </c>
      <c r="M10" s="204">
        <f t="shared" si="3"/>
        <v>113</v>
      </c>
    </row>
    <row r="11" spans="1:13" x14ac:dyDescent="0.35">
      <c r="A11" s="132">
        <f t="shared" si="4"/>
        <v>9</v>
      </c>
      <c r="B11" s="325" t="s">
        <v>2768</v>
      </c>
      <c r="C11" s="202">
        <v>46071</v>
      </c>
      <c r="D11" s="202">
        <f t="shared" si="0"/>
        <v>46191</v>
      </c>
      <c r="E11" s="202">
        <f t="shared" si="5"/>
        <v>46234</v>
      </c>
      <c r="F11" s="204">
        <f t="shared" si="1"/>
        <v>-43</v>
      </c>
      <c r="H11" s="132">
        <f t="shared" si="6"/>
        <v>9</v>
      </c>
      <c r="I11" s="423" t="s">
        <v>2961</v>
      </c>
      <c r="J11" s="202">
        <v>46228</v>
      </c>
      <c r="K11" s="202">
        <f t="shared" si="2"/>
        <v>46348</v>
      </c>
      <c r="L11" s="202">
        <f t="shared" si="7"/>
        <v>46234</v>
      </c>
      <c r="M11" s="204">
        <f t="shared" si="3"/>
        <v>114</v>
      </c>
    </row>
    <row r="12" spans="1:13" x14ac:dyDescent="0.35">
      <c r="A12" s="132">
        <f t="shared" si="4"/>
        <v>10</v>
      </c>
      <c r="B12" s="330" t="s">
        <v>2775</v>
      </c>
      <c r="C12" s="202">
        <v>46072</v>
      </c>
      <c r="D12" s="202">
        <f t="shared" si="0"/>
        <v>46192</v>
      </c>
      <c r="E12" s="202">
        <f t="shared" si="5"/>
        <v>46234</v>
      </c>
      <c r="F12" s="204">
        <f t="shared" si="1"/>
        <v>-42</v>
      </c>
      <c r="H12" s="132">
        <f t="shared" si="6"/>
        <v>10</v>
      </c>
      <c r="I12" s="423" t="s">
        <v>2962</v>
      </c>
      <c r="J12" s="202">
        <v>46230</v>
      </c>
      <c r="K12" s="202">
        <f t="shared" si="2"/>
        <v>46350</v>
      </c>
      <c r="L12" s="202">
        <f t="shared" si="7"/>
        <v>46234</v>
      </c>
      <c r="M12" s="204">
        <f t="shared" si="3"/>
        <v>116</v>
      </c>
    </row>
    <row r="13" spans="1:13" x14ac:dyDescent="0.35">
      <c r="A13" s="132">
        <f t="shared" si="4"/>
        <v>11</v>
      </c>
      <c r="B13" s="330" t="s">
        <v>2776</v>
      </c>
      <c r="C13" s="202">
        <v>46072</v>
      </c>
      <c r="D13" s="202">
        <f t="shared" si="0"/>
        <v>46192</v>
      </c>
      <c r="E13" s="202">
        <f t="shared" si="5"/>
        <v>46234</v>
      </c>
      <c r="F13" s="204">
        <f t="shared" si="1"/>
        <v>-42</v>
      </c>
      <c r="H13" s="132">
        <f t="shared" si="6"/>
        <v>11</v>
      </c>
      <c r="I13" s="423" t="s">
        <v>2963</v>
      </c>
      <c r="J13" s="202">
        <v>46231</v>
      </c>
      <c r="K13" s="202">
        <f t="shared" si="2"/>
        <v>46351</v>
      </c>
      <c r="L13" s="202">
        <f t="shared" ref="L13:L44" si="8">+L12</f>
        <v>46234</v>
      </c>
      <c r="M13" s="204">
        <f t="shared" si="3"/>
        <v>117</v>
      </c>
    </row>
    <row r="14" spans="1:13" x14ac:dyDescent="0.35">
      <c r="A14" s="132">
        <f t="shared" si="4"/>
        <v>12</v>
      </c>
      <c r="B14" s="333" t="s">
        <v>2780</v>
      </c>
      <c r="C14" s="202">
        <v>46073</v>
      </c>
      <c r="D14" s="202">
        <f t="shared" si="0"/>
        <v>46193</v>
      </c>
      <c r="E14" s="202">
        <f t="shared" si="5"/>
        <v>46234</v>
      </c>
      <c r="F14" s="204">
        <f t="shared" si="1"/>
        <v>-41</v>
      </c>
      <c r="H14" s="132">
        <f t="shared" si="6"/>
        <v>12</v>
      </c>
      <c r="I14" s="423" t="s">
        <v>2964</v>
      </c>
      <c r="J14" s="202">
        <v>46232</v>
      </c>
      <c r="K14" s="202">
        <f t="shared" si="2"/>
        <v>46352</v>
      </c>
      <c r="L14" s="202">
        <f t="shared" si="8"/>
        <v>46234</v>
      </c>
      <c r="M14" s="204">
        <f t="shared" si="3"/>
        <v>118</v>
      </c>
    </row>
    <row r="15" spans="1:13" x14ac:dyDescent="0.35">
      <c r="A15" s="132">
        <f t="shared" si="4"/>
        <v>13</v>
      </c>
      <c r="B15" s="333" t="s">
        <v>2781</v>
      </c>
      <c r="C15" s="202">
        <v>46074</v>
      </c>
      <c r="D15" s="202">
        <f t="shared" si="0"/>
        <v>46194</v>
      </c>
      <c r="E15" s="202">
        <f t="shared" si="5"/>
        <v>46234</v>
      </c>
      <c r="F15" s="204">
        <f t="shared" si="1"/>
        <v>-40</v>
      </c>
      <c r="H15" s="132">
        <f t="shared" si="6"/>
        <v>13</v>
      </c>
      <c r="I15" s="423" t="s">
        <v>2965</v>
      </c>
      <c r="J15" s="202">
        <v>46233</v>
      </c>
      <c r="K15" s="202">
        <f t="shared" si="2"/>
        <v>46353</v>
      </c>
      <c r="L15" s="202">
        <f t="shared" si="8"/>
        <v>46234</v>
      </c>
      <c r="M15" s="204">
        <f t="shared" si="3"/>
        <v>119</v>
      </c>
    </row>
    <row r="16" spans="1:13" x14ac:dyDescent="0.35">
      <c r="A16" s="132">
        <f t="shared" si="4"/>
        <v>14</v>
      </c>
      <c r="B16" s="337" t="s">
        <v>2786</v>
      </c>
      <c r="C16" s="202">
        <v>46077</v>
      </c>
      <c r="D16" s="202">
        <f t="shared" si="0"/>
        <v>46197</v>
      </c>
      <c r="E16" s="202">
        <f t="shared" si="5"/>
        <v>46234</v>
      </c>
      <c r="F16" s="204">
        <f t="shared" si="1"/>
        <v>-37</v>
      </c>
      <c r="H16" s="132">
        <f t="shared" si="6"/>
        <v>14</v>
      </c>
      <c r="I16" s="423" t="s">
        <v>2966</v>
      </c>
      <c r="J16" s="202">
        <v>46234</v>
      </c>
      <c r="K16" s="202">
        <f t="shared" si="2"/>
        <v>46354</v>
      </c>
      <c r="L16" s="202">
        <f t="shared" si="8"/>
        <v>46234</v>
      </c>
      <c r="M16" s="204">
        <f t="shared" si="3"/>
        <v>120</v>
      </c>
    </row>
    <row r="17" spans="1:13" x14ac:dyDescent="0.35">
      <c r="A17" s="132">
        <f t="shared" si="4"/>
        <v>15</v>
      </c>
      <c r="B17" s="342" t="s">
        <v>2795</v>
      </c>
      <c r="C17" s="202">
        <v>46078</v>
      </c>
      <c r="D17" s="202">
        <f t="shared" si="0"/>
        <v>46198</v>
      </c>
      <c r="E17" s="202">
        <f t="shared" si="5"/>
        <v>46234</v>
      </c>
      <c r="F17" s="204">
        <f t="shared" si="1"/>
        <v>-36</v>
      </c>
      <c r="H17" s="132">
        <f t="shared" si="6"/>
        <v>15</v>
      </c>
      <c r="I17" s="423" t="s">
        <v>2967</v>
      </c>
      <c r="J17" s="202">
        <v>46234</v>
      </c>
      <c r="K17" s="202">
        <f t="shared" si="2"/>
        <v>46354</v>
      </c>
      <c r="L17" s="202">
        <f t="shared" si="8"/>
        <v>46234</v>
      </c>
      <c r="M17" s="204">
        <f t="shared" si="3"/>
        <v>120</v>
      </c>
    </row>
    <row r="18" spans="1:13" x14ac:dyDescent="0.35">
      <c r="A18" s="132">
        <f t="shared" si="4"/>
        <v>16</v>
      </c>
      <c r="B18" s="342" t="s">
        <v>2796</v>
      </c>
      <c r="C18" s="202">
        <v>46079</v>
      </c>
      <c r="D18" s="202">
        <f t="shared" si="0"/>
        <v>46199</v>
      </c>
      <c r="E18" s="202">
        <f t="shared" si="5"/>
        <v>46234</v>
      </c>
      <c r="F18" s="204">
        <f t="shared" si="1"/>
        <v>-35</v>
      </c>
      <c r="H18" s="132">
        <f t="shared" si="6"/>
        <v>16</v>
      </c>
      <c r="I18" s="423" t="s">
        <v>2968</v>
      </c>
      <c r="J18" s="202"/>
      <c r="K18" s="202">
        <f t="shared" si="2"/>
        <v>120</v>
      </c>
      <c r="L18" s="202">
        <f t="shared" si="8"/>
        <v>46234</v>
      </c>
      <c r="M18" s="204">
        <f t="shared" si="3"/>
        <v>-46114</v>
      </c>
    </row>
    <row r="19" spans="1:13" x14ac:dyDescent="0.35">
      <c r="A19" s="132">
        <f t="shared" si="4"/>
        <v>17</v>
      </c>
      <c r="B19" s="342" t="s">
        <v>2797</v>
      </c>
      <c r="C19" s="202">
        <v>46080</v>
      </c>
      <c r="D19" s="202">
        <f t="shared" si="0"/>
        <v>46200</v>
      </c>
      <c r="E19" s="202">
        <f t="shared" si="5"/>
        <v>46234</v>
      </c>
      <c r="F19" s="204">
        <f t="shared" si="1"/>
        <v>-34</v>
      </c>
      <c r="H19" s="132">
        <f t="shared" si="6"/>
        <v>17</v>
      </c>
      <c r="I19" s="468" t="s">
        <v>3008</v>
      </c>
      <c r="J19" s="202"/>
      <c r="K19" s="202">
        <f t="shared" si="2"/>
        <v>120</v>
      </c>
      <c r="L19" s="202">
        <f t="shared" si="8"/>
        <v>46234</v>
      </c>
      <c r="M19" s="204">
        <f t="shared" si="3"/>
        <v>-46114</v>
      </c>
    </row>
    <row r="20" spans="1:13" x14ac:dyDescent="0.35">
      <c r="A20" s="132">
        <f t="shared" si="4"/>
        <v>18</v>
      </c>
      <c r="B20" s="346" t="s">
        <v>2801</v>
      </c>
      <c r="C20" s="202">
        <v>46081</v>
      </c>
      <c r="D20" s="202">
        <f t="shared" si="0"/>
        <v>46201</v>
      </c>
      <c r="E20" s="202">
        <f t="shared" si="5"/>
        <v>46234</v>
      </c>
      <c r="F20" s="204">
        <f t="shared" si="1"/>
        <v>-33</v>
      </c>
      <c r="H20" s="132">
        <f t="shared" si="6"/>
        <v>18</v>
      </c>
      <c r="I20" s="468" t="s">
        <v>3009</v>
      </c>
      <c r="J20" s="202"/>
      <c r="K20" s="202">
        <f t="shared" si="2"/>
        <v>120</v>
      </c>
      <c r="L20" s="202">
        <f t="shared" si="8"/>
        <v>46234</v>
      </c>
      <c r="M20" s="204">
        <f t="shared" si="3"/>
        <v>-46114</v>
      </c>
    </row>
    <row r="21" spans="1:13" x14ac:dyDescent="0.35">
      <c r="A21" s="132">
        <f t="shared" si="4"/>
        <v>19</v>
      </c>
      <c r="B21" s="350" t="s">
        <v>2812</v>
      </c>
      <c r="C21" s="202">
        <v>46084</v>
      </c>
      <c r="D21" s="202">
        <f t="shared" si="0"/>
        <v>46204</v>
      </c>
      <c r="E21" s="202">
        <f t="shared" si="5"/>
        <v>46234</v>
      </c>
      <c r="F21" s="204">
        <f t="shared" si="1"/>
        <v>-30</v>
      </c>
      <c r="H21" s="132">
        <f t="shared" si="6"/>
        <v>19</v>
      </c>
      <c r="I21" s="468" t="s">
        <v>3010</v>
      </c>
      <c r="J21" s="202"/>
      <c r="K21" s="202">
        <f t="shared" si="2"/>
        <v>120</v>
      </c>
      <c r="L21" s="202">
        <f t="shared" si="8"/>
        <v>46234</v>
      </c>
      <c r="M21" s="204">
        <f t="shared" si="3"/>
        <v>-46114</v>
      </c>
    </row>
    <row r="22" spans="1:13" x14ac:dyDescent="0.35">
      <c r="A22" s="132">
        <f t="shared" si="4"/>
        <v>20</v>
      </c>
      <c r="B22" s="350" t="s">
        <v>2813</v>
      </c>
      <c r="C22" s="202">
        <v>46087</v>
      </c>
      <c r="D22" s="202">
        <f t="shared" si="0"/>
        <v>46207</v>
      </c>
      <c r="E22" s="202">
        <f t="shared" si="5"/>
        <v>46234</v>
      </c>
      <c r="F22" s="204">
        <f t="shared" si="1"/>
        <v>-27</v>
      </c>
      <c r="H22" s="132">
        <f t="shared" si="6"/>
        <v>20</v>
      </c>
      <c r="I22" s="468" t="s">
        <v>3011</v>
      </c>
      <c r="J22" s="202"/>
      <c r="K22" s="202">
        <f t="shared" si="2"/>
        <v>120</v>
      </c>
      <c r="L22" s="202">
        <f t="shared" si="8"/>
        <v>46234</v>
      </c>
      <c r="M22" s="204">
        <f t="shared" si="3"/>
        <v>-46114</v>
      </c>
    </row>
    <row r="23" spans="1:13" x14ac:dyDescent="0.35">
      <c r="A23" s="132">
        <f t="shared" si="4"/>
        <v>21</v>
      </c>
      <c r="B23" s="350" t="s">
        <v>2814</v>
      </c>
      <c r="C23" s="202">
        <v>46087</v>
      </c>
      <c r="D23" s="202">
        <f t="shared" si="0"/>
        <v>46207</v>
      </c>
      <c r="E23" s="202">
        <f t="shared" si="5"/>
        <v>46234</v>
      </c>
      <c r="F23" s="204">
        <f t="shared" si="1"/>
        <v>-27</v>
      </c>
      <c r="H23" s="132">
        <f t="shared" si="6"/>
        <v>21</v>
      </c>
      <c r="I23" s="468" t="s">
        <v>3012</v>
      </c>
      <c r="J23" s="202"/>
      <c r="K23" s="202">
        <f t="shared" si="2"/>
        <v>120</v>
      </c>
      <c r="L23" s="202">
        <f t="shared" si="8"/>
        <v>46234</v>
      </c>
      <c r="M23" s="204">
        <f t="shared" si="3"/>
        <v>-46114</v>
      </c>
    </row>
    <row r="24" spans="1:13" x14ac:dyDescent="0.35">
      <c r="A24" s="132">
        <f t="shared" si="4"/>
        <v>22</v>
      </c>
      <c r="B24" s="350" t="s">
        <v>2815</v>
      </c>
      <c r="C24" s="202">
        <v>46087</v>
      </c>
      <c r="D24" s="202">
        <f t="shared" si="0"/>
        <v>46207</v>
      </c>
      <c r="E24" s="202">
        <f t="shared" si="5"/>
        <v>46234</v>
      </c>
      <c r="F24" s="204">
        <f t="shared" ref="F24:F33" si="9">+D24-E24</f>
        <v>-27</v>
      </c>
      <c r="H24" s="132">
        <f t="shared" si="6"/>
        <v>22</v>
      </c>
      <c r="I24" s="468" t="s">
        <v>3013</v>
      </c>
      <c r="J24" s="202"/>
      <c r="K24" s="202"/>
      <c r="L24" s="202">
        <f t="shared" si="8"/>
        <v>46234</v>
      </c>
      <c r="M24" s="204">
        <f t="shared" si="3"/>
        <v>-46234</v>
      </c>
    </row>
    <row r="25" spans="1:13" x14ac:dyDescent="0.35">
      <c r="A25" s="132">
        <f t="shared" si="4"/>
        <v>23</v>
      </c>
      <c r="B25" s="368" t="s">
        <v>2833</v>
      </c>
      <c r="C25" s="202">
        <v>46100</v>
      </c>
      <c r="D25" s="202">
        <f t="shared" si="0"/>
        <v>46220</v>
      </c>
      <c r="E25" s="202">
        <f t="shared" si="5"/>
        <v>46234</v>
      </c>
      <c r="F25" s="204">
        <f t="shared" si="9"/>
        <v>-14</v>
      </c>
      <c r="H25" s="132">
        <f t="shared" si="6"/>
        <v>23</v>
      </c>
      <c r="I25" s="468" t="s">
        <v>3014</v>
      </c>
      <c r="J25" s="202"/>
      <c r="K25" s="202">
        <f t="shared" si="2"/>
        <v>120</v>
      </c>
      <c r="L25" s="202">
        <f t="shared" si="8"/>
        <v>46234</v>
      </c>
      <c r="M25" s="204">
        <f t="shared" si="3"/>
        <v>-46114</v>
      </c>
    </row>
    <row r="26" spans="1:13" x14ac:dyDescent="0.35">
      <c r="A26" s="132">
        <f t="shared" si="4"/>
        <v>24</v>
      </c>
      <c r="B26" s="368" t="s">
        <v>2832</v>
      </c>
      <c r="C26" s="202">
        <v>46100</v>
      </c>
      <c r="D26" s="202">
        <f t="shared" si="0"/>
        <v>46220</v>
      </c>
      <c r="E26" s="202">
        <f t="shared" si="5"/>
        <v>46234</v>
      </c>
      <c r="F26" s="204">
        <f t="shared" si="9"/>
        <v>-14</v>
      </c>
      <c r="H26" s="132">
        <f t="shared" si="6"/>
        <v>24</v>
      </c>
      <c r="I26" s="468" t="s">
        <v>3015</v>
      </c>
      <c r="J26" s="202"/>
      <c r="K26" s="202">
        <f t="shared" si="2"/>
        <v>120</v>
      </c>
      <c r="L26" s="202">
        <f t="shared" si="8"/>
        <v>46234</v>
      </c>
      <c r="M26" s="204">
        <f t="shared" si="3"/>
        <v>-46114</v>
      </c>
    </row>
    <row r="27" spans="1:13" x14ac:dyDescent="0.35">
      <c r="A27" s="132">
        <f t="shared" si="4"/>
        <v>25</v>
      </c>
      <c r="B27" s="374" t="s">
        <v>2845</v>
      </c>
      <c r="C27" s="202">
        <v>46101</v>
      </c>
      <c r="D27" s="202">
        <f t="shared" si="0"/>
        <v>46221</v>
      </c>
      <c r="E27" s="202">
        <f t="shared" si="5"/>
        <v>46234</v>
      </c>
      <c r="F27" s="204">
        <f t="shared" si="9"/>
        <v>-13</v>
      </c>
      <c r="H27" s="132">
        <f t="shared" si="6"/>
        <v>25</v>
      </c>
      <c r="I27" s="468" t="s">
        <v>3016</v>
      </c>
      <c r="J27" s="202"/>
      <c r="K27" s="202">
        <f t="shared" si="2"/>
        <v>120</v>
      </c>
      <c r="L27" s="202">
        <f t="shared" si="8"/>
        <v>46234</v>
      </c>
      <c r="M27" s="204">
        <f t="shared" si="3"/>
        <v>-46114</v>
      </c>
    </row>
    <row r="28" spans="1:13" x14ac:dyDescent="0.35">
      <c r="A28" s="132">
        <f t="shared" si="4"/>
        <v>26</v>
      </c>
      <c r="B28" s="374" t="s">
        <v>2846</v>
      </c>
      <c r="C28" s="202">
        <v>46103</v>
      </c>
      <c r="D28" s="202">
        <f t="shared" si="0"/>
        <v>46223</v>
      </c>
      <c r="E28" s="202">
        <f t="shared" si="5"/>
        <v>46234</v>
      </c>
      <c r="F28" s="204">
        <f t="shared" si="9"/>
        <v>-11</v>
      </c>
      <c r="H28" s="132">
        <f t="shared" si="6"/>
        <v>26</v>
      </c>
      <c r="I28" s="468" t="s">
        <v>3017</v>
      </c>
      <c r="J28" s="202"/>
      <c r="K28" s="202">
        <f t="shared" si="2"/>
        <v>120</v>
      </c>
      <c r="L28" s="202">
        <f t="shared" si="8"/>
        <v>46234</v>
      </c>
      <c r="M28" s="204">
        <f t="shared" si="3"/>
        <v>-46114</v>
      </c>
    </row>
    <row r="29" spans="1:13" x14ac:dyDescent="0.35">
      <c r="A29" s="132">
        <f t="shared" si="4"/>
        <v>27</v>
      </c>
      <c r="B29" s="390" t="s">
        <v>2891</v>
      </c>
      <c r="C29" s="202">
        <v>46118</v>
      </c>
      <c r="D29" s="202">
        <f t="shared" si="0"/>
        <v>46238</v>
      </c>
      <c r="E29" s="202">
        <f t="shared" si="5"/>
        <v>46234</v>
      </c>
      <c r="F29" s="204">
        <f t="shared" si="9"/>
        <v>4</v>
      </c>
      <c r="H29" s="132">
        <f t="shared" si="6"/>
        <v>27</v>
      </c>
      <c r="I29" s="468" t="s">
        <v>3018</v>
      </c>
      <c r="J29" s="202"/>
      <c r="K29" s="202">
        <f t="shared" si="2"/>
        <v>120</v>
      </c>
      <c r="L29" s="202">
        <f t="shared" si="8"/>
        <v>46234</v>
      </c>
      <c r="M29" s="204">
        <f t="shared" si="3"/>
        <v>-46114</v>
      </c>
    </row>
    <row r="30" spans="1:13" x14ac:dyDescent="0.35">
      <c r="A30" s="132">
        <f t="shared" si="4"/>
        <v>28</v>
      </c>
      <c r="B30" s="445" t="s">
        <v>2980</v>
      </c>
      <c r="C30" s="202">
        <v>46181</v>
      </c>
      <c r="D30" s="202">
        <f t="shared" si="0"/>
        <v>46301</v>
      </c>
      <c r="E30" s="202">
        <f t="shared" si="5"/>
        <v>46234</v>
      </c>
      <c r="F30" s="204">
        <f t="shared" si="9"/>
        <v>67</v>
      </c>
      <c r="H30" s="132">
        <f t="shared" si="6"/>
        <v>28</v>
      </c>
      <c r="I30" s="468" t="s">
        <v>3019</v>
      </c>
      <c r="J30" s="202"/>
      <c r="K30" s="202">
        <f>+J30+120</f>
        <v>120</v>
      </c>
      <c r="L30" s="202">
        <f t="shared" si="8"/>
        <v>46234</v>
      </c>
      <c r="M30" s="204">
        <f t="shared" si="3"/>
        <v>-46114</v>
      </c>
    </row>
    <row r="31" spans="1:13" x14ac:dyDescent="0.35">
      <c r="A31" s="132">
        <f t="shared" si="4"/>
        <v>29</v>
      </c>
      <c r="B31" s="457" t="s">
        <v>2994</v>
      </c>
      <c r="C31" s="202">
        <v>46192</v>
      </c>
      <c r="D31" s="202">
        <f t="shared" si="0"/>
        <v>46312</v>
      </c>
      <c r="E31" s="202">
        <f t="shared" si="5"/>
        <v>46234</v>
      </c>
      <c r="F31" s="204">
        <f t="shared" si="9"/>
        <v>78</v>
      </c>
      <c r="H31" s="132">
        <f t="shared" si="6"/>
        <v>29</v>
      </c>
      <c r="I31" s="468" t="s">
        <v>3020</v>
      </c>
      <c r="J31" s="202"/>
      <c r="K31" s="202">
        <f t="shared" si="2"/>
        <v>120</v>
      </c>
      <c r="L31" s="202">
        <f t="shared" si="8"/>
        <v>46234</v>
      </c>
      <c r="M31" s="204">
        <f t="shared" si="3"/>
        <v>-46114</v>
      </c>
    </row>
    <row r="32" spans="1:13" x14ac:dyDescent="0.35">
      <c r="A32" s="132">
        <f t="shared" si="4"/>
        <v>30</v>
      </c>
      <c r="B32" s="462" t="s">
        <v>3000</v>
      </c>
      <c r="C32" s="202">
        <v>46195</v>
      </c>
      <c r="D32" s="202">
        <f t="shared" si="0"/>
        <v>46315</v>
      </c>
      <c r="E32" s="202">
        <f t="shared" si="5"/>
        <v>46234</v>
      </c>
      <c r="F32" s="204">
        <f t="shared" si="9"/>
        <v>81</v>
      </c>
      <c r="H32" s="132">
        <f t="shared" si="6"/>
        <v>30</v>
      </c>
      <c r="I32" s="468" t="s">
        <v>3021</v>
      </c>
      <c r="J32" s="202"/>
      <c r="K32" s="202">
        <f t="shared" si="2"/>
        <v>120</v>
      </c>
      <c r="L32" s="202">
        <f t="shared" si="8"/>
        <v>46234</v>
      </c>
      <c r="M32" s="204">
        <f t="shared" si="3"/>
        <v>-46114</v>
      </c>
    </row>
    <row r="33" spans="1:13" x14ac:dyDescent="0.35">
      <c r="A33" s="132">
        <f t="shared" si="4"/>
        <v>31</v>
      </c>
      <c r="B33" s="468" t="s">
        <v>3005</v>
      </c>
      <c r="C33" s="202">
        <v>46136</v>
      </c>
      <c r="D33" s="202">
        <f t="shared" ref="D33:D36" si="10">+C33+120</f>
        <v>46256</v>
      </c>
      <c r="E33" s="202">
        <f t="shared" si="5"/>
        <v>46234</v>
      </c>
      <c r="F33" s="204">
        <f t="shared" si="9"/>
        <v>22</v>
      </c>
      <c r="H33" s="132">
        <f t="shared" si="6"/>
        <v>31</v>
      </c>
      <c r="I33" s="468" t="s">
        <v>3022</v>
      </c>
      <c r="J33" s="202"/>
      <c r="K33" s="202">
        <f t="shared" si="2"/>
        <v>120</v>
      </c>
      <c r="L33" s="202">
        <f t="shared" si="8"/>
        <v>46234</v>
      </c>
      <c r="M33" s="204">
        <f t="shared" si="3"/>
        <v>-46114</v>
      </c>
    </row>
    <row r="34" spans="1:13" x14ac:dyDescent="0.35">
      <c r="A34" s="132">
        <f t="shared" si="4"/>
        <v>32</v>
      </c>
      <c r="B34" s="482" t="s">
        <v>3094</v>
      </c>
      <c r="C34" s="202">
        <v>46211</v>
      </c>
      <c r="D34" s="202">
        <f t="shared" si="10"/>
        <v>46331</v>
      </c>
      <c r="E34" s="202">
        <f t="shared" si="5"/>
        <v>46234</v>
      </c>
      <c r="F34" s="204">
        <f t="shared" ref="F34:F48" si="11">+D34-E34</f>
        <v>97</v>
      </c>
      <c r="H34" s="132">
        <f t="shared" si="6"/>
        <v>32</v>
      </c>
      <c r="I34" s="468" t="s">
        <v>3023</v>
      </c>
      <c r="J34" s="202"/>
      <c r="K34" s="202">
        <f>+J34+120</f>
        <v>120</v>
      </c>
      <c r="L34" s="202">
        <f t="shared" si="8"/>
        <v>46234</v>
      </c>
      <c r="M34" s="204">
        <f t="shared" si="3"/>
        <v>-46114</v>
      </c>
    </row>
    <row r="35" spans="1:13" x14ac:dyDescent="0.35">
      <c r="A35" s="132">
        <f t="shared" si="4"/>
        <v>33</v>
      </c>
      <c r="B35" s="500" t="s">
        <v>3230</v>
      </c>
      <c r="C35" s="202">
        <v>46220</v>
      </c>
      <c r="D35" s="202">
        <f t="shared" si="10"/>
        <v>46340</v>
      </c>
      <c r="E35" s="202">
        <f t="shared" si="5"/>
        <v>46234</v>
      </c>
      <c r="F35" s="204">
        <f t="shared" si="11"/>
        <v>106</v>
      </c>
      <c r="H35" s="132">
        <f t="shared" si="6"/>
        <v>33</v>
      </c>
      <c r="I35" s="468" t="s">
        <v>3024</v>
      </c>
      <c r="J35" s="202"/>
      <c r="K35" s="202">
        <f>+J35+120</f>
        <v>120</v>
      </c>
      <c r="L35" s="202">
        <f t="shared" si="8"/>
        <v>46234</v>
      </c>
      <c r="M35" s="204">
        <f t="shared" si="3"/>
        <v>-46114</v>
      </c>
    </row>
    <row r="36" spans="1:13" x14ac:dyDescent="0.35">
      <c r="A36" s="132">
        <f t="shared" ref="A36:A68" si="12">+A35+1</f>
        <v>34</v>
      </c>
      <c r="B36" s="515" t="s">
        <v>3332</v>
      </c>
      <c r="C36" s="202">
        <v>46228</v>
      </c>
      <c r="D36" s="202">
        <f t="shared" si="10"/>
        <v>46348</v>
      </c>
      <c r="E36" s="202">
        <f t="shared" si="5"/>
        <v>46234</v>
      </c>
      <c r="F36" s="204">
        <f t="shared" si="11"/>
        <v>114</v>
      </c>
      <c r="H36" s="132">
        <f t="shared" ref="H36:H93" si="13">+H35+1</f>
        <v>34</v>
      </c>
      <c r="I36" s="468" t="s">
        <v>3025</v>
      </c>
      <c r="J36" s="202"/>
      <c r="K36" s="202">
        <f>+J36+120</f>
        <v>120</v>
      </c>
      <c r="L36" s="202">
        <f t="shared" si="8"/>
        <v>46234</v>
      </c>
      <c r="M36" s="204">
        <f t="shared" si="3"/>
        <v>-46114</v>
      </c>
    </row>
    <row r="37" spans="1:13" x14ac:dyDescent="0.35">
      <c r="A37" s="132">
        <f t="shared" si="12"/>
        <v>35</v>
      </c>
      <c r="B37" s="516" t="s">
        <v>3360</v>
      </c>
      <c r="C37" s="202">
        <v>46231</v>
      </c>
      <c r="D37" s="202">
        <f t="shared" ref="D37:D46" si="14">+C37+120</f>
        <v>46351</v>
      </c>
      <c r="E37" s="202">
        <f t="shared" si="5"/>
        <v>46234</v>
      </c>
      <c r="F37" s="204">
        <f t="shared" si="11"/>
        <v>117</v>
      </c>
      <c r="H37" s="132">
        <f t="shared" si="13"/>
        <v>35</v>
      </c>
      <c r="I37" s="468" t="s">
        <v>3026</v>
      </c>
      <c r="J37" s="202"/>
      <c r="K37" s="202">
        <f>+J37+120</f>
        <v>120</v>
      </c>
      <c r="L37" s="202">
        <f t="shared" si="8"/>
        <v>46234</v>
      </c>
      <c r="M37" s="204">
        <f t="shared" si="3"/>
        <v>-46114</v>
      </c>
    </row>
    <row r="38" spans="1:13" x14ac:dyDescent="0.35">
      <c r="A38" s="132">
        <f t="shared" si="12"/>
        <v>36</v>
      </c>
      <c r="B38" s="374"/>
      <c r="C38" s="202"/>
      <c r="D38" s="202">
        <f t="shared" si="14"/>
        <v>120</v>
      </c>
      <c r="E38" s="202">
        <f t="shared" si="5"/>
        <v>46234</v>
      </c>
      <c r="F38" s="204">
        <f t="shared" si="11"/>
        <v>-46114</v>
      </c>
      <c r="H38" s="132">
        <f t="shared" si="13"/>
        <v>36</v>
      </c>
      <c r="I38" s="468" t="s">
        <v>3027</v>
      </c>
      <c r="J38" s="202"/>
      <c r="K38" s="202">
        <f>+J38+120</f>
        <v>120</v>
      </c>
      <c r="L38" s="202">
        <f t="shared" si="8"/>
        <v>46234</v>
      </c>
      <c r="M38" s="204">
        <f t="shared" si="3"/>
        <v>-46114</v>
      </c>
    </row>
    <row r="39" spans="1:13" x14ac:dyDescent="0.35">
      <c r="A39" s="132">
        <f t="shared" si="12"/>
        <v>37</v>
      </c>
      <c r="B39" s="390"/>
      <c r="C39" s="202"/>
      <c r="D39" s="202">
        <f t="shared" si="14"/>
        <v>120</v>
      </c>
      <c r="E39" s="202">
        <f t="shared" si="5"/>
        <v>46234</v>
      </c>
      <c r="F39" s="204">
        <f t="shared" si="11"/>
        <v>-46114</v>
      </c>
      <c r="H39" s="132">
        <f t="shared" si="13"/>
        <v>37</v>
      </c>
      <c r="I39" s="468" t="s">
        <v>3028</v>
      </c>
      <c r="J39" s="202"/>
      <c r="K39" s="202">
        <f t="shared" ref="K39:K67" si="15">+J39+120</f>
        <v>120</v>
      </c>
      <c r="L39" s="202">
        <f t="shared" si="8"/>
        <v>46234</v>
      </c>
      <c r="M39" s="204">
        <f t="shared" si="3"/>
        <v>-46114</v>
      </c>
    </row>
    <row r="40" spans="1:13" x14ac:dyDescent="0.35">
      <c r="A40" s="132">
        <f t="shared" si="12"/>
        <v>38</v>
      </c>
      <c r="C40" s="202"/>
      <c r="D40" s="202">
        <f t="shared" si="14"/>
        <v>120</v>
      </c>
      <c r="E40" s="202">
        <f t="shared" si="5"/>
        <v>46234</v>
      </c>
      <c r="F40" s="204">
        <f t="shared" si="11"/>
        <v>-46114</v>
      </c>
      <c r="H40" s="132">
        <f t="shared" si="13"/>
        <v>38</v>
      </c>
      <c r="I40" s="468" t="s">
        <v>3029</v>
      </c>
      <c r="J40" s="202"/>
      <c r="K40" s="202">
        <f t="shared" si="15"/>
        <v>120</v>
      </c>
      <c r="L40" s="202">
        <f t="shared" si="8"/>
        <v>46234</v>
      </c>
      <c r="M40" s="204">
        <f t="shared" si="3"/>
        <v>-46114</v>
      </c>
    </row>
    <row r="41" spans="1:13" x14ac:dyDescent="0.35">
      <c r="A41" s="132">
        <f t="shared" si="12"/>
        <v>39</v>
      </c>
      <c r="C41" s="202"/>
      <c r="D41" s="202">
        <f t="shared" si="14"/>
        <v>120</v>
      </c>
      <c r="E41" s="202">
        <f t="shared" si="5"/>
        <v>46234</v>
      </c>
      <c r="F41" s="204">
        <f t="shared" si="11"/>
        <v>-46114</v>
      </c>
      <c r="H41" s="132">
        <f t="shared" si="13"/>
        <v>39</v>
      </c>
      <c r="I41" s="512" t="s">
        <v>3292</v>
      </c>
      <c r="J41" s="202"/>
      <c r="K41" s="202">
        <f t="shared" si="15"/>
        <v>120</v>
      </c>
      <c r="L41" s="202">
        <f t="shared" si="8"/>
        <v>46234</v>
      </c>
      <c r="M41" s="204">
        <f t="shared" si="3"/>
        <v>-46114</v>
      </c>
    </row>
    <row r="42" spans="1:13" x14ac:dyDescent="0.35">
      <c r="A42" s="132">
        <f t="shared" si="12"/>
        <v>40</v>
      </c>
      <c r="C42" s="202"/>
      <c r="D42" s="202">
        <f t="shared" si="14"/>
        <v>120</v>
      </c>
      <c r="E42" s="202">
        <f t="shared" si="5"/>
        <v>46234</v>
      </c>
      <c r="F42" s="204">
        <f t="shared" si="11"/>
        <v>-46114</v>
      </c>
      <c r="H42" s="132">
        <f t="shared" si="13"/>
        <v>40</v>
      </c>
      <c r="I42" s="512" t="s">
        <v>3293</v>
      </c>
      <c r="J42" s="202"/>
      <c r="K42" s="202">
        <f t="shared" si="15"/>
        <v>120</v>
      </c>
      <c r="L42" s="202">
        <f t="shared" si="8"/>
        <v>46234</v>
      </c>
      <c r="M42" s="204">
        <f t="shared" si="3"/>
        <v>-46114</v>
      </c>
    </row>
    <row r="43" spans="1:13" x14ac:dyDescent="0.35">
      <c r="A43" s="132">
        <f t="shared" si="12"/>
        <v>41</v>
      </c>
      <c r="C43" s="202"/>
      <c r="D43" s="202">
        <f t="shared" si="14"/>
        <v>120</v>
      </c>
      <c r="E43" s="202">
        <f t="shared" si="5"/>
        <v>46234</v>
      </c>
      <c r="F43" s="204">
        <f t="shared" si="11"/>
        <v>-46114</v>
      </c>
      <c r="H43" s="132">
        <f t="shared" si="13"/>
        <v>41</v>
      </c>
      <c r="I43" s="512" t="s">
        <v>3294</v>
      </c>
      <c r="J43" s="202"/>
      <c r="K43" s="202">
        <f t="shared" si="15"/>
        <v>120</v>
      </c>
      <c r="L43" s="202">
        <f t="shared" si="8"/>
        <v>46234</v>
      </c>
      <c r="M43" s="204">
        <f t="shared" si="3"/>
        <v>-46114</v>
      </c>
    </row>
    <row r="44" spans="1:13" x14ac:dyDescent="0.35">
      <c r="A44" s="132">
        <f t="shared" si="12"/>
        <v>42</v>
      </c>
      <c r="C44" s="202"/>
      <c r="D44" s="202">
        <f t="shared" si="14"/>
        <v>120</v>
      </c>
      <c r="E44" s="202">
        <f t="shared" si="5"/>
        <v>46234</v>
      </c>
      <c r="F44" s="204">
        <f t="shared" si="11"/>
        <v>-46114</v>
      </c>
      <c r="H44" s="132">
        <f t="shared" si="13"/>
        <v>42</v>
      </c>
      <c r="I44" s="512" t="s">
        <v>3295</v>
      </c>
      <c r="J44" s="202"/>
      <c r="K44" s="202">
        <f t="shared" si="15"/>
        <v>120</v>
      </c>
      <c r="L44" s="202">
        <f t="shared" si="8"/>
        <v>46234</v>
      </c>
      <c r="M44" s="204">
        <f t="shared" si="3"/>
        <v>-46114</v>
      </c>
    </row>
    <row r="45" spans="1:13" x14ac:dyDescent="0.35">
      <c r="A45" s="132">
        <f t="shared" si="12"/>
        <v>43</v>
      </c>
      <c r="C45" s="202"/>
      <c r="D45" s="202">
        <f t="shared" si="14"/>
        <v>120</v>
      </c>
      <c r="E45" s="202">
        <f t="shared" si="5"/>
        <v>46234</v>
      </c>
      <c r="F45" s="204">
        <f t="shared" si="11"/>
        <v>-46114</v>
      </c>
      <c r="H45" s="132">
        <f t="shared" si="13"/>
        <v>43</v>
      </c>
      <c r="I45" s="512" t="s">
        <v>3296</v>
      </c>
      <c r="J45" s="202"/>
      <c r="K45" s="202">
        <f t="shared" si="15"/>
        <v>120</v>
      </c>
      <c r="L45" s="202">
        <f t="shared" ref="L45:L91" si="16">+L44</f>
        <v>46234</v>
      </c>
      <c r="M45" s="204">
        <f t="shared" si="3"/>
        <v>-46114</v>
      </c>
    </row>
    <row r="46" spans="1:13" x14ac:dyDescent="0.35">
      <c r="A46" s="132">
        <f t="shared" si="12"/>
        <v>44</v>
      </c>
      <c r="C46" s="202"/>
      <c r="D46" s="202">
        <f t="shared" si="14"/>
        <v>120</v>
      </c>
      <c r="E46" s="202">
        <f t="shared" si="5"/>
        <v>46234</v>
      </c>
      <c r="F46" s="204">
        <f t="shared" si="11"/>
        <v>-46114</v>
      </c>
      <c r="H46" s="132">
        <f t="shared" si="13"/>
        <v>44</v>
      </c>
      <c r="I46" s="512" t="s">
        <v>3297</v>
      </c>
      <c r="J46" s="202"/>
      <c r="K46" s="202">
        <f t="shared" si="15"/>
        <v>120</v>
      </c>
      <c r="L46" s="202">
        <f t="shared" si="16"/>
        <v>46234</v>
      </c>
      <c r="M46" s="204">
        <f t="shared" si="3"/>
        <v>-46114</v>
      </c>
    </row>
    <row r="47" spans="1:13" x14ac:dyDescent="0.35">
      <c r="A47" s="132">
        <f t="shared" si="12"/>
        <v>45</v>
      </c>
      <c r="C47" s="202"/>
      <c r="D47" s="202"/>
      <c r="E47" s="202">
        <f t="shared" si="5"/>
        <v>46234</v>
      </c>
      <c r="F47" s="204">
        <f t="shared" si="11"/>
        <v>-46234</v>
      </c>
      <c r="H47" s="132">
        <f t="shared" si="13"/>
        <v>45</v>
      </c>
      <c r="I47" s="512" t="s">
        <v>3298</v>
      </c>
      <c r="J47" s="202"/>
      <c r="K47" s="202">
        <f t="shared" si="15"/>
        <v>120</v>
      </c>
      <c r="L47" s="202">
        <f t="shared" si="16"/>
        <v>46234</v>
      </c>
      <c r="M47" s="204">
        <f t="shared" si="3"/>
        <v>-46114</v>
      </c>
    </row>
    <row r="48" spans="1:13" x14ac:dyDescent="0.35">
      <c r="A48" s="132">
        <f t="shared" si="12"/>
        <v>46</v>
      </c>
      <c r="C48" s="202"/>
      <c r="D48" s="202"/>
      <c r="E48" s="202">
        <f t="shared" si="5"/>
        <v>46234</v>
      </c>
      <c r="F48" s="204">
        <f t="shared" si="11"/>
        <v>-46234</v>
      </c>
      <c r="H48" s="132">
        <f t="shared" si="13"/>
        <v>46</v>
      </c>
      <c r="I48" s="512" t="s">
        <v>3299</v>
      </c>
      <c r="J48" s="202"/>
      <c r="K48" s="202">
        <f t="shared" si="15"/>
        <v>120</v>
      </c>
      <c r="L48" s="202">
        <f t="shared" si="16"/>
        <v>46234</v>
      </c>
      <c r="M48" s="204">
        <f t="shared" si="3"/>
        <v>-46114</v>
      </c>
    </row>
    <row r="49" spans="1:15" x14ac:dyDescent="0.35">
      <c r="A49" s="132">
        <f t="shared" si="12"/>
        <v>47</v>
      </c>
      <c r="C49" s="202"/>
      <c r="D49" s="202"/>
      <c r="E49" s="202"/>
      <c r="F49" s="204"/>
      <c r="H49" s="132">
        <f t="shared" si="13"/>
        <v>47</v>
      </c>
      <c r="I49" s="512" t="s">
        <v>3300</v>
      </c>
      <c r="J49" s="202"/>
      <c r="K49" s="202">
        <f t="shared" si="15"/>
        <v>120</v>
      </c>
      <c r="L49" s="202">
        <f t="shared" si="16"/>
        <v>46234</v>
      </c>
      <c r="M49" s="204">
        <f t="shared" si="3"/>
        <v>-46114</v>
      </c>
    </row>
    <row r="50" spans="1:15" x14ac:dyDescent="0.35">
      <c r="A50" s="132">
        <f t="shared" si="12"/>
        <v>48</v>
      </c>
      <c r="C50" s="202"/>
      <c r="D50" s="202"/>
      <c r="E50" s="202"/>
      <c r="F50" s="204"/>
      <c r="H50" s="132">
        <f t="shared" si="13"/>
        <v>48</v>
      </c>
      <c r="I50" s="423"/>
      <c r="J50" s="202"/>
      <c r="K50" s="202">
        <f t="shared" si="15"/>
        <v>120</v>
      </c>
      <c r="L50" s="202">
        <f t="shared" si="16"/>
        <v>46234</v>
      </c>
      <c r="M50" s="204">
        <f t="shared" si="3"/>
        <v>-46114</v>
      </c>
    </row>
    <row r="51" spans="1:15" x14ac:dyDescent="0.35">
      <c r="A51" s="132">
        <f t="shared" si="12"/>
        <v>49</v>
      </c>
      <c r="C51" s="202"/>
      <c r="D51" s="202"/>
      <c r="E51" s="202"/>
      <c r="F51" s="204"/>
      <c r="H51" s="132">
        <f t="shared" si="13"/>
        <v>49</v>
      </c>
      <c r="I51" s="423"/>
      <c r="J51" s="202"/>
      <c r="K51" s="202">
        <f t="shared" si="15"/>
        <v>120</v>
      </c>
      <c r="L51" s="202">
        <f t="shared" si="16"/>
        <v>46234</v>
      </c>
      <c r="M51" s="204">
        <f t="shared" si="3"/>
        <v>-46114</v>
      </c>
    </row>
    <row r="52" spans="1:15" x14ac:dyDescent="0.35">
      <c r="A52" s="132">
        <f t="shared" si="12"/>
        <v>50</v>
      </c>
      <c r="C52" s="202"/>
      <c r="D52" s="202"/>
      <c r="E52" s="202"/>
      <c r="F52" s="204"/>
      <c r="H52" s="132">
        <f t="shared" si="13"/>
        <v>50</v>
      </c>
      <c r="I52" s="423"/>
      <c r="J52" s="202"/>
      <c r="K52" s="202">
        <f t="shared" si="15"/>
        <v>120</v>
      </c>
      <c r="L52" s="202">
        <f t="shared" si="16"/>
        <v>46234</v>
      </c>
      <c r="M52" s="204">
        <f t="shared" si="3"/>
        <v>-46114</v>
      </c>
    </row>
    <row r="53" spans="1:15" x14ac:dyDescent="0.35">
      <c r="A53" s="132">
        <f t="shared" si="12"/>
        <v>51</v>
      </c>
      <c r="C53" s="202"/>
      <c r="D53" s="202"/>
      <c r="E53" s="202"/>
      <c r="F53" s="204"/>
      <c r="H53" s="132">
        <f t="shared" si="13"/>
        <v>51</v>
      </c>
      <c r="I53" s="423"/>
      <c r="J53" s="202"/>
      <c r="K53" s="202">
        <f t="shared" si="15"/>
        <v>120</v>
      </c>
      <c r="L53" s="202">
        <f t="shared" si="16"/>
        <v>46234</v>
      </c>
      <c r="M53" s="204">
        <f t="shared" si="3"/>
        <v>-46114</v>
      </c>
      <c r="N53" s="353"/>
      <c r="O53" s="354"/>
    </row>
    <row r="54" spans="1:15" x14ac:dyDescent="0.35">
      <c r="A54" s="132">
        <f t="shared" si="12"/>
        <v>52</v>
      </c>
      <c r="C54" s="202"/>
      <c r="D54" s="202"/>
      <c r="E54" s="202"/>
      <c r="F54" s="204"/>
      <c r="H54" s="132">
        <f t="shared" si="13"/>
        <v>52</v>
      </c>
      <c r="I54" s="423"/>
      <c r="J54" s="202"/>
      <c r="K54" s="202">
        <f t="shared" si="15"/>
        <v>120</v>
      </c>
      <c r="L54" s="202">
        <f t="shared" si="16"/>
        <v>46234</v>
      </c>
      <c r="M54" s="204">
        <f t="shared" si="3"/>
        <v>-46114</v>
      </c>
    </row>
    <row r="55" spans="1:15" x14ac:dyDescent="0.35">
      <c r="A55" s="132">
        <f t="shared" si="12"/>
        <v>53</v>
      </c>
      <c r="C55" s="202"/>
      <c r="D55" s="202"/>
      <c r="E55" s="202"/>
      <c r="F55" s="204"/>
      <c r="H55" s="132">
        <f t="shared" si="13"/>
        <v>53</v>
      </c>
      <c r="I55" s="423"/>
      <c r="J55" s="202"/>
      <c r="K55" s="202">
        <f t="shared" si="15"/>
        <v>120</v>
      </c>
      <c r="L55" s="202">
        <f t="shared" si="16"/>
        <v>46234</v>
      </c>
      <c r="M55" s="204">
        <f t="shared" si="3"/>
        <v>-46114</v>
      </c>
    </row>
    <row r="56" spans="1:15" x14ac:dyDescent="0.35">
      <c r="A56" s="132">
        <f t="shared" si="12"/>
        <v>54</v>
      </c>
      <c r="C56" s="202"/>
      <c r="D56" s="202"/>
      <c r="E56" s="202"/>
      <c r="F56" s="204"/>
      <c r="H56" s="132">
        <f t="shared" si="13"/>
        <v>54</v>
      </c>
      <c r="I56" s="423"/>
      <c r="J56" s="202"/>
      <c r="K56" s="202">
        <f t="shared" si="15"/>
        <v>120</v>
      </c>
      <c r="L56" s="202">
        <f t="shared" si="16"/>
        <v>46234</v>
      </c>
      <c r="M56" s="204">
        <f t="shared" si="3"/>
        <v>-46114</v>
      </c>
    </row>
    <row r="57" spans="1:15" x14ac:dyDescent="0.35">
      <c r="A57" s="132">
        <f t="shared" si="12"/>
        <v>55</v>
      </c>
      <c r="C57" s="202"/>
      <c r="D57" s="202"/>
      <c r="E57" s="202"/>
      <c r="F57" s="204"/>
      <c r="H57" s="132">
        <f t="shared" si="13"/>
        <v>55</v>
      </c>
      <c r="I57" s="423"/>
      <c r="J57" s="202"/>
      <c r="K57" s="202">
        <f t="shared" si="15"/>
        <v>120</v>
      </c>
      <c r="L57" s="202">
        <f t="shared" si="16"/>
        <v>46234</v>
      </c>
      <c r="M57" s="204">
        <f t="shared" si="3"/>
        <v>-46114</v>
      </c>
    </row>
    <row r="58" spans="1:15" x14ac:dyDescent="0.35">
      <c r="A58" s="132">
        <f t="shared" si="12"/>
        <v>56</v>
      </c>
      <c r="C58" s="202"/>
      <c r="D58" s="202"/>
      <c r="E58" s="202"/>
      <c r="F58" s="204"/>
      <c r="H58" s="132">
        <f t="shared" si="13"/>
        <v>56</v>
      </c>
      <c r="I58" s="423"/>
      <c r="J58" s="202"/>
      <c r="K58" s="202">
        <f t="shared" si="15"/>
        <v>120</v>
      </c>
      <c r="L58" s="202">
        <f t="shared" si="16"/>
        <v>46234</v>
      </c>
      <c r="M58" s="204">
        <f t="shared" si="3"/>
        <v>-46114</v>
      </c>
    </row>
    <row r="59" spans="1:15" x14ac:dyDescent="0.35">
      <c r="A59" s="132">
        <f t="shared" si="12"/>
        <v>57</v>
      </c>
      <c r="C59" s="202"/>
      <c r="D59" s="202"/>
      <c r="E59" s="202"/>
      <c r="F59" s="204"/>
      <c r="H59" s="132">
        <f t="shared" si="13"/>
        <v>57</v>
      </c>
      <c r="I59" s="423"/>
      <c r="J59" s="202"/>
      <c r="K59" s="202">
        <f t="shared" si="15"/>
        <v>120</v>
      </c>
      <c r="L59" s="202">
        <f t="shared" si="16"/>
        <v>46234</v>
      </c>
      <c r="M59" s="204">
        <f t="shared" si="3"/>
        <v>-46114</v>
      </c>
    </row>
    <row r="60" spans="1:15" x14ac:dyDescent="0.35">
      <c r="A60" s="132">
        <f t="shared" si="12"/>
        <v>58</v>
      </c>
      <c r="C60" s="202"/>
      <c r="D60" s="202"/>
      <c r="E60" s="202"/>
      <c r="F60" s="204"/>
      <c r="H60" s="132">
        <f t="shared" si="13"/>
        <v>58</v>
      </c>
      <c r="I60" s="423"/>
      <c r="J60" s="202"/>
      <c r="K60" s="202">
        <f t="shared" si="15"/>
        <v>120</v>
      </c>
      <c r="L60" s="202">
        <f t="shared" si="16"/>
        <v>46234</v>
      </c>
      <c r="M60" s="204">
        <f t="shared" si="3"/>
        <v>-46114</v>
      </c>
    </row>
    <row r="61" spans="1:15" x14ac:dyDescent="0.35">
      <c r="A61" s="132">
        <f t="shared" si="12"/>
        <v>59</v>
      </c>
      <c r="C61" s="202"/>
      <c r="D61" s="202"/>
      <c r="E61" s="202"/>
      <c r="F61" s="204"/>
      <c r="H61" s="132">
        <f t="shared" si="13"/>
        <v>59</v>
      </c>
      <c r="I61" s="423"/>
      <c r="J61" s="202"/>
      <c r="K61" s="202">
        <f t="shared" si="15"/>
        <v>120</v>
      </c>
      <c r="L61" s="202">
        <f t="shared" si="16"/>
        <v>46234</v>
      </c>
      <c r="M61" s="204">
        <f t="shared" si="3"/>
        <v>-46114</v>
      </c>
    </row>
    <row r="62" spans="1:15" x14ac:dyDescent="0.35">
      <c r="A62" s="132">
        <f t="shared" si="12"/>
        <v>60</v>
      </c>
      <c r="C62" s="202"/>
      <c r="D62" s="202"/>
      <c r="E62" s="202"/>
      <c r="F62" s="204"/>
      <c r="H62" s="132">
        <f t="shared" si="13"/>
        <v>60</v>
      </c>
      <c r="I62" s="468"/>
      <c r="J62" s="202"/>
      <c r="K62" s="202">
        <f t="shared" si="15"/>
        <v>120</v>
      </c>
      <c r="L62" s="202">
        <f t="shared" si="16"/>
        <v>46234</v>
      </c>
      <c r="M62" s="204">
        <f t="shared" si="3"/>
        <v>-46114</v>
      </c>
    </row>
    <row r="63" spans="1:15" x14ac:dyDescent="0.35">
      <c r="A63" s="132">
        <f t="shared" si="12"/>
        <v>61</v>
      </c>
      <c r="C63" s="202"/>
      <c r="D63" s="202"/>
      <c r="E63" s="202"/>
      <c r="F63" s="204"/>
      <c r="H63" s="132">
        <f t="shared" si="13"/>
        <v>61</v>
      </c>
      <c r="I63" s="468"/>
      <c r="J63" s="202"/>
      <c r="K63" s="202">
        <f t="shared" si="15"/>
        <v>120</v>
      </c>
      <c r="L63" s="202">
        <f t="shared" si="16"/>
        <v>46234</v>
      </c>
      <c r="M63" s="204">
        <f t="shared" si="3"/>
        <v>-46114</v>
      </c>
    </row>
    <row r="64" spans="1:15" x14ac:dyDescent="0.35">
      <c r="A64" s="132">
        <f t="shared" si="12"/>
        <v>62</v>
      </c>
      <c r="C64" s="202"/>
      <c r="D64" s="202"/>
      <c r="E64" s="202"/>
      <c r="F64" s="204"/>
      <c r="H64" s="132">
        <f t="shared" si="13"/>
        <v>62</v>
      </c>
      <c r="I64" s="468"/>
      <c r="J64" s="202"/>
      <c r="K64" s="202">
        <f t="shared" si="15"/>
        <v>120</v>
      </c>
      <c r="L64" s="202">
        <f t="shared" si="16"/>
        <v>46234</v>
      </c>
      <c r="M64" s="204">
        <f t="shared" si="3"/>
        <v>-46114</v>
      </c>
    </row>
    <row r="65" spans="1:13" x14ac:dyDescent="0.35">
      <c r="A65" s="132">
        <f t="shared" si="12"/>
        <v>63</v>
      </c>
      <c r="C65" s="202"/>
      <c r="D65" s="202"/>
      <c r="E65" s="202"/>
      <c r="F65" s="204"/>
      <c r="H65" s="132">
        <f t="shared" si="13"/>
        <v>63</v>
      </c>
      <c r="I65" s="468"/>
      <c r="J65" s="202"/>
      <c r="K65" s="202">
        <f t="shared" si="15"/>
        <v>120</v>
      </c>
      <c r="L65" s="202">
        <f t="shared" si="16"/>
        <v>46234</v>
      </c>
      <c r="M65" s="204">
        <f t="shared" si="3"/>
        <v>-46114</v>
      </c>
    </row>
    <row r="66" spans="1:13" x14ac:dyDescent="0.35">
      <c r="A66" s="132">
        <f t="shared" si="12"/>
        <v>64</v>
      </c>
      <c r="C66" s="202"/>
      <c r="D66" s="202"/>
      <c r="E66" s="202"/>
      <c r="F66" s="204"/>
      <c r="H66" s="132">
        <f t="shared" si="13"/>
        <v>64</v>
      </c>
      <c r="I66" s="468"/>
      <c r="J66" s="202"/>
      <c r="K66" s="202">
        <f t="shared" si="15"/>
        <v>120</v>
      </c>
      <c r="L66" s="202">
        <f t="shared" si="16"/>
        <v>46234</v>
      </c>
      <c r="M66" s="204">
        <f t="shared" si="3"/>
        <v>-46114</v>
      </c>
    </row>
    <row r="67" spans="1:13" x14ac:dyDescent="0.35">
      <c r="A67" s="132">
        <f t="shared" si="12"/>
        <v>65</v>
      </c>
      <c r="C67" s="202"/>
      <c r="D67" s="202"/>
      <c r="E67" s="202"/>
      <c r="F67" s="204"/>
      <c r="H67" s="132">
        <f t="shared" si="13"/>
        <v>65</v>
      </c>
      <c r="I67" s="468"/>
      <c r="J67" s="202"/>
      <c r="K67" s="202">
        <f t="shared" si="15"/>
        <v>120</v>
      </c>
      <c r="L67" s="202">
        <f t="shared" si="16"/>
        <v>46234</v>
      </c>
      <c r="M67" s="204">
        <f t="shared" ref="M67:M91" si="17">+K67-L67</f>
        <v>-46114</v>
      </c>
    </row>
    <row r="68" spans="1:13" x14ac:dyDescent="0.35">
      <c r="A68" s="132">
        <f t="shared" si="12"/>
        <v>66</v>
      </c>
      <c r="C68" s="202"/>
      <c r="D68" s="202"/>
      <c r="E68" s="202"/>
      <c r="F68" s="204"/>
      <c r="H68" s="132">
        <f t="shared" si="13"/>
        <v>66</v>
      </c>
      <c r="I68" s="468"/>
      <c r="J68" s="202"/>
      <c r="K68" s="202">
        <f t="shared" ref="K68:K77" si="18">+J68+120</f>
        <v>120</v>
      </c>
      <c r="L68" s="202">
        <f t="shared" si="16"/>
        <v>46234</v>
      </c>
      <c r="M68" s="204">
        <f t="shared" si="17"/>
        <v>-46114</v>
      </c>
    </row>
    <row r="69" spans="1:13" x14ac:dyDescent="0.35">
      <c r="C69" s="202"/>
      <c r="D69" s="202"/>
      <c r="H69" s="132">
        <f t="shared" si="13"/>
        <v>67</v>
      </c>
      <c r="I69" s="468"/>
      <c r="J69" s="202"/>
      <c r="K69" s="202">
        <f t="shared" si="18"/>
        <v>120</v>
      </c>
      <c r="L69" s="202">
        <f t="shared" si="16"/>
        <v>46234</v>
      </c>
      <c r="M69" s="204">
        <f t="shared" si="17"/>
        <v>-46114</v>
      </c>
    </row>
    <row r="70" spans="1:13" x14ac:dyDescent="0.35">
      <c r="C70" s="202"/>
      <c r="D70" s="202"/>
      <c r="H70" s="132">
        <f t="shared" si="13"/>
        <v>68</v>
      </c>
      <c r="I70" s="468"/>
      <c r="J70" s="202"/>
      <c r="K70" s="202">
        <f t="shared" si="18"/>
        <v>120</v>
      </c>
      <c r="L70" s="202">
        <f t="shared" si="16"/>
        <v>46234</v>
      </c>
      <c r="M70" s="204">
        <f t="shared" si="17"/>
        <v>-46114</v>
      </c>
    </row>
    <row r="71" spans="1:13" x14ac:dyDescent="0.35">
      <c r="C71" s="202"/>
      <c r="D71" s="202"/>
      <c r="H71" s="132">
        <f t="shared" si="13"/>
        <v>69</v>
      </c>
      <c r="I71" s="468"/>
      <c r="J71" s="202"/>
      <c r="K71" s="202">
        <f t="shared" si="18"/>
        <v>120</v>
      </c>
      <c r="L71" s="202">
        <f t="shared" si="16"/>
        <v>46234</v>
      </c>
      <c r="M71" s="204">
        <f t="shared" si="17"/>
        <v>-46114</v>
      </c>
    </row>
    <row r="72" spans="1:13" x14ac:dyDescent="0.35">
      <c r="C72" s="202"/>
      <c r="D72" s="202"/>
      <c r="H72" s="132">
        <f t="shared" si="13"/>
        <v>70</v>
      </c>
      <c r="I72" s="468"/>
      <c r="J72" s="202"/>
      <c r="K72" s="202">
        <f t="shared" si="18"/>
        <v>120</v>
      </c>
      <c r="L72" s="202">
        <f t="shared" si="16"/>
        <v>46234</v>
      </c>
      <c r="M72" s="204">
        <f t="shared" si="17"/>
        <v>-46114</v>
      </c>
    </row>
    <row r="73" spans="1:13" x14ac:dyDescent="0.35">
      <c r="C73" s="202"/>
      <c r="D73" s="202"/>
      <c r="H73" s="132">
        <f t="shared" si="13"/>
        <v>71</v>
      </c>
      <c r="I73" s="468"/>
      <c r="J73" s="202"/>
      <c r="K73" s="202">
        <f t="shared" si="18"/>
        <v>120</v>
      </c>
      <c r="L73" s="202">
        <f t="shared" si="16"/>
        <v>46234</v>
      </c>
      <c r="M73" s="204">
        <f t="shared" si="17"/>
        <v>-46114</v>
      </c>
    </row>
    <row r="74" spans="1:13" x14ac:dyDescent="0.35">
      <c r="C74" s="202"/>
      <c r="D74" s="202"/>
      <c r="H74" s="132">
        <f t="shared" si="13"/>
        <v>72</v>
      </c>
      <c r="I74" s="468"/>
      <c r="J74" s="202"/>
      <c r="K74" s="202">
        <f t="shared" si="18"/>
        <v>120</v>
      </c>
      <c r="L74" s="202">
        <f t="shared" si="16"/>
        <v>46234</v>
      </c>
      <c r="M74" s="204">
        <f t="shared" si="17"/>
        <v>-46114</v>
      </c>
    </row>
    <row r="75" spans="1:13" x14ac:dyDescent="0.35">
      <c r="C75" s="202"/>
      <c r="D75" s="202"/>
      <c r="H75" s="132">
        <f t="shared" si="13"/>
        <v>73</v>
      </c>
      <c r="I75" s="468"/>
      <c r="J75" s="202"/>
      <c r="K75" s="202">
        <f t="shared" si="18"/>
        <v>120</v>
      </c>
      <c r="L75" s="202">
        <f t="shared" si="16"/>
        <v>46234</v>
      </c>
      <c r="M75" s="204">
        <f t="shared" si="17"/>
        <v>-46114</v>
      </c>
    </row>
    <row r="76" spans="1:13" x14ac:dyDescent="0.35">
      <c r="C76" s="202"/>
      <c r="D76" s="202"/>
      <c r="H76" s="132">
        <f t="shared" si="13"/>
        <v>74</v>
      </c>
      <c r="I76" s="468"/>
      <c r="J76" s="202"/>
      <c r="K76" s="202">
        <f t="shared" si="18"/>
        <v>120</v>
      </c>
      <c r="L76" s="202">
        <f t="shared" si="16"/>
        <v>46234</v>
      </c>
      <c r="M76" s="204">
        <f t="shared" si="17"/>
        <v>-46114</v>
      </c>
    </row>
    <row r="77" spans="1:13" x14ac:dyDescent="0.35">
      <c r="C77" s="202"/>
      <c r="D77" s="202"/>
      <c r="H77" s="132">
        <f t="shared" si="13"/>
        <v>75</v>
      </c>
      <c r="I77" s="468"/>
      <c r="J77" s="202"/>
      <c r="K77" s="202">
        <f t="shared" si="18"/>
        <v>120</v>
      </c>
      <c r="L77" s="202">
        <f t="shared" si="16"/>
        <v>46234</v>
      </c>
      <c r="M77" s="204">
        <f t="shared" si="17"/>
        <v>-46114</v>
      </c>
    </row>
    <row r="78" spans="1:13" x14ac:dyDescent="0.35">
      <c r="C78" s="202"/>
      <c r="D78" s="202"/>
      <c r="H78" s="132">
        <f t="shared" si="13"/>
        <v>76</v>
      </c>
      <c r="I78" s="468"/>
      <c r="J78" s="202"/>
      <c r="K78" s="202">
        <f t="shared" ref="K78:K91" si="19">+J78+120</f>
        <v>120</v>
      </c>
      <c r="L78" s="202">
        <f t="shared" si="16"/>
        <v>46234</v>
      </c>
      <c r="M78" s="204">
        <f t="shared" si="17"/>
        <v>-46114</v>
      </c>
    </row>
    <row r="79" spans="1:13" x14ac:dyDescent="0.35">
      <c r="C79" s="202"/>
      <c r="D79" s="202"/>
      <c r="H79" s="132">
        <f t="shared" si="13"/>
        <v>77</v>
      </c>
      <c r="I79" s="468"/>
      <c r="J79" s="202"/>
      <c r="K79" s="202">
        <f t="shared" si="19"/>
        <v>120</v>
      </c>
      <c r="L79" s="202">
        <f t="shared" si="16"/>
        <v>46234</v>
      </c>
      <c r="M79" s="204">
        <f t="shared" si="17"/>
        <v>-46114</v>
      </c>
    </row>
    <row r="80" spans="1:13" x14ac:dyDescent="0.35">
      <c r="C80" s="202"/>
      <c r="D80" s="202"/>
      <c r="H80" s="132">
        <f t="shared" si="13"/>
        <v>78</v>
      </c>
      <c r="I80" s="468"/>
      <c r="J80" s="202"/>
      <c r="K80" s="202">
        <f t="shared" si="19"/>
        <v>120</v>
      </c>
      <c r="L80" s="202">
        <f t="shared" si="16"/>
        <v>46234</v>
      </c>
      <c r="M80" s="204">
        <f t="shared" si="17"/>
        <v>-46114</v>
      </c>
    </row>
    <row r="81" spans="3:13" x14ac:dyDescent="0.35">
      <c r="C81" s="202"/>
      <c r="D81" s="202"/>
      <c r="H81" s="132">
        <f t="shared" si="13"/>
        <v>79</v>
      </c>
      <c r="I81" s="468"/>
      <c r="J81" s="202"/>
      <c r="K81" s="202">
        <f t="shared" si="19"/>
        <v>120</v>
      </c>
      <c r="L81" s="202">
        <f t="shared" si="16"/>
        <v>46234</v>
      </c>
      <c r="M81" s="204">
        <f t="shared" si="17"/>
        <v>-46114</v>
      </c>
    </row>
    <row r="82" spans="3:13" x14ac:dyDescent="0.35">
      <c r="C82" s="202"/>
      <c r="D82" s="202"/>
      <c r="H82" s="132">
        <f t="shared" si="13"/>
        <v>80</v>
      </c>
      <c r="I82" s="468"/>
      <c r="J82" s="202"/>
      <c r="K82" s="202">
        <f t="shared" si="19"/>
        <v>120</v>
      </c>
      <c r="L82" s="202">
        <f t="shared" si="16"/>
        <v>46234</v>
      </c>
      <c r="M82" s="204">
        <f t="shared" si="17"/>
        <v>-46114</v>
      </c>
    </row>
    <row r="83" spans="3:13" x14ac:dyDescent="0.35">
      <c r="C83" s="202"/>
      <c r="D83" s="202"/>
      <c r="H83" s="132">
        <f t="shared" si="13"/>
        <v>81</v>
      </c>
      <c r="I83" s="468"/>
      <c r="J83" s="202"/>
      <c r="K83" s="202">
        <f t="shared" si="19"/>
        <v>120</v>
      </c>
      <c r="L83" s="202">
        <f t="shared" si="16"/>
        <v>46234</v>
      </c>
      <c r="M83" s="204">
        <f t="shared" si="17"/>
        <v>-46114</v>
      </c>
    </row>
    <row r="84" spans="3:13" x14ac:dyDescent="0.35">
      <c r="C84" s="202"/>
      <c r="D84" s="202"/>
      <c r="H84" s="132">
        <f t="shared" si="13"/>
        <v>82</v>
      </c>
      <c r="J84" s="202"/>
      <c r="K84" s="202">
        <f t="shared" si="19"/>
        <v>120</v>
      </c>
      <c r="L84" s="202">
        <f t="shared" si="16"/>
        <v>46234</v>
      </c>
      <c r="M84" s="204">
        <f t="shared" si="17"/>
        <v>-46114</v>
      </c>
    </row>
    <row r="85" spans="3:13" x14ac:dyDescent="0.35">
      <c r="C85" s="202"/>
      <c r="D85" s="202"/>
      <c r="H85" s="132">
        <f t="shared" si="13"/>
        <v>83</v>
      </c>
      <c r="J85" s="202"/>
      <c r="K85" s="202">
        <f t="shared" si="19"/>
        <v>120</v>
      </c>
      <c r="L85" s="202">
        <f t="shared" si="16"/>
        <v>46234</v>
      </c>
      <c r="M85" s="204">
        <f t="shared" si="17"/>
        <v>-46114</v>
      </c>
    </row>
    <row r="86" spans="3:13" x14ac:dyDescent="0.35">
      <c r="C86" s="202"/>
      <c r="D86" s="202"/>
      <c r="H86" s="132">
        <f t="shared" si="13"/>
        <v>84</v>
      </c>
      <c r="J86" s="202"/>
      <c r="K86" s="202">
        <f t="shared" si="19"/>
        <v>120</v>
      </c>
      <c r="L86" s="202">
        <f t="shared" si="16"/>
        <v>46234</v>
      </c>
      <c r="M86" s="204">
        <f t="shared" si="17"/>
        <v>-46114</v>
      </c>
    </row>
    <row r="87" spans="3:13" x14ac:dyDescent="0.35">
      <c r="C87" s="202"/>
      <c r="D87" s="202"/>
      <c r="H87" s="132">
        <f t="shared" si="13"/>
        <v>85</v>
      </c>
      <c r="J87" s="202"/>
      <c r="K87" s="202">
        <f t="shared" si="19"/>
        <v>120</v>
      </c>
      <c r="L87" s="202">
        <f t="shared" si="16"/>
        <v>46234</v>
      </c>
      <c r="M87" s="204">
        <f t="shared" si="17"/>
        <v>-46114</v>
      </c>
    </row>
    <row r="88" spans="3:13" x14ac:dyDescent="0.35">
      <c r="C88" s="202"/>
      <c r="D88" s="202"/>
      <c r="H88" s="132">
        <f t="shared" si="13"/>
        <v>86</v>
      </c>
      <c r="J88" s="202"/>
      <c r="K88" s="202">
        <f t="shared" si="19"/>
        <v>120</v>
      </c>
      <c r="L88" s="202">
        <f t="shared" si="16"/>
        <v>46234</v>
      </c>
      <c r="M88" s="204">
        <f t="shared" si="17"/>
        <v>-46114</v>
      </c>
    </row>
    <row r="89" spans="3:13" x14ac:dyDescent="0.35">
      <c r="C89" s="202"/>
      <c r="D89" s="202"/>
      <c r="H89" s="132">
        <f t="shared" si="13"/>
        <v>87</v>
      </c>
      <c r="J89" s="202"/>
      <c r="K89" s="202">
        <f t="shared" si="19"/>
        <v>120</v>
      </c>
      <c r="L89" s="202">
        <f t="shared" si="16"/>
        <v>46234</v>
      </c>
      <c r="M89" s="204">
        <f t="shared" si="17"/>
        <v>-46114</v>
      </c>
    </row>
    <row r="90" spans="3:13" x14ac:dyDescent="0.35">
      <c r="C90" s="202"/>
      <c r="D90" s="202"/>
      <c r="H90" s="132">
        <f t="shared" si="13"/>
        <v>88</v>
      </c>
      <c r="J90" s="202"/>
      <c r="K90" s="202">
        <f t="shared" si="19"/>
        <v>120</v>
      </c>
      <c r="L90" s="202">
        <f t="shared" si="16"/>
        <v>46234</v>
      </c>
      <c r="M90" s="204">
        <f t="shared" si="17"/>
        <v>-46114</v>
      </c>
    </row>
    <row r="91" spans="3:13" x14ac:dyDescent="0.35">
      <c r="C91" s="202"/>
      <c r="D91" s="202"/>
      <c r="H91" s="132">
        <f t="shared" si="13"/>
        <v>89</v>
      </c>
      <c r="J91" s="202"/>
      <c r="K91" s="202">
        <f t="shared" si="19"/>
        <v>120</v>
      </c>
      <c r="L91" s="202">
        <f t="shared" si="16"/>
        <v>46234</v>
      </c>
      <c r="M91" s="204">
        <f t="shared" si="17"/>
        <v>-46114</v>
      </c>
    </row>
    <row r="92" spans="3:13" x14ac:dyDescent="0.35">
      <c r="C92" s="202"/>
      <c r="D92" s="202"/>
      <c r="H92" s="132">
        <f t="shared" si="13"/>
        <v>90</v>
      </c>
      <c r="J92" s="202"/>
      <c r="K92" s="202"/>
    </row>
    <row r="93" spans="3:13" x14ac:dyDescent="0.35">
      <c r="C93" s="202"/>
      <c r="D93" s="202"/>
      <c r="H93" s="132">
        <f t="shared" si="13"/>
        <v>91</v>
      </c>
      <c r="J93" s="202"/>
      <c r="K93" s="202"/>
    </row>
    <row r="94" spans="3:13" x14ac:dyDescent="0.35">
      <c r="C94" s="202"/>
      <c r="D94" s="202"/>
      <c r="J94" s="202"/>
      <c r="K94" s="202"/>
    </row>
    <row r="95" spans="3:13" x14ac:dyDescent="0.35">
      <c r="C95" s="202"/>
      <c r="D95" s="202"/>
      <c r="J95" s="202"/>
      <c r="K95" s="202"/>
    </row>
    <row r="96" spans="3:13" x14ac:dyDescent="0.35">
      <c r="C96" s="202"/>
      <c r="D96" s="202"/>
      <c r="J96" s="202"/>
      <c r="K96" s="202"/>
    </row>
    <row r="97" spans="3:11" x14ac:dyDescent="0.35">
      <c r="D97" s="202"/>
      <c r="J97" s="202"/>
      <c r="K97" s="202"/>
    </row>
    <row r="98" spans="3:11" x14ac:dyDescent="0.35">
      <c r="D98" s="202"/>
      <c r="J98" s="202"/>
      <c r="K98" s="202"/>
    </row>
    <row r="99" spans="3:11" x14ac:dyDescent="0.35">
      <c r="D99" s="202"/>
      <c r="J99" s="202"/>
      <c r="K99" s="202"/>
    </row>
    <row r="100" spans="3:11" x14ac:dyDescent="0.35">
      <c r="D100" s="202"/>
      <c r="J100" s="202"/>
      <c r="K100" s="202"/>
    </row>
    <row r="101" spans="3:11" x14ac:dyDescent="0.35">
      <c r="J101" s="202"/>
      <c r="K101" s="202"/>
    </row>
    <row r="102" spans="3:11" x14ac:dyDescent="0.35">
      <c r="J102" s="202"/>
      <c r="K102" s="202"/>
    </row>
    <row r="103" spans="3:11" x14ac:dyDescent="0.35">
      <c r="J103" s="202"/>
      <c r="K103" s="202"/>
    </row>
    <row r="104" spans="3:11" x14ac:dyDescent="0.35">
      <c r="J104" s="202"/>
      <c r="K104" s="202"/>
    </row>
    <row r="105" spans="3:11" x14ac:dyDescent="0.35">
      <c r="J105" s="202"/>
      <c r="K105" s="202"/>
    </row>
    <row r="106" spans="3:11" x14ac:dyDescent="0.35">
      <c r="C106" s="202"/>
      <c r="D106" s="202"/>
      <c r="J106" s="202"/>
      <c r="K106" s="202"/>
    </row>
    <row r="107" spans="3:11" x14ac:dyDescent="0.35">
      <c r="C107" s="202"/>
      <c r="D107" s="202"/>
      <c r="J107" s="202"/>
      <c r="K107" s="202"/>
    </row>
    <row r="108" spans="3:11" x14ac:dyDescent="0.35">
      <c r="C108" s="202"/>
      <c r="D108" s="202"/>
      <c r="J108" s="202"/>
      <c r="K108" s="202"/>
    </row>
    <row r="109" spans="3:11" x14ac:dyDescent="0.35">
      <c r="C109" s="202"/>
      <c r="D109" s="202"/>
      <c r="J109" s="202"/>
      <c r="K109" s="202"/>
    </row>
    <row r="110" spans="3:11" x14ac:dyDescent="0.35">
      <c r="C110" s="202"/>
      <c r="D110" s="202"/>
      <c r="J110" s="202"/>
      <c r="K110" s="202"/>
    </row>
    <row r="111" spans="3:11" x14ac:dyDescent="0.35">
      <c r="C111" s="202"/>
      <c r="D111" s="202"/>
      <c r="J111" s="202"/>
      <c r="K111" s="202"/>
    </row>
    <row r="112" spans="3:11" x14ac:dyDescent="0.35">
      <c r="C112" s="202"/>
      <c r="D112" s="202"/>
      <c r="J112" s="202"/>
      <c r="K112" s="202"/>
    </row>
    <row r="113" spans="3:11" x14ac:dyDescent="0.35">
      <c r="C113" s="202"/>
      <c r="D113" s="202"/>
      <c r="J113" s="202"/>
      <c r="K113" s="202"/>
    </row>
    <row r="114" spans="3:11" x14ac:dyDescent="0.35">
      <c r="C114" s="202"/>
      <c r="D114" s="202"/>
      <c r="J114" s="202"/>
      <c r="K114" s="202"/>
    </row>
    <row r="115" spans="3:11" x14ac:dyDescent="0.35">
      <c r="C115" s="202"/>
      <c r="D115" s="202"/>
      <c r="J115" s="202"/>
      <c r="K115" s="202"/>
    </row>
    <row r="116" spans="3:11" x14ac:dyDescent="0.35">
      <c r="C116" s="202"/>
      <c r="D116" s="202"/>
      <c r="J116" s="202"/>
      <c r="K116" s="202"/>
    </row>
    <row r="117" spans="3:11" x14ac:dyDescent="0.35">
      <c r="C117" s="202"/>
      <c r="D117" s="202"/>
      <c r="J117" s="202"/>
      <c r="K117" s="202"/>
    </row>
    <row r="118" spans="3:11" x14ac:dyDescent="0.35">
      <c r="C118" s="202"/>
      <c r="D118" s="202"/>
      <c r="J118" s="202"/>
      <c r="K118" s="202"/>
    </row>
    <row r="119" spans="3:11" x14ac:dyDescent="0.35">
      <c r="C119" s="202"/>
      <c r="D119" s="202"/>
      <c r="J119" s="202"/>
      <c r="K119" s="202"/>
    </row>
    <row r="120" spans="3:11" x14ac:dyDescent="0.35">
      <c r="C120" s="202"/>
      <c r="D120" s="202"/>
      <c r="J120" s="202"/>
      <c r="K120" s="202"/>
    </row>
    <row r="121" spans="3:11" x14ac:dyDescent="0.35">
      <c r="C121" s="202"/>
      <c r="D121" s="202"/>
      <c r="J121" s="202"/>
      <c r="K121" s="202"/>
    </row>
    <row r="122" spans="3:11" x14ac:dyDescent="0.35">
      <c r="C122" s="202"/>
      <c r="D122" s="202"/>
      <c r="J122" s="202"/>
      <c r="K122" s="202"/>
    </row>
    <row r="123" spans="3:11" x14ac:dyDescent="0.35">
      <c r="C123" s="202"/>
      <c r="D123" s="202"/>
      <c r="J123" s="202"/>
      <c r="K123" s="202"/>
    </row>
    <row r="124" spans="3:11" x14ac:dyDescent="0.35">
      <c r="C124" s="202"/>
      <c r="D124" s="202"/>
      <c r="J124" s="202"/>
      <c r="K124" s="202"/>
    </row>
    <row r="125" spans="3:11" x14ac:dyDescent="0.35">
      <c r="C125" s="202"/>
      <c r="D125" s="202"/>
      <c r="J125" s="202"/>
      <c r="K125" s="202"/>
    </row>
    <row r="126" spans="3:11" x14ac:dyDescent="0.35">
      <c r="C126" s="202"/>
      <c r="D126" s="202"/>
      <c r="J126" s="202"/>
      <c r="K126" s="202"/>
    </row>
    <row r="127" spans="3:11" x14ac:dyDescent="0.35">
      <c r="C127" s="202"/>
      <c r="D127" s="202"/>
      <c r="J127" s="202"/>
      <c r="K127" s="202"/>
    </row>
    <row r="128" spans="3:11" x14ac:dyDescent="0.35">
      <c r="C128" s="202"/>
      <c r="D128" s="202"/>
      <c r="J128" s="202"/>
      <c r="K128" s="202"/>
    </row>
    <row r="129" spans="3:11" x14ac:dyDescent="0.35">
      <c r="C129" s="202"/>
      <c r="D129" s="202"/>
      <c r="J129" s="202"/>
      <c r="K129" s="202"/>
    </row>
    <row r="130" spans="3:11" x14ac:dyDescent="0.35">
      <c r="C130" s="202"/>
      <c r="D130" s="202"/>
      <c r="J130" s="202"/>
      <c r="K130" s="202"/>
    </row>
    <row r="131" spans="3:11" x14ac:dyDescent="0.35">
      <c r="C131" s="202"/>
      <c r="D131" s="202"/>
      <c r="J131" s="202"/>
      <c r="K131" s="202"/>
    </row>
    <row r="132" spans="3:11" x14ac:dyDescent="0.35">
      <c r="C132" s="202"/>
      <c r="D132" s="202"/>
      <c r="J132" s="202"/>
      <c r="K132" s="202"/>
    </row>
    <row r="133" spans="3:11" x14ac:dyDescent="0.35">
      <c r="C133" s="202"/>
      <c r="D133" s="202"/>
      <c r="J133" s="202"/>
      <c r="K133" s="202"/>
    </row>
    <row r="134" spans="3:11" x14ac:dyDescent="0.35">
      <c r="C134" s="202"/>
      <c r="D134" s="202"/>
      <c r="J134" s="202"/>
      <c r="K134" s="202"/>
    </row>
    <row r="135" spans="3:11" x14ac:dyDescent="0.35">
      <c r="C135" s="202"/>
      <c r="D135" s="202"/>
      <c r="J135" s="202"/>
      <c r="K135" s="202"/>
    </row>
    <row r="136" spans="3:11" x14ac:dyDescent="0.35">
      <c r="C136" s="202"/>
      <c r="D136" s="202"/>
      <c r="J136" s="202"/>
      <c r="K136" s="202"/>
    </row>
    <row r="137" spans="3:11" x14ac:dyDescent="0.35">
      <c r="C137" s="202"/>
      <c r="D137" s="202"/>
      <c r="J137" s="202"/>
      <c r="K137" s="202"/>
    </row>
    <row r="138" spans="3:11" x14ac:dyDescent="0.35">
      <c r="C138" s="202"/>
      <c r="D138" s="202"/>
      <c r="J138" s="202"/>
      <c r="K138" s="202"/>
    </row>
    <row r="139" spans="3:11" x14ac:dyDescent="0.35">
      <c r="C139" s="202"/>
      <c r="D139" s="202"/>
      <c r="J139" s="202"/>
      <c r="K139" s="202"/>
    </row>
    <row r="140" spans="3:11" x14ac:dyDescent="0.35">
      <c r="C140" s="202"/>
      <c r="D140" s="202"/>
      <c r="J140" s="202"/>
      <c r="K140" s="202"/>
    </row>
    <row r="141" spans="3:11" x14ac:dyDescent="0.35">
      <c r="C141" s="202"/>
      <c r="D141" s="202"/>
      <c r="J141" s="202"/>
      <c r="K141" s="202"/>
    </row>
    <row r="142" spans="3:11" x14ac:dyDescent="0.35">
      <c r="C142" s="202"/>
      <c r="D142" s="202"/>
      <c r="J142" s="202"/>
      <c r="K142" s="202"/>
    </row>
    <row r="143" spans="3:11" x14ac:dyDescent="0.35">
      <c r="C143" s="202"/>
      <c r="D143" s="202"/>
      <c r="J143" s="202"/>
      <c r="K143" s="202"/>
    </row>
    <row r="144" spans="3:11" x14ac:dyDescent="0.35">
      <c r="C144" s="202"/>
      <c r="D144" s="202"/>
      <c r="J144" s="202"/>
      <c r="K144" s="202"/>
    </row>
    <row r="145" spans="3:11" x14ac:dyDescent="0.35">
      <c r="C145" s="202"/>
      <c r="D145" s="202"/>
      <c r="J145" s="202"/>
      <c r="K145" s="202"/>
    </row>
    <row r="146" spans="3:11" x14ac:dyDescent="0.35">
      <c r="C146" s="202"/>
      <c r="D146" s="202"/>
      <c r="J146" s="202"/>
      <c r="K146" s="202"/>
    </row>
    <row r="147" spans="3:11" x14ac:dyDescent="0.35">
      <c r="C147" s="202"/>
      <c r="D147" s="202"/>
      <c r="J147" s="202"/>
      <c r="K147" s="202"/>
    </row>
    <row r="148" spans="3:11" x14ac:dyDescent="0.35">
      <c r="C148" s="202"/>
      <c r="D148" s="202"/>
      <c r="J148" s="202"/>
      <c r="K148" s="202"/>
    </row>
    <row r="149" spans="3:11" x14ac:dyDescent="0.35">
      <c r="C149" s="202"/>
      <c r="D149" s="202"/>
      <c r="J149" s="202"/>
      <c r="K149" s="202"/>
    </row>
    <row r="150" spans="3:11" x14ac:dyDescent="0.35">
      <c r="C150" s="202"/>
      <c r="D150" s="202"/>
      <c r="J150" s="202"/>
      <c r="K150" s="202"/>
    </row>
    <row r="151" spans="3:11" x14ac:dyDescent="0.35">
      <c r="C151" s="202"/>
      <c r="D151" s="202"/>
      <c r="J151" s="202"/>
      <c r="K151" s="202"/>
    </row>
    <row r="152" spans="3:11" x14ac:dyDescent="0.35">
      <c r="C152" s="202"/>
      <c r="D152" s="202"/>
      <c r="J152" s="202"/>
      <c r="K152" s="202"/>
    </row>
    <row r="153" spans="3:11" x14ac:dyDescent="0.35">
      <c r="C153" s="202"/>
      <c r="D153" s="202"/>
      <c r="J153" s="202"/>
      <c r="K153" s="202"/>
    </row>
    <row r="154" spans="3:11" x14ac:dyDescent="0.35">
      <c r="C154" s="202"/>
      <c r="D154" s="202"/>
      <c r="J154" s="202"/>
      <c r="K154" s="202"/>
    </row>
    <row r="155" spans="3:11" x14ac:dyDescent="0.35">
      <c r="C155" s="202"/>
      <c r="D155" s="202"/>
      <c r="J155" s="202"/>
      <c r="K155" s="202"/>
    </row>
    <row r="156" spans="3:11" x14ac:dyDescent="0.35">
      <c r="C156" s="202"/>
      <c r="D156" s="202"/>
      <c r="J156" s="202"/>
      <c r="K156" s="202"/>
    </row>
    <row r="157" spans="3:11" x14ac:dyDescent="0.35">
      <c r="C157" s="202"/>
      <c r="D157" s="202"/>
      <c r="J157" s="202"/>
      <c r="K157" s="202"/>
    </row>
    <row r="158" spans="3:11" x14ac:dyDescent="0.35">
      <c r="C158" s="202"/>
      <c r="D158" s="202"/>
      <c r="J158" s="202"/>
      <c r="K158" s="202"/>
    </row>
    <row r="159" spans="3:11" x14ac:dyDescent="0.35">
      <c r="C159" s="202"/>
      <c r="D159" s="202"/>
      <c r="J159" s="202"/>
      <c r="K159" s="202"/>
    </row>
    <row r="160" spans="3:11" x14ac:dyDescent="0.35">
      <c r="C160" s="202"/>
      <c r="D160" s="202"/>
      <c r="J160" s="202"/>
      <c r="K160" s="202"/>
    </row>
    <row r="161" spans="3:11" x14ac:dyDescent="0.35">
      <c r="C161" s="202"/>
      <c r="D161" s="202"/>
      <c r="J161" s="202"/>
      <c r="K161" s="202"/>
    </row>
    <row r="162" spans="3:11" x14ac:dyDescent="0.35">
      <c r="C162" s="202"/>
      <c r="D162" s="202"/>
      <c r="J162" s="202"/>
      <c r="K162" s="202"/>
    </row>
    <row r="163" spans="3:11" x14ac:dyDescent="0.35">
      <c r="C163" s="202"/>
      <c r="D163" s="202"/>
      <c r="J163" s="202"/>
      <c r="K163" s="202"/>
    </row>
    <row r="164" spans="3:11" x14ac:dyDescent="0.35">
      <c r="C164" s="202"/>
      <c r="D164" s="202"/>
      <c r="J164" s="202"/>
      <c r="K164" s="202"/>
    </row>
    <row r="165" spans="3:11" x14ac:dyDescent="0.35">
      <c r="C165" s="202"/>
      <c r="D165" s="202"/>
      <c r="J165" s="202"/>
      <c r="K165" s="202"/>
    </row>
    <row r="166" spans="3:11" x14ac:dyDescent="0.35">
      <c r="C166" s="202"/>
      <c r="D166" s="202"/>
      <c r="J166" s="202"/>
      <c r="K166" s="202"/>
    </row>
    <row r="167" spans="3:11" x14ac:dyDescent="0.35">
      <c r="C167" s="202"/>
      <c r="D167" s="202"/>
      <c r="J167" s="202"/>
      <c r="K167" s="202"/>
    </row>
    <row r="168" spans="3:11" x14ac:dyDescent="0.35">
      <c r="C168" s="202"/>
      <c r="D168" s="202"/>
      <c r="J168" s="202"/>
      <c r="K168" s="202"/>
    </row>
    <row r="169" spans="3:11" x14ac:dyDescent="0.35">
      <c r="C169" s="202"/>
      <c r="D169" s="202"/>
      <c r="J169" s="202"/>
      <c r="K169" s="202"/>
    </row>
    <row r="170" spans="3:11" x14ac:dyDescent="0.35">
      <c r="C170" s="202"/>
      <c r="D170" s="202"/>
      <c r="J170" s="202"/>
      <c r="K170" s="202"/>
    </row>
    <row r="171" spans="3:11" x14ac:dyDescent="0.35">
      <c r="C171" s="202"/>
      <c r="D171" s="202"/>
      <c r="J171" s="202"/>
      <c r="K171" s="202"/>
    </row>
    <row r="172" spans="3:11" x14ac:dyDescent="0.35">
      <c r="C172" s="202"/>
      <c r="D172" s="202"/>
      <c r="J172" s="202"/>
      <c r="K172" s="202"/>
    </row>
    <row r="173" spans="3:11" x14ac:dyDescent="0.35">
      <c r="C173" s="202"/>
      <c r="D173" s="202"/>
      <c r="J173" s="202"/>
      <c r="K173" s="202"/>
    </row>
    <row r="174" spans="3:11" x14ac:dyDescent="0.35">
      <c r="C174" s="202"/>
      <c r="D174" s="202"/>
      <c r="J174" s="202"/>
      <c r="K174" s="202"/>
    </row>
  </sheetData>
  <mergeCells count="2">
    <mergeCell ref="A1:D1"/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</vt:lpstr>
      <vt:lpstr>Summary</vt:lpstr>
      <vt:lpstr>Sheet1</vt:lpstr>
      <vt:lpstr>Sales </vt:lpstr>
      <vt:lpstr>Purchase</vt:lpstr>
      <vt:lpstr>JOB issued</vt:lpstr>
      <vt:lpstr>Job Received</vt:lpstr>
      <vt:lpstr>Rece Chalan</vt:lpstr>
      <vt:lpstr>Job Work Summary </vt:lpstr>
      <vt:lpstr>Challan</vt:lpstr>
      <vt:lpstr>Received from KPW3</vt:lpstr>
      <vt:lpstr>Received from PIL 1060</vt:lpstr>
      <vt:lpstr>Received from PIL 836</vt:lpstr>
      <vt:lpstr>PRIOD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VORA</dc:creator>
  <cp:lastModifiedBy>HP</cp:lastModifiedBy>
  <cp:lastPrinted>2026-04-24T08:03:13Z</cp:lastPrinted>
  <dcterms:created xsi:type="dcterms:W3CDTF">2021-12-29T05:59:06Z</dcterms:created>
  <dcterms:modified xsi:type="dcterms:W3CDTF">2026-08-05T07:09:20Z</dcterms:modified>
</cp:coreProperties>
</file>