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Krishna Ma'am\Provision\"/>
    </mc:Choice>
  </mc:AlternateContent>
  <xr:revisionPtr revIDLastSave="0" documentId="13_ncr:1_{C450D56B-7506-4150-A1E5-4AC506748F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uly- 26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4" l="1"/>
  <c r="F7" i="5"/>
  <c r="C7" i="4" s="1"/>
  <c r="F21" i="5"/>
  <c r="C22" i="4" s="1"/>
  <c r="F32" i="5" l="1"/>
  <c r="F75" i="5"/>
  <c r="F66" i="5"/>
  <c r="F44" i="5"/>
  <c r="C24" i="4" s="1"/>
  <c r="C10" i="4"/>
  <c r="F53" i="5"/>
  <c r="C23" i="4" s="1"/>
  <c r="F49" i="5"/>
  <c r="C25" i="4" s="1"/>
  <c r="C28" i="4" l="1"/>
</calcChain>
</file>

<file path=xl/sharedStrings.xml><?xml version="1.0" encoding="utf-8"?>
<sst xmlns="http://schemas.openxmlformats.org/spreadsheetml/2006/main" count="138" uniqueCount="67">
  <si>
    <t>Salaries Expense</t>
  </si>
  <si>
    <t>Canteen Expense - Factory</t>
  </si>
  <si>
    <t>Power Expense</t>
  </si>
  <si>
    <t>Labour Charges</t>
  </si>
  <si>
    <t>Water Charges</t>
  </si>
  <si>
    <t>Security Expenses</t>
  </si>
  <si>
    <t>Vehicle Hire Charges - RCM</t>
  </si>
  <si>
    <t>Vehicle Hire Charges - With Gst</t>
  </si>
  <si>
    <t>Loading &amp; Unloading Expense</t>
  </si>
  <si>
    <t>Freight Outward Expense (WITH GST)</t>
  </si>
  <si>
    <t>C &amp; F  Charges - Export</t>
  </si>
  <si>
    <t>Factory Expense</t>
  </si>
  <si>
    <t>House Keeping Expense</t>
  </si>
  <si>
    <t>Medical Expense</t>
  </si>
  <si>
    <t>Xerox Expense</t>
  </si>
  <si>
    <t>Salary &amp; Wages Payable</t>
  </si>
  <si>
    <t>Freight Outward Expense (RCM)</t>
  </si>
  <si>
    <t>job charges</t>
  </si>
  <si>
    <t xml:space="preserve">Repairs &amp; Maintenance Exp - </t>
  </si>
  <si>
    <t>Fumigation Charges</t>
  </si>
  <si>
    <t>Equipment Certification Charges</t>
  </si>
  <si>
    <t>Professional &amp; Consultancy Fees</t>
  </si>
  <si>
    <t>Rent Expense - Colony</t>
  </si>
  <si>
    <t>Sonusingh Sengar</t>
  </si>
  <si>
    <t>PartyName</t>
  </si>
  <si>
    <t>PurchaseCategory</t>
  </si>
  <si>
    <t>PurchaseCode</t>
  </si>
  <si>
    <t>Referenceno</t>
  </si>
  <si>
    <t>TotalAmount</t>
  </si>
  <si>
    <t>SERVICES</t>
  </si>
  <si>
    <t>Urban Junggle Privet Limited</t>
  </si>
  <si>
    <t>Indian Institute Of Packaging - Ahmedabad</t>
  </si>
  <si>
    <t>medical exp</t>
  </si>
  <si>
    <t>EXP. HEAD</t>
  </si>
  <si>
    <t>Amount (INR)</t>
  </si>
  <si>
    <t>TOTAL AMOUNT (INR)</t>
  </si>
  <si>
    <t>Unique Marketing</t>
  </si>
  <si>
    <t>KPV/SER/26-27/806</t>
  </si>
  <si>
    <t>REF. : UM/LETTER/257497</t>
  </si>
  <si>
    <t>Dwarkesh Refrigeration And Electrical</t>
  </si>
  <si>
    <t>Espee Electricals</t>
  </si>
  <si>
    <t>KPV/SER/26-27/921</t>
  </si>
  <si>
    <t>2026/ESPEE/244</t>
  </si>
  <si>
    <t>Gaurangkumar Babubhai Co.</t>
  </si>
  <si>
    <t>KPV/SER/26-27/870</t>
  </si>
  <si>
    <t>AS PER MAIL</t>
  </si>
  <si>
    <t>KPV/SER/26-27/884</t>
  </si>
  <si>
    <t>31833/HD26 &amp; 31834/HD26</t>
  </si>
  <si>
    <t>KPV/SER/26-27/885</t>
  </si>
  <si>
    <t>26.19490/67657171</t>
  </si>
  <si>
    <t>K9 Architects</t>
  </si>
  <si>
    <t>KPV/SER/26-27/920</t>
  </si>
  <si>
    <t>quotation  28/06/2026</t>
  </si>
  <si>
    <t>Svan Texcon Pvt Ltd</t>
  </si>
  <si>
    <t>KPV/SER/26-27/819</t>
  </si>
  <si>
    <t>S-0202/2026-27</t>
  </si>
  <si>
    <t>KPV/SER/26-27/834</t>
  </si>
  <si>
    <t>0322/2026-27</t>
  </si>
  <si>
    <t>Raju Ram Jangid</t>
  </si>
  <si>
    <t>KPV/SER/26-27/826</t>
  </si>
  <si>
    <t>On meeting Prakash Sir/Raju</t>
  </si>
  <si>
    <t>Shantilal R Prajapati</t>
  </si>
  <si>
    <t>KPV/SER/26-27/896</t>
  </si>
  <si>
    <t>Prakash Sir Approved on Varbily</t>
  </si>
  <si>
    <t>KPV/SER/26-27/890</t>
  </si>
  <si>
    <t>Mail20.07.2026</t>
  </si>
  <si>
    <t>PROVISIONS FOR THE MONTH OF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</si>
</sst>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/>
    <xf numFmtId="43" fontId="7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righ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3" fontId="0" fillId="0" borderId="0" xfId="2" applyFont="1"/>
    <xf numFmtId="16" fontId="4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2" applyNumberFormat="1" applyFont="1" applyBorder="1" applyAlignment="1">
      <alignment horizontal="right"/>
    </xf>
    <xf numFmtId="164" fontId="0" fillId="0" borderId="1" xfId="2" applyNumberFormat="1" applyFont="1" applyBorder="1"/>
    <xf numFmtId="164" fontId="9" fillId="0" borderId="1" xfId="2" applyNumberFormat="1" applyFont="1" applyBorder="1"/>
    <xf numFmtId="0" fontId="6" fillId="0" borderId="1" xfId="0" applyFont="1" applyBorder="1"/>
    <xf numFmtId="0" fontId="10" fillId="0" borderId="1" xfId="0" applyFont="1" applyBorder="1"/>
    <xf numFmtId="0" fontId="7" fillId="0" borderId="0" xfId="0" applyFont="1"/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3" fillId="0" borderId="1" xfId="0" applyFont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1" xfId="0" applyFont="1" applyBorder="1"/>
    <xf numFmtId="4" fontId="3" fillId="0" borderId="0" xfId="0" applyNumberFormat="1" applyFont="1" applyAlignment="1">
      <alignment vertical="center" wrapText="1"/>
    </xf>
    <xf numFmtId="4" fontId="3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4" fontId="3" fillId="0" borderId="0" xfId="0" applyNumberFormat="1" applyFont="1" applyAlignment="1">
      <alignment horizontal="right" vertical="center" wrapText="1"/>
    </xf>
    <xf numFmtId="4" fontId="9" fillId="0" borderId="0" xfId="0" applyNumberFormat="1" applyFont="1"/>
    <xf numFmtId="0" fontId="2" fillId="0" borderId="0" xfId="0" applyFont="1"/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1" fillId="2" borderId="0" xfId="0" applyFont="1" applyFill="1" applyAlignment="1">
      <alignment horizontal="center"/>
    </xf>
  </cellXfs>
  <cellStyles count="3">
    <cellStyle name="Comma" xfId="2" builtinId="3"/>
    <cellStyle name="Normal" xfId="0" builtinId="0"/>
    <cellStyle name="Normal 11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8"/>
  <sheetViews>
    <sheetView tabSelected="1" zoomScale="90" zoomScaleNormal="90" workbookViewId="0">
      <pane ySplit="3" topLeftCell="A4" activePane="bottomLeft" state="frozen"/>
      <selection pane="bottomLeft" activeCell="G17" sqref="G17"/>
    </sheetView>
  </sheetViews>
  <sheetFormatPr defaultColWidth="9" defaultRowHeight="14.5"/>
  <cols>
    <col min="2" max="2" width="33.6328125" customWidth="1"/>
    <col min="3" max="3" width="14.453125" customWidth="1"/>
    <col min="5" max="5" width="9.453125" bestFit="1" customWidth="1"/>
    <col min="7" max="7" width="12.54296875" bestFit="1" customWidth="1"/>
  </cols>
  <sheetData>
    <row r="1" spans="2:3">
      <c r="B1" s="52" t="s">
        <v>66</v>
      </c>
      <c r="C1" s="52"/>
    </row>
    <row r="3" spans="2:3" s="21" customFormat="1">
      <c r="B3" s="22" t="s">
        <v>33</v>
      </c>
      <c r="C3" s="22" t="s">
        <v>34</v>
      </c>
    </row>
    <row r="4" spans="2:3">
      <c r="B4" s="27" t="s">
        <v>0</v>
      </c>
      <c r="C4" s="24">
        <v>20000</v>
      </c>
    </row>
    <row r="5" spans="2:3">
      <c r="B5" s="27" t="s">
        <v>1</v>
      </c>
      <c r="C5" s="47">
        <v>320910</v>
      </c>
    </row>
    <row r="6" spans="2:3">
      <c r="B6" s="27" t="s">
        <v>2</v>
      </c>
      <c r="C6" s="47">
        <v>4130997</v>
      </c>
    </row>
    <row r="7" spans="2:3">
      <c r="B7" s="27" t="s">
        <v>3</v>
      </c>
      <c r="C7" s="47">
        <f>6708927+Sheet1!F7</f>
        <v>7315182</v>
      </c>
    </row>
    <row r="8" spans="2:3">
      <c r="B8" s="27" t="s">
        <v>4</v>
      </c>
      <c r="C8" s="47">
        <v>184784</v>
      </c>
    </row>
    <row r="9" spans="2:3">
      <c r="B9" s="27" t="s">
        <v>5</v>
      </c>
      <c r="C9" s="47">
        <v>324466</v>
      </c>
    </row>
    <row r="10" spans="2:3">
      <c r="B10" s="27" t="s">
        <v>6</v>
      </c>
      <c r="C10" s="47">
        <f>37000+38500</f>
        <v>75500</v>
      </c>
    </row>
    <row r="11" spans="2:3">
      <c r="B11" s="27" t="s">
        <v>7</v>
      </c>
      <c r="C11" s="47">
        <v>160000</v>
      </c>
    </row>
    <row r="12" spans="2:3">
      <c r="B12" s="27" t="s">
        <v>8</v>
      </c>
      <c r="C12" s="47">
        <v>0</v>
      </c>
    </row>
    <row r="13" spans="2:3">
      <c r="B13" s="27" t="s">
        <v>9</v>
      </c>
      <c r="C13" s="48">
        <v>345940</v>
      </c>
    </row>
    <row r="14" spans="2:3">
      <c r="B14" s="27" t="s">
        <v>10</v>
      </c>
      <c r="C14" s="48">
        <v>1178682</v>
      </c>
    </row>
    <row r="15" spans="2:3">
      <c r="B15" s="23" t="s">
        <v>11</v>
      </c>
      <c r="C15" s="47">
        <v>6200</v>
      </c>
    </row>
    <row r="16" spans="2:3">
      <c r="B16" s="23" t="s">
        <v>12</v>
      </c>
      <c r="C16" s="47">
        <v>467310</v>
      </c>
    </row>
    <row r="17" spans="2:7">
      <c r="B17" s="23" t="s">
        <v>13</v>
      </c>
      <c r="C17" s="47">
        <f>176812+Sheet1!F11</f>
        <v>176812</v>
      </c>
    </row>
    <row r="18" spans="2:7">
      <c r="B18" s="23" t="s">
        <v>14</v>
      </c>
      <c r="C18" s="47">
        <v>4500</v>
      </c>
    </row>
    <row r="19" spans="2:7">
      <c r="B19" s="23" t="s">
        <v>15</v>
      </c>
      <c r="C19" s="47">
        <v>17667654</v>
      </c>
    </row>
    <row r="20" spans="2:7">
      <c r="B20" s="35" t="s">
        <v>16</v>
      </c>
      <c r="C20" s="47">
        <v>336000</v>
      </c>
    </row>
    <row r="21" spans="2:7">
      <c r="B21" s="27" t="s">
        <v>17</v>
      </c>
      <c r="C21" s="48">
        <v>228490</v>
      </c>
    </row>
    <row r="22" spans="2:7">
      <c r="B22" s="35" t="s">
        <v>18</v>
      </c>
      <c r="C22" s="47">
        <f>8930+547586+Sheet1!F21</f>
        <v>645623</v>
      </c>
      <c r="D22" s="1"/>
    </row>
    <row r="23" spans="2:7">
      <c r="B23" s="27" t="s">
        <v>19</v>
      </c>
      <c r="C23" s="47">
        <f>Sheet1!F53</f>
        <v>0</v>
      </c>
      <c r="G23" s="19"/>
    </row>
    <row r="24" spans="2:7">
      <c r="B24" s="23" t="s">
        <v>20</v>
      </c>
      <c r="C24" s="47">
        <f>Sheet1!F44</f>
        <v>31748</v>
      </c>
    </row>
    <row r="25" spans="2:7">
      <c r="B25" s="23" t="s">
        <v>21</v>
      </c>
      <c r="C25" s="47">
        <f>403867+Sheet1!F49</f>
        <v>639867</v>
      </c>
    </row>
    <row r="26" spans="2:7">
      <c r="B26" s="23" t="s">
        <v>22</v>
      </c>
      <c r="C26" s="47">
        <v>1313300</v>
      </c>
    </row>
    <row r="27" spans="2:7">
      <c r="B27" s="23"/>
      <c r="C27" s="25"/>
    </row>
    <row r="28" spans="2:7">
      <c r="B28" s="22" t="s">
        <v>35</v>
      </c>
      <c r="C28" s="26">
        <f>SUM(C4:C27)</f>
        <v>35573965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"/>
  <sheetViews>
    <sheetView topLeftCell="A71" workbookViewId="0">
      <selection activeCell="G56" sqref="G56"/>
    </sheetView>
  </sheetViews>
  <sheetFormatPr defaultColWidth="9" defaultRowHeight="14.5"/>
  <cols>
    <col min="1" max="1" width="32.90625" customWidth="1"/>
    <col min="2" max="2" width="31.1796875" style="1" customWidth="1"/>
    <col min="3" max="3" width="19.36328125" customWidth="1"/>
    <col min="4" max="4" width="16.81640625" customWidth="1"/>
    <col min="5" max="5" width="16.08984375" customWidth="1"/>
    <col min="6" max="6" width="18" customWidth="1"/>
  </cols>
  <sheetData>
    <row r="1" spans="1:9">
      <c r="B1" s="3"/>
      <c r="C1" s="2"/>
      <c r="D1" s="2"/>
    </row>
    <row r="2" spans="1:9">
      <c r="A2" s="35" t="s">
        <v>3</v>
      </c>
      <c r="B2" s="14" t="s">
        <v>24</v>
      </c>
      <c r="C2" s="14"/>
      <c r="D2" s="14"/>
      <c r="E2" s="14"/>
      <c r="F2" s="14" t="s">
        <v>28</v>
      </c>
    </row>
    <row r="3" spans="1:9">
      <c r="B3" s="29" t="s">
        <v>23</v>
      </c>
      <c r="C3" s="15"/>
      <c r="D3" s="15"/>
      <c r="E3" s="15"/>
      <c r="F3" s="37">
        <v>106255</v>
      </c>
    </row>
    <row r="4" spans="1:9" ht="29">
      <c r="A4" s="49"/>
      <c r="B4" s="30" t="s">
        <v>58</v>
      </c>
      <c r="C4" s="30" t="s">
        <v>29</v>
      </c>
      <c r="D4" s="30" t="s">
        <v>59</v>
      </c>
      <c r="E4" s="30" t="s">
        <v>60</v>
      </c>
      <c r="F4" s="30">
        <v>300000</v>
      </c>
    </row>
    <row r="5" spans="1:9" ht="43.5">
      <c r="A5" s="50"/>
      <c r="B5" s="51" t="s">
        <v>61</v>
      </c>
      <c r="C5" s="51" t="s">
        <v>29</v>
      </c>
      <c r="D5" s="51" t="s">
        <v>62</v>
      </c>
      <c r="E5" s="51" t="s">
        <v>63</v>
      </c>
      <c r="F5" s="51">
        <v>200000</v>
      </c>
    </row>
    <row r="6" spans="1:9">
      <c r="A6" s="49"/>
      <c r="B6" s="30"/>
      <c r="C6" s="30"/>
      <c r="D6" s="30"/>
      <c r="E6" s="30"/>
      <c r="F6" s="30"/>
    </row>
    <row r="7" spans="1:9">
      <c r="B7" s="8"/>
      <c r="C7" s="9"/>
      <c r="D7" s="9"/>
      <c r="E7" s="9"/>
      <c r="F7" s="13">
        <f>SUM(F3:F5)</f>
        <v>606255</v>
      </c>
    </row>
    <row r="8" spans="1:9">
      <c r="B8" s="8"/>
      <c r="C8" s="9"/>
      <c r="D8" s="9"/>
      <c r="E8" s="9"/>
    </row>
    <row r="9" spans="1:9">
      <c r="A9" s="35" t="s">
        <v>32</v>
      </c>
      <c r="B9" s="16" t="s">
        <v>24</v>
      </c>
      <c r="C9" s="16" t="s">
        <v>25</v>
      </c>
      <c r="D9" s="16" t="s">
        <v>26</v>
      </c>
      <c r="E9" s="16" t="s">
        <v>27</v>
      </c>
      <c r="F9" s="16" t="s">
        <v>28</v>
      </c>
    </row>
    <row r="10" spans="1:9">
      <c r="B10" s="17"/>
      <c r="C10" s="17"/>
      <c r="D10" s="17"/>
      <c r="E10" s="17"/>
      <c r="F10" s="18"/>
    </row>
    <row r="11" spans="1:9">
      <c r="B11" s="37"/>
      <c r="C11" s="14"/>
      <c r="D11" s="10"/>
      <c r="F11" s="13"/>
    </row>
    <row r="12" spans="1:9">
      <c r="B12" s="36"/>
      <c r="D12" s="7"/>
      <c r="H12" s="14"/>
      <c r="I12" s="14"/>
    </row>
    <row r="13" spans="1:9">
      <c r="A13" s="27" t="s">
        <v>18</v>
      </c>
      <c r="B13" s="11"/>
      <c r="C13" s="12"/>
      <c r="D13" s="12"/>
      <c r="E13" s="12"/>
      <c r="H13" s="50"/>
    </row>
    <row r="14" spans="1:9">
      <c r="B14" s="6"/>
      <c r="C14" s="7"/>
      <c r="D14" s="7"/>
      <c r="E14" s="7"/>
    </row>
    <row r="15" spans="1:9">
      <c r="B15" s="16" t="s">
        <v>24</v>
      </c>
      <c r="C15" s="16" t="s">
        <v>25</v>
      </c>
      <c r="D15" s="16" t="s">
        <v>26</v>
      </c>
      <c r="E15" s="16" t="s">
        <v>27</v>
      </c>
      <c r="F15" s="16" t="s">
        <v>28</v>
      </c>
    </row>
    <row r="16" spans="1:9" ht="29">
      <c r="A16" s="49"/>
      <c r="B16" s="30" t="s">
        <v>39</v>
      </c>
      <c r="C16" s="30" t="s">
        <v>29</v>
      </c>
      <c r="D16" s="51" t="s">
        <v>64</v>
      </c>
      <c r="E16" s="51" t="s">
        <v>65</v>
      </c>
      <c r="F16" s="5">
        <v>21240</v>
      </c>
    </row>
    <row r="17" spans="1:6" ht="29">
      <c r="A17" s="49"/>
      <c r="B17" s="30" t="s">
        <v>40</v>
      </c>
      <c r="C17" s="30" t="s">
        <v>29</v>
      </c>
      <c r="D17" s="30" t="s">
        <v>41</v>
      </c>
      <c r="E17" s="30" t="s">
        <v>42</v>
      </c>
      <c r="F17" s="30">
        <v>30680</v>
      </c>
    </row>
    <row r="18" spans="1:6" ht="29">
      <c r="A18" s="49"/>
      <c r="B18" s="30" t="s">
        <v>43</v>
      </c>
      <c r="C18" s="30" t="s">
        <v>29</v>
      </c>
      <c r="D18" s="30" t="s">
        <v>44</v>
      </c>
      <c r="E18" s="30" t="s">
        <v>45</v>
      </c>
      <c r="F18" s="30">
        <v>11800</v>
      </c>
    </row>
    <row r="19" spans="1:6" ht="29">
      <c r="A19" s="49"/>
      <c r="B19" s="30" t="s">
        <v>53</v>
      </c>
      <c r="C19" s="30" t="s">
        <v>29</v>
      </c>
      <c r="D19" s="30" t="s">
        <v>54</v>
      </c>
      <c r="E19" s="30" t="s">
        <v>55</v>
      </c>
      <c r="F19" s="30">
        <v>17440</v>
      </c>
    </row>
    <row r="20" spans="1:6" ht="29">
      <c r="A20" s="49"/>
      <c r="B20" s="30" t="s">
        <v>53</v>
      </c>
      <c r="C20" s="30" t="s">
        <v>29</v>
      </c>
      <c r="D20" s="30" t="s">
        <v>56</v>
      </c>
      <c r="E20" s="30" t="s">
        <v>57</v>
      </c>
      <c r="F20" s="30">
        <v>7947</v>
      </c>
    </row>
    <row r="21" spans="1:6">
      <c r="A21" s="5"/>
      <c r="B21" s="17"/>
      <c r="C21" s="17"/>
      <c r="D21" s="17"/>
      <c r="E21" s="17"/>
      <c r="F21" s="13">
        <f>SUM(F16:F20)</f>
        <v>89107</v>
      </c>
    </row>
    <row r="22" spans="1:6">
      <c r="A22" s="5"/>
      <c r="B22" s="17"/>
      <c r="C22" s="17"/>
      <c r="D22" s="17"/>
      <c r="E22" s="17"/>
      <c r="F22" s="13"/>
    </row>
    <row r="23" spans="1:6">
      <c r="A23" s="35" t="s">
        <v>17</v>
      </c>
      <c r="B23" s="11"/>
      <c r="C23" s="12"/>
      <c r="D23" s="12"/>
      <c r="E23" s="12"/>
      <c r="F23" s="12"/>
    </row>
    <row r="24" spans="1:6">
      <c r="A24" s="2"/>
      <c r="B24" s="16" t="s">
        <v>24</v>
      </c>
      <c r="C24" s="16" t="s">
        <v>25</v>
      </c>
      <c r="D24" s="16" t="s">
        <v>26</v>
      </c>
      <c r="E24" s="16" t="s">
        <v>27</v>
      </c>
      <c r="F24" s="16" t="s">
        <v>28</v>
      </c>
    </row>
    <row r="25" spans="1:6">
      <c r="A25" s="36"/>
      <c r="B25" s="37"/>
      <c r="C25" s="37"/>
      <c r="D25" s="37"/>
      <c r="E25" s="37"/>
      <c r="F25" s="37"/>
    </row>
    <row r="26" spans="1:6">
      <c r="A26" s="36"/>
      <c r="B26" s="37"/>
      <c r="C26" s="37"/>
      <c r="D26" s="37"/>
      <c r="E26" s="37"/>
      <c r="F26" s="40"/>
    </row>
    <row r="27" spans="1:6">
      <c r="A27" s="36"/>
      <c r="B27" s="37"/>
      <c r="C27" s="37"/>
      <c r="D27" s="37"/>
      <c r="E27" s="37"/>
      <c r="F27" s="37"/>
    </row>
    <row r="28" spans="1:6">
      <c r="A28" s="36"/>
      <c r="B28" s="37"/>
      <c r="C28" s="37"/>
      <c r="D28" s="37"/>
      <c r="E28" s="37"/>
      <c r="F28" s="37"/>
    </row>
    <row r="29" spans="1:6">
      <c r="A29" s="36"/>
      <c r="B29" s="37"/>
      <c r="C29" s="37"/>
      <c r="D29" s="37"/>
      <c r="E29" s="37"/>
      <c r="F29" s="40"/>
    </row>
    <row r="30" spans="1:6">
      <c r="A30" s="36"/>
      <c r="B30" s="37"/>
      <c r="C30" s="37"/>
      <c r="D30" s="37"/>
      <c r="E30" s="37"/>
      <c r="F30" s="40"/>
    </row>
    <row r="31" spans="1:6">
      <c r="A31" s="36"/>
      <c r="B31" s="37"/>
      <c r="C31" s="37"/>
      <c r="D31" s="37"/>
      <c r="E31" s="37"/>
      <c r="F31" s="40"/>
    </row>
    <row r="32" spans="1:6">
      <c r="B32" s="5"/>
      <c r="C32" s="5"/>
      <c r="D32" s="5"/>
      <c r="E32" s="5"/>
      <c r="F32" s="13">
        <f>SUM(F25:F31)</f>
        <v>0</v>
      </c>
    </row>
    <row r="34" spans="1:6">
      <c r="A34" s="27" t="s">
        <v>4</v>
      </c>
      <c r="B34" s="16" t="s">
        <v>24</v>
      </c>
      <c r="C34" s="16" t="s">
        <v>25</v>
      </c>
      <c r="D34" s="16" t="s">
        <v>26</v>
      </c>
      <c r="E34" s="16" t="s">
        <v>27</v>
      </c>
      <c r="F34" s="16" t="s">
        <v>28</v>
      </c>
    </row>
    <row r="35" spans="1:6">
      <c r="B35" s="17"/>
      <c r="C35" s="4"/>
      <c r="D35" s="5"/>
      <c r="E35" s="5"/>
      <c r="F35" s="18"/>
    </row>
    <row r="36" spans="1:6">
      <c r="B36" s="4"/>
      <c r="C36" s="5"/>
      <c r="D36" s="5"/>
      <c r="E36" s="5"/>
    </row>
    <row r="37" spans="1:6">
      <c r="B37" s="6"/>
      <c r="C37" s="7"/>
      <c r="D37" s="7"/>
      <c r="E37" s="7"/>
    </row>
    <row r="39" spans="1:6">
      <c r="A39" s="39" t="s">
        <v>20</v>
      </c>
      <c r="B39" s="16" t="s">
        <v>24</v>
      </c>
      <c r="C39" s="16" t="s">
        <v>25</v>
      </c>
      <c r="D39" s="16" t="s">
        <v>26</v>
      </c>
      <c r="E39" s="16" t="s">
        <v>27</v>
      </c>
      <c r="F39" s="16" t="s">
        <v>28</v>
      </c>
    </row>
    <row r="40" spans="1:6">
      <c r="B40" s="33"/>
      <c r="C40" s="33"/>
      <c r="D40" s="33"/>
      <c r="E40" s="33"/>
      <c r="F40" s="41"/>
    </row>
    <row r="41" spans="1:6" ht="29">
      <c r="A41" s="49"/>
      <c r="B41" s="30" t="s">
        <v>31</v>
      </c>
      <c r="C41" s="30" t="s">
        <v>29</v>
      </c>
      <c r="D41" s="30" t="s">
        <v>46</v>
      </c>
      <c r="E41" s="30" t="s">
        <v>47</v>
      </c>
      <c r="F41" s="30">
        <v>6018</v>
      </c>
    </row>
    <row r="42" spans="1:6" ht="29">
      <c r="A42" s="49"/>
      <c r="B42" s="30" t="s">
        <v>31</v>
      </c>
      <c r="C42" s="30" t="s">
        <v>29</v>
      </c>
      <c r="D42" s="30" t="s">
        <v>48</v>
      </c>
      <c r="E42" s="30" t="s">
        <v>49</v>
      </c>
      <c r="F42" s="30">
        <v>3310</v>
      </c>
    </row>
    <row r="43" spans="1:6" ht="43.5">
      <c r="A43" s="49"/>
      <c r="B43" s="30" t="s">
        <v>36</v>
      </c>
      <c r="C43" s="30" t="s">
        <v>29</v>
      </c>
      <c r="D43" s="30" t="s">
        <v>37</v>
      </c>
      <c r="E43" s="30" t="s">
        <v>38</v>
      </c>
      <c r="F43" s="30">
        <v>22420</v>
      </c>
    </row>
    <row r="44" spans="1:6">
      <c r="B44" s="17"/>
      <c r="C44" s="17"/>
      <c r="D44" s="17"/>
      <c r="E44" s="17"/>
      <c r="F44" s="42">
        <f>SUM(F40:F43)</f>
        <v>31748</v>
      </c>
    </row>
    <row r="45" spans="1:6">
      <c r="B45" s="17"/>
      <c r="C45" s="17"/>
      <c r="D45" s="17"/>
      <c r="E45" s="17"/>
      <c r="F45" s="7"/>
    </row>
    <row r="46" spans="1:6">
      <c r="B46" s="17"/>
      <c r="C46" s="17"/>
      <c r="D46" s="17"/>
      <c r="E46" s="17"/>
      <c r="F46" s="7"/>
    </row>
    <row r="47" spans="1:6">
      <c r="A47" s="23" t="s">
        <v>21</v>
      </c>
      <c r="B47" s="16" t="s">
        <v>24</v>
      </c>
      <c r="C47" s="16" t="s">
        <v>25</v>
      </c>
      <c r="D47" s="16" t="s">
        <v>26</v>
      </c>
      <c r="E47" s="16" t="s">
        <v>27</v>
      </c>
      <c r="F47" s="16" t="s">
        <v>28</v>
      </c>
    </row>
    <row r="48" spans="1:6" ht="29">
      <c r="A48" s="49"/>
      <c r="B48" s="30" t="s">
        <v>50</v>
      </c>
      <c r="C48" s="30" t="s">
        <v>29</v>
      </c>
      <c r="D48" s="30" t="s">
        <v>51</v>
      </c>
      <c r="E48" s="30" t="s">
        <v>52</v>
      </c>
      <c r="F48" s="30">
        <v>236000</v>
      </c>
    </row>
    <row r="49" spans="1:7">
      <c r="B49" s="6"/>
      <c r="C49" s="7"/>
      <c r="D49" s="7"/>
      <c r="E49" s="7"/>
      <c r="F49" s="18">
        <f>SUM(F48:F48)</f>
        <v>236000</v>
      </c>
    </row>
    <row r="50" spans="1:7">
      <c r="A50" s="9"/>
      <c r="B50" s="11"/>
      <c r="C50" s="12"/>
      <c r="D50" s="12"/>
      <c r="E50" s="12"/>
      <c r="F50" s="12"/>
    </row>
    <row r="51" spans="1:7" ht="19" customHeight="1">
      <c r="A51" s="35" t="s">
        <v>19</v>
      </c>
      <c r="B51" s="16" t="s">
        <v>24</v>
      </c>
      <c r="C51" s="16" t="s">
        <v>25</v>
      </c>
      <c r="D51" s="16" t="s">
        <v>26</v>
      </c>
      <c r="E51" s="16" t="s">
        <v>27</v>
      </c>
      <c r="F51" s="16" t="s">
        <v>28</v>
      </c>
      <c r="G51" s="2"/>
    </row>
    <row r="52" spans="1:7">
      <c r="B52" s="43" t="s">
        <v>30</v>
      </c>
      <c r="C52" s="43" t="s">
        <v>29</v>
      </c>
      <c r="D52" s="31"/>
      <c r="E52" s="31"/>
      <c r="F52" s="17"/>
      <c r="G52" s="5"/>
    </row>
    <row r="53" spans="1:7">
      <c r="B53" s="6"/>
      <c r="C53" s="7"/>
      <c r="D53" s="7"/>
      <c r="E53" s="7"/>
      <c r="F53" s="18">
        <f>SUM(F52:F52)</f>
        <v>0</v>
      </c>
    </row>
    <row r="54" spans="1:7">
      <c r="B54" s="6"/>
      <c r="C54" s="7"/>
      <c r="D54" s="7"/>
      <c r="E54" s="7"/>
      <c r="F54" s="7"/>
    </row>
    <row r="55" spans="1:7">
      <c r="A55" s="35" t="s">
        <v>8</v>
      </c>
      <c r="B55" s="16" t="s">
        <v>24</v>
      </c>
      <c r="C55" s="16" t="s">
        <v>25</v>
      </c>
      <c r="D55" s="16" t="s">
        <v>26</v>
      </c>
      <c r="E55" s="16" t="s">
        <v>27</v>
      </c>
      <c r="F55" s="16" t="s">
        <v>28</v>
      </c>
    </row>
    <row r="56" spans="1:7">
      <c r="B56" s="43"/>
      <c r="C56" s="43"/>
      <c r="D56" s="31"/>
      <c r="E56" s="20"/>
      <c r="F56" s="17"/>
      <c r="G56" s="32"/>
    </row>
    <row r="57" spans="1:7">
      <c r="B57" s="34"/>
      <c r="C57" s="31"/>
      <c r="D57" s="31"/>
      <c r="E57" s="7"/>
      <c r="F57" s="7"/>
    </row>
    <row r="59" spans="1:7">
      <c r="A59" s="35" t="s">
        <v>9</v>
      </c>
      <c r="B59" s="16" t="s">
        <v>24</v>
      </c>
      <c r="C59" s="16" t="s">
        <v>25</v>
      </c>
      <c r="D59" s="16" t="s">
        <v>26</v>
      </c>
      <c r="E59" s="16" t="s">
        <v>27</v>
      </c>
      <c r="F59" s="16" t="s">
        <v>28</v>
      </c>
    </row>
    <row r="60" spans="1:7">
      <c r="B60" s="37"/>
      <c r="C60" s="37"/>
      <c r="D60" s="37"/>
      <c r="E60" s="37"/>
      <c r="F60" s="38"/>
    </row>
    <row r="61" spans="1:7">
      <c r="B61" s="37"/>
      <c r="C61" s="37"/>
      <c r="D61" s="37"/>
      <c r="E61" s="37"/>
      <c r="F61" s="38"/>
    </row>
    <row r="62" spans="1:7">
      <c r="B62" s="37"/>
      <c r="C62" s="37"/>
      <c r="D62" s="37"/>
      <c r="E62" s="37"/>
      <c r="F62" s="44"/>
    </row>
    <row r="63" spans="1:7">
      <c r="B63" s="37"/>
      <c r="C63" s="37"/>
      <c r="D63" s="37"/>
      <c r="E63" s="37"/>
      <c r="F63" s="44"/>
    </row>
    <row r="64" spans="1:7">
      <c r="B64" s="37"/>
      <c r="C64" s="37"/>
      <c r="D64" s="37"/>
      <c r="E64" s="37"/>
      <c r="F64" s="44"/>
    </row>
    <row r="65" spans="1:6">
      <c r="B65" s="37"/>
      <c r="C65" s="37"/>
      <c r="D65" s="37"/>
      <c r="E65" s="37"/>
      <c r="F65" s="44"/>
    </row>
    <row r="66" spans="1:6">
      <c r="F66" s="45">
        <f>SUM(F60:F65)</f>
        <v>0</v>
      </c>
    </row>
    <row r="69" spans="1:6">
      <c r="A69" s="28" t="s">
        <v>10</v>
      </c>
    </row>
    <row r="70" spans="1:6">
      <c r="B70" s="16" t="s">
        <v>24</v>
      </c>
      <c r="C70" s="16" t="s">
        <v>25</v>
      </c>
      <c r="D70" s="16" t="s">
        <v>26</v>
      </c>
      <c r="E70" s="16" t="s">
        <v>27</v>
      </c>
      <c r="F70" s="16" t="s">
        <v>28</v>
      </c>
    </row>
    <row r="71" spans="1:6">
      <c r="A71" s="36"/>
      <c r="B71" s="37"/>
      <c r="C71" s="37"/>
      <c r="D71" s="37"/>
      <c r="E71" s="37"/>
      <c r="F71" s="41"/>
    </row>
    <row r="72" spans="1:6">
      <c r="A72" s="36"/>
      <c r="B72" s="33"/>
      <c r="C72" s="37"/>
      <c r="D72" s="37"/>
      <c r="E72" s="37"/>
      <c r="F72" s="41"/>
    </row>
    <row r="73" spans="1:6">
      <c r="A73" s="36"/>
      <c r="B73" s="33"/>
      <c r="C73" s="37"/>
      <c r="D73" s="37"/>
      <c r="E73" s="37"/>
      <c r="F73" s="41"/>
    </row>
    <row r="75" spans="1:6">
      <c r="F75" s="45">
        <f>SUM(F71:F74)</f>
        <v>0</v>
      </c>
    </row>
    <row r="77" spans="1:6">
      <c r="A77" s="46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July- 26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Jigar Mehta</dc:creator>
  <cp:lastModifiedBy>PLASTENE INDIA LTD</cp:lastModifiedBy>
  <dcterms:created xsi:type="dcterms:W3CDTF">2023-09-12T06:56:00Z</dcterms:created>
  <dcterms:modified xsi:type="dcterms:W3CDTF">2026-08-17T08:36:27Z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8B246818D8834F8DAF82F40287E92481_12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